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rendmoinc.sharepoint.com/intranet/Work Plan  Schedules/Workflow plans 2025/2026 Workflow Plan/"/>
    </mc:Choice>
  </mc:AlternateContent>
  <xr:revisionPtr revIDLastSave="0" documentId="8_{4730CC54-3076-C347-A4F2-045F0088DE58}" xr6:coauthVersionLast="47" xr6:coauthVersionMax="47" xr10:uidLastSave="{00000000-0000-0000-0000-000000000000}"/>
  <bookViews>
    <workbookView xWindow="-98" yWindow="-98" windowWidth="19396" windowHeight="10276" firstSheet="1" activeTab="5" xr2:uid="{AB0C65A7-0DD8-472C-BF5B-69006A705FEE}"/>
  </bookViews>
  <sheets>
    <sheet name="Work Component  Split" sheetId="16" r:id="rId1"/>
    <sheet name="Star Jan - Dec '26" sheetId="15" r:id="rId2"/>
    <sheet name="Kenneth Jan - Dec '26" sheetId="6" r:id="rId3"/>
    <sheet name="Tatenda Jan - Dec '26" sheetId="10" r:id="rId4"/>
    <sheet name="Rudzi Jan - Dec '26" sheetId="14" r:id="rId5"/>
    <sheet name="Katlego Jan - Dec '26" sheetId="17" r:id="rId6"/>
    <sheet name="Bruce Jan - Dec '26" sheetId="8" r:id="rId7"/>
    <sheet name="Christine Jan - Dec '26" sheetId="4" r:id="rId8"/>
    <sheet name="Lesego Jan - Dec '26" sheetId="13" r:id="rId9"/>
    <sheet name="Simelinkosi Jan - Dec '26" sheetId="11" r:id="rId10"/>
    <sheet name="Mavis Jan - Dec '26" sheetId="12" r:id="rId11"/>
  </sheets>
  <definedNames>
    <definedName name="_xlnm._FilterDatabase" localSheetId="0" hidden="1">'Work Component  Split'!$D$9:$E$72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5" l="1"/>
  <c r="G38" i="15"/>
  <c r="G79" i="17"/>
  <c r="G78" i="17"/>
  <c r="J42" i="8"/>
  <c r="I42" i="8"/>
  <c r="J43" i="8"/>
  <c r="I43" i="8"/>
  <c r="J44" i="8"/>
  <c r="I44" i="8"/>
  <c r="J45" i="8"/>
  <c r="I45" i="8"/>
  <c r="J133" i="4"/>
  <c r="J134" i="4"/>
  <c r="J135" i="4"/>
  <c r="J136" i="4"/>
  <c r="I136" i="4"/>
  <c r="J137" i="4"/>
  <c r="I137" i="4"/>
  <c r="J138" i="4"/>
  <c r="J139" i="4"/>
  <c r="I139" i="4"/>
  <c r="J140" i="4"/>
  <c r="I133" i="4"/>
  <c r="I134" i="4"/>
  <c r="I135" i="4"/>
  <c r="I138" i="4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49" i="15"/>
  <c r="B38" i="15"/>
  <c r="B39" i="15"/>
  <c r="B40" i="15"/>
  <c r="B41" i="15"/>
  <c r="B42" i="15"/>
  <c r="B43" i="15"/>
  <c r="B44" i="15"/>
  <c r="B45" i="15"/>
  <c r="B46" i="15"/>
  <c r="B47" i="15"/>
  <c r="B48" i="15"/>
  <c r="G39" i="14"/>
  <c r="G43" i="14"/>
  <c r="J112" i="15"/>
  <c r="I112" i="15"/>
  <c r="J113" i="15"/>
  <c r="J114" i="15"/>
  <c r="J115" i="15"/>
  <c r="I115" i="15"/>
  <c r="J116" i="15"/>
  <c r="I116" i="15"/>
  <c r="J117" i="15"/>
  <c r="I117" i="15"/>
  <c r="J118" i="15"/>
  <c r="I118" i="15"/>
  <c r="J119" i="15"/>
  <c r="I119" i="15"/>
  <c r="J120" i="15"/>
  <c r="I120" i="15"/>
  <c r="J121" i="15"/>
  <c r="I121" i="15"/>
  <c r="J122" i="15"/>
  <c r="I122" i="15"/>
  <c r="J123" i="15"/>
  <c r="I123" i="15"/>
  <c r="J124" i="15"/>
  <c r="I124" i="15"/>
  <c r="J125" i="15"/>
  <c r="I125" i="15"/>
  <c r="J126" i="15"/>
  <c r="I126" i="15"/>
  <c r="J127" i="15"/>
  <c r="I127" i="15"/>
  <c r="J128" i="15"/>
  <c r="I128" i="15"/>
  <c r="J129" i="15"/>
  <c r="I129" i="15"/>
  <c r="J130" i="15"/>
  <c r="I130" i="15"/>
  <c r="J131" i="15"/>
  <c r="I131" i="15"/>
  <c r="J132" i="15"/>
  <c r="I132" i="15"/>
  <c r="I113" i="15"/>
  <c r="I114" i="15"/>
  <c r="F47" i="4"/>
  <c r="F114" i="4"/>
  <c r="J128" i="4"/>
  <c r="I128" i="4"/>
  <c r="J129" i="4"/>
  <c r="I129" i="4"/>
  <c r="J130" i="4"/>
  <c r="I130" i="4"/>
  <c r="F104" i="4"/>
  <c r="F103" i="4"/>
  <c r="F102" i="4"/>
  <c r="G74" i="8"/>
  <c r="F74" i="8"/>
  <c r="H74" i="8"/>
  <c r="J87" i="8"/>
  <c r="I87" i="8"/>
  <c r="J70" i="10"/>
  <c r="I70" i="10"/>
  <c r="J72" i="10"/>
  <c r="I72" i="10"/>
  <c r="J71" i="10"/>
  <c r="I71" i="10"/>
  <c r="J75" i="10"/>
  <c r="I75" i="10"/>
  <c r="J74" i="10"/>
  <c r="I74" i="10"/>
  <c r="J73" i="10"/>
  <c r="I73" i="10"/>
  <c r="F30" i="16"/>
  <c r="F43" i="14"/>
  <c r="G42" i="14"/>
  <c r="F42" i="14"/>
  <c r="G41" i="14"/>
  <c r="F41" i="14"/>
  <c r="G40" i="14"/>
  <c r="F40" i="14"/>
  <c r="F39" i="14"/>
  <c r="G38" i="14"/>
  <c r="F38" i="14"/>
  <c r="G37" i="14"/>
  <c r="F37" i="14"/>
  <c r="G45" i="6"/>
  <c r="F45" i="6"/>
  <c r="G44" i="6"/>
  <c r="F44" i="6"/>
  <c r="G43" i="6"/>
  <c r="F43" i="6"/>
  <c r="G42" i="6"/>
  <c r="F42" i="6"/>
  <c r="G41" i="6"/>
  <c r="F41" i="6"/>
  <c r="G40" i="6"/>
  <c r="F40" i="6"/>
  <c r="F39" i="6"/>
  <c r="G38" i="6"/>
  <c r="F38" i="6"/>
  <c r="G37" i="6"/>
  <c r="F37" i="6"/>
  <c r="F37" i="10"/>
  <c r="G37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F37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D64" i="16"/>
  <c r="E64" i="16"/>
  <c r="D65" i="16"/>
  <c r="D66" i="16"/>
  <c r="E66" i="16"/>
  <c r="D71" i="16"/>
  <c r="D70" i="16"/>
  <c r="D69" i="16"/>
  <c r="D68" i="16"/>
  <c r="D67" i="16"/>
  <c r="D63" i="16"/>
  <c r="D62" i="16"/>
  <c r="D55" i="16"/>
  <c r="D52" i="16"/>
  <c r="D48" i="16"/>
  <c r="D44" i="16"/>
  <c r="D37" i="16"/>
  <c r="D36" i="16"/>
  <c r="D31" i="16"/>
  <c r="D30" i="16"/>
  <c r="D29" i="16"/>
  <c r="D27" i="16"/>
  <c r="D24" i="16"/>
  <c r="D19" i="16"/>
  <c r="D18" i="16"/>
  <c r="D17" i="16"/>
  <c r="D16" i="16"/>
  <c r="E61" i="16"/>
  <c r="E60" i="16"/>
  <c r="E59" i="16"/>
  <c r="E58" i="16"/>
  <c r="E57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4" i="16"/>
  <c r="D10" i="16"/>
  <c r="H10" i="16"/>
  <c r="E13" i="16"/>
  <c r="E12" i="16"/>
  <c r="E11" i="16"/>
  <c r="E10" i="16"/>
  <c r="F37" i="12"/>
  <c r="F38" i="13"/>
  <c r="J38" i="13"/>
  <c r="I38" i="13"/>
  <c r="F38" i="12"/>
  <c r="J38" i="12"/>
  <c r="I38" i="12"/>
  <c r="H32" i="15"/>
  <c r="A37" i="13"/>
  <c r="F38" i="11"/>
  <c r="F39" i="11"/>
  <c r="F40" i="11"/>
  <c r="F41" i="11"/>
  <c r="F42" i="11"/>
  <c r="F43" i="11"/>
  <c r="F44" i="11"/>
  <c r="F45" i="11"/>
  <c r="F46" i="11"/>
  <c r="F47" i="11"/>
  <c r="F48" i="11"/>
  <c r="F37" i="11"/>
  <c r="F37" i="13"/>
  <c r="J42" i="4"/>
  <c r="I42" i="4"/>
  <c r="J43" i="4"/>
  <c r="I43" i="4"/>
  <c r="J44" i="4"/>
  <c r="I44" i="4"/>
  <c r="J45" i="4"/>
  <c r="I45" i="4"/>
  <c r="J46" i="4"/>
  <c r="I46" i="4"/>
  <c r="J47" i="4"/>
  <c r="I47" i="4"/>
  <c r="J48" i="4"/>
  <c r="I48" i="4"/>
  <c r="J49" i="4"/>
  <c r="I49" i="4"/>
  <c r="J50" i="4"/>
  <c r="I50" i="4"/>
  <c r="J51" i="4"/>
  <c r="I51" i="4"/>
  <c r="J52" i="4"/>
  <c r="I52" i="4"/>
  <c r="J53" i="4"/>
  <c r="I53" i="4"/>
  <c r="J54" i="4"/>
  <c r="I54" i="4"/>
  <c r="J55" i="4"/>
  <c r="I55" i="4"/>
  <c r="J56" i="4"/>
  <c r="I56" i="4"/>
  <c r="J57" i="4"/>
  <c r="I57" i="4"/>
  <c r="J58" i="4"/>
  <c r="I58" i="4"/>
  <c r="J59" i="4"/>
  <c r="I59" i="4"/>
  <c r="J60" i="4"/>
  <c r="I60" i="4"/>
  <c r="J61" i="4"/>
  <c r="I61" i="4"/>
  <c r="J62" i="4"/>
  <c r="I62" i="4"/>
  <c r="J63" i="4"/>
  <c r="I63" i="4"/>
  <c r="J64" i="4"/>
  <c r="I64" i="4"/>
  <c r="J65" i="4"/>
  <c r="I65" i="4"/>
  <c r="J41" i="4"/>
  <c r="I41" i="4"/>
  <c r="G10" i="16"/>
  <c r="H32" i="10"/>
  <c r="J64" i="15"/>
  <c r="I64" i="15"/>
  <c r="J65" i="15"/>
  <c r="I65" i="15"/>
  <c r="J37" i="15"/>
  <c r="I37" i="15"/>
  <c r="J38" i="15"/>
  <c r="I38" i="15"/>
  <c r="J39" i="15"/>
  <c r="I39" i="15"/>
  <c r="J40" i="15"/>
  <c r="I40" i="15"/>
  <c r="J41" i="15"/>
  <c r="I41" i="15"/>
  <c r="J42" i="15"/>
  <c r="I42" i="15"/>
  <c r="J43" i="15"/>
  <c r="I43" i="15"/>
  <c r="J44" i="15"/>
  <c r="I44" i="15"/>
  <c r="J45" i="15"/>
  <c r="I45" i="15"/>
  <c r="J46" i="15"/>
  <c r="I46" i="15"/>
  <c r="J47" i="15"/>
  <c r="I47" i="15"/>
  <c r="J48" i="15"/>
  <c r="I48" i="15"/>
  <c r="J49" i="15"/>
  <c r="I49" i="15"/>
  <c r="J50" i="15"/>
  <c r="I50" i="15"/>
  <c r="J51" i="15"/>
  <c r="I51" i="15"/>
  <c r="J52" i="15"/>
  <c r="I52" i="15"/>
  <c r="J53" i="15"/>
  <c r="I53" i="15"/>
  <c r="J54" i="15"/>
  <c r="I54" i="15"/>
  <c r="J55" i="15"/>
  <c r="I55" i="15"/>
  <c r="J56" i="15"/>
  <c r="I56" i="15"/>
  <c r="J57" i="15"/>
  <c r="I57" i="15"/>
  <c r="J58" i="15"/>
  <c r="I58" i="15"/>
  <c r="J59" i="15"/>
  <c r="I59" i="15"/>
  <c r="J60" i="15"/>
  <c r="I60" i="15"/>
  <c r="J61" i="15"/>
  <c r="I61" i="15"/>
  <c r="J62" i="15"/>
  <c r="I62" i="15"/>
  <c r="J63" i="15"/>
  <c r="I63" i="15"/>
  <c r="J66" i="15"/>
  <c r="I66" i="15"/>
  <c r="J67" i="15"/>
  <c r="I67" i="15"/>
  <c r="J68" i="15"/>
  <c r="I68" i="15"/>
  <c r="J69" i="15"/>
  <c r="I69" i="15"/>
  <c r="J70" i="15"/>
  <c r="I70" i="15"/>
  <c r="J71" i="15"/>
  <c r="I71" i="15"/>
  <c r="J72" i="15"/>
  <c r="I72" i="15"/>
  <c r="J73" i="15"/>
  <c r="I73" i="15"/>
  <c r="E72" i="16"/>
  <c r="D72" i="16"/>
  <c r="F809" i="17"/>
  <c r="F810" i="17"/>
  <c r="J807" i="17"/>
  <c r="I807" i="17"/>
  <c r="J806" i="17"/>
  <c r="I806" i="17"/>
  <c r="J805" i="17"/>
  <c r="I805" i="17"/>
  <c r="J804" i="17"/>
  <c r="I804" i="17"/>
  <c r="J803" i="17"/>
  <c r="I803" i="17"/>
  <c r="J802" i="17"/>
  <c r="I802" i="17"/>
  <c r="J801" i="17"/>
  <c r="I801" i="17"/>
  <c r="J800" i="17"/>
  <c r="I800" i="17"/>
  <c r="J799" i="17"/>
  <c r="I799" i="17"/>
  <c r="J798" i="17"/>
  <c r="I798" i="17"/>
  <c r="J797" i="17"/>
  <c r="I797" i="17"/>
  <c r="J796" i="17"/>
  <c r="I796" i="17"/>
  <c r="J795" i="17"/>
  <c r="I795" i="17"/>
  <c r="J794" i="17"/>
  <c r="I794" i="17"/>
  <c r="J793" i="17"/>
  <c r="I793" i="17"/>
  <c r="J792" i="17"/>
  <c r="I792" i="17"/>
  <c r="J791" i="17"/>
  <c r="I791" i="17"/>
  <c r="J790" i="17"/>
  <c r="I790" i="17"/>
  <c r="J789" i="17"/>
  <c r="I789" i="17"/>
  <c r="J788" i="17"/>
  <c r="I788" i="17"/>
  <c r="J784" i="17"/>
  <c r="I784" i="17"/>
  <c r="J783" i="17"/>
  <c r="I783" i="17"/>
  <c r="J782" i="17"/>
  <c r="I782" i="17"/>
  <c r="J781" i="17"/>
  <c r="I781" i="17"/>
  <c r="J780" i="17"/>
  <c r="I780" i="17"/>
  <c r="J779" i="17"/>
  <c r="I779" i="17"/>
  <c r="J778" i="17"/>
  <c r="I778" i="17"/>
  <c r="J777" i="17"/>
  <c r="I777" i="17"/>
  <c r="J776" i="17"/>
  <c r="I776" i="17"/>
  <c r="J775" i="17"/>
  <c r="I775" i="17"/>
  <c r="J774" i="17"/>
  <c r="I774" i="17"/>
  <c r="J773" i="17"/>
  <c r="I773" i="17"/>
  <c r="J772" i="17"/>
  <c r="I772" i="17"/>
  <c r="J771" i="17"/>
  <c r="I771" i="17"/>
  <c r="J770" i="17"/>
  <c r="I770" i="17"/>
  <c r="J769" i="17"/>
  <c r="I769" i="17"/>
  <c r="J768" i="17"/>
  <c r="I768" i="17"/>
  <c r="J767" i="17"/>
  <c r="I767" i="17"/>
  <c r="J766" i="17"/>
  <c r="I766" i="17"/>
  <c r="J765" i="17"/>
  <c r="I765" i="17"/>
  <c r="J761" i="17"/>
  <c r="I761" i="17"/>
  <c r="J760" i="17"/>
  <c r="I760" i="17"/>
  <c r="J759" i="17"/>
  <c r="I759" i="17"/>
  <c r="J758" i="17"/>
  <c r="I758" i="17"/>
  <c r="J757" i="17"/>
  <c r="I757" i="17"/>
  <c r="J756" i="17"/>
  <c r="I756" i="17"/>
  <c r="J755" i="17"/>
  <c r="I755" i="17"/>
  <c r="J754" i="17"/>
  <c r="I754" i="17"/>
  <c r="J753" i="17"/>
  <c r="I753" i="17"/>
  <c r="J752" i="17"/>
  <c r="F739" i="17"/>
  <c r="F740" i="17"/>
  <c r="J737" i="17"/>
  <c r="I737" i="17"/>
  <c r="J736" i="17"/>
  <c r="I736" i="17"/>
  <c r="J735" i="17"/>
  <c r="I735" i="17"/>
  <c r="J734" i="17"/>
  <c r="I734" i="17"/>
  <c r="J733" i="17"/>
  <c r="I733" i="17"/>
  <c r="J732" i="17"/>
  <c r="I732" i="17"/>
  <c r="J731" i="17"/>
  <c r="I731" i="17"/>
  <c r="J730" i="17"/>
  <c r="I730" i="17"/>
  <c r="J729" i="17"/>
  <c r="I729" i="17"/>
  <c r="J728" i="17"/>
  <c r="I728" i="17"/>
  <c r="J727" i="17"/>
  <c r="I727" i="17"/>
  <c r="J726" i="17"/>
  <c r="I726" i="17"/>
  <c r="J725" i="17"/>
  <c r="I725" i="17"/>
  <c r="J724" i="17"/>
  <c r="I724" i="17"/>
  <c r="J723" i="17"/>
  <c r="I723" i="17"/>
  <c r="J722" i="17"/>
  <c r="I722" i="17"/>
  <c r="J721" i="17"/>
  <c r="I721" i="17"/>
  <c r="J720" i="17"/>
  <c r="I720" i="17"/>
  <c r="J719" i="17"/>
  <c r="I719" i="17"/>
  <c r="J718" i="17"/>
  <c r="I718" i="17"/>
  <c r="J714" i="17"/>
  <c r="I714" i="17"/>
  <c r="J713" i="17"/>
  <c r="I713" i="17"/>
  <c r="J712" i="17"/>
  <c r="I712" i="17"/>
  <c r="J711" i="17"/>
  <c r="I711" i="17"/>
  <c r="J710" i="17"/>
  <c r="I710" i="17"/>
  <c r="J709" i="17"/>
  <c r="I709" i="17"/>
  <c r="J708" i="17"/>
  <c r="I708" i="17"/>
  <c r="J707" i="17"/>
  <c r="I707" i="17"/>
  <c r="J706" i="17"/>
  <c r="I706" i="17"/>
  <c r="J705" i="17"/>
  <c r="I705" i="17"/>
  <c r="J704" i="17"/>
  <c r="I704" i="17"/>
  <c r="J703" i="17"/>
  <c r="I703" i="17"/>
  <c r="J702" i="17"/>
  <c r="I702" i="17"/>
  <c r="J701" i="17"/>
  <c r="I701" i="17"/>
  <c r="J700" i="17"/>
  <c r="I700" i="17"/>
  <c r="J699" i="17"/>
  <c r="I699" i="17"/>
  <c r="J698" i="17"/>
  <c r="I698" i="17"/>
  <c r="J697" i="17"/>
  <c r="I697" i="17"/>
  <c r="J696" i="17"/>
  <c r="I696" i="17"/>
  <c r="J695" i="17"/>
  <c r="I695" i="17"/>
  <c r="J691" i="17"/>
  <c r="I691" i="17"/>
  <c r="J690" i="17"/>
  <c r="I690" i="17"/>
  <c r="J689" i="17"/>
  <c r="I689" i="17"/>
  <c r="J688" i="17"/>
  <c r="I688" i="17"/>
  <c r="J687" i="17"/>
  <c r="I687" i="17"/>
  <c r="J686" i="17"/>
  <c r="I686" i="17"/>
  <c r="J685" i="17"/>
  <c r="I685" i="17"/>
  <c r="J684" i="17"/>
  <c r="I684" i="17"/>
  <c r="J683" i="17"/>
  <c r="I683" i="17"/>
  <c r="J682" i="17"/>
  <c r="I682" i="17"/>
  <c r="F669" i="17"/>
  <c r="F670" i="17"/>
  <c r="J667" i="17"/>
  <c r="I667" i="17"/>
  <c r="J666" i="17"/>
  <c r="I666" i="17"/>
  <c r="J665" i="17"/>
  <c r="I665" i="17"/>
  <c r="J664" i="17"/>
  <c r="I664" i="17"/>
  <c r="J663" i="17"/>
  <c r="I663" i="17"/>
  <c r="J662" i="17"/>
  <c r="I662" i="17"/>
  <c r="J661" i="17"/>
  <c r="I661" i="17"/>
  <c r="J660" i="17"/>
  <c r="I660" i="17"/>
  <c r="J659" i="17"/>
  <c r="I659" i="17"/>
  <c r="J658" i="17"/>
  <c r="I658" i="17"/>
  <c r="J657" i="17"/>
  <c r="I657" i="17"/>
  <c r="J656" i="17"/>
  <c r="I656" i="17"/>
  <c r="J655" i="17"/>
  <c r="I655" i="17"/>
  <c r="J654" i="17"/>
  <c r="I654" i="17"/>
  <c r="J653" i="17"/>
  <c r="I653" i="17"/>
  <c r="J652" i="17"/>
  <c r="I652" i="17"/>
  <c r="J651" i="17"/>
  <c r="I651" i="17"/>
  <c r="J650" i="17"/>
  <c r="I650" i="17"/>
  <c r="J649" i="17"/>
  <c r="I649" i="17"/>
  <c r="J648" i="17"/>
  <c r="I648" i="17"/>
  <c r="J644" i="17"/>
  <c r="I644" i="17"/>
  <c r="J643" i="17"/>
  <c r="I643" i="17"/>
  <c r="J642" i="17"/>
  <c r="I642" i="17"/>
  <c r="J641" i="17"/>
  <c r="I641" i="17"/>
  <c r="J640" i="17"/>
  <c r="I640" i="17"/>
  <c r="J639" i="17"/>
  <c r="I639" i="17"/>
  <c r="J638" i="17"/>
  <c r="I638" i="17"/>
  <c r="J637" i="17"/>
  <c r="I637" i="17"/>
  <c r="J636" i="17"/>
  <c r="I636" i="17"/>
  <c r="J635" i="17"/>
  <c r="I635" i="17"/>
  <c r="J634" i="17"/>
  <c r="I634" i="17"/>
  <c r="J633" i="17"/>
  <c r="I633" i="17"/>
  <c r="J632" i="17"/>
  <c r="I632" i="17"/>
  <c r="J631" i="17"/>
  <c r="I631" i="17"/>
  <c r="J630" i="17"/>
  <c r="I630" i="17"/>
  <c r="J629" i="17"/>
  <c r="I629" i="17"/>
  <c r="J628" i="17"/>
  <c r="I628" i="17"/>
  <c r="J627" i="17"/>
  <c r="I627" i="17"/>
  <c r="J626" i="17"/>
  <c r="I626" i="17"/>
  <c r="J625" i="17"/>
  <c r="I625" i="17"/>
  <c r="J621" i="17"/>
  <c r="I621" i="17"/>
  <c r="J620" i="17"/>
  <c r="I620" i="17"/>
  <c r="J619" i="17"/>
  <c r="I619" i="17"/>
  <c r="J618" i="17"/>
  <c r="I618" i="17"/>
  <c r="J617" i="17"/>
  <c r="I617" i="17"/>
  <c r="J616" i="17"/>
  <c r="I616" i="17"/>
  <c r="J615" i="17"/>
  <c r="I615" i="17"/>
  <c r="J614" i="17"/>
  <c r="I614" i="17"/>
  <c r="J613" i="17"/>
  <c r="I613" i="17"/>
  <c r="J612" i="17"/>
  <c r="I612" i="17"/>
  <c r="F599" i="17"/>
  <c r="F600" i="17"/>
  <c r="J597" i="17"/>
  <c r="I597" i="17"/>
  <c r="J596" i="17"/>
  <c r="I596" i="17"/>
  <c r="J595" i="17"/>
  <c r="I595" i="17"/>
  <c r="J594" i="17"/>
  <c r="I594" i="17"/>
  <c r="J593" i="17"/>
  <c r="I593" i="17"/>
  <c r="J592" i="17"/>
  <c r="I592" i="17"/>
  <c r="J591" i="17"/>
  <c r="I591" i="17"/>
  <c r="J590" i="17"/>
  <c r="I590" i="17"/>
  <c r="J589" i="17"/>
  <c r="I589" i="17"/>
  <c r="J588" i="17"/>
  <c r="I588" i="17"/>
  <c r="J587" i="17"/>
  <c r="I587" i="17"/>
  <c r="J586" i="17"/>
  <c r="I586" i="17"/>
  <c r="J585" i="17"/>
  <c r="I585" i="17"/>
  <c r="J584" i="17"/>
  <c r="I584" i="17"/>
  <c r="J583" i="17"/>
  <c r="I583" i="17"/>
  <c r="J582" i="17"/>
  <c r="I582" i="17"/>
  <c r="J581" i="17"/>
  <c r="I581" i="17"/>
  <c r="J580" i="17"/>
  <c r="I580" i="17"/>
  <c r="J579" i="17"/>
  <c r="I579" i="17"/>
  <c r="J578" i="17"/>
  <c r="I578" i="17"/>
  <c r="J574" i="17"/>
  <c r="I574" i="17"/>
  <c r="J573" i="17"/>
  <c r="I573" i="17"/>
  <c r="J572" i="17"/>
  <c r="I572" i="17"/>
  <c r="J571" i="17"/>
  <c r="I571" i="17"/>
  <c r="J570" i="17"/>
  <c r="I570" i="17"/>
  <c r="J569" i="17"/>
  <c r="I569" i="17"/>
  <c r="J568" i="17"/>
  <c r="I568" i="17"/>
  <c r="J567" i="17"/>
  <c r="I567" i="17"/>
  <c r="J566" i="17"/>
  <c r="I566" i="17"/>
  <c r="J565" i="17"/>
  <c r="I565" i="17"/>
  <c r="J564" i="17"/>
  <c r="I564" i="17"/>
  <c r="J563" i="17"/>
  <c r="I563" i="17"/>
  <c r="J562" i="17"/>
  <c r="I562" i="17"/>
  <c r="J561" i="17"/>
  <c r="I561" i="17"/>
  <c r="J560" i="17"/>
  <c r="I560" i="17"/>
  <c r="J559" i="17"/>
  <c r="I559" i="17"/>
  <c r="J558" i="17"/>
  <c r="I558" i="17"/>
  <c r="J557" i="17"/>
  <c r="I557" i="17"/>
  <c r="J556" i="17"/>
  <c r="I556" i="17"/>
  <c r="J555" i="17"/>
  <c r="I555" i="17"/>
  <c r="J551" i="17"/>
  <c r="I551" i="17"/>
  <c r="J550" i="17"/>
  <c r="I550" i="17"/>
  <c r="J549" i="17"/>
  <c r="I549" i="17"/>
  <c r="J548" i="17"/>
  <c r="I548" i="17"/>
  <c r="J547" i="17"/>
  <c r="I547" i="17"/>
  <c r="J546" i="17"/>
  <c r="I546" i="17"/>
  <c r="J545" i="17"/>
  <c r="I545" i="17"/>
  <c r="J544" i="17"/>
  <c r="I544" i="17"/>
  <c r="J543" i="17"/>
  <c r="I543" i="17"/>
  <c r="J542" i="17"/>
  <c r="I542" i="17"/>
  <c r="F529" i="17"/>
  <c r="F530" i="17"/>
  <c r="J527" i="17"/>
  <c r="I527" i="17"/>
  <c r="J526" i="17"/>
  <c r="I526" i="17"/>
  <c r="J525" i="17"/>
  <c r="I525" i="17"/>
  <c r="J524" i="17"/>
  <c r="I524" i="17"/>
  <c r="J523" i="17"/>
  <c r="I523" i="17"/>
  <c r="J522" i="17"/>
  <c r="I522" i="17"/>
  <c r="J521" i="17"/>
  <c r="I521" i="17"/>
  <c r="J520" i="17"/>
  <c r="I520" i="17"/>
  <c r="J519" i="17"/>
  <c r="I519" i="17"/>
  <c r="J518" i="17"/>
  <c r="I518" i="17"/>
  <c r="J517" i="17"/>
  <c r="I517" i="17"/>
  <c r="J516" i="17"/>
  <c r="I516" i="17"/>
  <c r="J515" i="17"/>
  <c r="I515" i="17"/>
  <c r="J514" i="17"/>
  <c r="I514" i="17"/>
  <c r="J513" i="17"/>
  <c r="I513" i="17"/>
  <c r="J512" i="17"/>
  <c r="I512" i="17"/>
  <c r="J511" i="17"/>
  <c r="I511" i="17"/>
  <c r="J510" i="17"/>
  <c r="I510" i="17"/>
  <c r="J509" i="17"/>
  <c r="I509" i="17"/>
  <c r="J508" i="17"/>
  <c r="I508" i="17"/>
  <c r="J504" i="17"/>
  <c r="I504" i="17"/>
  <c r="J503" i="17"/>
  <c r="I503" i="17"/>
  <c r="J502" i="17"/>
  <c r="I502" i="17"/>
  <c r="J501" i="17"/>
  <c r="I501" i="17"/>
  <c r="J500" i="17"/>
  <c r="I500" i="17"/>
  <c r="J499" i="17"/>
  <c r="I499" i="17"/>
  <c r="J498" i="17"/>
  <c r="I498" i="17"/>
  <c r="J497" i="17"/>
  <c r="I497" i="17"/>
  <c r="J496" i="17"/>
  <c r="I496" i="17"/>
  <c r="J495" i="17"/>
  <c r="I495" i="17"/>
  <c r="J494" i="17"/>
  <c r="I494" i="17"/>
  <c r="J493" i="17"/>
  <c r="I493" i="17"/>
  <c r="J492" i="17"/>
  <c r="I492" i="17"/>
  <c r="J491" i="17"/>
  <c r="I491" i="17"/>
  <c r="J490" i="17"/>
  <c r="I490" i="17"/>
  <c r="J489" i="17"/>
  <c r="I489" i="17"/>
  <c r="J488" i="17"/>
  <c r="I488" i="17"/>
  <c r="J487" i="17"/>
  <c r="I487" i="17"/>
  <c r="J486" i="17"/>
  <c r="I486" i="17"/>
  <c r="J485" i="17"/>
  <c r="I485" i="17"/>
  <c r="J481" i="17"/>
  <c r="I481" i="17"/>
  <c r="J480" i="17"/>
  <c r="I480" i="17"/>
  <c r="J479" i="17"/>
  <c r="I479" i="17"/>
  <c r="J478" i="17"/>
  <c r="I478" i="17"/>
  <c r="J477" i="17"/>
  <c r="I477" i="17"/>
  <c r="J476" i="17"/>
  <c r="I476" i="17"/>
  <c r="J475" i="17"/>
  <c r="I475" i="17"/>
  <c r="J474" i="17"/>
  <c r="I474" i="17"/>
  <c r="J473" i="17"/>
  <c r="I473" i="17"/>
  <c r="J472" i="17"/>
  <c r="I472" i="17"/>
  <c r="F459" i="17"/>
  <c r="F460" i="17"/>
  <c r="J457" i="17"/>
  <c r="I457" i="17"/>
  <c r="J456" i="17"/>
  <c r="I456" i="17"/>
  <c r="J455" i="17"/>
  <c r="I455" i="17"/>
  <c r="J454" i="17"/>
  <c r="I454" i="17"/>
  <c r="J453" i="17"/>
  <c r="I453" i="17"/>
  <c r="J452" i="17"/>
  <c r="I452" i="17"/>
  <c r="J451" i="17"/>
  <c r="I451" i="17"/>
  <c r="J450" i="17"/>
  <c r="I450" i="17"/>
  <c r="J449" i="17"/>
  <c r="I449" i="17"/>
  <c r="J448" i="17"/>
  <c r="I448" i="17"/>
  <c r="J447" i="17"/>
  <c r="I447" i="17"/>
  <c r="J446" i="17"/>
  <c r="I446" i="17"/>
  <c r="J445" i="17"/>
  <c r="I445" i="17"/>
  <c r="J444" i="17"/>
  <c r="I444" i="17"/>
  <c r="J443" i="17"/>
  <c r="I443" i="17"/>
  <c r="J442" i="17"/>
  <c r="I442" i="17"/>
  <c r="J441" i="17"/>
  <c r="I441" i="17"/>
  <c r="J440" i="17"/>
  <c r="I440" i="17"/>
  <c r="J439" i="17"/>
  <c r="I439" i="17"/>
  <c r="J438" i="17"/>
  <c r="I438" i="17"/>
  <c r="J434" i="17"/>
  <c r="I434" i="17"/>
  <c r="J433" i="17"/>
  <c r="I433" i="17"/>
  <c r="J432" i="17"/>
  <c r="I432" i="17"/>
  <c r="J431" i="17"/>
  <c r="I431" i="17"/>
  <c r="J430" i="17"/>
  <c r="I430" i="17"/>
  <c r="J429" i="17"/>
  <c r="I429" i="17"/>
  <c r="J428" i="17"/>
  <c r="I428" i="17"/>
  <c r="J427" i="17"/>
  <c r="I427" i="17"/>
  <c r="J426" i="17"/>
  <c r="I426" i="17"/>
  <c r="J425" i="17"/>
  <c r="I425" i="17"/>
  <c r="J424" i="17"/>
  <c r="I424" i="17"/>
  <c r="J423" i="17"/>
  <c r="I423" i="17"/>
  <c r="J422" i="17"/>
  <c r="I422" i="17"/>
  <c r="J421" i="17"/>
  <c r="I421" i="17"/>
  <c r="J420" i="17"/>
  <c r="I420" i="17"/>
  <c r="J419" i="17"/>
  <c r="I419" i="17"/>
  <c r="J418" i="17"/>
  <c r="I418" i="17"/>
  <c r="J417" i="17"/>
  <c r="I417" i="17"/>
  <c r="J416" i="17"/>
  <c r="I416" i="17"/>
  <c r="J415" i="17"/>
  <c r="I415" i="17"/>
  <c r="J411" i="17"/>
  <c r="I411" i="17"/>
  <c r="J410" i="17"/>
  <c r="I410" i="17"/>
  <c r="J409" i="17"/>
  <c r="I409" i="17"/>
  <c r="J408" i="17"/>
  <c r="I408" i="17"/>
  <c r="J407" i="17"/>
  <c r="I407" i="17"/>
  <c r="J406" i="17"/>
  <c r="I406" i="17"/>
  <c r="J405" i="17"/>
  <c r="I405" i="17"/>
  <c r="J404" i="17"/>
  <c r="I404" i="17"/>
  <c r="J403" i="17"/>
  <c r="I403" i="17"/>
  <c r="J402" i="17"/>
  <c r="I402" i="17"/>
  <c r="F389" i="17"/>
  <c r="F390" i="17"/>
  <c r="J387" i="17"/>
  <c r="I387" i="17"/>
  <c r="J386" i="17"/>
  <c r="I386" i="17"/>
  <c r="J385" i="17"/>
  <c r="I385" i="17"/>
  <c r="J384" i="17"/>
  <c r="I384" i="17"/>
  <c r="J383" i="17"/>
  <c r="I383" i="17"/>
  <c r="J382" i="17"/>
  <c r="I382" i="17"/>
  <c r="J381" i="17"/>
  <c r="I381" i="17"/>
  <c r="J380" i="17"/>
  <c r="I380" i="17"/>
  <c r="J379" i="17"/>
  <c r="I379" i="17"/>
  <c r="J378" i="17"/>
  <c r="I378" i="17"/>
  <c r="J377" i="17"/>
  <c r="I377" i="17"/>
  <c r="J376" i="17"/>
  <c r="I376" i="17"/>
  <c r="J375" i="17"/>
  <c r="I375" i="17"/>
  <c r="J374" i="17"/>
  <c r="I374" i="17"/>
  <c r="J373" i="17"/>
  <c r="I373" i="17"/>
  <c r="J372" i="17"/>
  <c r="I372" i="17"/>
  <c r="J371" i="17"/>
  <c r="I371" i="17"/>
  <c r="J370" i="17"/>
  <c r="I370" i="17"/>
  <c r="J369" i="17"/>
  <c r="I369" i="17"/>
  <c r="J368" i="17"/>
  <c r="I368" i="17"/>
  <c r="J364" i="17"/>
  <c r="I364" i="17"/>
  <c r="J363" i="17"/>
  <c r="I363" i="17"/>
  <c r="J362" i="17"/>
  <c r="I362" i="17"/>
  <c r="J361" i="17"/>
  <c r="I361" i="17"/>
  <c r="J360" i="17"/>
  <c r="I360" i="17"/>
  <c r="J359" i="17"/>
  <c r="I359" i="17"/>
  <c r="J358" i="17"/>
  <c r="I358" i="17"/>
  <c r="J357" i="17"/>
  <c r="I357" i="17"/>
  <c r="J356" i="17"/>
  <c r="I356" i="17"/>
  <c r="J355" i="17"/>
  <c r="I355" i="17"/>
  <c r="J354" i="17"/>
  <c r="I354" i="17"/>
  <c r="J353" i="17"/>
  <c r="I353" i="17"/>
  <c r="J352" i="17"/>
  <c r="I352" i="17"/>
  <c r="J351" i="17"/>
  <c r="I351" i="17"/>
  <c r="J350" i="17"/>
  <c r="I350" i="17"/>
  <c r="J349" i="17"/>
  <c r="I349" i="17"/>
  <c r="J348" i="17"/>
  <c r="I348" i="17"/>
  <c r="J347" i="17"/>
  <c r="I347" i="17"/>
  <c r="J346" i="17"/>
  <c r="I346" i="17"/>
  <c r="J345" i="17"/>
  <c r="I345" i="17"/>
  <c r="J341" i="17"/>
  <c r="I341" i="17"/>
  <c r="J340" i="17"/>
  <c r="I340" i="17"/>
  <c r="J339" i="17"/>
  <c r="I339" i="17"/>
  <c r="J338" i="17"/>
  <c r="I338" i="17"/>
  <c r="J337" i="17"/>
  <c r="I337" i="17"/>
  <c r="J336" i="17"/>
  <c r="I336" i="17"/>
  <c r="J335" i="17"/>
  <c r="I335" i="17"/>
  <c r="J334" i="17"/>
  <c r="I334" i="17"/>
  <c r="J333" i="17"/>
  <c r="I333" i="17"/>
  <c r="J332" i="17"/>
  <c r="I332" i="17"/>
  <c r="J331" i="17"/>
  <c r="I331" i="17"/>
  <c r="F319" i="17"/>
  <c r="F320" i="17"/>
  <c r="J317" i="17"/>
  <c r="I317" i="17"/>
  <c r="J316" i="17"/>
  <c r="I316" i="17"/>
  <c r="J315" i="17"/>
  <c r="I315" i="17"/>
  <c r="J314" i="17"/>
  <c r="I314" i="17"/>
  <c r="J313" i="17"/>
  <c r="I313" i="17"/>
  <c r="J312" i="17"/>
  <c r="I312" i="17"/>
  <c r="J311" i="17"/>
  <c r="I311" i="17"/>
  <c r="J310" i="17"/>
  <c r="I310" i="17"/>
  <c r="J309" i="17"/>
  <c r="I309" i="17"/>
  <c r="J308" i="17"/>
  <c r="I308" i="17"/>
  <c r="J307" i="17"/>
  <c r="I307" i="17"/>
  <c r="J306" i="17"/>
  <c r="I306" i="17"/>
  <c r="J305" i="17"/>
  <c r="I305" i="17"/>
  <c r="J304" i="17"/>
  <c r="I304" i="17"/>
  <c r="J303" i="17"/>
  <c r="I303" i="17"/>
  <c r="J302" i="17"/>
  <c r="I302" i="17"/>
  <c r="J301" i="17"/>
  <c r="I301" i="17"/>
  <c r="J300" i="17"/>
  <c r="I300" i="17"/>
  <c r="J299" i="17"/>
  <c r="I299" i="17"/>
  <c r="J298" i="17"/>
  <c r="I298" i="17"/>
  <c r="J294" i="17"/>
  <c r="I294" i="17"/>
  <c r="J293" i="17"/>
  <c r="I293" i="17"/>
  <c r="J292" i="17"/>
  <c r="I292" i="17"/>
  <c r="J291" i="17"/>
  <c r="I291" i="17"/>
  <c r="J290" i="17"/>
  <c r="I290" i="17"/>
  <c r="J289" i="17"/>
  <c r="I289" i="17"/>
  <c r="J288" i="17"/>
  <c r="I288" i="17"/>
  <c r="J287" i="17"/>
  <c r="I287" i="17"/>
  <c r="J286" i="17"/>
  <c r="I286" i="17"/>
  <c r="J285" i="17"/>
  <c r="I285" i="17"/>
  <c r="J284" i="17"/>
  <c r="I284" i="17"/>
  <c r="J283" i="17"/>
  <c r="I283" i="17"/>
  <c r="J282" i="17"/>
  <c r="I282" i="17"/>
  <c r="J281" i="17"/>
  <c r="I281" i="17"/>
  <c r="J280" i="17"/>
  <c r="I280" i="17"/>
  <c r="J279" i="17"/>
  <c r="I279" i="17"/>
  <c r="J278" i="17"/>
  <c r="I278" i="17"/>
  <c r="J277" i="17"/>
  <c r="I277" i="17"/>
  <c r="J276" i="17"/>
  <c r="I276" i="17"/>
  <c r="J275" i="17"/>
  <c r="I275" i="17"/>
  <c r="J271" i="17"/>
  <c r="I271" i="17"/>
  <c r="J270" i="17"/>
  <c r="I270" i="17"/>
  <c r="J269" i="17"/>
  <c r="I269" i="17"/>
  <c r="J268" i="17"/>
  <c r="I268" i="17"/>
  <c r="J267" i="17"/>
  <c r="I267" i="17"/>
  <c r="J266" i="17"/>
  <c r="I266" i="17"/>
  <c r="J265" i="17"/>
  <c r="I265" i="17"/>
  <c r="J264" i="17"/>
  <c r="I264" i="17"/>
  <c r="J263" i="17"/>
  <c r="I263" i="17"/>
  <c r="J262" i="17"/>
  <c r="F249" i="17"/>
  <c r="F250" i="17"/>
  <c r="J247" i="17"/>
  <c r="I247" i="17"/>
  <c r="J246" i="17"/>
  <c r="I246" i="17"/>
  <c r="J245" i="17"/>
  <c r="I245" i="17"/>
  <c r="J244" i="17"/>
  <c r="I244" i="17"/>
  <c r="J243" i="17"/>
  <c r="I243" i="17"/>
  <c r="J242" i="17"/>
  <c r="I242" i="17"/>
  <c r="J241" i="17"/>
  <c r="I241" i="17"/>
  <c r="J240" i="17"/>
  <c r="I240" i="17"/>
  <c r="J239" i="17"/>
  <c r="I239" i="17"/>
  <c r="J238" i="17"/>
  <c r="I238" i="17"/>
  <c r="J237" i="17"/>
  <c r="I237" i="17"/>
  <c r="J236" i="17"/>
  <c r="I236" i="17"/>
  <c r="J235" i="17"/>
  <c r="I235" i="17"/>
  <c r="J234" i="17"/>
  <c r="I234" i="17"/>
  <c r="J233" i="17"/>
  <c r="I233" i="17"/>
  <c r="J232" i="17"/>
  <c r="I232" i="17"/>
  <c r="J231" i="17"/>
  <c r="I231" i="17"/>
  <c r="J230" i="17"/>
  <c r="I230" i="17"/>
  <c r="J229" i="17"/>
  <c r="I229" i="17"/>
  <c r="J228" i="17"/>
  <c r="I228" i="17"/>
  <c r="J224" i="17"/>
  <c r="I224" i="17"/>
  <c r="J223" i="17"/>
  <c r="I223" i="17"/>
  <c r="J222" i="17"/>
  <c r="I222" i="17"/>
  <c r="J221" i="17"/>
  <c r="I221" i="17"/>
  <c r="J220" i="17"/>
  <c r="I220" i="17"/>
  <c r="J219" i="17"/>
  <c r="I219" i="17"/>
  <c r="J218" i="17"/>
  <c r="I218" i="17"/>
  <c r="J217" i="17"/>
  <c r="I217" i="17"/>
  <c r="J216" i="17"/>
  <c r="I216" i="17"/>
  <c r="J215" i="17"/>
  <c r="I215" i="17"/>
  <c r="J214" i="17"/>
  <c r="I214" i="17"/>
  <c r="J213" i="17"/>
  <c r="I213" i="17"/>
  <c r="J212" i="17"/>
  <c r="I212" i="17"/>
  <c r="J211" i="17"/>
  <c r="I211" i="17"/>
  <c r="J210" i="17"/>
  <c r="I210" i="17"/>
  <c r="J209" i="17"/>
  <c r="I209" i="17"/>
  <c r="J208" i="17"/>
  <c r="I208" i="17"/>
  <c r="J207" i="17"/>
  <c r="I207" i="17"/>
  <c r="J206" i="17"/>
  <c r="I206" i="17"/>
  <c r="J205" i="17"/>
  <c r="I205" i="17"/>
  <c r="J201" i="17"/>
  <c r="I201" i="17"/>
  <c r="J200" i="17"/>
  <c r="I200" i="17"/>
  <c r="J199" i="17"/>
  <c r="I199" i="17"/>
  <c r="J198" i="17"/>
  <c r="I198" i="17"/>
  <c r="J197" i="17"/>
  <c r="I197" i="17"/>
  <c r="J196" i="17"/>
  <c r="I196" i="17"/>
  <c r="J195" i="17"/>
  <c r="I195" i="17"/>
  <c r="J194" i="17"/>
  <c r="I194" i="17"/>
  <c r="J193" i="17"/>
  <c r="I193" i="17"/>
  <c r="J192" i="17"/>
  <c r="I192" i="17"/>
  <c r="F179" i="17"/>
  <c r="F180" i="17"/>
  <c r="J177" i="17"/>
  <c r="I177" i="17"/>
  <c r="J176" i="17"/>
  <c r="I176" i="17"/>
  <c r="J175" i="17"/>
  <c r="I175" i="17"/>
  <c r="J174" i="17"/>
  <c r="I174" i="17"/>
  <c r="J173" i="17"/>
  <c r="I173" i="17"/>
  <c r="J172" i="17"/>
  <c r="I172" i="17"/>
  <c r="J171" i="17"/>
  <c r="I171" i="17"/>
  <c r="J170" i="17"/>
  <c r="I170" i="17"/>
  <c r="J169" i="17"/>
  <c r="I169" i="17"/>
  <c r="J168" i="17"/>
  <c r="I168" i="17"/>
  <c r="J167" i="17"/>
  <c r="I167" i="17"/>
  <c r="J166" i="17"/>
  <c r="I166" i="17"/>
  <c r="J165" i="17"/>
  <c r="I165" i="17"/>
  <c r="J164" i="17"/>
  <c r="I164" i="17"/>
  <c r="J163" i="17"/>
  <c r="I163" i="17"/>
  <c r="J162" i="17"/>
  <c r="I162" i="17"/>
  <c r="J161" i="17"/>
  <c r="I161" i="17"/>
  <c r="J160" i="17"/>
  <c r="I160" i="17"/>
  <c r="B160" i="17"/>
  <c r="B161" i="17"/>
  <c r="B162" i="17"/>
  <c r="B163" i="17"/>
  <c r="B164" i="17"/>
  <c r="B165" i="17"/>
  <c r="B166" i="17"/>
  <c r="J159" i="17"/>
  <c r="I159" i="17"/>
  <c r="J158" i="17"/>
  <c r="I158" i="17"/>
  <c r="J154" i="17"/>
  <c r="I154" i="17"/>
  <c r="J153" i="17"/>
  <c r="I153" i="17"/>
  <c r="J152" i="17"/>
  <c r="I152" i="17"/>
  <c r="J151" i="17"/>
  <c r="I151" i="17"/>
  <c r="J150" i="17"/>
  <c r="I150" i="17"/>
  <c r="J149" i="17"/>
  <c r="I149" i="17"/>
  <c r="J148" i="17"/>
  <c r="I148" i="17"/>
  <c r="J147" i="17"/>
  <c r="I147" i="17"/>
  <c r="J146" i="17"/>
  <c r="I146" i="17"/>
  <c r="J145" i="17"/>
  <c r="I145" i="17"/>
  <c r="J144" i="17"/>
  <c r="I144" i="17"/>
  <c r="J143" i="17"/>
  <c r="I143" i="17"/>
  <c r="J142" i="17"/>
  <c r="I142" i="17"/>
  <c r="J141" i="17"/>
  <c r="I141" i="17"/>
  <c r="J140" i="17"/>
  <c r="I140" i="17"/>
  <c r="J139" i="17"/>
  <c r="I139" i="17"/>
  <c r="J138" i="17"/>
  <c r="I138" i="17"/>
  <c r="J137" i="17"/>
  <c r="I137" i="17"/>
  <c r="J136" i="17"/>
  <c r="I136" i="17"/>
  <c r="J133" i="17"/>
  <c r="I133" i="17"/>
  <c r="J132" i="17"/>
  <c r="I132" i="17"/>
  <c r="J131" i="17"/>
  <c r="I131" i="17"/>
  <c r="J130" i="17"/>
  <c r="I130" i="17"/>
  <c r="J129" i="17"/>
  <c r="I129" i="17"/>
  <c r="J128" i="17"/>
  <c r="I128" i="17"/>
  <c r="J127" i="17"/>
  <c r="I127" i="17"/>
  <c r="J126" i="17"/>
  <c r="I126" i="17"/>
  <c r="J125" i="17"/>
  <c r="I125" i="17"/>
  <c r="J124" i="17"/>
  <c r="I124" i="17"/>
  <c r="J123" i="17"/>
  <c r="I123" i="17"/>
  <c r="G73" i="17"/>
  <c r="G118" i="17"/>
  <c r="F110" i="17"/>
  <c r="F111" i="17"/>
  <c r="J108" i="17"/>
  <c r="I108" i="17"/>
  <c r="J107" i="17"/>
  <c r="I107" i="17"/>
  <c r="J106" i="17"/>
  <c r="I106" i="17"/>
  <c r="J105" i="17"/>
  <c r="I105" i="17"/>
  <c r="J104" i="17"/>
  <c r="I104" i="17"/>
  <c r="J103" i="17"/>
  <c r="I103" i="17"/>
  <c r="J102" i="17"/>
  <c r="I102" i="17"/>
  <c r="J99" i="17"/>
  <c r="I99" i="17"/>
  <c r="J98" i="17"/>
  <c r="I98" i="17"/>
  <c r="J97" i="17"/>
  <c r="I97" i="17"/>
  <c r="J96" i="17"/>
  <c r="I96" i="17"/>
  <c r="J95" i="17"/>
  <c r="I95" i="17"/>
  <c r="J94" i="17"/>
  <c r="I94" i="17"/>
  <c r="J93" i="17"/>
  <c r="I93" i="17"/>
  <c r="J92" i="17"/>
  <c r="I92" i="17"/>
  <c r="J91" i="17"/>
  <c r="I91" i="17"/>
  <c r="J87" i="17"/>
  <c r="I87" i="17"/>
  <c r="J86" i="17"/>
  <c r="I86" i="17"/>
  <c r="J85" i="17"/>
  <c r="I85" i="17"/>
  <c r="J84" i="17"/>
  <c r="I84" i="17"/>
  <c r="J83" i="17"/>
  <c r="I83" i="17"/>
  <c r="J82" i="17"/>
  <c r="I82" i="17"/>
  <c r="J81" i="17"/>
  <c r="I81" i="17"/>
  <c r="J80" i="17"/>
  <c r="I80" i="17"/>
  <c r="J79" i="17"/>
  <c r="I79" i="17"/>
  <c r="J78" i="17"/>
  <c r="F73" i="17"/>
  <c r="C73" i="17"/>
  <c r="C118" i="17"/>
  <c r="C187" i="17"/>
  <c r="C257" i="17"/>
  <c r="C327" i="17"/>
  <c r="C397" i="17"/>
  <c r="C467" i="17"/>
  <c r="C537" i="17"/>
  <c r="C607" i="17"/>
  <c r="C677" i="17"/>
  <c r="C747" i="17"/>
  <c r="J62" i="17"/>
  <c r="I62" i="17"/>
  <c r="J61" i="17"/>
  <c r="I61" i="17"/>
  <c r="J60" i="17"/>
  <c r="I60" i="17"/>
  <c r="J59" i="17"/>
  <c r="I59" i="17"/>
  <c r="J58" i="17"/>
  <c r="I58" i="17"/>
  <c r="J57" i="17"/>
  <c r="I57" i="17"/>
  <c r="J56" i="17"/>
  <c r="I56" i="17"/>
  <c r="J55" i="17"/>
  <c r="I55" i="17"/>
  <c r="J54" i="17"/>
  <c r="I54" i="17"/>
  <c r="J53" i="17"/>
  <c r="I53" i="17"/>
  <c r="J52" i="17"/>
  <c r="I52" i="17"/>
  <c r="J51" i="17"/>
  <c r="I51" i="17"/>
  <c r="J50" i="17"/>
  <c r="I50" i="17"/>
  <c r="J49" i="17"/>
  <c r="I49" i="17"/>
  <c r="J48" i="17"/>
  <c r="I48" i="17"/>
  <c r="J47" i="17"/>
  <c r="I47" i="17"/>
  <c r="J46" i="17"/>
  <c r="I46" i="17"/>
  <c r="H32" i="17"/>
  <c r="K16" i="17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H71" i="16"/>
  <c r="G70" i="16"/>
  <c r="H69" i="16"/>
  <c r="I179" i="17"/>
  <c r="J249" i="17"/>
  <c r="I669" i="17"/>
  <c r="I607" i="17"/>
  <c r="J669" i="17"/>
  <c r="J739" i="17"/>
  <c r="I249" i="17"/>
  <c r="I250" i="17"/>
  <c r="J389" i="17"/>
  <c r="J529" i="17"/>
  <c r="I180" i="17"/>
  <c r="I118" i="17"/>
  <c r="G187" i="17"/>
  <c r="I459" i="17"/>
  <c r="F118" i="17"/>
  <c r="F187" i="17"/>
  <c r="F257" i="17"/>
  <c r="F327" i="17"/>
  <c r="F397" i="17"/>
  <c r="F467" i="17"/>
  <c r="F537" i="17"/>
  <c r="F607" i="17"/>
  <c r="F677" i="17"/>
  <c r="F747" i="17"/>
  <c r="H73" i="17"/>
  <c r="I389" i="17"/>
  <c r="J110" i="17"/>
  <c r="J179" i="17"/>
  <c r="J319" i="17"/>
  <c r="I752" i="17"/>
  <c r="I809" i="17"/>
  <c r="J809" i="17"/>
  <c r="I78" i="17"/>
  <c r="I110" i="17"/>
  <c r="I262" i="17"/>
  <c r="I319" i="17"/>
  <c r="I670" i="17"/>
  <c r="I599" i="17"/>
  <c r="I739" i="17"/>
  <c r="J459" i="17"/>
  <c r="I529" i="17"/>
  <c r="J599" i="17"/>
  <c r="J670" i="17"/>
  <c r="K70" i="16"/>
  <c r="K71" i="16"/>
  <c r="J70" i="16"/>
  <c r="I70" i="16"/>
  <c r="G71" i="16"/>
  <c r="H70" i="16"/>
  <c r="K69" i="16"/>
  <c r="J69" i="16"/>
  <c r="G69" i="16"/>
  <c r="J71" i="16"/>
  <c r="I71" i="16"/>
  <c r="I69" i="16"/>
  <c r="I187" i="17"/>
  <c r="J73" i="17"/>
  <c r="E22" i="17"/>
  <c r="I530" i="17"/>
  <c r="I467" i="17"/>
  <c r="I257" i="17"/>
  <c r="I320" i="17"/>
  <c r="I810" i="17"/>
  <c r="I747" i="17"/>
  <c r="H187" i="17"/>
  <c r="J187" i="17"/>
  <c r="G21" i="17"/>
  <c r="G257" i="17"/>
  <c r="I677" i="17"/>
  <c r="I740" i="17"/>
  <c r="I73" i="17"/>
  <c r="I111" i="17"/>
  <c r="I327" i="17"/>
  <c r="I390" i="17"/>
  <c r="I460" i="17"/>
  <c r="I397" i="17"/>
  <c r="I537" i="17"/>
  <c r="I600" i="17"/>
  <c r="H118" i="17"/>
  <c r="J118" i="17"/>
  <c r="E23" i="17"/>
  <c r="L70" i="16"/>
  <c r="L69" i="16"/>
  <c r="L71" i="16"/>
  <c r="H257" i="17"/>
  <c r="J257" i="17"/>
  <c r="G22" i="17"/>
  <c r="G327" i="17"/>
  <c r="G397" i="17"/>
  <c r="H327" i="17"/>
  <c r="J327" i="17"/>
  <c r="G23" i="17"/>
  <c r="J69" i="4"/>
  <c r="I69" i="4"/>
  <c r="J70" i="4"/>
  <c r="I70" i="4"/>
  <c r="J71" i="4"/>
  <c r="J72" i="4"/>
  <c r="I72" i="4"/>
  <c r="J73" i="4"/>
  <c r="I73" i="4"/>
  <c r="J74" i="4"/>
  <c r="I74" i="4"/>
  <c r="J75" i="4"/>
  <c r="J76" i="4"/>
  <c r="I76" i="4"/>
  <c r="J77" i="4"/>
  <c r="I77" i="4"/>
  <c r="J78" i="4"/>
  <c r="I78" i="4"/>
  <c r="I71" i="4"/>
  <c r="I75" i="4"/>
  <c r="G467" i="17"/>
  <c r="H397" i="17"/>
  <c r="J397" i="17"/>
  <c r="I21" i="17"/>
  <c r="F88" i="15"/>
  <c r="F61" i="16"/>
  <c r="F15" i="16"/>
  <c r="F72" i="16"/>
  <c r="F49" i="11"/>
  <c r="J49" i="11"/>
  <c r="I49" i="11"/>
  <c r="H467" i="17"/>
  <c r="J467" i="17"/>
  <c r="I22" i="17"/>
  <c r="G537" i="17"/>
  <c r="J62" i="16"/>
  <c r="I63" i="16"/>
  <c r="H64" i="16"/>
  <c r="K65" i="16"/>
  <c r="J66" i="16"/>
  <c r="I67" i="16"/>
  <c r="H68" i="16"/>
  <c r="G65" i="16"/>
  <c r="G67" i="16"/>
  <c r="J60" i="16"/>
  <c r="K61" i="16"/>
  <c r="F64" i="17"/>
  <c r="F65" i="17"/>
  <c r="H537" i="17"/>
  <c r="J537" i="17"/>
  <c r="I23" i="17"/>
  <c r="G607" i="17"/>
  <c r="G63" i="16"/>
  <c r="G62" i="16"/>
  <c r="H67" i="16"/>
  <c r="J65" i="16"/>
  <c r="G66" i="16"/>
  <c r="H63" i="16"/>
  <c r="I62" i="16"/>
  <c r="I66" i="16"/>
  <c r="G68" i="16"/>
  <c r="G64" i="16"/>
  <c r="H66" i="16"/>
  <c r="H62" i="16"/>
  <c r="I65" i="16"/>
  <c r="J68" i="16"/>
  <c r="J64" i="16"/>
  <c r="K67" i="16"/>
  <c r="K63" i="16"/>
  <c r="K64" i="16"/>
  <c r="H65" i="16"/>
  <c r="I68" i="16"/>
  <c r="I64" i="16"/>
  <c r="J67" i="16"/>
  <c r="J63" i="16"/>
  <c r="K66" i="16"/>
  <c r="K62" i="16"/>
  <c r="K68" i="16"/>
  <c r="G60" i="16"/>
  <c r="I60" i="16"/>
  <c r="K60" i="16"/>
  <c r="H61" i="16"/>
  <c r="J61" i="16"/>
  <c r="H60" i="16"/>
  <c r="G61" i="16"/>
  <c r="I61" i="16"/>
  <c r="G13" i="16"/>
  <c r="J12" i="16"/>
  <c r="I15" i="16"/>
  <c r="G16" i="16"/>
  <c r="J17" i="16"/>
  <c r="K18" i="16"/>
  <c r="J19" i="16"/>
  <c r="G20" i="16"/>
  <c r="I21" i="16"/>
  <c r="H22" i="16"/>
  <c r="K23" i="16"/>
  <c r="H24" i="16"/>
  <c r="I25" i="16"/>
  <c r="H26" i="16"/>
  <c r="K27" i="16"/>
  <c r="J28" i="16"/>
  <c r="I29" i="16"/>
  <c r="J30" i="16"/>
  <c r="K31" i="16"/>
  <c r="J32" i="16"/>
  <c r="I33" i="16"/>
  <c r="I34" i="16"/>
  <c r="K35" i="16"/>
  <c r="J36" i="16"/>
  <c r="I37" i="16"/>
  <c r="J38" i="16"/>
  <c r="K39" i="16"/>
  <c r="J40" i="16"/>
  <c r="I41" i="16"/>
  <c r="G38" i="11"/>
  <c r="J38" i="11"/>
  <c r="I38" i="11"/>
  <c r="J42" i="16"/>
  <c r="K43" i="16"/>
  <c r="J44" i="16"/>
  <c r="J45" i="16"/>
  <c r="K46" i="16"/>
  <c r="K47" i="16"/>
  <c r="J48" i="16"/>
  <c r="G49" i="16"/>
  <c r="G50" i="16"/>
  <c r="I51" i="16"/>
  <c r="G48" i="11"/>
  <c r="J48" i="11"/>
  <c r="I48" i="11"/>
  <c r="J52" i="16"/>
  <c r="K53" i="16"/>
  <c r="H54" i="16"/>
  <c r="I55" i="16"/>
  <c r="H56" i="16"/>
  <c r="K57" i="16"/>
  <c r="H58" i="16"/>
  <c r="I59" i="16"/>
  <c r="K11" i="16"/>
  <c r="H607" i="17"/>
  <c r="J607" i="17"/>
  <c r="K21" i="17"/>
  <c r="G677" i="17"/>
  <c r="L67" i="16"/>
  <c r="L60" i="16"/>
  <c r="L62" i="16"/>
  <c r="L63" i="16"/>
  <c r="L65" i="16"/>
  <c r="L66" i="16"/>
  <c r="L68" i="16"/>
  <c r="L64" i="16"/>
  <c r="G12" i="16"/>
  <c r="G15" i="16"/>
  <c r="L61" i="16"/>
  <c r="J26" i="16"/>
  <c r="J45" i="6"/>
  <c r="I45" i="6"/>
  <c r="K49" i="16"/>
  <c r="I49" i="16"/>
  <c r="G46" i="11"/>
  <c r="J46" i="11"/>
  <c r="I46" i="11"/>
  <c r="K15" i="16"/>
  <c r="H53" i="16"/>
  <c r="G45" i="16"/>
  <c r="I12" i="16"/>
  <c r="G37" i="12"/>
  <c r="K12" i="16"/>
  <c r="H20" i="16"/>
  <c r="H11" i="16"/>
  <c r="I13" i="16"/>
  <c r="J11" i="16"/>
  <c r="G11" i="16"/>
  <c r="H15" i="16"/>
  <c r="J15" i="16"/>
  <c r="K13" i="16"/>
  <c r="H13" i="16"/>
  <c r="I46" i="16"/>
  <c r="G43" i="11"/>
  <c r="J43" i="11"/>
  <c r="I43" i="11"/>
  <c r="I11" i="16"/>
  <c r="J13" i="16"/>
  <c r="K48" i="16"/>
  <c r="H49" i="16"/>
  <c r="H12" i="16"/>
  <c r="J49" i="16"/>
  <c r="K19" i="16"/>
  <c r="G14" i="16"/>
  <c r="H14" i="16"/>
  <c r="J14" i="16"/>
  <c r="K14" i="16"/>
  <c r="I14" i="16"/>
  <c r="K59" i="16"/>
  <c r="G59" i="16"/>
  <c r="J59" i="16"/>
  <c r="H59" i="16"/>
  <c r="I58" i="16"/>
  <c r="K58" i="16"/>
  <c r="J58" i="16"/>
  <c r="G58" i="16"/>
  <c r="I57" i="16"/>
  <c r="G57" i="16"/>
  <c r="J57" i="16"/>
  <c r="H57" i="16"/>
  <c r="J56" i="16"/>
  <c r="I56" i="16"/>
  <c r="K56" i="16"/>
  <c r="G56" i="16"/>
  <c r="K55" i="16"/>
  <c r="G55" i="16"/>
  <c r="J55" i="16"/>
  <c r="H55" i="16"/>
  <c r="K54" i="16"/>
  <c r="J54" i="16"/>
  <c r="I54" i="16"/>
  <c r="G54" i="16"/>
  <c r="G53" i="16"/>
  <c r="I53" i="16"/>
  <c r="J53" i="16"/>
  <c r="H52" i="16"/>
  <c r="G52" i="16"/>
  <c r="I52" i="16"/>
  <c r="K52" i="16"/>
  <c r="H51" i="16"/>
  <c r="K51" i="16"/>
  <c r="J51" i="16"/>
  <c r="G51" i="16"/>
  <c r="H50" i="16"/>
  <c r="I50" i="16"/>
  <c r="G47" i="11"/>
  <c r="J47" i="11"/>
  <c r="I47" i="11"/>
  <c r="J50" i="16"/>
  <c r="K50" i="16"/>
  <c r="G48" i="16"/>
  <c r="H48" i="16"/>
  <c r="I48" i="16"/>
  <c r="G45" i="11"/>
  <c r="J45" i="11"/>
  <c r="I45" i="11"/>
  <c r="G47" i="16"/>
  <c r="H47" i="16"/>
  <c r="J47" i="16"/>
  <c r="I47" i="16"/>
  <c r="G44" i="11"/>
  <c r="J44" i="11"/>
  <c r="I44" i="11"/>
  <c r="K45" i="16"/>
  <c r="H45" i="16"/>
  <c r="I45" i="16"/>
  <c r="G42" i="11"/>
  <c r="J42" i="11"/>
  <c r="I42" i="11"/>
  <c r="K44" i="16"/>
  <c r="H44" i="16"/>
  <c r="G46" i="16"/>
  <c r="H46" i="16"/>
  <c r="J46" i="16"/>
  <c r="G44" i="16"/>
  <c r="I44" i="16"/>
  <c r="G41" i="11"/>
  <c r="J41" i="11"/>
  <c r="I41" i="11"/>
  <c r="I43" i="16"/>
  <c r="G40" i="11"/>
  <c r="J40" i="11"/>
  <c r="I40" i="11"/>
  <c r="J43" i="16"/>
  <c r="G43" i="16"/>
  <c r="H43" i="16"/>
  <c r="G42" i="16"/>
  <c r="I42" i="16"/>
  <c r="G39" i="11"/>
  <c r="J39" i="11"/>
  <c r="I39" i="11"/>
  <c r="H42" i="16"/>
  <c r="K42" i="16"/>
  <c r="G41" i="16"/>
  <c r="J41" i="16"/>
  <c r="K41" i="16"/>
  <c r="H41" i="16"/>
  <c r="K40" i="16"/>
  <c r="H40" i="16"/>
  <c r="G40" i="16"/>
  <c r="I40" i="16"/>
  <c r="G37" i="11"/>
  <c r="J37" i="11"/>
  <c r="I37" i="11"/>
  <c r="I39" i="16"/>
  <c r="J39" i="16"/>
  <c r="G39" i="16"/>
  <c r="H39" i="16"/>
  <c r="H38" i="16"/>
  <c r="G38" i="16"/>
  <c r="I38" i="16"/>
  <c r="K38" i="16"/>
  <c r="G37" i="16"/>
  <c r="J37" i="16"/>
  <c r="K37" i="16"/>
  <c r="H37" i="16"/>
  <c r="K36" i="16"/>
  <c r="H36" i="16"/>
  <c r="G36" i="16"/>
  <c r="I36" i="16"/>
  <c r="I35" i="16"/>
  <c r="J35" i="16"/>
  <c r="G35" i="16"/>
  <c r="H35" i="16"/>
  <c r="J34" i="16"/>
  <c r="H34" i="16"/>
  <c r="K34" i="16"/>
  <c r="G34" i="16"/>
  <c r="G33" i="16"/>
  <c r="J33" i="16"/>
  <c r="K33" i="16"/>
  <c r="H33" i="16"/>
  <c r="K32" i="16"/>
  <c r="H32" i="16"/>
  <c r="G32" i="16"/>
  <c r="I32" i="16"/>
  <c r="I31" i="16"/>
  <c r="J31" i="16"/>
  <c r="G31" i="16"/>
  <c r="H31" i="16"/>
  <c r="G30" i="16"/>
  <c r="I30" i="16"/>
  <c r="H30" i="16"/>
  <c r="K30" i="16"/>
  <c r="G29" i="16"/>
  <c r="J29" i="16"/>
  <c r="K29" i="16"/>
  <c r="H29" i="16"/>
  <c r="K28" i="16"/>
  <c r="H28" i="16"/>
  <c r="G28" i="16"/>
  <c r="I28" i="16"/>
  <c r="G37" i="13"/>
  <c r="J37" i="13"/>
  <c r="I37" i="13"/>
  <c r="I27" i="16"/>
  <c r="J27" i="16"/>
  <c r="G27" i="16"/>
  <c r="H27" i="16"/>
  <c r="G26" i="16"/>
  <c r="I26" i="16"/>
  <c r="K26" i="16"/>
  <c r="G25" i="16"/>
  <c r="K25" i="16"/>
  <c r="J25" i="16"/>
  <c r="H25" i="16"/>
  <c r="G24" i="16"/>
  <c r="I24" i="16"/>
  <c r="J24" i="16"/>
  <c r="K24" i="16"/>
  <c r="I23" i="16"/>
  <c r="J23" i="16"/>
  <c r="G23" i="16"/>
  <c r="H23" i="16"/>
  <c r="J22" i="16"/>
  <c r="G22" i="16"/>
  <c r="I22" i="16"/>
  <c r="K22" i="16"/>
  <c r="H21" i="16"/>
  <c r="G21" i="16"/>
  <c r="K21" i="16"/>
  <c r="J21" i="16"/>
  <c r="I20" i="16"/>
  <c r="J20" i="16"/>
  <c r="K20" i="16"/>
  <c r="G19" i="16"/>
  <c r="I19" i="16"/>
  <c r="H19" i="16"/>
  <c r="G18" i="16"/>
  <c r="H18" i="16"/>
  <c r="J18" i="16"/>
  <c r="G39" i="6"/>
  <c r="I18" i="16"/>
  <c r="I17" i="16"/>
  <c r="H17" i="16"/>
  <c r="K17" i="16"/>
  <c r="G17" i="16"/>
  <c r="H16" i="16"/>
  <c r="I16" i="16"/>
  <c r="J16" i="16"/>
  <c r="K16" i="16"/>
  <c r="J37" i="12"/>
  <c r="I37" i="12"/>
  <c r="G37" i="10"/>
  <c r="J37" i="10"/>
  <c r="I37" i="10"/>
  <c r="G747" i="17"/>
  <c r="H747" i="17"/>
  <c r="J747" i="17"/>
  <c r="K23" i="17"/>
  <c r="H677" i="17"/>
  <c r="J677" i="17"/>
  <c r="K22" i="17"/>
  <c r="L15" i="16"/>
  <c r="L34" i="16"/>
  <c r="L50" i="16"/>
  <c r="L52" i="16"/>
  <c r="L53" i="16"/>
  <c r="L12" i="16"/>
  <c r="L48" i="16"/>
  <c r="L49" i="16"/>
  <c r="L13" i="16"/>
  <c r="L11" i="16"/>
  <c r="L16" i="16"/>
  <c r="L27" i="16"/>
  <c r="L28" i="16"/>
  <c r="L30" i="16"/>
  <c r="L31" i="16"/>
  <c r="L32" i="16"/>
  <c r="L45" i="16"/>
  <c r="L26" i="16"/>
  <c r="L36" i="16"/>
  <c r="L38" i="16"/>
  <c r="L39" i="16"/>
  <c r="L40" i="16"/>
  <c r="L42" i="16"/>
  <c r="L44" i="16"/>
  <c r="L54" i="16"/>
  <c r="L58" i="16"/>
  <c r="L14" i="16"/>
  <c r="L59" i="16"/>
  <c r="L57" i="16"/>
  <c r="L56" i="16"/>
  <c r="L55" i="16"/>
  <c r="L51" i="16"/>
  <c r="L47" i="16"/>
  <c r="L46" i="16"/>
  <c r="L43" i="16"/>
  <c r="L41" i="16"/>
  <c r="L37" i="16"/>
  <c r="L35" i="16"/>
  <c r="L33" i="16"/>
  <c r="L29" i="16"/>
  <c r="L25" i="16"/>
  <c r="L24" i="16"/>
  <c r="L23" i="16"/>
  <c r="L22" i="16"/>
  <c r="L21" i="16"/>
  <c r="L20" i="16"/>
  <c r="L19" i="16"/>
  <c r="L18" i="16"/>
  <c r="L17" i="16"/>
  <c r="J41" i="8"/>
  <c r="I41" i="8"/>
  <c r="I10" i="16"/>
  <c r="K10" i="16"/>
  <c r="J10" i="16"/>
  <c r="E16" i="13"/>
  <c r="E16" i="8"/>
  <c r="E16" i="6"/>
  <c r="E16" i="10"/>
  <c r="K16" i="10"/>
  <c r="E16" i="15"/>
  <c r="K16" i="15"/>
  <c r="F873" i="15"/>
  <c r="F874" i="15"/>
  <c r="J871" i="15"/>
  <c r="I871" i="15"/>
  <c r="J870" i="15"/>
  <c r="I870" i="15"/>
  <c r="J869" i="15"/>
  <c r="I869" i="15"/>
  <c r="J868" i="15"/>
  <c r="I868" i="15"/>
  <c r="J867" i="15"/>
  <c r="I867" i="15"/>
  <c r="J866" i="15"/>
  <c r="I866" i="15"/>
  <c r="J865" i="15"/>
  <c r="I865" i="15"/>
  <c r="J864" i="15"/>
  <c r="I864" i="15"/>
  <c r="J863" i="15"/>
  <c r="I863" i="15"/>
  <c r="J862" i="15"/>
  <c r="I862" i="15"/>
  <c r="J861" i="15"/>
  <c r="I861" i="15"/>
  <c r="J860" i="15"/>
  <c r="I860" i="15"/>
  <c r="J859" i="15"/>
  <c r="I859" i="15"/>
  <c r="J858" i="15"/>
  <c r="I858" i="15"/>
  <c r="J857" i="15"/>
  <c r="I857" i="15"/>
  <c r="J856" i="15"/>
  <c r="I856" i="15"/>
  <c r="J855" i="15"/>
  <c r="I855" i="15"/>
  <c r="J854" i="15"/>
  <c r="I854" i="15"/>
  <c r="J853" i="15"/>
  <c r="I853" i="15"/>
  <c r="J852" i="15"/>
  <c r="I852" i="15"/>
  <c r="J848" i="15"/>
  <c r="I848" i="15"/>
  <c r="J847" i="15"/>
  <c r="I847" i="15"/>
  <c r="J846" i="15"/>
  <c r="I846" i="15"/>
  <c r="J845" i="15"/>
  <c r="I845" i="15"/>
  <c r="J844" i="15"/>
  <c r="I844" i="15"/>
  <c r="J843" i="15"/>
  <c r="I843" i="15"/>
  <c r="J842" i="15"/>
  <c r="I842" i="15"/>
  <c r="J841" i="15"/>
  <c r="I841" i="15"/>
  <c r="J840" i="15"/>
  <c r="I840" i="15"/>
  <c r="J839" i="15"/>
  <c r="I839" i="15"/>
  <c r="J838" i="15"/>
  <c r="I838" i="15"/>
  <c r="J837" i="15"/>
  <c r="I837" i="15"/>
  <c r="J836" i="15"/>
  <c r="I836" i="15"/>
  <c r="J835" i="15"/>
  <c r="I835" i="15"/>
  <c r="J834" i="15"/>
  <c r="I834" i="15"/>
  <c r="J833" i="15"/>
  <c r="I833" i="15"/>
  <c r="J832" i="15"/>
  <c r="I832" i="15"/>
  <c r="J831" i="15"/>
  <c r="I831" i="15"/>
  <c r="J830" i="15"/>
  <c r="I830" i="15"/>
  <c r="J829" i="15"/>
  <c r="I829" i="15"/>
  <c r="J825" i="15"/>
  <c r="I825" i="15"/>
  <c r="J824" i="15"/>
  <c r="I824" i="15"/>
  <c r="J823" i="15"/>
  <c r="I823" i="15"/>
  <c r="J822" i="15"/>
  <c r="I822" i="15"/>
  <c r="J821" i="15"/>
  <c r="I821" i="15"/>
  <c r="J820" i="15"/>
  <c r="I820" i="15"/>
  <c r="J819" i="15"/>
  <c r="I819" i="15"/>
  <c r="J818" i="15"/>
  <c r="J817" i="15"/>
  <c r="I817" i="15"/>
  <c r="J816" i="15"/>
  <c r="I816" i="15"/>
  <c r="F803" i="15"/>
  <c r="F804" i="15"/>
  <c r="J801" i="15"/>
  <c r="I801" i="15"/>
  <c r="J800" i="15"/>
  <c r="I800" i="15"/>
  <c r="J799" i="15"/>
  <c r="I799" i="15"/>
  <c r="J798" i="15"/>
  <c r="I798" i="15"/>
  <c r="J797" i="15"/>
  <c r="I797" i="15"/>
  <c r="J796" i="15"/>
  <c r="I796" i="15"/>
  <c r="J795" i="15"/>
  <c r="I795" i="15"/>
  <c r="J794" i="15"/>
  <c r="I794" i="15"/>
  <c r="J793" i="15"/>
  <c r="I793" i="15"/>
  <c r="J792" i="15"/>
  <c r="I792" i="15"/>
  <c r="J791" i="15"/>
  <c r="I791" i="15"/>
  <c r="J790" i="15"/>
  <c r="I790" i="15"/>
  <c r="J789" i="15"/>
  <c r="I789" i="15"/>
  <c r="J788" i="15"/>
  <c r="I788" i="15"/>
  <c r="J787" i="15"/>
  <c r="I787" i="15"/>
  <c r="J786" i="15"/>
  <c r="I786" i="15"/>
  <c r="J785" i="15"/>
  <c r="I785" i="15"/>
  <c r="J784" i="15"/>
  <c r="I784" i="15"/>
  <c r="J783" i="15"/>
  <c r="I783" i="15"/>
  <c r="J782" i="15"/>
  <c r="I782" i="15"/>
  <c r="J778" i="15"/>
  <c r="I778" i="15"/>
  <c r="J777" i="15"/>
  <c r="I777" i="15"/>
  <c r="J776" i="15"/>
  <c r="I776" i="15"/>
  <c r="J775" i="15"/>
  <c r="I775" i="15"/>
  <c r="J774" i="15"/>
  <c r="I774" i="15"/>
  <c r="J773" i="15"/>
  <c r="I773" i="15"/>
  <c r="J772" i="15"/>
  <c r="I772" i="15"/>
  <c r="J771" i="15"/>
  <c r="I771" i="15"/>
  <c r="J770" i="15"/>
  <c r="I770" i="15"/>
  <c r="J769" i="15"/>
  <c r="I769" i="15"/>
  <c r="J768" i="15"/>
  <c r="I768" i="15"/>
  <c r="J767" i="15"/>
  <c r="I767" i="15"/>
  <c r="J766" i="15"/>
  <c r="I766" i="15"/>
  <c r="J765" i="15"/>
  <c r="I765" i="15"/>
  <c r="J764" i="15"/>
  <c r="I764" i="15"/>
  <c r="J763" i="15"/>
  <c r="I763" i="15"/>
  <c r="J762" i="15"/>
  <c r="I762" i="15"/>
  <c r="J761" i="15"/>
  <c r="I761" i="15"/>
  <c r="J760" i="15"/>
  <c r="I760" i="15"/>
  <c r="J759" i="15"/>
  <c r="I759" i="15"/>
  <c r="J755" i="15"/>
  <c r="I755" i="15"/>
  <c r="J754" i="15"/>
  <c r="I754" i="15"/>
  <c r="J753" i="15"/>
  <c r="I753" i="15"/>
  <c r="J752" i="15"/>
  <c r="I752" i="15"/>
  <c r="J751" i="15"/>
  <c r="I751" i="15"/>
  <c r="J750" i="15"/>
  <c r="I750" i="15"/>
  <c r="J749" i="15"/>
  <c r="I749" i="15"/>
  <c r="J748" i="15"/>
  <c r="I748" i="15"/>
  <c r="J747" i="15"/>
  <c r="I747" i="15"/>
  <c r="J746" i="15"/>
  <c r="F733" i="15"/>
  <c r="F734" i="15"/>
  <c r="J731" i="15"/>
  <c r="I731" i="15"/>
  <c r="J730" i="15"/>
  <c r="I730" i="15"/>
  <c r="J729" i="15"/>
  <c r="I729" i="15"/>
  <c r="J728" i="15"/>
  <c r="I728" i="15"/>
  <c r="J727" i="15"/>
  <c r="I727" i="15"/>
  <c r="J726" i="15"/>
  <c r="I726" i="15"/>
  <c r="J725" i="15"/>
  <c r="I725" i="15"/>
  <c r="J724" i="15"/>
  <c r="I724" i="15"/>
  <c r="J723" i="15"/>
  <c r="I723" i="15"/>
  <c r="J722" i="15"/>
  <c r="I722" i="15"/>
  <c r="J721" i="15"/>
  <c r="I721" i="15"/>
  <c r="J720" i="15"/>
  <c r="I720" i="15"/>
  <c r="J719" i="15"/>
  <c r="I719" i="15"/>
  <c r="J718" i="15"/>
  <c r="I718" i="15"/>
  <c r="J717" i="15"/>
  <c r="I717" i="15"/>
  <c r="J716" i="15"/>
  <c r="I716" i="15"/>
  <c r="J715" i="15"/>
  <c r="I715" i="15"/>
  <c r="J714" i="15"/>
  <c r="I714" i="15"/>
  <c r="J713" i="15"/>
  <c r="I713" i="15"/>
  <c r="J712" i="15"/>
  <c r="I712" i="15"/>
  <c r="J708" i="15"/>
  <c r="I708" i="15"/>
  <c r="J707" i="15"/>
  <c r="I707" i="15"/>
  <c r="J706" i="15"/>
  <c r="I706" i="15"/>
  <c r="J705" i="15"/>
  <c r="I705" i="15"/>
  <c r="J704" i="15"/>
  <c r="I704" i="15"/>
  <c r="J703" i="15"/>
  <c r="I703" i="15"/>
  <c r="J702" i="15"/>
  <c r="I702" i="15"/>
  <c r="J701" i="15"/>
  <c r="I701" i="15"/>
  <c r="J700" i="15"/>
  <c r="I700" i="15"/>
  <c r="J699" i="15"/>
  <c r="I699" i="15"/>
  <c r="J698" i="15"/>
  <c r="I698" i="15"/>
  <c r="J697" i="15"/>
  <c r="I697" i="15"/>
  <c r="J696" i="15"/>
  <c r="I696" i="15"/>
  <c r="J695" i="15"/>
  <c r="I695" i="15"/>
  <c r="J694" i="15"/>
  <c r="I694" i="15"/>
  <c r="J693" i="15"/>
  <c r="I693" i="15"/>
  <c r="J692" i="15"/>
  <c r="I692" i="15"/>
  <c r="J691" i="15"/>
  <c r="I691" i="15"/>
  <c r="J690" i="15"/>
  <c r="I690" i="15"/>
  <c r="J689" i="15"/>
  <c r="I689" i="15"/>
  <c r="J685" i="15"/>
  <c r="I685" i="15"/>
  <c r="J684" i="15"/>
  <c r="I684" i="15"/>
  <c r="J683" i="15"/>
  <c r="I683" i="15"/>
  <c r="J682" i="15"/>
  <c r="J681" i="15"/>
  <c r="I681" i="15"/>
  <c r="J680" i="15"/>
  <c r="I680" i="15"/>
  <c r="J679" i="15"/>
  <c r="I679" i="15"/>
  <c r="J678" i="15"/>
  <c r="I678" i="15"/>
  <c r="J677" i="15"/>
  <c r="I677" i="15"/>
  <c r="J676" i="15"/>
  <c r="F663" i="15"/>
  <c r="F664" i="15"/>
  <c r="J661" i="15"/>
  <c r="I661" i="15"/>
  <c r="J660" i="15"/>
  <c r="I660" i="15"/>
  <c r="J659" i="15"/>
  <c r="I659" i="15"/>
  <c r="J658" i="15"/>
  <c r="I658" i="15"/>
  <c r="J657" i="15"/>
  <c r="I657" i="15"/>
  <c r="J656" i="15"/>
  <c r="I656" i="15"/>
  <c r="J655" i="15"/>
  <c r="I655" i="15"/>
  <c r="J654" i="15"/>
  <c r="I654" i="15"/>
  <c r="J653" i="15"/>
  <c r="I653" i="15"/>
  <c r="J652" i="15"/>
  <c r="I652" i="15"/>
  <c r="J651" i="15"/>
  <c r="I651" i="15"/>
  <c r="J650" i="15"/>
  <c r="I650" i="15"/>
  <c r="J649" i="15"/>
  <c r="I649" i="15"/>
  <c r="J648" i="15"/>
  <c r="I648" i="15"/>
  <c r="J647" i="15"/>
  <c r="I647" i="15"/>
  <c r="J646" i="15"/>
  <c r="I646" i="15"/>
  <c r="J645" i="15"/>
  <c r="I645" i="15"/>
  <c r="J644" i="15"/>
  <c r="I644" i="15"/>
  <c r="J643" i="15"/>
  <c r="I643" i="15"/>
  <c r="J642" i="15"/>
  <c r="I642" i="15"/>
  <c r="J638" i="15"/>
  <c r="I638" i="15"/>
  <c r="J637" i="15"/>
  <c r="I637" i="15"/>
  <c r="J636" i="15"/>
  <c r="I636" i="15"/>
  <c r="J635" i="15"/>
  <c r="I635" i="15"/>
  <c r="J634" i="15"/>
  <c r="I634" i="15"/>
  <c r="J633" i="15"/>
  <c r="I633" i="15"/>
  <c r="J632" i="15"/>
  <c r="I632" i="15"/>
  <c r="J631" i="15"/>
  <c r="I631" i="15"/>
  <c r="J630" i="15"/>
  <c r="I630" i="15"/>
  <c r="J629" i="15"/>
  <c r="I629" i="15"/>
  <c r="J628" i="15"/>
  <c r="I628" i="15"/>
  <c r="J627" i="15"/>
  <c r="I627" i="15"/>
  <c r="J626" i="15"/>
  <c r="I626" i="15"/>
  <c r="J625" i="15"/>
  <c r="I625" i="15"/>
  <c r="J624" i="15"/>
  <c r="I624" i="15"/>
  <c r="J623" i="15"/>
  <c r="I623" i="15"/>
  <c r="J622" i="15"/>
  <c r="I622" i="15"/>
  <c r="J621" i="15"/>
  <c r="I621" i="15"/>
  <c r="J620" i="15"/>
  <c r="I620" i="15"/>
  <c r="J619" i="15"/>
  <c r="I619" i="15"/>
  <c r="J615" i="15"/>
  <c r="I615" i="15"/>
  <c r="J614" i="15"/>
  <c r="I614" i="15"/>
  <c r="J613" i="15"/>
  <c r="I613" i="15"/>
  <c r="J612" i="15"/>
  <c r="I612" i="15"/>
  <c r="J611" i="15"/>
  <c r="I611" i="15"/>
  <c r="J610" i="15"/>
  <c r="I610" i="15"/>
  <c r="J609" i="15"/>
  <c r="I609" i="15"/>
  <c r="J608" i="15"/>
  <c r="I608" i="15"/>
  <c r="J607" i="15"/>
  <c r="I607" i="15"/>
  <c r="J606" i="15"/>
  <c r="F593" i="15"/>
  <c r="F594" i="15"/>
  <c r="J591" i="15"/>
  <c r="I591" i="15"/>
  <c r="J590" i="15"/>
  <c r="I590" i="15"/>
  <c r="J589" i="15"/>
  <c r="I589" i="15"/>
  <c r="J588" i="15"/>
  <c r="I588" i="15"/>
  <c r="J587" i="15"/>
  <c r="I587" i="15"/>
  <c r="J586" i="15"/>
  <c r="I586" i="15"/>
  <c r="J585" i="15"/>
  <c r="I585" i="15"/>
  <c r="J584" i="15"/>
  <c r="I584" i="15"/>
  <c r="J583" i="15"/>
  <c r="I583" i="15"/>
  <c r="J582" i="15"/>
  <c r="I582" i="15"/>
  <c r="J581" i="15"/>
  <c r="I581" i="15"/>
  <c r="J580" i="15"/>
  <c r="I580" i="15"/>
  <c r="J579" i="15"/>
  <c r="I579" i="15"/>
  <c r="J578" i="15"/>
  <c r="I578" i="15"/>
  <c r="J577" i="15"/>
  <c r="I577" i="15"/>
  <c r="J576" i="15"/>
  <c r="I576" i="15"/>
  <c r="J575" i="15"/>
  <c r="I575" i="15"/>
  <c r="J574" i="15"/>
  <c r="I574" i="15"/>
  <c r="J573" i="15"/>
  <c r="I573" i="15"/>
  <c r="J572" i="15"/>
  <c r="I572" i="15"/>
  <c r="J568" i="15"/>
  <c r="I568" i="15"/>
  <c r="J567" i="15"/>
  <c r="I567" i="15"/>
  <c r="J566" i="15"/>
  <c r="I566" i="15"/>
  <c r="J565" i="15"/>
  <c r="I565" i="15"/>
  <c r="J564" i="15"/>
  <c r="I564" i="15"/>
  <c r="J563" i="15"/>
  <c r="I563" i="15"/>
  <c r="J562" i="15"/>
  <c r="I562" i="15"/>
  <c r="J561" i="15"/>
  <c r="I561" i="15"/>
  <c r="J560" i="15"/>
  <c r="I560" i="15"/>
  <c r="J559" i="15"/>
  <c r="I559" i="15"/>
  <c r="J558" i="15"/>
  <c r="I558" i="15"/>
  <c r="J557" i="15"/>
  <c r="I557" i="15"/>
  <c r="J556" i="15"/>
  <c r="I556" i="15"/>
  <c r="J555" i="15"/>
  <c r="I555" i="15"/>
  <c r="J554" i="15"/>
  <c r="I554" i="15"/>
  <c r="J553" i="15"/>
  <c r="I553" i="15"/>
  <c r="J552" i="15"/>
  <c r="I552" i="15"/>
  <c r="J551" i="15"/>
  <c r="I551" i="15"/>
  <c r="J550" i="15"/>
  <c r="I550" i="15"/>
  <c r="J549" i="15"/>
  <c r="I549" i="15"/>
  <c r="J545" i="15"/>
  <c r="I545" i="15"/>
  <c r="J544" i="15"/>
  <c r="I544" i="15"/>
  <c r="J543" i="15"/>
  <c r="I543" i="15"/>
  <c r="J542" i="15"/>
  <c r="I542" i="15"/>
  <c r="J541" i="15"/>
  <c r="I541" i="15"/>
  <c r="J540" i="15"/>
  <c r="I540" i="15"/>
  <c r="J539" i="15"/>
  <c r="I539" i="15"/>
  <c r="J538" i="15"/>
  <c r="I538" i="15"/>
  <c r="J537" i="15"/>
  <c r="J536" i="15"/>
  <c r="I536" i="15"/>
  <c r="F523" i="15"/>
  <c r="F524" i="15"/>
  <c r="J521" i="15"/>
  <c r="I521" i="15"/>
  <c r="J520" i="15"/>
  <c r="I520" i="15"/>
  <c r="J519" i="15"/>
  <c r="I519" i="15"/>
  <c r="J518" i="15"/>
  <c r="I518" i="15"/>
  <c r="J517" i="15"/>
  <c r="I517" i="15"/>
  <c r="J516" i="15"/>
  <c r="I516" i="15"/>
  <c r="J515" i="15"/>
  <c r="I515" i="15"/>
  <c r="J514" i="15"/>
  <c r="I514" i="15"/>
  <c r="J513" i="15"/>
  <c r="I513" i="15"/>
  <c r="J512" i="15"/>
  <c r="I512" i="15"/>
  <c r="J511" i="15"/>
  <c r="I511" i="15"/>
  <c r="J510" i="15"/>
  <c r="I510" i="15"/>
  <c r="J509" i="15"/>
  <c r="I509" i="15"/>
  <c r="J508" i="15"/>
  <c r="I508" i="15"/>
  <c r="J507" i="15"/>
  <c r="I507" i="15"/>
  <c r="J506" i="15"/>
  <c r="I506" i="15"/>
  <c r="J505" i="15"/>
  <c r="I505" i="15"/>
  <c r="J504" i="15"/>
  <c r="I504" i="15"/>
  <c r="J503" i="15"/>
  <c r="I503" i="15"/>
  <c r="J502" i="15"/>
  <c r="I502" i="15"/>
  <c r="J498" i="15"/>
  <c r="I498" i="15"/>
  <c r="J497" i="15"/>
  <c r="I497" i="15"/>
  <c r="J496" i="15"/>
  <c r="I496" i="15"/>
  <c r="J495" i="15"/>
  <c r="I495" i="15"/>
  <c r="J494" i="15"/>
  <c r="I494" i="15"/>
  <c r="J493" i="15"/>
  <c r="I493" i="15"/>
  <c r="J492" i="15"/>
  <c r="I492" i="15"/>
  <c r="J491" i="15"/>
  <c r="I491" i="15"/>
  <c r="J490" i="15"/>
  <c r="I490" i="15"/>
  <c r="J489" i="15"/>
  <c r="I489" i="15"/>
  <c r="J488" i="15"/>
  <c r="I488" i="15"/>
  <c r="J487" i="15"/>
  <c r="I487" i="15"/>
  <c r="J486" i="15"/>
  <c r="I486" i="15"/>
  <c r="J485" i="15"/>
  <c r="I485" i="15"/>
  <c r="J484" i="15"/>
  <c r="I484" i="15"/>
  <c r="J483" i="15"/>
  <c r="I483" i="15"/>
  <c r="J482" i="15"/>
  <c r="I482" i="15"/>
  <c r="J481" i="15"/>
  <c r="I481" i="15"/>
  <c r="J480" i="15"/>
  <c r="I480" i="15"/>
  <c r="J479" i="15"/>
  <c r="I479" i="15"/>
  <c r="J475" i="15"/>
  <c r="I475" i="15"/>
  <c r="J474" i="15"/>
  <c r="I474" i="15"/>
  <c r="J473" i="15"/>
  <c r="I473" i="15"/>
  <c r="J472" i="15"/>
  <c r="I472" i="15"/>
  <c r="J471" i="15"/>
  <c r="I471" i="15"/>
  <c r="J470" i="15"/>
  <c r="I470" i="15"/>
  <c r="J469" i="15"/>
  <c r="I469" i="15"/>
  <c r="J468" i="15"/>
  <c r="I468" i="15"/>
  <c r="J467" i="15"/>
  <c r="I467" i="15"/>
  <c r="J466" i="15"/>
  <c r="F453" i="15"/>
  <c r="F454" i="15"/>
  <c r="J451" i="15"/>
  <c r="I451" i="15"/>
  <c r="J450" i="15"/>
  <c r="I450" i="15"/>
  <c r="J449" i="15"/>
  <c r="I449" i="15"/>
  <c r="J448" i="15"/>
  <c r="I448" i="15"/>
  <c r="J447" i="15"/>
  <c r="I447" i="15"/>
  <c r="J446" i="15"/>
  <c r="I446" i="15"/>
  <c r="J445" i="15"/>
  <c r="I445" i="15"/>
  <c r="J444" i="15"/>
  <c r="I444" i="15"/>
  <c r="J443" i="15"/>
  <c r="I443" i="15"/>
  <c r="J442" i="15"/>
  <c r="I442" i="15"/>
  <c r="J441" i="15"/>
  <c r="I441" i="15"/>
  <c r="J440" i="15"/>
  <c r="I440" i="15"/>
  <c r="J439" i="15"/>
  <c r="I439" i="15"/>
  <c r="J438" i="15"/>
  <c r="I438" i="15"/>
  <c r="J437" i="15"/>
  <c r="I437" i="15"/>
  <c r="J436" i="15"/>
  <c r="I436" i="15"/>
  <c r="J435" i="15"/>
  <c r="I435" i="15"/>
  <c r="J434" i="15"/>
  <c r="I434" i="15"/>
  <c r="J433" i="15"/>
  <c r="I433" i="15"/>
  <c r="J432" i="15"/>
  <c r="I432" i="15"/>
  <c r="J428" i="15"/>
  <c r="I428" i="15"/>
  <c r="J427" i="15"/>
  <c r="I427" i="15"/>
  <c r="J426" i="15"/>
  <c r="I426" i="15"/>
  <c r="J425" i="15"/>
  <c r="I425" i="15"/>
  <c r="J424" i="15"/>
  <c r="I424" i="15"/>
  <c r="J423" i="15"/>
  <c r="I423" i="15"/>
  <c r="J422" i="15"/>
  <c r="I422" i="15"/>
  <c r="J421" i="15"/>
  <c r="I421" i="15"/>
  <c r="J420" i="15"/>
  <c r="I420" i="15"/>
  <c r="J419" i="15"/>
  <c r="I419" i="15"/>
  <c r="J418" i="15"/>
  <c r="I418" i="15"/>
  <c r="J417" i="15"/>
  <c r="I417" i="15"/>
  <c r="J416" i="15"/>
  <c r="I416" i="15"/>
  <c r="J415" i="15"/>
  <c r="I415" i="15"/>
  <c r="J414" i="15"/>
  <c r="I414" i="15"/>
  <c r="J413" i="15"/>
  <c r="I413" i="15"/>
  <c r="J412" i="15"/>
  <c r="I412" i="15"/>
  <c r="J411" i="15"/>
  <c r="I411" i="15"/>
  <c r="J410" i="15"/>
  <c r="I410" i="15"/>
  <c r="J409" i="15"/>
  <c r="I409" i="15"/>
  <c r="J405" i="15"/>
  <c r="I405" i="15"/>
  <c r="J404" i="15"/>
  <c r="I404" i="15"/>
  <c r="J403" i="15"/>
  <c r="I403" i="15"/>
  <c r="J402" i="15"/>
  <c r="I402" i="15"/>
  <c r="J401" i="15"/>
  <c r="I401" i="15"/>
  <c r="J400" i="15"/>
  <c r="I400" i="15"/>
  <c r="J399" i="15"/>
  <c r="I399" i="15"/>
  <c r="J398" i="15"/>
  <c r="I398" i="15"/>
  <c r="J397" i="15"/>
  <c r="I397" i="15"/>
  <c r="J396" i="15"/>
  <c r="I396" i="15"/>
  <c r="J395" i="15"/>
  <c r="F383" i="15"/>
  <c r="F384" i="15"/>
  <c r="J381" i="15"/>
  <c r="I381" i="15"/>
  <c r="J380" i="15"/>
  <c r="I380" i="15"/>
  <c r="J379" i="15"/>
  <c r="I379" i="15"/>
  <c r="J378" i="15"/>
  <c r="I378" i="15"/>
  <c r="J377" i="15"/>
  <c r="I377" i="15"/>
  <c r="J376" i="15"/>
  <c r="I376" i="15"/>
  <c r="J375" i="15"/>
  <c r="I375" i="15"/>
  <c r="J374" i="15"/>
  <c r="I374" i="15"/>
  <c r="J373" i="15"/>
  <c r="I373" i="15"/>
  <c r="J372" i="15"/>
  <c r="I372" i="15"/>
  <c r="J371" i="15"/>
  <c r="I371" i="15"/>
  <c r="J370" i="15"/>
  <c r="I370" i="15"/>
  <c r="J369" i="15"/>
  <c r="I369" i="15"/>
  <c r="J368" i="15"/>
  <c r="I368" i="15"/>
  <c r="J367" i="15"/>
  <c r="I367" i="15"/>
  <c r="J366" i="15"/>
  <c r="I366" i="15"/>
  <c r="J365" i="15"/>
  <c r="I365" i="15"/>
  <c r="J364" i="15"/>
  <c r="I364" i="15"/>
  <c r="J363" i="15"/>
  <c r="I363" i="15"/>
  <c r="J362" i="15"/>
  <c r="I362" i="15"/>
  <c r="J358" i="15"/>
  <c r="I358" i="15"/>
  <c r="J357" i="15"/>
  <c r="I357" i="15"/>
  <c r="J356" i="15"/>
  <c r="I356" i="15"/>
  <c r="J355" i="15"/>
  <c r="I355" i="15"/>
  <c r="J354" i="15"/>
  <c r="I354" i="15"/>
  <c r="J353" i="15"/>
  <c r="I353" i="15"/>
  <c r="J352" i="15"/>
  <c r="I352" i="15"/>
  <c r="J351" i="15"/>
  <c r="I351" i="15"/>
  <c r="J350" i="15"/>
  <c r="I350" i="15"/>
  <c r="J349" i="15"/>
  <c r="I349" i="15"/>
  <c r="J348" i="15"/>
  <c r="I348" i="15"/>
  <c r="J347" i="15"/>
  <c r="I347" i="15"/>
  <c r="J346" i="15"/>
  <c r="I346" i="15"/>
  <c r="J345" i="15"/>
  <c r="I345" i="15"/>
  <c r="J344" i="15"/>
  <c r="I344" i="15"/>
  <c r="J343" i="15"/>
  <c r="I343" i="15"/>
  <c r="J342" i="15"/>
  <c r="I342" i="15"/>
  <c r="J341" i="15"/>
  <c r="I341" i="15"/>
  <c r="J340" i="15"/>
  <c r="I340" i="15"/>
  <c r="J339" i="15"/>
  <c r="I339" i="15"/>
  <c r="J335" i="15"/>
  <c r="I335" i="15"/>
  <c r="J334" i="15"/>
  <c r="I334" i="15"/>
  <c r="J333" i="15"/>
  <c r="I333" i="15"/>
  <c r="J332" i="15"/>
  <c r="I332" i="15"/>
  <c r="J331" i="15"/>
  <c r="I331" i="15"/>
  <c r="J330" i="15"/>
  <c r="I330" i="15"/>
  <c r="J329" i="15"/>
  <c r="I329" i="15"/>
  <c r="J328" i="15"/>
  <c r="I328" i="15"/>
  <c r="J327" i="15"/>
  <c r="I327" i="15"/>
  <c r="J326" i="15"/>
  <c r="I326" i="15"/>
  <c r="F313" i="15"/>
  <c r="F314" i="15"/>
  <c r="J311" i="15"/>
  <c r="I311" i="15"/>
  <c r="J310" i="15"/>
  <c r="I310" i="15"/>
  <c r="J309" i="15"/>
  <c r="I309" i="15"/>
  <c r="J308" i="15"/>
  <c r="I308" i="15"/>
  <c r="J307" i="15"/>
  <c r="I307" i="15"/>
  <c r="J306" i="15"/>
  <c r="I306" i="15"/>
  <c r="J305" i="15"/>
  <c r="I305" i="15"/>
  <c r="J304" i="15"/>
  <c r="I304" i="15"/>
  <c r="J303" i="15"/>
  <c r="I303" i="15"/>
  <c r="J302" i="15"/>
  <c r="I302" i="15"/>
  <c r="J301" i="15"/>
  <c r="I301" i="15"/>
  <c r="J300" i="15"/>
  <c r="I300" i="15"/>
  <c r="J299" i="15"/>
  <c r="I299" i="15"/>
  <c r="J298" i="15"/>
  <c r="I298" i="15"/>
  <c r="J297" i="15"/>
  <c r="I297" i="15"/>
  <c r="J296" i="15"/>
  <c r="I296" i="15"/>
  <c r="J295" i="15"/>
  <c r="I295" i="15"/>
  <c r="J294" i="15"/>
  <c r="I294" i="15"/>
  <c r="J293" i="15"/>
  <c r="I293" i="15"/>
  <c r="J292" i="15"/>
  <c r="I292" i="15"/>
  <c r="J288" i="15"/>
  <c r="I288" i="15"/>
  <c r="J287" i="15"/>
  <c r="I287" i="15"/>
  <c r="J286" i="15"/>
  <c r="I286" i="15"/>
  <c r="J285" i="15"/>
  <c r="I285" i="15"/>
  <c r="J284" i="15"/>
  <c r="I284" i="15"/>
  <c r="J283" i="15"/>
  <c r="I283" i="15"/>
  <c r="J282" i="15"/>
  <c r="I282" i="15"/>
  <c r="J281" i="15"/>
  <c r="I281" i="15"/>
  <c r="J280" i="15"/>
  <c r="I280" i="15"/>
  <c r="J279" i="15"/>
  <c r="I279" i="15"/>
  <c r="J278" i="15"/>
  <c r="I278" i="15"/>
  <c r="J277" i="15"/>
  <c r="I277" i="15"/>
  <c r="J276" i="15"/>
  <c r="I276" i="15"/>
  <c r="J275" i="15"/>
  <c r="I275" i="15"/>
  <c r="J274" i="15"/>
  <c r="I274" i="15"/>
  <c r="J273" i="15"/>
  <c r="I273" i="15"/>
  <c r="J272" i="15"/>
  <c r="I272" i="15"/>
  <c r="J271" i="15"/>
  <c r="I271" i="15"/>
  <c r="J270" i="15"/>
  <c r="I270" i="15"/>
  <c r="J269" i="15"/>
  <c r="I269" i="15"/>
  <c r="J265" i="15"/>
  <c r="I265" i="15"/>
  <c r="J264" i="15"/>
  <c r="I264" i="15"/>
  <c r="J263" i="15"/>
  <c r="I263" i="15"/>
  <c r="J262" i="15"/>
  <c r="I262" i="15"/>
  <c r="J261" i="15"/>
  <c r="I261" i="15"/>
  <c r="J260" i="15"/>
  <c r="I260" i="15"/>
  <c r="J259" i="15"/>
  <c r="I259" i="15"/>
  <c r="J258" i="15"/>
  <c r="I258" i="15"/>
  <c r="J257" i="15"/>
  <c r="J256" i="15"/>
  <c r="I256" i="15"/>
  <c r="F243" i="15"/>
  <c r="F244" i="15"/>
  <c r="J241" i="15"/>
  <c r="I241" i="15"/>
  <c r="J240" i="15"/>
  <c r="I240" i="15"/>
  <c r="J239" i="15"/>
  <c r="I239" i="15"/>
  <c r="J238" i="15"/>
  <c r="I238" i="15"/>
  <c r="J237" i="15"/>
  <c r="I237" i="15"/>
  <c r="J236" i="15"/>
  <c r="I236" i="15"/>
  <c r="J235" i="15"/>
  <c r="I235" i="15"/>
  <c r="J234" i="15"/>
  <c r="I234" i="15"/>
  <c r="J233" i="15"/>
  <c r="I233" i="15"/>
  <c r="J232" i="15"/>
  <c r="I232" i="15"/>
  <c r="J231" i="15"/>
  <c r="I231" i="15"/>
  <c r="J230" i="15"/>
  <c r="I230" i="15"/>
  <c r="J229" i="15"/>
  <c r="I229" i="15"/>
  <c r="J228" i="15"/>
  <c r="I228" i="15"/>
  <c r="J227" i="15"/>
  <c r="I227" i="15"/>
  <c r="J226" i="15"/>
  <c r="I226" i="15"/>
  <c r="J225" i="15"/>
  <c r="I225" i="15"/>
  <c r="J224" i="15"/>
  <c r="I224" i="15"/>
  <c r="B224" i="15"/>
  <c r="B225" i="15"/>
  <c r="B226" i="15"/>
  <c r="B227" i="15"/>
  <c r="B228" i="15"/>
  <c r="B229" i="15"/>
  <c r="B230" i="15"/>
  <c r="J223" i="15"/>
  <c r="I223" i="15"/>
  <c r="J222" i="15"/>
  <c r="I222" i="15"/>
  <c r="J218" i="15"/>
  <c r="I218" i="15"/>
  <c r="J217" i="15"/>
  <c r="I217" i="15"/>
  <c r="J216" i="15"/>
  <c r="I216" i="15"/>
  <c r="J215" i="15"/>
  <c r="I215" i="15"/>
  <c r="J214" i="15"/>
  <c r="I214" i="15"/>
  <c r="J213" i="15"/>
  <c r="I213" i="15"/>
  <c r="J212" i="15"/>
  <c r="I212" i="15"/>
  <c r="J211" i="15"/>
  <c r="I211" i="15"/>
  <c r="J210" i="15"/>
  <c r="I210" i="15"/>
  <c r="J209" i="15"/>
  <c r="I209" i="15"/>
  <c r="J208" i="15"/>
  <c r="I208" i="15"/>
  <c r="J207" i="15"/>
  <c r="I207" i="15"/>
  <c r="J206" i="15"/>
  <c r="I206" i="15"/>
  <c r="J205" i="15"/>
  <c r="I205" i="15"/>
  <c r="J204" i="15"/>
  <c r="I204" i="15"/>
  <c r="J203" i="15"/>
  <c r="I203" i="15"/>
  <c r="J202" i="15"/>
  <c r="I202" i="15"/>
  <c r="J201" i="15"/>
  <c r="I201" i="15"/>
  <c r="J200" i="15"/>
  <c r="I200" i="15"/>
  <c r="J197" i="15"/>
  <c r="I197" i="15"/>
  <c r="J196" i="15"/>
  <c r="I196" i="15"/>
  <c r="J195" i="15"/>
  <c r="I195" i="15"/>
  <c r="J194" i="15"/>
  <c r="I194" i="15"/>
  <c r="J193" i="15"/>
  <c r="I193" i="15"/>
  <c r="J192" i="15"/>
  <c r="I192" i="15"/>
  <c r="J191" i="15"/>
  <c r="I191" i="15"/>
  <c r="J190" i="15"/>
  <c r="I190" i="15"/>
  <c r="J189" i="15"/>
  <c r="I189" i="15"/>
  <c r="J188" i="15"/>
  <c r="I188" i="15"/>
  <c r="J187" i="15"/>
  <c r="F174" i="15"/>
  <c r="F175" i="15"/>
  <c r="J172" i="15"/>
  <c r="I172" i="15"/>
  <c r="J171" i="15"/>
  <c r="I171" i="15"/>
  <c r="J170" i="15"/>
  <c r="I170" i="15"/>
  <c r="J169" i="15"/>
  <c r="I169" i="15"/>
  <c r="J168" i="15"/>
  <c r="I168" i="15"/>
  <c r="J167" i="15"/>
  <c r="I167" i="15"/>
  <c r="J166" i="15"/>
  <c r="I166" i="15"/>
  <c r="J163" i="15"/>
  <c r="I163" i="15"/>
  <c r="J162" i="15"/>
  <c r="I162" i="15"/>
  <c r="J161" i="15"/>
  <c r="I161" i="15"/>
  <c r="J160" i="15"/>
  <c r="I160" i="15"/>
  <c r="J159" i="15"/>
  <c r="I159" i="15"/>
  <c r="J158" i="15"/>
  <c r="I158" i="15"/>
  <c r="J157" i="15"/>
  <c r="I157" i="15"/>
  <c r="J156" i="15"/>
  <c r="I156" i="15"/>
  <c r="J155" i="15"/>
  <c r="I155" i="15"/>
  <c r="J150" i="15"/>
  <c r="I150" i="15"/>
  <c r="J149" i="15"/>
  <c r="I149" i="15"/>
  <c r="J148" i="15"/>
  <c r="I148" i="15"/>
  <c r="J147" i="15"/>
  <c r="I147" i="15"/>
  <c r="J146" i="15"/>
  <c r="I146" i="15"/>
  <c r="J145" i="15"/>
  <c r="I145" i="15"/>
  <c r="J144" i="15"/>
  <c r="I144" i="15"/>
  <c r="J143" i="15"/>
  <c r="I143" i="15"/>
  <c r="J142" i="15"/>
  <c r="I142" i="15"/>
  <c r="J141" i="15"/>
  <c r="I141" i="15"/>
  <c r="J140" i="15"/>
  <c r="I140" i="15"/>
  <c r="J139" i="15"/>
  <c r="I139" i="15"/>
  <c r="J138" i="15"/>
  <c r="I138" i="15"/>
  <c r="J137" i="15"/>
  <c r="I137" i="15"/>
  <c r="J136" i="15"/>
  <c r="I136" i="15"/>
  <c r="J135" i="15"/>
  <c r="I135" i="15"/>
  <c r="J134" i="15"/>
  <c r="I134" i="15"/>
  <c r="J133" i="15"/>
  <c r="I133" i="15"/>
  <c r="J111" i="15"/>
  <c r="I111" i="15"/>
  <c r="J110" i="15"/>
  <c r="I110" i="15"/>
  <c r="J109" i="15"/>
  <c r="I109" i="15"/>
  <c r="J108" i="15"/>
  <c r="I108" i="15"/>
  <c r="J107" i="15"/>
  <c r="I107" i="15"/>
  <c r="J106" i="15"/>
  <c r="I106" i="15"/>
  <c r="J105" i="15"/>
  <c r="I105" i="15"/>
  <c r="J104" i="15"/>
  <c r="I104" i="15"/>
  <c r="J103" i="15"/>
  <c r="I103" i="15"/>
  <c r="J102" i="15"/>
  <c r="I102" i="15"/>
  <c r="G97" i="15"/>
  <c r="G182" i="15"/>
  <c r="G251" i="15"/>
  <c r="F97" i="15"/>
  <c r="F182" i="15"/>
  <c r="F251" i="15"/>
  <c r="F321" i="15"/>
  <c r="F391" i="15"/>
  <c r="F461" i="15"/>
  <c r="F531" i="15"/>
  <c r="F601" i="15"/>
  <c r="F671" i="15"/>
  <c r="F741" i="15"/>
  <c r="F811" i="15"/>
  <c r="C97" i="15"/>
  <c r="C182" i="15"/>
  <c r="C251" i="15"/>
  <c r="C321" i="15"/>
  <c r="C391" i="15"/>
  <c r="C461" i="15"/>
  <c r="C531" i="15"/>
  <c r="C601" i="15"/>
  <c r="C671" i="15"/>
  <c r="C741" i="15"/>
  <c r="C811" i="15"/>
  <c r="F89" i="15"/>
  <c r="J86" i="15"/>
  <c r="I86" i="15"/>
  <c r="J85" i="15"/>
  <c r="I85" i="15"/>
  <c r="J84" i="15"/>
  <c r="I84" i="15"/>
  <c r="J83" i="15"/>
  <c r="I83" i="15"/>
  <c r="J82" i="15"/>
  <c r="I82" i="15"/>
  <c r="J81" i="15"/>
  <c r="I81" i="15"/>
  <c r="J80" i="15"/>
  <c r="I80" i="15"/>
  <c r="J79" i="15"/>
  <c r="I79" i="15"/>
  <c r="J78" i="15"/>
  <c r="I78" i="15"/>
  <c r="J77" i="15"/>
  <c r="I77" i="15"/>
  <c r="F807" i="14"/>
  <c r="F808" i="14"/>
  <c r="J805" i="14"/>
  <c r="I805" i="14"/>
  <c r="J804" i="14"/>
  <c r="I804" i="14"/>
  <c r="J803" i="14"/>
  <c r="I803" i="14"/>
  <c r="J802" i="14"/>
  <c r="I802" i="14"/>
  <c r="J801" i="14"/>
  <c r="I801" i="14"/>
  <c r="J800" i="14"/>
  <c r="I800" i="14"/>
  <c r="J799" i="14"/>
  <c r="I799" i="14"/>
  <c r="J798" i="14"/>
  <c r="I798" i="14"/>
  <c r="J797" i="14"/>
  <c r="I797" i="14"/>
  <c r="J796" i="14"/>
  <c r="I796" i="14"/>
  <c r="J795" i="14"/>
  <c r="I795" i="14"/>
  <c r="J794" i="14"/>
  <c r="I794" i="14"/>
  <c r="J793" i="14"/>
  <c r="I793" i="14"/>
  <c r="J792" i="14"/>
  <c r="I792" i="14"/>
  <c r="J791" i="14"/>
  <c r="I791" i="14"/>
  <c r="J790" i="14"/>
  <c r="I790" i="14"/>
  <c r="J789" i="14"/>
  <c r="I789" i="14"/>
  <c r="J788" i="14"/>
  <c r="I788" i="14"/>
  <c r="J787" i="14"/>
  <c r="I787" i="14"/>
  <c r="J786" i="14"/>
  <c r="I786" i="14"/>
  <c r="J782" i="14"/>
  <c r="I782" i="14"/>
  <c r="J781" i="14"/>
  <c r="I781" i="14"/>
  <c r="J780" i="14"/>
  <c r="I780" i="14"/>
  <c r="J779" i="14"/>
  <c r="I779" i="14"/>
  <c r="J778" i="14"/>
  <c r="I778" i="14"/>
  <c r="J777" i="14"/>
  <c r="I777" i="14"/>
  <c r="J776" i="14"/>
  <c r="I776" i="14"/>
  <c r="J775" i="14"/>
  <c r="I775" i="14"/>
  <c r="J774" i="14"/>
  <c r="I774" i="14"/>
  <c r="J773" i="14"/>
  <c r="I773" i="14"/>
  <c r="J772" i="14"/>
  <c r="I772" i="14"/>
  <c r="J771" i="14"/>
  <c r="I771" i="14"/>
  <c r="J770" i="14"/>
  <c r="I770" i="14"/>
  <c r="J769" i="14"/>
  <c r="I769" i="14"/>
  <c r="J768" i="14"/>
  <c r="I768" i="14"/>
  <c r="J767" i="14"/>
  <c r="I767" i="14"/>
  <c r="J766" i="14"/>
  <c r="I766" i="14"/>
  <c r="J765" i="14"/>
  <c r="I765" i="14"/>
  <c r="J764" i="14"/>
  <c r="I764" i="14"/>
  <c r="J763" i="14"/>
  <c r="I763" i="14"/>
  <c r="J759" i="14"/>
  <c r="I759" i="14"/>
  <c r="J758" i="14"/>
  <c r="I758" i="14"/>
  <c r="J757" i="14"/>
  <c r="I757" i="14"/>
  <c r="J756" i="14"/>
  <c r="I756" i="14"/>
  <c r="J755" i="14"/>
  <c r="I755" i="14"/>
  <c r="J754" i="14"/>
  <c r="I754" i="14"/>
  <c r="J753" i="14"/>
  <c r="I753" i="14"/>
  <c r="J752" i="14"/>
  <c r="I752" i="14"/>
  <c r="J751" i="14"/>
  <c r="I751" i="14"/>
  <c r="J750" i="14"/>
  <c r="I750" i="14"/>
  <c r="F737" i="14"/>
  <c r="F738" i="14"/>
  <c r="J735" i="14"/>
  <c r="I735" i="14"/>
  <c r="J734" i="14"/>
  <c r="I734" i="14"/>
  <c r="J733" i="14"/>
  <c r="I733" i="14"/>
  <c r="J732" i="14"/>
  <c r="I732" i="14"/>
  <c r="J731" i="14"/>
  <c r="I731" i="14"/>
  <c r="J730" i="14"/>
  <c r="I730" i="14"/>
  <c r="J729" i="14"/>
  <c r="I729" i="14"/>
  <c r="J728" i="14"/>
  <c r="I728" i="14"/>
  <c r="J727" i="14"/>
  <c r="I727" i="14"/>
  <c r="J726" i="14"/>
  <c r="I726" i="14"/>
  <c r="J725" i="14"/>
  <c r="I725" i="14"/>
  <c r="J724" i="14"/>
  <c r="I724" i="14"/>
  <c r="J723" i="14"/>
  <c r="I723" i="14"/>
  <c r="J722" i="14"/>
  <c r="I722" i="14"/>
  <c r="J721" i="14"/>
  <c r="I721" i="14"/>
  <c r="J720" i="14"/>
  <c r="I720" i="14"/>
  <c r="J719" i="14"/>
  <c r="I719" i="14"/>
  <c r="J718" i="14"/>
  <c r="I718" i="14"/>
  <c r="J717" i="14"/>
  <c r="I717" i="14"/>
  <c r="J716" i="14"/>
  <c r="I716" i="14"/>
  <c r="J712" i="14"/>
  <c r="I712" i="14"/>
  <c r="J711" i="14"/>
  <c r="I711" i="14"/>
  <c r="J710" i="14"/>
  <c r="I710" i="14"/>
  <c r="J709" i="14"/>
  <c r="I709" i="14"/>
  <c r="J708" i="14"/>
  <c r="I708" i="14"/>
  <c r="J707" i="14"/>
  <c r="I707" i="14"/>
  <c r="J706" i="14"/>
  <c r="I706" i="14"/>
  <c r="J705" i="14"/>
  <c r="I705" i="14"/>
  <c r="J704" i="14"/>
  <c r="I704" i="14"/>
  <c r="J703" i="14"/>
  <c r="I703" i="14"/>
  <c r="J702" i="14"/>
  <c r="I702" i="14"/>
  <c r="J701" i="14"/>
  <c r="I701" i="14"/>
  <c r="J700" i="14"/>
  <c r="I700" i="14"/>
  <c r="J699" i="14"/>
  <c r="I699" i="14"/>
  <c r="J698" i="14"/>
  <c r="I698" i="14"/>
  <c r="J697" i="14"/>
  <c r="I697" i="14"/>
  <c r="J696" i="14"/>
  <c r="I696" i="14"/>
  <c r="J695" i="14"/>
  <c r="I695" i="14"/>
  <c r="J694" i="14"/>
  <c r="I694" i="14"/>
  <c r="J693" i="14"/>
  <c r="I693" i="14"/>
  <c r="J689" i="14"/>
  <c r="I689" i="14"/>
  <c r="J688" i="14"/>
  <c r="I688" i="14"/>
  <c r="J687" i="14"/>
  <c r="I687" i="14"/>
  <c r="J686" i="14"/>
  <c r="I686" i="14"/>
  <c r="J685" i="14"/>
  <c r="I685" i="14"/>
  <c r="J684" i="14"/>
  <c r="I684" i="14"/>
  <c r="J683" i="14"/>
  <c r="I683" i="14"/>
  <c r="J682" i="14"/>
  <c r="I682" i="14"/>
  <c r="J681" i="14"/>
  <c r="I681" i="14"/>
  <c r="J680" i="14"/>
  <c r="I680" i="14"/>
  <c r="F667" i="14"/>
  <c r="F668" i="14"/>
  <c r="J665" i="14"/>
  <c r="I665" i="14"/>
  <c r="J664" i="14"/>
  <c r="I664" i="14"/>
  <c r="J663" i="14"/>
  <c r="I663" i="14"/>
  <c r="J662" i="14"/>
  <c r="I662" i="14"/>
  <c r="J661" i="14"/>
  <c r="I661" i="14"/>
  <c r="J660" i="14"/>
  <c r="I660" i="14"/>
  <c r="J659" i="14"/>
  <c r="I659" i="14"/>
  <c r="J658" i="14"/>
  <c r="I658" i="14"/>
  <c r="J657" i="14"/>
  <c r="I657" i="14"/>
  <c r="J656" i="14"/>
  <c r="I656" i="14"/>
  <c r="J655" i="14"/>
  <c r="I655" i="14"/>
  <c r="J654" i="14"/>
  <c r="I654" i="14"/>
  <c r="J653" i="14"/>
  <c r="I653" i="14"/>
  <c r="J652" i="14"/>
  <c r="I652" i="14"/>
  <c r="J651" i="14"/>
  <c r="I651" i="14"/>
  <c r="J650" i="14"/>
  <c r="I650" i="14"/>
  <c r="J649" i="14"/>
  <c r="I649" i="14"/>
  <c r="J648" i="14"/>
  <c r="I648" i="14"/>
  <c r="J647" i="14"/>
  <c r="I647" i="14"/>
  <c r="J646" i="14"/>
  <c r="I646" i="14"/>
  <c r="J642" i="14"/>
  <c r="I642" i="14"/>
  <c r="J641" i="14"/>
  <c r="I641" i="14"/>
  <c r="J640" i="14"/>
  <c r="I640" i="14"/>
  <c r="J639" i="14"/>
  <c r="I639" i="14"/>
  <c r="J638" i="14"/>
  <c r="I638" i="14"/>
  <c r="J637" i="14"/>
  <c r="I637" i="14"/>
  <c r="J636" i="14"/>
  <c r="I636" i="14"/>
  <c r="J635" i="14"/>
  <c r="I635" i="14"/>
  <c r="J634" i="14"/>
  <c r="I634" i="14"/>
  <c r="J633" i="14"/>
  <c r="I633" i="14"/>
  <c r="J632" i="14"/>
  <c r="I632" i="14"/>
  <c r="J631" i="14"/>
  <c r="I631" i="14"/>
  <c r="J630" i="14"/>
  <c r="I630" i="14"/>
  <c r="J629" i="14"/>
  <c r="I629" i="14"/>
  <c r="J628" i="14"/>
  <c r="I628" i="14"/>
  <c r="J627" i="14"/>
  <c r="I627" i="14"/>
  <c r="J626" i="14"/>
  <c r="I626" i="14"/>
  <c r="J625" i="14"/>
  <c r="I625" i="14"/>
  <c r="J624" i="14"/>
  <c r="I624" i="14"/>
  <c r="J623" i="14"/>
  <c r="I623" i="14"/>
  <c r="J619" i="14"/>
  <c r="I619" i="14"/>
  <c r="J618" i="14"/>
  <c r="I618" i="14"/>
  <c r="J617" i="14"/>
  <c r="I617" i="14"/>
  <c r="J616" i="14"/>
  <c r="I616" i="14"/>
  <c r="J615" i="14"/>
  <c r="I615" i="14"/>
  <c r="J614" i="14"/>
  <c r="I614" i="14"/>
  <c r="J613" i="14"/>
  <c r="I613" i="14"/>
  <c r="J612" i="14"/>
  <c r="J611" i="14"/>
  <c r="I611" i="14"/>
  <c r="J610" i="14"/>
  <c r="I610" i="14"/>
  <c r="F597" i="14"/>
  <c r="F598" i="14"/>
  <c r="J595" i="14"/>
  <c r="I595" i="14"/>
  <c r="J594" i="14"/>
  <c r="I594" i="14"/>
  <c r="J593" i="14"/>
  <c r="I593" i="14"/>
  <c r="J592" i="14"/>
  <c r="I592" i="14"/>
  <c r="J591" i="14"/>
  <c r="I591" i="14"/>
  <c r="J590" i="14"/>
  <c r="I590" i="14"/>
  <c r="J589" i="14"/>
  <c r="I589" i="14"/>
  <c r="J588" i="14"/>
  <c r="I588" i="14"/>
  <c r="J587" i="14"/>
  <c r="I587" i="14"/>
  <c r="J586" i="14"/>
  <c r="I586" i="14"/>
  <c r="J585" i="14"/>
  <c r="I585" i="14"/>
  <c r="J584" i="14"/>
  <c r="I584" i="14"/>
  <c r="J583" i="14"/>
  <c r="I583" i="14"/>
  <c r="J582" i="14"/>
  <c r="I582" i="14"/>
  <c r="J581" i="14"/>
  <c r="I581" i="14"/>
  <c r="J580" i="14"/>
  <c r="I580" i="14"/>
  <c r="J579" i="14"/>
  <c r="I579" i="14"/>
  <c r="J578" i="14"/>
  <c r="I578" i="14"/>
  <c r="J577" i="14"/>
  <c r="I577" i="14"/>
  <c r="J576" i="14"/>
  <c r="I576" i="14"/>
  <c r="J572" i="14"/>
  <c r="I572" i="14"/>
  <c r="J571" i="14"/>
  <c r="I571" i="14"/>
  <c r="J570" i="14"/>
  <c r="I570" i="14"/>
  <c r="J569" i="14"/>
  <c r="I569" i="14"/>
  <c r="J568" i="14"/>
  <c r="I568" i="14"/>
  <c r="J567" i="14"/>
  <c r="I567" i="14"/>
  <c r="J566" i="14"/>
  <c r="I566" i="14"/>
  <c r="J565" i="14"/>
  <c r="I565" i="14"/>
  <c r="J564" i="14"/>
  <c r="I564" i="14"/>
  <c r="J563" i="14"/>
  <c r="I563" i="14"/>
  <c r="J562" i="14"/>
  <c r="I562" i="14"/>
  <c r="J561" i="14"/>
  <c r="I561" i="14"/>
  <c r="J560" i="14"/>
  <c r="I560" i="14"/>
  <c r="J559" i="14"/>
  <c r="I559" i="14"/>
  <c r="J558" i="14"/>
  <c r="I558" i="14"/>
  <c r="J557" i="14"/>
  <c r="I557" i="14"/>
  <c r="J556" i="14"/>
  <c r="I556" i="14"/>
  <c r="J555" i="14"/>
  <c r="I555" i="14"/>
  <c r="J554" i="14"/>
  <c r="I554" i="14"/>
  <c r="J553" i="14"/>
  <c r="I553" i="14"/>
  <c r="J549" i="14"/>
  <c r="I549" i="14"/>
  <c r="J548" i="14"/>
  <c r="I548" i="14"/>
  <c r="J547" i="14"/>
  <c r="I547" i="14"/>
  <c r="J546" i="14"/>
  <c r="I546" i="14"/>
  <c r="J545" i="14"/>
  <c r="I545" i="14"/>
  <c r="J544" i="14"/>
  <c r="I544" i="14"/>
  <c r="J543" i="14"/>
  <c r="I543" i="14"/>
  <c r="J542" i="14"/>
  <c r="I542" i="14"/>
  <c r="J541" i="14"/>
  <c r="I541" i="14"/>
  <c r="J540" i="14"/>
  <c r="I540" i="14"/>
  <c r="F527" i="14"/>
  <c r="F528" i="14"/>
  <c r="J525" i="14"/>
  <c r="I525" i="14"/>
  <c r="J524" i="14"/>
  <c r="I524" i="14"/>
  <c r="J523" i="14"/>
  <c r="I523" i="14"/>
  <c r="J522" i="14"/>
  <c r="I522" i="14"/>
  <c r="J521" i="14"/>
  <c r="I521" i="14"/>
  <c r="J520" i="14"/>
  <c r="I520" i="14"/>
  <c r="J519" i="14"/>
  <c r="I519" i="14"/>
  <c r="J518" i="14"/>
  <c r="I518" i="14"/>
  <c r="J517" i="14"/>
  <c r="I517" i="14"/>
  <c r="J516" i="14"/>
  <c r="I516" i="14"/>
  <c r="J515" i="14"/>
  <c r="I515" i="14"/>
  <c r="J514" i="14"/>
  <c r="I514" i="14"/>
  <c r="J513" i="14"/>
  <c r="I513" i="14"/>
  <c r="J512" i="14"/>
  <c r="I512" i="14"/>
  <c r="J511" i="14"/>
  <c r="I511" i="14"/>
  <c r="J510" i="14"/>
  <c r="I510" i="14"/>
  <c r="J509" i="14"/>
  <c r="I509" i="14"/>
  <c r="J508" i="14"/>
  <c r="I508" i="14"/>
  <c r="J507" i="14"/>
  <c r="I507" i="14"/>
  <c r="J506" i="14"/>
  <c r="I506" i="14"/>
  <c r="J502" i="14"/>
  <c r="I502" i="14"/>
  <c r="J501" i="14"/>
  <c r="I501" i="14"/>
  <c r="J500" i="14"/>
  <c r="I500" i="14"/>
  <c r="J499" i="14"/>
  <c r="I499" i="14"/>
  <c r="J498" i="14"/>
  <c r="I498" i="14"/>
  <c r="J497" i="14"/>
  <c r="I497" i="14"/>
  <c r="J496" i="14"/>
  <c r="I496" i="14"/>
  <c r="J495" i="14"/>
  <c r="I495" i="14"/>
  <c r="J494" i="14"/>
  <c r="I494" i="14"/>
  <c r="J493" i="14"/>
  <c r="I493" i="14"/>
  <c r="J492" i="14"/>
  <c r="I492" i="14"/>
  <c r="J491" i="14"/>
  <c r="I491" i="14"/>
  <c r="J490" i="14"/>
  <c r="I490" i="14"/>
  <c r="J489" i="14"/>
  <c r="I489" i="14"/>
  <c r="J488" i="14"/>
  <c r="I488" i="14"/>
  <c r="J487" i="14"/>
  <c r="I487" i="14"/>
  <c r="J486" i="14"/>
  <c r="I486" i="14"/>
  <c r="J485" i="14"/>
  <c r="I485" i="14"/>
  <c r="J484" i="14"/>
  <c r="I484" i="14"/>
  <c r="J483" i="14"/>
  <c r="I483" i="14"/>
  <c r="J479" i="14"/>
  <c r="I479" i="14"/>
  <c r="J478" i="14"/>
  <c r="I478" i="14"/>
  <c r="J477" i="14"/>
  <c r="I477" i="14"/>
  <c r="J476" i="14"/>
  <c r="I476" i="14"/>
  <c r="J475" i="14"/>
  <c r="I475" i="14"/>
  <c r="J474" i="14"/>
  <c r="I474" i="14"/>
  <c r="J473" i="14"/>
  <c r="I473" i="14"/>
  <c r="J472" i="14"/>
  <c r="I472" i="14"/>
  <c r="J471" i="14"/>
  <c r="I471" i="14"/>
  <c r="J470" i="14"/>
  <c r="F457" i="14"/>
  <c r="F458" i="14"/>
  <c r="J455" i="14"/>
  <c r="I455" i="14"/>
  <c r="J454" i="14"/>
  <c r="I454" i="14"/>
  <c r="J453" i="14"/>
  <c r="I453" i="14"/>
  <c r="J452" i="14"/>
  <c r="I452" i="14"/>
  <c r="J451" i="14"/>
  <c r="I451" i="14"/>
  <c r="J450" i="14"/>
  <c r="I450" i="14"/>
  <c r="J449" i="14"/>
  <c r="I449" i="14"/>
  <c r="J448" i="14"/>
  <c r="I448" i="14"/>
  <c r="J447" i="14"/>
  <c r="I447" i="14"/>
  <c r="J446" i="14"/>
  <c r="I446" i="14"/>
  <c r="J445" i="14"/>
  <c r="I445" i="14"/>
  <c r="J444" i="14"/>
  <c r="I444" i="14"/>
  <c r="J443" i="14"/>
  <c r="I443" i="14"/>
  <c r="J442" i="14"/>
  <c r="I442" i="14"/>
  <c r="J441" i="14"/>
  <c r="I441" i="14"/>
  <c r="J440" i="14"/>
  <c r="I440" i="14"/>
  <c r="J439" i="14"/>
  <c r="I439" i="14"/>
  <c r="J438" i="14"/>
  <c r="I438" i="14"/>
  <c r="J437" i="14"/>
  <c r="I437" i="14"/>
  <c r="J436" i="14"/>
  <c r="I436" i="14"/>
  <c r="J432" i="14"/>
  <c r="I432" i="14"/>
  <c r="J431" i="14"/>
  <c r="I431" i="14"/>
  <c r="J430" i="14"/>
  <c r="I430" i="14"/>
  <c r="J429" i="14"/>
  <c r="I429" i="14"/>
  <c r="J428" i="14"/>
  <c r="I428" i="14"/>
  <c r="J427" i="14"/>
  <c r="I427" i="14"/>
  <c r="J426" i="14"/>
  <c r="I426" i="14"/>
  <c r="J425" i="14"/>
  <c r="I425" i="14"/>
  <c r="J424" i="14"/>
  <c r="I424" i="14"/>
  <c r="J423" i="14"/>
  <c r="I423" i="14"/>
  <c r="J422" i="14"/>
  <c r="I422" i="14"/>
  <c r="J421" i="14"/>
  <c r="I421" i="14"/>
  <c r="J420" i="14"/>
  <c r="I420" i="14"/>
  <c r="J419" i="14"/>
  <c r="I419" i="14"/>
  <c r="J418" i="14"/>
  <c r="I418" i="14"/>
  <c r="J417" i="14"/>
  <c r="I417" i="14"/>
  <c r="J416" i="14"/>
  <c r="I416" i="14"/>
  <c r="J415" i="14"/>
  <c r="I415" i="14"/>
  <c r="J414" i="14"/>
  <c r="I414" i="14"/>
  <c r="J413" i="14"/>
  <c r="I413" i="14"/>
  <c r="J409" i="14"/>
  <c r="I409" i="14"/>
  <c r="J408" i="14"/>
  <c r="I408" i="14"/>
  <c r="J407" i="14"/>
  <c r="I407" i="14"/>
  <c r="J406" i="14"/>
  <c r="I406" i="14"/>
  <c r="J405" i="14"/>
  <c r="I405" i="14"/>
  <c r="J404" i="14"/>
  <c r="I404" i="14"/>
  <c r="J403" i="14"/>
  <c r="I403" i="14"/>
  <c r="J402" i="14"/>
  <c r="I402" i="14"/>
  <c r="J401" i="14"/>
  <c r="I401" i="14"/>
  <c r="J400" i="14"/>
  <c r="I400" i="14"/>
  <c r="F387" i="14"/>
  <c r="F388" i="14"/>
  <c r="J385" i="14"/>
  <c r="I385" i="14"/>
  <c r="J384" i="14"/>
  <c r="I384" i="14"/>
  <c r="J383" i="14"/>
  <c r="I383" i="14"/>
  <c r="J382" i="14"/>
  <c r="I382" i="14"/>
  <c r="J381" i="14"/>
  <c r="I381" i="14"/>
  <c r="J380" i="14"/>
  <c r="I380" i="14"/>
  <c r="J379" i="14"/>
  <c r="I379" i="14"/>
  <c r="J378" i="14"/>
  <c r="I378" i="14"/>
  <c r="J377" i="14"/>
  <c r="I377" i="14"/>
  <c r="J376" i="14"/>
  <c r="I376" i="14"/>
  <c r="J375" i="14"/>
  <c r="I375" i="14"/>
  <c r="J374" i="14"/>
  <c r="I374" i="14"/>
  <c r="J373" i="14"/>
  <c r="I373" i="14"/>
  <c r="J372" i="14"/>
  <c r="I372" i="14"/>
  <c r="J371" i="14"/>
  <c r="I371" i="14"/>
  <c r="J370" i="14"/>
  <c r="I370" i="14"/>
  <c r="J369" i="14"/>
  <c r="I369" i="14"/>
  <c r="J368" i="14"/>
  <c r="I368" i="14"/>
  <c r="J367" i="14"/>
  <c r="I367" i="14"/>
  <c r="J366" i="14"/>
  <c r="I366" i="14"/>
  <c r="J362" i="14"/>
  <c r="I362" i="14"/>
  <c r="J361" i="14"/>
  <c r="I361" i="14"/>
  <c r="J360" i="14"/>
  <c r="I360" i="14"/>
  <c r="J359" i="14"/>
  <c r="I359" i="14"/>
  <c r="J358" i="14"/>
  <c r="I358" i="14"/>
  <c r="J357" i="14"/>
  <c r="I357" i="14"/>
  <c r="J356" i="14"/>
  <c r="I356" i="14"/>
  <c r="J355" i="14"/>
  <c r="I355" i="14"/>
  <c r="J354" i="14"/>
  <c r="I354" i="14"/>
  <c r="J353" i="14"/>
  <c r="I353" i="14"/>
  <c r="J352" i="14"/>
  <c r="I352" i="14"/>
  <c r="J351" i="14"/>
  <c r="I351" i="14"/>
  <c r="J350" i="14"/>
  <c r="I350" i="14"/>
  <c r="J349" i="14"/>
  <c r="I349" i="14"/>
  <c r="J348" i="14"/>
  <c r="I348" i="14"/>
  <c r="J347" i="14"/>
  <c r="I347" i="14"/>
  <c r="J346" i="14"/>
  <c r="I346" i="14"/>
  <c r="J345" i="14"/>
  <c r="I345" i="14"/>
  <c r="J344" i="14"/>
  <c r="I344" i="14"/>
  <c r="J343" i="14"/>
  <c r="I343" i="14"/>
  <c r="J339" i="14"/>
  <c r="I339" i="14"/>
  <c r="J338" i="14"/>
  <c r="I338" i="14"/>
  <c r="J337" i="14"/>
  <c r="I337" i="14"/>
  <c r="J336" i="14"/>
  <c r="I336" i="14"/>
  <c r="J335" i="14"/>
  <c r="I335" i="14"/>
  <c r="J334" i="14"/>
  <c r="I334" i="14"/>
  <c r="J333" i="14"/>
  <c r="I333" i="14"/>
  <c r="J332" i="14"/>
  <c r="I332" i="14"/>
  <c r="J331" i="14"/>
  <c r="I331" i="14"/>
  <c r="J330" i="14"/>
  <c r="I330" i="14"/>
  <c r="J329" i="14"/>
  <c r="F317" i="14"/>
  <c r="F318" i="14"/>
  <c r="J315" i="14"/>
  <c r="I315" i="14"/>
  <c r="J314" i="14"/>
  <c r="I314" i="14"/>
  <c r="J313" i="14"/>
  <c r="I313" i="14"/>
  <c r="J312" i="14"/>
  <c r="I312" i="14"/>
  <c r="J311" i="14"/>
  <c r="I311" i="14"/>
  <c r="J310" i="14"/>
  <c r="I310" i="14"/>
  <c r="J309" i="14"/>
  <c r="I309" i="14"/>
  <c r="J308" i="14"/>
  <c r="I308" i="14"/>
  <c r="J307" i="14"/>
  <c r="I307" i="14"/>
  <c r="J306" i="14"/>
  <c r="I306" i="14"/>
  <c r="J305" i="14"/>
  <c r="I305" i="14"/>
  <c r="J304" i="14"/>
  <c r="I304" i="14"/>
  <c r="J303" i="14"/>
  <c r="I303" i="14"/>
  <c r="J302" i="14"/>
  <c r="I302" i="14"/>
  <c r="J301" i="14"/>
  <c r="I301" i="14"/>
  <c r="J300" i="14"/>
  <c r="I300" i="14"/>
  <c r="J299" i="14"/>
  <c r="I299" i="14"/>
  <c r="J298" i="14"/>
  <c r="I298" i="14"/>
  <c r="J297" i="14"/>
  <c r="I297" i="14"/>
  <c r="J296" i="14"/>
  <c r="I296" i="14"/>
  <c r="J292" i="14"/>
  <c r="I292" i="14"/>
  <c r="J291" i="14"/>
  <c r="I291" i="14"/>
  <c r="J290" i="14"/>
  <c r="I290" i="14"/>
  <c r="J289" i="14"/>
  <c r="I289" i="14"/>
  <c r="J288" i="14"/>
  <c r="I288" i="14"/>
  <c r="J287" i="14"/>
  <c r="I287" i="14"/>
  <c r="J286" i="14"/>
  <c r="I286" i="14"/>
  <c r="J285" i="14"/>
  <c r="I285" i="14"/>
  <c r="J284" i="14"/>
  <c r="I284" i="14"/>
  <c r="J283" i="14"/>
  <c r="I283" i="14"/>
  <c r="J282" i="14"/>
  <c r="I282" i="14"/>
  <c r="J281" i="14"/>
  <c r="I281" i="14"/>
  <c r="J280" i="14"/>
  <c r="I280" i="14"/>
  <c r="J279" i="14"/>
  <c r="I279" i="14"/>
  <c r="J278" i="14"/>
  <c r="I278" i="14"/>
  <c r="J277" i="14"/>
  <c r="I277" i="14"/>
  <c r="J276" i="14"/>
  <c r="I276" i="14"/>
  <c r="J275" i="14"/>
  <c r="I275" i="14"/>
  <c r="J274" i="14"/>
  <c r="I274" i="14"/>
  <c r="J273" i="14"/>
  <c r="I273" i="14"/>
  <c r="J269" i="14"/>
  <c r="I269" i="14"/>
  <c r="J268" i="14"/>
  <c r="I268" i="14"/>
  <c r="J267" i="14"/>
  <c r="I267" i="14"/>
  <c r="J266" i="14"/>
  <c r="I266" i="14"/>
  <c r="J265" i="14"/>
  <c r="I265" i="14"/>
  <c r="J264" i="14"/>
  <c r="I264" i="14"/>
  <c r="J263" i="14"/>
  <c r="I263" i="14"/>
  <c r="J262" i="14"/>
  <c r="I262" i="14"/>
  <c r="J261" i="14"/>
  <c r="I261" i="14"/>
  <c r="J260" i="14"/>
  <c r="F247" i="14"/>
  <c r="F248" i="14"/>
  <c r="J245" i="14"/>
  <c r="I245" i="14"/>
  <c r="J244" i="14"/>
  <c r="I244" i="14"/>
  <c r="J243" i="14"/>
  <c r="I243" i="14"/>
  <c r="J242" i="14"/>
  <c r="I242" i="14"/>
  <c r="J241" i="14"/>
  <c r="I241" i="14"/>
  <c r="J240" i="14"/>
  <c r="I240" i="14"/>
  <c r="J239" i="14"/>
  <c r="I239" i="14"/>
  <c r="J238" i="14"/>
  <c r="I238" i="14"/>
  <c r="J237" i="14"/>
  <c r="I237" i="14"/>
  <c r="J236" i="14"/>
  <c r="I236" i="14"/>
  <c r="J235" i="14"/>
  <c r="I235" i="14"/>
  <c r="J234" i="14"/>
  <c r="I234" i="14"/>
  <c r="J233" i="14"/>
  <c r="I233" i="14"/>
  <c r="J232" i="14"/>
  <c r="I232" i="14"/>
  <c r="J231" i="14"/>
  <c r="I231" i="14"/>
  <c r="J230" i="14"/>
  <c r="I230" i="14"/>
  <c r="J229" i="14"/>
  <c r="I229" i="14"/>
  <c r="J228" i="14"/>
  <c r="I228" i="14"/>
  <c r="J227" i="14"/>
  <c r="I227" i="14"/>
  <c r="J226" i="14"/>
  <c r="I226" i="14"/>
  <c r="J222" i="14"/>
  <c r="I222" i="14"/>
  <c r="J221" i="14"/>
  <c r="I221" i="14"/>
  <c r="J220" i="14"/>
  <c r="I220" i="14"/>
  <c r="J219" i="14"/>
  <c r="I219" i="14"/>
  <c r="J218" i="14"/>
  <c r="I218" i="14"/>
  <c r="J217" i="14"/>
  <c r="I217" i="14"/>
  <c r="J216" i="14"/>
  <c r="I216" i="14"/>
  <c r="J215" i="14"/>
  <c r="I215" i="14"/>
  <c r="J214" i="14"/>
  <c r="I214" i="14"/>
  <c r="J213" i="14"/>
  <c r="I213" i="14"/>
  <c r="J212" i="14"/>
  <c r="I212" i="14"/>
  <c r="J211" i="14"/>
  <c r="I211" i="14"/>
  <c r="J210" i="14"/>
  <c r="I210" i="14"/>
  <c r="J209" i="14"/>
  <c r="I209" i="14"/>
  <c r="J208" i="14"/>
  <c r="I208" i="14"/>
  <c r="J207" i="14"/>
  <c r="I207" i="14"/>
  <c r="J206" i="14"/>
  <c r="I206" i="14"/>
  <c r="J205" i="14"/>
  <c r="I205" i="14"/>
  <c r="J204" i="14"/>
  <c r="I204" i="14"/>
  <c r="J203" i="14"/>
  <c r="I203" i="14"/>
  <c r="J199" i="14"/>
  <c r="I199" i="14"/>
  <c r="J198" i="14"/>
  <c r="I198" i="14"/>
  <c r="J197" i="14"/>
  <c r="I197" i="14"/>
  <c r="J196" i="14"/>
  <c r="I196" i="14"/>
  <c r="J195" i="14"/>
  <c r="I195" i="14"/>
  <c r="J194" i="14"/>
  <c r="I194" i="14"/>
  <c r="J193" i="14"/>
  <c r="I193" i="14"/>
  <c r="J192" i="14"/>
  <c r="I192" i="14"/>
  <c r="J191" i="14"/>
  <c r="J190" i="14"/>
  <c r="I190" i="14"/>
  <c r="F177" i="14"/>
  <c r="F178" i="14"/>
  <c r="J175" i="14"/>
  <c r="I175" i="14"/>
  <c r="J174" i="14"/>
  <c r="I174" i="14"/>
  <c r="J173" i="14"/>
  <c r="I173" i="14"/>
  <c r="J172" i="14"/>
  <c r="I172" i="14"/>
  <c r="J171" i="14"/>
  <c r="I171" i="14"/>
  <c r="J170" i="14"/>
  <c r="I170" i="14"/>
  <c r="J169" i="14"/>
  <c r="I169" i="14"/>
  <c r="J168" i="14"/>
  <c r="I168" i="14"/>
  <c r="J167" i="14"/>
  <c r="I167" i="14"/>
  <c r="J166" i="14"/>
  <c r="I166" i="14"/>
  <c r="J165" i="14"/>
  <c r="I165" i="14"/>
  <c r="J164" i="14"/>
  <c r="I164" i="14"/>
  <c r="J163" i="14"/>
  <c r="I163" i="14"/>
  <c r="J162" i="14"/>
  <c r="I162" i="14"/>
  <c r="J161" i="14"/>
  <c r="I161" i="14"/>
  <c r="J160" i="14"/>
  <c r="I160" i="14"/>
  <c r="J159" i="14"/>
  <c r="I159" i="14"/>
  <c r="J158" i="14"/>
  <c r="I158" i="14"/>
  <c r="B158" i="14"/>
  <c r="B159" i="14"/>
  <c r="B160" i="14"/>
  <c r="B161" i="14"/>
  <c r="B162" i="14"/>
  <c r="B163" i="14"/>
  <c r="B164" i="14"/>
  <c r="J157" i="14"/>
  <c r="I157" i="14"/>
  <c r="J156" i="14"/>
  <c r="I156" i="14"/>
  <c r="J152" i="14"/>
  <c r="I152" i="14"/>
  <c r="J151" i="14"/>
  <c r="I151" i="14"/>
  <c r="J150" i="14"/>
  <c r="I150" i="14"/>
  <c r="J149" i="14"/>
  <c r="I149" i="14"/>
  <c r="J148" i="14"/>
  <c r="I148" i="14"/>
  <c r="J147" i="14"/>
  <c r="I147" i="14"/>
  <c r="J146" i="14"/>
  <c r="I146" i="14"/>
  <c r="J145" i="14"/>
  <c r="I145" i="14"/>
  <c r="J144" i="14"/>
  <c r="I144" i="14"/>
  <c r="J143" i="14"/>
  <c r="I143" i="14"/>
  <c r="J142" i="14"/>
  <c r="I142" i="14"/>
  <c r="J141" i="14"/>
  <c r="I141" i="14"/>
  <c r="J140" i="14"/>
  <c r="I140" i="14"/>
  <c r="J139" i="14"/>
  <c r="I139" i="14"/>
  <c r="J138" i="14"/>
  <c r="I138" i="14"/>
  <c r="J137" i="14"/>
  <c r="I137" i="14"/>
  <c r="J136" i="14"/>
  <c r="I136" i="14"/>
  <c r="J135" i="14"/>
  <c r="I135" i="14"/>
  <c r="J134" i="14"/>
  <c r="I134" i="14"/>
  <c r="J131" i="14"/>
  <c r="I131" i="14"/>
  <c r="J130" i="14"/>
  <c r="I130" i="14"/>
  <c r="J129" i="14"/>
  <c r="I129" i="14"/>
  <c r="J128" i="14"/>
  <c r="I128" i="14"/>
  <c r="J127" i="14"/>
  <c r="I127" i="14"/>
  <c r="J126" i="14"/>
  <c r="I126" i="14"/>
  <c r="J125" i="14"/>
  <c r="I125" i="14"/>
  <c r="J124" i="14"/>
  <c r="I124" i="14"/>
  <c r="J123" i="14"/>
  <c r="I123" i="14"/>
  <c r="J122" i="14"/>
  <c r="I122" i="14"/>
  <c r="J121" i="14"/>
  <c r="I121" i="14"/>
  <c r="F108" i="14"/>
  <c r="F109" i="14"/>
  <c r="J106" i="14"/>
  <c r="I106" i="14"/>
  <c r="J105" i="14"/>
  <c r="I105" i="14"/>
  <c r="J104" i="14"/>
  <c r="I104" i="14"/>
  <c r="J103" i="14"/>
  <c r="I103" i="14"/>
  <c r="J102" i="14"/>
  <c r="I102" i="14"/>
  <c r="J101" i="14"/>
  <c r="I101" i="14"/>
  <c r="J100" i="14"/>
  <c r="I100" i="14"/>
  <c r="J97" i="14"/>
  <c r="I97" i="14"/>
  <c r="J96" i="14"/>
  <c r="I96" i="14"/>
  <c r="J95" i="14"/>
  <c r="I95" i="14"/>
  <c r="J94" i="14"/>
  <c r="I94" i="14"/>
  <c r="J93" i="14"/>
  <c r="I93" i="14"/>
  <c r="J92" i="14"/>
  <c r="I92" i="14"/>
  <c r="J91" i="14"/>
  <c r="I91" i="14"/>
  <c r="J90" i="14"/>
  <c r="I90" i="14"/>
  <c r="J89" i="14"/>
  <c r="I89" i="14"/>
  <c r="J86" i="14"/>
  <c r="I86" i="14"/>
  <c r="J85" i="14"/>
  <c r="I85" i="14"/>
  <c r="J84" i="14"/>
  <c r="I84" i="14"/>
  <c r="J83" i="14"/>
  <c r="I83" i="14"/>
  <c r="J82" i="14"/>
  <c r="I82" i="14"/>
  <c r="J81" i="14"/>
  <c r="I81" i="14"/>
  <c r="J80" i="14"/>
  <c r="I80" i="14"/>
  <c r="J79" i="14"/>
  <c r="I79" i="14"/>
  <c r="J78" i="14"/>
  <c r="I78" i="14"/>
  <c r="G73" i="14"/>
  <c r="G116" i="14"/>
  <c r="G185" i="14"/>
  <c r="G255" i="14"/>
  <c r="F73" i="14"/>
  <c r="F116" i="14"/>
  <c r="F185" i="14"/>
  <c r="C116" i="14"/>
  <c r="C185" i="14"/>
  <c r="C255" i="14"/>
  <c r="C325" i="14"/>
  <c r="C395" i="14"/>
  <c r="C465" i="14"/>
  <c r="C535" i="14"/>
  <c r="C605" i="14"/>
  <c r="C675" i="14"/>
  <c r="C745" i="14"/>
  <c r="J62" i="14"/>
  <c r="I62" i="14"/>
  <c r="J61" i="14"/>
  <c r="I61" i="14"/>
  <c r="J60" i="14"/>
  <c r="I60" i="14"/>
  <c r="J59" i="14"/>
  <c r="I59" i="14"/>
  <c r="J58" i="14"/>
  <c r="I58" i="14"/>
  <c r="J57" i="14"/>
  <c r="I57" i="14"/>
  <c r="J56" i="14"/>
  <c r="I56" i="14"/>
  <c r="J55" i="14"/>
  <c r="I55" i="14"/>
  <c r="J54" i="14"/>
  <c r="I54" i="14"/>
  <c r="J53" i="14"/>
  <c r="I53" i="14"/>
  <c r="J52" i="14"/>
  <c r="I52" i="14"/>
  <c r="J51" i="14"/>
  <c r="I51" i="14"/>
  <c r="J50" i="14"/>
  <c r="I50" i="14"/>
  <c r="J49" i="14"/>
  <c r="I49" i="14"/>
  <c r="J48" i="14"/>
  <c r="I48" i="14"/>
  <c r="J47" i="14"/>
  <c r="I47" i="14"/>
  <c r="J46" i="14"/>
  <c r="I46" i="14"/>
  <c r="J43" i="14"/>
  <c r="I43" i="14"/>
  <c r="J42" i="14"/>
  <c r="I42" i="14"/>
  <c r="J41" i="14"/>
  <c r="I41" i="14"/>
  <c r="J40" i="14"/>
  <c r="I40" i="14"/>
  <c r="J39" i="14"/>
  <c r="I39" i="14"/>
  <c r="J38" i="14"/>
  <c r="I38" i="14"/>
  <c r="J37" i="14"/>
  <c r="I37" i="14"/>
  <c r="H32" i="14"/>
  <c r="E16" i="14"/>
  <c r="K16" i="14"/>
  <c r="F838" i="13"/>
  <c r="F839" i="13"/>
  <c r="J836" i="13"/>
  <c r="I836" i="13"/>
  <c r="J835" i="13"/>
  <c r="I835" i="13"/>
  <c r="J834" i="13"/>
  <c r="I834" i="13"/>
  <c r="J833" i="13"/>
  <c r="I833" i="13"/>
  <c r="J832" i="13"/>
  <c r="I832" i="13"/>
  <c r="J831" i="13"/>
  <c r="I831" i="13"/>
  <c r="J830" i="13"/>
  <c r="I830" i="13"/>
  <c r="J829" i="13"/>
  <c r="I829" i="13"/>
  <c r="J828" i="13"/>
  <c r="I828" i="13"/>
  <c r="J827" i="13"/>
  <c r="I827" i="13"/>
  <c r="J826" i="13"/>
  <c r="I826" i="13"/>
  <c r="J825" i="13"/>
  <c r="I825" i="13"/>
  <c r="J824" i="13"/>
  <c r="I824" i="13"/>
  <c r="J823" i="13"/>
  <c r="I823" i="13"/>
  <c r="J822" i="13"/>
  <c r="I822" i="13"/>
  <c r="J821" i="13"/>
  <c r="I821" i="13"/>
  <c r="J820" i="13"/>
  <c r="I820" i="13"/>
  <c r="J819" i="13"/>
  <c r="I819" i="13"/>
  <c r="J818" i="13"/>
  <c r="I818" i="13"/>
  <c r="J817" i="13"/>
  <c r="I817" i="13"/>
  <c r="J813" i="13"/>
  <c r="I813" i="13"/>
  <c r="J812" i="13"/>
  <c r="I812" i="13"/>
  <c r="J811" i="13"/>
  <c r="I811" i="13"/>
  <c r="J810" i="13"/>
  <c r="I810" i="13"/>
  <c r="J809" i="13"/>
  <c r="I809" i="13"/>
  <c r="J808" i="13"/>
  <c r="I808" i="13"/>
  <c r="J807" i="13"/>
  <c r="I807" i="13"/>
  <c r="J806" i="13"/>
  <c r="I806" i="13"/>
  <c r="J805" i="13"/>
  <c r="I805" i="13"/>
  <c r="J804" i="13"/>
  <c r="I804" i="13"/>
  <c r="J803" i="13"/>
  <c r="I803" i="13"/>
  <c r="J802" i="13"/>
  <c r="I802" i="13"/>
  <c r="J801" i="13"/>
  <c r="I801" i="13"/>
  <c r="J800" i="13"/>
  <c r="I800" i="13"/>
  <c r="J799" i="13"/>
  <c r="I799" i="13"/>
  <c r="J798" i="13"/>
  <c r="I798" i="13"/>
  <c r="J797" i="13"/>
  <c r="I797" i="13"/>
  <c r="J796" i="13"/>
  <c r="I796" i="13"/>
  <c r="J795" i="13"/>
  <c r="I795" i="13"/>
  <c r="J794" i="13"/>
  <c r="I794" i="13"/>
  <c r="J790" i="13"/>
  <c r="I790" i="13"/>
  <c r="J789" i="13"/>
  <c r="I789" i="13"/>
  <c r="J788" i="13"/>
  <c r="I788" i="13"/>
  <c r="J787" i="13"/>
  <c r="I787" i="13"/>
  <c r="J786" i="13"/>
  <c r="I786" i="13"/>
  <c r="J785" i="13"/>
  <c r="I785" i="13"/>
  <c r="J784" i="13"/>
  <c r="I784" i="13"/>
  <c r="J783" i="13"/>
  <c r="I783" i="13"/>
  <c r="J782" i="13"/>
  <c r="I782" i="13"/>
  <c r="J781" i="13"/>
  <c r="F768" i="13"/>
  <c r="F769" i="13"/>
  <c r="J766" i="13"/>
  <c r="I766" i="13"/>
  <c r="J765" i="13"/>
  <c r="I765" i="13"/>
  <c r="J764" i="13"/>
  <c r="I764" i="13"/>
  <c r="J763" i="13"/>
  <c r="I763" i="13"/>
  <c r="J762" i="13"/>
  <c r="I762" i="13"/>
  <c r="J761" i="13"/>
  <c r="I761" i="13"/>
  <c r="J760" i="13"/>
  <c r="I760" i="13"/>
  <c r="J759" i="13"/>
  <c r="I759" i="13"/>
  <c r="J758" i="13"/>
  <c r="I758" i="13"/>
  <c r="J757" i="13"/>
  <c r="I757" i="13"/>
  <c r="J756" i="13"/>
  <c r="I756" i="13"/>
  <c r="J755" i="13"/>
  <c r="I755" i="13"/>
  <c r="J754" i="13"/>
  <c r="I754" i="13"/>
  <c r="J753" i="13"/>
  <c r="I753" i="13"/>
  <c r="J752" i="13"/>
  <c r="I752" i="13"/>
  <c r="J751" i="13"/>
  <c r="I751" i="13"/>
  <c r="J750" i="13"/>
  <c r="I750" i="13"/>
  <c r="J749" i="13"/>
  <c r="I749" i="13"/>
  <c r="J748" i="13"/>
  <c r="I748" i="13"/>
  <c r="J747" i="13"/>
  <c r="I747" i="13"/>
  <c r="J743" i="13"/>
  <c r="I743" i="13"/>
  <c r="J742" i="13"/>
  <c r="I742" i="13"/>
  <c r="J741" i="13"/>
  <c r="I741" i="13"/>
  <c r="J740" i="13"/>
  <c r="I740" i="13"/>
  <c r="J739" i="13"/>
  <c r="I739" i="13"/>
  <c r="J738" i="13"/>
  <c r="I738" i="13"/>
  <c r="J737" i="13"/>
  <c r="I737" i="13"/>
  <c r="J736" i="13"/>
  <c r="I736" i="13"/>
  <c r="J735" i="13"/>
  <c r="I735" i="13"/>
  <c r="J734" i="13"/>
  <c r="I734" i="13"/>
  <c r="J733" i="13"/>
  <c r="I733" i="13"/>
  <c r="J732" i="13"/>
  <c r="I732" i="13"/>
  <c r="J731" i="13"/>
  <c r="I731" i="13"/>
  <c r="J730" i="13"/>
  <c r="I730" i="13"/>
  <c r="J729" i="13"/>
  <c r="I729" i="13"/>
  <c r="J728" i="13"/>
  <c r="I728" i="13"/>
  <c r="J727" i="13"/>
  <c r="I727" i="13"/>
  <c r="J726" i="13"/>
  <c r="I726" i="13"/>
  <c r="J725" i="13"/>
  <c r="I725" i="13"/>
  <c r="J724" i="13"/>
  <c r="I724" i="13"/>
  <c r="J720" i="13"/>
  <c r="I720" i="13"/>
  <c r="J719" i="13"/>
  <c r="I719" i="13"/>
  <c r="J718" i="13"/>
  <c r="I718" i="13"/>
  <c r="J717" i="13"/>
  <c r="I717" i="13"/>
  <c r="J716" i="13"/>
  <c r="I716" i="13"/>
  <c r="J715" i="13"/>
  <c r="I715" i="13"/>
  <c r="J714" i="13"/>
  <c r="I714" i="13"/>
  <c r="J713" i="13"/>
  <c r="I713" i="13"/>
  <c r="J712" i="13"/>
  <c r="I712" i="13"/>
  <c r="J711" i="13"/>
  <c r="F698" i="13"/>
  <c r="F699" i="13"/>
  <c r="J696" i="13"/>
  <c r="I696" i="13"/>
  <c r="J695" i="13"/>
  <c r="I695" i="13"/>
  <c r="J694" i="13"/>
  <c r="I694" i="13"/>
  <c r="J693" i="13"/>
  <c r="I693" i="13"/>
  <c r="J692" i="13"/>
  <c r="I692" i="13"/>
  <c r="J691" i="13"/>
  <c r="I691" i="13"/>
  <c r="J690" i="13"/>
  <c r="I690" i="13"/>
  <c r="J689" i="13"/>
  <c r="I689" i="13"/>
  <c r="J688" i="13"/>
  <c r="I688" i="13"/>
  <c r="J687" i="13"/>
  <c r="I687" i="13"/>
  <c r="J686" i="13"/>
  <c r="I686" i="13"/>
  <c r="J685" i="13"/>
  <c r="I685" i="13"/>
  <c r="J684" i="13"/>
  <c r="I684" i="13"/>
  <c r="J683" i="13"/>
  <c r="I683" i="13"/>
  <c r="J682" i="13"/>
  <c r="I682" i="13"/>
  <c r="J681" i="13"/>
  <c r="I681" i="13"/>
  <c r="J680" i="13"/>
  <c r="I680" i="13"/>
  <c r="J679" i="13"/>
  <c r="I679" i="13"/>
  <c r="J678" i="13"/>
  <c r="I678" i="13"/>
  <c r="J677" i="13"/>
  <c r="I677" i="13"/>
  <c r="J673" i="13"/>
  <c r="I673" i="13"/>
  <c r="J672" i="13"/>
  <c r="I672" i="13"/>
  <c r="J671" i="13"/>
  <c r="I671" i="13"/>
  <c r="J670" i="13"/>
  <c r="I670" i="13"/>
  <c r="J669" i="13"/>
  <c r="I669" i="13"/>
  <c r="J668" i="13"/>
  <c r="I668" i="13"/>
  <c r="J667" i="13"/>
  <c r="I667" i="13"/>
  <c r="J666" i="13"/>
  <c r="I666" i="13"/>
  <c r="J665" i="13"/>
  <c r="I665" i="13"/>
  <c r="J664" i="13"/>
  <c r="I664" i="13"/>
  <c r="J663" i="13"/>
  <c r="I663" i="13"/>
  <c r="J662" i="13"/>
  <c r="I662" i="13"/>
  <c r="J661" i="13"/>
  <c r="I661" i="13"/>
  <c r="J660" i="13"/>
  <c r="I660" i="13"/>
  <c r="J659" i="13"/>
  <c r="I659" i="13"/>
  <c r="J658" i="13"/>
  <c r="I658" i="13"/>
  <c r="J657" i="13"/>
  <c r="I657" i="13"/>
  <c r="J656" i="13"/>
  <c r="I656" i="13"/>
  <c r="J655" i="13"/>
  <c r="I655" i="13"/>
  <c r="J654" i="13"/>
  <c r="I654" i="13"/>
  <c r="J650" i="13"/>
  <c r="I650" i="13"/>
  <c r="J649" i="13"/>
  <c r="I649" i="13"/>
  <c r="J648" i="13"/>
  <c r="I648" i="13"/>
  <c r="J647" i="13"/>
  <c r="I647" i="13"/>
  <c r="J646" i="13"/>
  <c r="I646" i="13"/>
  <c r="J645" i="13"/>
  <c r="I645" i="13"/>
  <c r="J644" i="13"/>
  <c r="I644" i="13"/>
  <c r="J643" i="13"/>
  <c r="I643" i="13"/>
  <c r="J642" i="13"/>
  <c r="I642" i="13"/>
  <c r="J641" i="13"/>
  <c r="F628" i="13"/>
  <c r="F629" i="13"/>
  <c r="J626" i="13"/>
  <c r="I626" i="13"/>
  <c r="J625" i="13"/>
  <c r="I625" i="13"/>
  <c r="J624" i="13"/>
  <c r="I624" i="13"/>
  <c r="J623" i="13"/>
  <c r="I623" i="13"/>
  <c r="J622" i="13"/>
  <c r="I622" i="13"/>
  <c r="J621" i="13"/>
  <c r="I621" i="13"/>
  <c r="J620" i="13"/>
  <c r="I620" i="13"/>
  <c r="J619" i="13"/>
  <c r="I619" i="13"/>
  <c r="J618" i="13"/>
  <c r="I618" i="13"/>
  <c r="J617" i="13"/>
  <c r="I617" i="13"/>
  <c r="J616" i="13"/>
  <c r="I616" i="13"/>
  <c r="J615" i="13"/>
  <c r="I615" i="13"/>
  <c r="J614" i="13"/>
  <c r="I614" i="13"/>
  <c r="J613" i="13"/>
  <c r="I613" i="13"/>
  <c r="J612" i="13"/>
  <c r="I612" i="13"/>
  <c r="J611" i="13"/>
  <c r="I611" i="13"/>
  <c r="J610" i="13"/>
  <c r="I610" i="13"/>
  <c r="J609" i="13"/>
  <c r="I609" i="13"/>
  <c r="J608" i="13"/>
  <c r="I608" i="13"/>
  <c r="J607" i="13"/>
  <c r="I607" i="13"/>
  <c r="J603" i="13"/>
  <c r="I603" i="13"/>
  <c r="J602" i="13"/>
  <c r="I602" i="13"/>
  <c r="J601" i="13"/>
  <c r="I601" i="13"/>
  <c r="J600" i="13"/>
  <c r="I600" i="13"/>
  <c r="J599" i="13"/>
  <c r="I599" i="13"/>
  <c r="J598" i="13"/>
  <c r="I598" i="13"/>
  <c r="J597" i="13"/>
  <c r="I597" i="13"/>
  <c r="J596" i="13"/>
  <c r="I596" i="13"/>
  <c r="J595" i="13"/>
  <c r="I595" i="13"/>
  <c r="J594" i="13"/>
  <c r="I594" i="13"/>
  <c r="J593" i="13"/>
  <c r="I593" i="13"/>
  <c r="J592" i="13"/>
  <c r="I592" i="13"/>
  <c r="J591" i="13"/>
  <c r="I591" i="13"/>
  <c r="J590" i="13"/>
  <c r="I590" i="13"/>
  <c r="J589" i="13"/>
  <c r="I589" i="13"/>
  <c r="J588" i="13"/>
  <c r="I588" i="13"/>
  <c r="J587" i="13"/>
  <c r="I587" i="13"/>
  <c r="J586" i="13"/>
  <c r="I586" i="13"/>
  <c r="J585" i="13"/>
  <c r="I585" i="13"/>
  <c r="J584" i="13"/>
  <c r="I584" i="13"/>
  <c r="J580" i="13"/>
  <c r="I580" i="13"/>
  <c r="J579" i="13"/>
  <c r="I579" i="13"/>
  <c r="J578" i="13"/>
  <c r="I578" i="13"/>
  <c r="J577" i="13"/>
  <c r="I577" i="13"/>
  <c r="J576" i="13"/>
  <c r="I576" i="13"/>
  <c r="J575" i="13"/>
  <c r="I575" i="13"/>
  <c r="J574" i="13"/>
  <c r="I574" i="13"/>
  <c r="J573" i="13"/>
  <c r="I573" i="13"/>
  <c r="J572" i="13"/>
  <c r="I572" i="13"/>
  <c r="J571" i="13"/>
  <c r="F558" i="13"/>
  <c r="F559" i="13"/>
  <c r="J556" i="13"/>
  <c r="I556" i="13"/>
  <c r="J555" i="13"/>
  <c r="I555" i="13"/>
  <c r="J554" i="13"/>
  <c r="I554" i="13"/>
  <c r="J553" i="13"/>
  <c r="I553" i="13"/>
  <c r="J552" i="13"/>
  <c r="I552" i="13"/>
  <c r="J551" i="13"/>
  <c r="I551" i="13"/>
  <c r="J550" i="13"/>
  <c r="I550" i="13"/>
  <c r="J549" i="13"/>
  <c r="I549" i="13"/>
  <c r="J548" i="13"/>
  <c r="I548" i="13"/>
  <c r="J547" i="13"/>
  <c r="I547" i="13"/>
  <c r="J546" i="13"/>
  <c r="I546" i="13"/>
  <c r="J545" i="13"/>
  <c r="I545" i="13"/>
  <c r="J544" i="13"/>
  <c r="I544" i="13"/>
  <c r="J543" i="13"/>
  <c r="I543" i="13"/>
  <c r="J542" i="13"/>
  <c r="I542" i="13"/>
  <c r="J541" i="13"/>
  <c r="I541" i="13"/>
  <c r="J540" i="13"/>
  <c r="I540" i="13"/>
  <c r="J539" i="13"/>
  <c r="I539" i="13"/>
  <c r="J538" i="13"/>
  <c r="I538" i="13"/>
  <c r="J537" i="13"/>
  <c r="I537" i="13"/>
  <c r="J533" i="13"/>
  <c r="I533" i="13"/>
  <c r="J532" i="13"/>
  <c r="I532" i="13"/>
  <c r="J531" i="13"/>
  <c r="I531" i="13"/>
  <c r="J530" i="13"/>
  <c r="I530" i="13"/>
  <c r="J529" i="13"/>
  <c r="I529" i="13"/>
  <c r="J528" i="13"/>
  <c r="I528" i="13"/>
  <c r="J527" i="13"/>
  <c r="I527" i="13"/>
  <c r="J526" i="13"/>
  <c r="I526" i="13"/>
  <c r="J525" i="13"/>
  <c r="I525" i="13"/>
  <c r="J524" i="13"/>
  <c r="I524" i="13"/>
  <c r="J523" i="13"/>
  <c r="I523" i="13"/>
  <c r="J522" i="13"/>
  <c r="I522" i="13"/>
  <c r="J521" i="13"/>
  <c r="I521" i="13"/>
  <c r="J520" i="13"/>
  <c r="I520" i="13"/>
  <c r="J519" i="13"/>
  <c r="I519" i="13"/>
  <c r="J518" i="13"/>
  <c r="I518" i="13"/>
  <c r="J517" i="13"/>
  <c r="I517" i="13"/>
  <c r="J516" i="13"/>
  <c r="I516" i="13"/>
  <c r="J515" i="13"/>
  <c r="I515" i="13"/>
  <c r="J514" i="13"/>
  <c r="I514" i="13"/>
  <c r="J510" i="13"/>
  <c r="I510" i="13"/>
  <c r="J509" i="13"/>
  <c r="I509" i="13"/>
  <c r="J508" i="13"/>
  <c r="I508" i="13"/>
  <c r="J507" i="13"/>
  <c r="I507" i="13"/>
  <c r="J506" i="13"/>
  <c r="I506" i="13"/>
  <c r="J505" i="13"/>
  <c r="I505" i="13"/>
  <c r="J504" i="13"/>
  <c r="I504" i="13"/>
  <c r="J503" i="13"/>
  <c r="I503" i="13"/>
  <c r="J502" i="13"/>
  <c r="I502" i="13"/>
  <c r="J501" i="13"/>
  <c r="I501" i="13"/>
  <c r="F488" i="13"/>
  <c r="F489" i="13"/>
  <c r="J486" i="13"/>
  <c r="I486" i="13"/>
  <c r="J485" i="13"/>
  <c r="I485" i="13"/>
  <c r="J484" i="13"/>
  <c r="I484" i="13"/>
  <c r="J483" i="13"/>
  <c r="I483" i="13"/>
  <c r="J482" i="13"/>
  <c r="I482" i="13"/>
  <c r="J481" i="13"/>
  <c r="I481" i="13"/>
  <c r="J480" i="13"/>
  <c r="I480" i="13"/>
  <c r="J479" i="13"/>
  <c r="I479" i="13"/>
  <c r="J478" i="13"/>
  <c r="I478" i="13"/>
  <c r="J477" i="13"/>
  <c r="I477" i="13"/>
  <c r="J476" i="13"/>
  <c r="I476" i="13"/>
  <c r="J475" i="13"/>
  <c r="I475" i="13"/>
  <c r="J474" i="13"/>
  <c r="I474" i="13"/>
  <c r="J473" i="13"/>
  <c r="I473" i="13"/>
  <c r="J472" i="13"/>
  <c r="I472" i="13"/>
  <c r="J471" i="13"/>
  <c r="I471" i="13"/>
  <c r="J470" i="13"/>
  <c r="I470" i="13"/>
  <c r="J469" i="13"/>
  <c r="I469" i="13"/>
  <c r="J468" i="13"/>
  <c r="I468" i="13"/>
  <c r="J467" i="13"/>
  <c r="I467" i="13"/>
  <c r="J463" i="13"/>
  <c r="I463" i="13"/>
  <c r="J462" i="13"/>
  <c r="I462" i="13"/>
  <c r="J461" i="13"/>
  <c r="I461" i="13"/>
  <c r="J460" i="13"/>
  <c r="I460" i="13"/>
  <c r="J459" i="13"/>
  <c r="I459" i="13"/>
  <c r="J458" i="13"/>
  <c r="I458" i="13"/>
  <c r="J457" i="13"/>
  <c r="I457" i="13"/>
  <c r="J456" i="13"/>
  <c r="I456" i="13"/>
  <c r="J455" i="13"/>
  <c r="I455" i="13"/>
  <c r="J454" i="13"/>
  <c r="I454" i="13"/>
  <c r="J453" i="13"/>
  <c r="I453" i="13"/>
  <c r="J452" i="13"/>
  <c r="I452" i="13"/>
  <c r="J451" i="13"/>
  <c r="I451" i="13"/>
  <c r="J450" i="13"/>
  <c r="I450" i="13"/>
  <c r="J449" i="13"/>
  <c r="I449" i="13"/>
  <c r="J448" i="13"/>
  <c r="I448" i="13"/>
  <c r="J447" i="13"/>
  <c r="I447" i="13"/>
  <c r="J446" i="13"/>
  <c r="I446" i="13"/>
  <c r="J445" i="13"/>
  <c r="I445" i="13"/>
  <c r="J444" i="13"/>
  <c r="I444" i="13"/>
  <c r="J440" i="13"/>
  <c r="I440" i="13"/>
  <c r="J439" i="13"/>
  <c r="I439" i="13"/>
  <c r="J438" i="13"/>
  <c r="I438" i="13"/>
  <c r="J437" i="13"/>
  <c r="I437" i="13"/>
  <c r="J436" i="13"/>
  <c r="I436" i="13"/>
  <c r="J435" i="13"/>
  <c r="I435" i="13"/>
  <c r="J434" i="13"/>
  <c r="I434" i="13"/>
  <c r="J433" i="13"/>
  <c r="I433" i="13"/>
  <c r="J432" i="13"/>
  <c r="I432" i="13"/>
  <c r="J431" i="13"/>
  <c r="F418" i="13"/>
  <c r="F419" i="13"/>
  <c r="J416" i="13"/>
  <c r="I416" i="13"/>
  <c r="J415" i="13"/>
  <c r="I415" i="13"/>
  <c r="J414" i="13"/>
  <c r="I414" i="13"/>
  <c r="J413" i="13"/>
  <c r="I413" i="13"/>
  <c r="J412" i="13"/>
  <c r="I412" i="13"/>
  <c r="J411" i="13"/>
  <c r="I411" i="13"/>
  <c r="J410" i="13"/>
  <c r="I410" i="13"/>
  <c r="J409" i="13"/>
  <c r="I409" i="13"/>
  <c r="J408" i="13"/>
  <c r="I408" i="13"/>
  <c r="J407" i="13"/>
  <c r="I407" i="13"/>
  <c r="J406" i="13"/>
  <c r="I406" i="13"/>
  <c r="J405" i="13"/>
  <c r="I405" i="13"/>
  <c r="J404" i="13"/>
  <c r="I404" i="13"/>
  <c r="J403" i="13"/>
  <c r="I403" i="13"/>
  <c r="J402" i="13"/>
  <c r="I402" i="13"/>
  <c r="J401" i="13"/>
  <c r="I401" i="13"/>
  <c r="J400" i="13"/>
  <c r="I400" i="13"/>
  <c r="J399" i="13"/>
  <c r="I399" i="13"/>
  <c r="J398" i="13"/>
  <c r="I398" i="13"/>
  <c r="J397" i="13"/>
  <c r="I397" i="13"/>
  <c r="J393" i="13"/>
  <c r="I393" i="13"/>
  <c r="J392" i="13"/>
  <c r="I392" i="13"/>
  <c r="J391" i="13"/>
  <c r="I391" i="13"/>
  <c r="J390" i="13"/>
  <c r="I390" i="13"/>
  <c r="J389" i="13"/>
  <c r="I389" i="13"/>
  <c r="J388" i="13"/>
  <c r="I388" i="13"/>
  <c r="J387" i="13"/>
  <c r="I387" i="13"/>
  <c r="J386" i="13"/>
  <c r="I386" i="13"/>
  <c r="J385" i="13"/>
  <c r="I385" i="13"/>
  <c r="J384" i="13"/>
  <c r="I384" i="13"/>
  <c r="J383" i="13"/>
  <c r="I383" i="13"/>
  <c r="J382" i="13"/>
  <c r="I382" i="13"/>
  <c r="J381" i="13"/>
  <c r="I381" i="13"/>
  <c r="J380" i="13"/>
  <c r="I380" i="13"/>
  <c r="J379" i="13"/>
  <c r="I379" i="13"/>
  <c r="J378" i="13"/>
  <c r="I378" i="13"/>
  <c r="J377" i="13"/>
  <c r="I377" i="13"/>
  <c r="J376" i="13"/>
  <c r="I376" i="13"/>
  <c r="J375" i="13"/>
  <c r="I375" i="13"/>
  <c r="J374" i="13"/>
  <c r="I374" i="13"/>
  <c r="J370" i="13"/>
  <c r="I370" i="13"/>
  <c r="J369" i="13"/>
  <c r="I369" i="13"/>
  <c r="J368" i="13"/>
  <c r="I368" i="13"/>
  <c r="J367" i="13"/>
  <c r="I367" i="13"/>
  <c r="J366" i="13"/>
  <c r="I366" i="13"/>
  <c r="J365" i="13"/>
  <c r="I365" i="13"/>
  <c r="J364" i="13"/>
  <c r="I364" i="13"/>
  <c r="J363" i="13"/>
  <c r="I363" i="13"/>
  <c r="J362" i="13"/>
  <c r="I362" i="13"/>
  <c r="J361" i="13"/>
  <c r="I361" i="13"/>
  <c r="J360" i="13"/>
  <c r="I360" i="13"/>
  <c r="F348" i="13"/>
  <c r="F349" i="13"/>
  <c r="J346" i="13"/>
  <c r="I346" i="13"/>
  <c r="J345" i="13"/>
  <c r="I345" i="13"/>
  <c r="J344" i="13"/>
  <c r="I344" i="13"/>
  <c r="J343" i="13"/>
  <c r="I343" i="13"/>
  <c r="J342" i="13"/>
  <c r="I342" i="13"/>
  <c r="J341" i="13"/>
  <c r="I341" i="13"/>
  <c r="J340" i="13"/>
  <c r="I340" i="13"/>
  <c r="J339" i="13"/>
  <c r="I339" i="13"/>
  <c r="J338" i="13"/>
  <c r="I338" i="13"/>
  <c r="J337" i="13"/>
  <c r="I337" i="13"/>
  <c r="J336" i="13"/>
  <c r="I336" i="13"/>
  <c r="J335" i="13"/>
  <c r="I335" i="13"/>
  <c r="J334" i="13"/>
  <c r="I334" i="13"/>
  <c r="J333" i="13"/>
  <c r="I333" i="13"/>
  <c r="J332" i="13"/>
  <c r="I332" i="13"/>
  <c r="J331" i="13"/>
  <c r="I331" i="13"/>
  <c r="J330" i="13"/>
  <c r="I330" i="13"/>
  <c r="J329" i="13"/>
  <c r="I329" i="13"/>
  <c r="J328" i="13"/>
  <c r="I328" i="13"/>
  <c r="J327" i="13"/>
  <c r="I327" i="13"/>
  <c r="J323" i="13"/>
  <c r="I323" i="13"/>
  <c r="J322" i="13"/>
  <c r="I322" i="13"/>
  <c r="J321" i="13"/>
  <c r="I321" i="13"/>
  <c r="J320" i="13"/>
  <c r="I320" i="13"/>
  <c r="J319" i="13"/>
  <c r="I319" i="13"/>
  <c r="J318" i="13"/>
  <c r="I318" i="13"/>
  <c r="J317" i="13"/>
  <c r="I317" i="13"/>
  <c r="J316" i="13"/>
  <c r="I316" i="13"/>
  <c r="J315" i="13"/>
  <c r="I315" i="13"/>
  <c r="J314" i="13"/>
  <c r="I314" i="13"/>
  <c r="J313" i="13"/>
  <c r="I313" i="13"/>
  <c r="J312" i="13"/>
  <c r="I312" i="13"/>
  <c r="J311" i="13"/>
  <c r="I311" i="13"/>
  <c r="J310" i="13"/>
  <c r="I310" i="13"/>
  <c r="J309" i="13"/>
  <c r="I309" i="13"/>
  <c r="J308" i="13"/>
  <c r="I308" i="13"/>
  <c r="J307" i="13"/>
  <c r="I307" i="13"/>
  <c r="J306" i="13"/>
  <c r="I306" i="13"/>
  <c r="J305" i="13"/>
  <c r="I305" i="13"/>
  <c r="J304" i="13"/>
  <c r="I304" i="13"/>
  <c r="J300" i="13"/>
  <c r="I300" i="13"/>
  <c r="J299" i="13"/>
  <c r="I299" i="13"/>
  <c r="J298" i="13"/>
  <c r="I298" i="13"/>
  <c r="J297" i="13"/>
  <c r="I297" i="13"/>
  <c r="J296" i="13"/>
  <c r="I296" i="13"/>
  <c r="J295" i="13"/>
  <c r="I295" i="13"/>
  <c r="J294" i="13"/>
  <c r="I294" i="13"/>
  <c r="J293" i="13"/>
  <c r="I293" i="13"/>
  <c r="J292" i="13"/>
  <c r="I292" i="13"/>
  <c r="J291" i="13"/>
  <c r="I291" i="13"/>
  <c r="F278" i="13"/>
  <c r="F279" i="13"/>
  <c r="J276" i="13"/>
  <c r="I276" i="13"/>
  <c r="J275" i="13"/>
  <c r="I275" i="13"/>
  <c r="J274" i="13"/>
  <c r="I274" i="13"/>
  <c r="J273" i="13"/>
  <c r="I273" i="13"/>
  <c r="J272" i="13"/>
  <c r="I272" i="13"/>
  <c r="J271" i="13"/>
  <c r="I271" i="13"/>
  <c r="J270" i="13"/>
  <c r="I270" i="13"/>
  <c r="J269" i="13"/>
  <c r="I269" i="13"/>
  <c r="J268" i="13"/>
  <c r="I268" i="13"/>
  <c r="J267" i="13"/>
  <c r="I267" i="13"/>
  <c r="J266" i="13"/>
  <c r="I266" i="13"/>
  <c r="J265" i="13"/>
  <c r="I265" i="13"/>
  <c r="J264" i="13"/>
  <c r="I264" i="13"/>
  <c r="J263" i="13"/>
  <c r="I263" i="13"/>
  <c r="J262" i="13"/>
  <c r="I262" i="13"/>
  <c r="J261" i="13"/>
  <c r="I261" i="13"/>
  <c r="J260" i="13"/>
  <c r="I260" i="13"/>
  <c r="J259" i="13"/>
  <c r="I259" i="13"/>
  <c r="J258" i="13"/>
  <c r="I258" i="13"/>
  <c r="J257" i="13"/>
  <c r="I257" i="13"/>
  <c r="J253" i="13"/>
  <c r="I253" i="13"/>
  <c r="J252" i="13"/>
  <c r="I252" i="13"/>
  <c r="J251" i="13"/>
  <c r="I251" i="13"/>
  <c r="J250" i="13"/>
  <c r="I250" i="13"/>
  <c r="J249" i="13"/>
  <c r="I249" i="13"/>
  <c r="J248" i="13"/>
  <c r="I248" i="13"/>
  <c r="J247" i="13"/>
  <c r="I247" i="13"/>
  <c r="J246" i="13"/>
  <c r="I246" i="13"/>
  <c r="J245" i="13"/>
  <c r="I245" i="13"/>
  <c r="J244" i="13"/>
  <c r="I244" i="13"/>
  <c r="J243" i="13"/>
  <c r="I243" i="13"/>
  <c r="J242" i="13"/>
  <c r="I242" i="13"/>
  <c r="J241" i="13"/>
  <c r="I241" i="13"/>
  <c r="J240" i="13"/>
  <c r="I240" i="13"/>
  <c r="J239" i="13"/>
  <c r="I239" i="13"/>
  <c r="J238" i="13"/>
  <c r="I238" i="13"/>
  <c r="J237" i="13"/>
  <c r="I237" i="13"/>
  <c r="J236" i="13"/>
  <c r="I236" i="13"/>
  <c r="J235" i="13"/>
  <c r="I235" i="13"/>
  <c r="J234" i="13"/>
  <c r="I234" i="13"/>
  <c r="J230" i="13"/>
  <c r="I230" i="13"/>
  <c r="J229" i="13"/>
  <c r="I229" i="13"/>
  <c r="J228" i="13"/>
  <c r="I228" i="13"/>
  <c r="J227" i="13"/>
  <c r="I227" i="13"/>
  <c r="J226" i="13"/>
  <c r="I226" i="13"/>
  <c r="J225" i="13"/>
  <c r="I225" i="13"/>
  <c r="J224" i="13"/>
  <c r="I224" i="13"/>
  <c r="J223" i="13"/>
  <c r="I223" i="13"/>
  <c r="J222" i="13"/>
  <c r="J221" i="13"/>
  <c r="I221" i="13"/>
  <c r="F208" i="13"/>
  <c r="F209" i="13"/>
  <c r="J206" i="13"/>
  <c r="I206" i="13"/>
  <c r="J205" i="13"/>
  <c r="I205" i="13"/>
  <c r="J204" i="13"/>
  <c r="I204" i="13"/>
  <c r="J203" i="13"/>
  <c r="I203" i="13"/>
  <c r="J202" i="13"/>
  <c r="I202" i="13"/>
  <c r="J201" i="13"/>
  <c r="I201" i="13"/>
  <c r="J200" i="13"/>
  <c r="I200" i="13"/>
  <c r="J199" i="13"/>
  <c r="I199" i="13"/>
  <c r="J198" i="13"/>
  <c r="I198" i="13"/>
  <c r="J197" i="13"/>
  <c r="I197" i="13"/>
  <c r="J196" i="13"/>
  <c r="I196" i="13"/>
  <c r="J195" i="13"/>
  <c r="I195" i="13"/>
  <c r="J194" i="13"/>
  <c r="I194" i="13"/>
  <c r="J193" i="13"/>
  <c r="I193" i="13"/>
  <c r="J192" i="13"/>
  <c r="I192" i="13"/>
  <c r="J191" i="13"/>
  <c r="I191" i="13"/>
  <c r="J190" i="13"/>
  <c r="I190" i="13"/>
  <c r="J189" i="13"/>
  <c r="I189" i="13"/>
  <c r="B189" i="13"/>
  <c r="B190" i="13"/>
  <c r="B191" i="13"/>
  <c r="B192" i="13"/>
  <c r="B193" i="13"/>
  <c r="B194" i="13"/>
  <c r="B195" i="13"/>
  <c r="J188" i="13"/>
  <c r="I188" i="13"/>
  <c r="J187" i="13"/>
  <c r="I187" i="13"/>
  <c r="J183" i="13"/>
  <c r="I183" i="13"/>
  <c r="J182" i="13"/>
  <c r="I182" i="13"/>
  <c r="J181" i="13"/>
  <c r="I181" i="13"/>
  <c r="J180" i="13"/>
  <c r="I180" i="13"/>
  <c r="J179" i="13"/>
  <c r="I179" i="13"/>
  <c r="J178" i="13"/>
  <c r="I178" i="13"/>
  <c r="J177" i="13"/>
  <c r="I177" i="13"/>
  <c r="J176" i="13"/>
  <c r="I176" i="13"/>
  <c r="J175" i="13"/>
  <c r="I175" i="13"/>
  <c r="J174" i="13"/>
  <c r="I174" i="13"/>
  <c r="J173" i="13"/>
  <c r="I173" i="13"/>
  <c r="J172" i="13"/>
  <c r="I172" i="13"/>
  <c r="J171" i="13"/>
  <c r="I171" i="13"/>
  <c r="J170" i="13"/>
  <c r="I170" i="13"/>
  <c r="J169" i="13"/>
  <c r="I169" i="13"/>
  <c r="J168" i="13"/>
  <c r="I168" i="13"/>
  <c r="J167" i="13"/>
  <c r="I167" i="13"/>
  <c r="J166" i="13"/>
  <c r="I166" i="13"/>
  <c r="J165" i="13"/>
  <c r="I165" i="13"/>
  <c r="J162" i="13"/>
  <c r="I162" i="13"/>
  <c r="J161" i="13"/>
  <c r="I161" i="13"/>
  <c r="J160" i="13"/>
  <c r="I160" i="13"/>
  <c r="J159" i="13"/>
  <c r="I159" i="13"/>
  <c r="J158" i="13"/>
  <c r="I158" i="13"/>
  <c r="J157" i="13"/>
  <c r="I157" i="13"/>
  <c r="J156" i="13"/>
  <c r="I156" i="13"/>
  <c r="J155" i="13"/>
  <c r="I155" i="13"/>
  <c r="J154" i="13"/>
  <c r="I154" i="13"/>
  <c r="J153" i="13"/>
  <c r="I153" i="13"/>
  <c r="J152" i="13"/>
  <c r="I152" i="13"/>
  <c r="F139" i="13"/>
  <c r="F140" i="13"/>
  <c r="J137" i="13"/>
  <c r="I137" i="13"/>
  <c r="J136" i="13"/>
  <c r="I136" i="13"/>
  <c r="J135" i="13"/>
  <c r="I135" i="13"/>
  <c r="J134" i="13"/>
  <c r="I134" i="13"/>
  <c r="J133" i="13"/>
  <c r="I133" i="13"/>
  <c r="J132" i="13"/>
  <c r="I132" i="13"/>
  <c r="J131" i="13"/>
  <c r="I131" i="13"/>
  <c r="J128" i="13"/>
  <c r="I128" i="13"/>
  <c r="J127" i="13"/>
  <c r="I127" i="13"/>
  <c r="J126" i="13"/>
  <c r="I126" i="13"/>
  <c r="J125" i="13"/>
  <c r="I125" i="13"/>
  <c r="J124" i="13"/>
  <c r="I124" i="13"/>
  <c r="J123" i="13"/>
  <c r="I123" i="13"/>
  <c r="J122" i="13"/>
  <c r="I122" i="13"/>
  <c r="J121" i="13"/>
  <c r="I121" i="13"/>
  <c r="J120" i="13"/>
  <c r="I120" i="13"/>
  <c r="J116" i="13"/>
  <c r="I116" i="13"/>
  <c r="J115" i="13"/>
  <c r="I115" i="13"/>
  <c r="J114" i="13"/>
  <c r="I114" i="13"/>
  <c r="J113" i="13"/>
  <c r="I113" i="13"/>
  <c r="J112" i="13"/>
  <c r="I112" i="13"/>
  <c r="J111" i="13"/>
  <c r="I111" i="13"/>
  <c r="J110" i="13"/>
  <c r="I110" i="13"/>
  <c r="J109" i="13"/>
  <c r="I109" i="13"/>
  <c r="J108" i="13"/>
  <c r="I108" i="13"/>
  <c r="J107" i="13"/>
  <c r="I107" i="13"/>
  <c r="J106" i="13"/>
  <c r="I106" i="13"/>
  <c r="J105" i="13"/>
  <c r="I105" i="13"/>
  <c r="J104" i="13"/>
  <c r="I104" i="13"/>
  <c r="J103" i="13"/>
  <c r="I103" i="13"/>
  <c r="J102" i="13"/>
  <c r="I102" i="13"/>
  <c r="J101" i="13"/>
  <c r="I101" i="13"/>
  <c r="J100" i="13"/>
  <c r="I100" i="13"/>
  <c r="J99" i="13"/>
  <c r="I99" i="13"/>
  <c r="J98" i="13"/>
  <c r="I98" i="13"/>
  <c r="J97" i="13"/>
  <c r="I97" i="13"/>
  <c r="J93" i="13"/>
  <c r="I93" i="13"/>
  <c r="J92" i="13"/>
  <c r="I92" i="13"/>
  <c r="J91" i="13"/>
  <c r="I91" i="13"/>
  <c r="J90" i="13"/>
  <c r="I90" i="13"/>
  <c r="J89" i="13"/>
  <c r="I89" i="13"/>
  <c r="J88" i="13"/>
  <c r="I88" i="13"/>
  <c r="J87" i="13"/>
  <c r="I87" i="13"/>
  <c r="J86" i="13"/>
  <c r="I86" i="13"/>
  <c r="J85" i="13"/>
  <c r="I85" i="13"/>
  <c r="J84" i="13"/>
  <c r="I84" i="13"/>
  <c r="G79" i="13"/>
  <c r="G147" i="13"/>
  <c r="G216" i="13"/>
  <c r="G286" i="13"/>
  <c r="F79" i="13"/>
  <c r="F147" i="13"/>
  <c r="F216" i="13"/>
  <c r="F286" i="13"/>
  <c r="F356" i="13"/>
  <c r="F426" i="13"/>
  <c r="F496" i="13"/>
  <c r="F566" i="13"/>
  <c r="F636" i="13"/>
  <c r="F706" i="13"/>
  <c r="F776" i="13"/>
  <c r="C79" i="13"/>
  <c r="C147" i="13"/>
  <c r="C216" i="13"/>
  <c r="C286" i="13"/>
  <c r="C356" i="13"/>
  <c r="C426" i="13"/>
  <c r="C496" i="13"/>
  <c r="C566" i="13"/>
  <c r="C636" i="13"/>
  <c r="C706" i="13"/>
  <c r="C776" i="13"/>
  <c r="F70" i="13"/>
  <c r="F71" i="13"/>
  <c r="J68" i="13"/>
  <c r="I68" i="13"/>
  <c r="J67" i="13"/>
  <c r="I67" i="13"/>
  <c r="J66" i="13"/>
  <c r="I66" i="13"/>
  <c r="J65" i="13"/>
  <c r="I65" i="13"/>
  <c r="J64" i="13"/>
  <c r="I64" i="13"/>
  <c r="J63" i="13"/>
  <c r="I63" i="13"/>
  <c r="J62" i="13"/>
  <c r="I62" i="13"/>
  <c r="J61" i="13"/>
  <c r="I61" i="13"/>
  <c r="J60" i="13"/>
  <c r="I60" i="13"/>
  <c r="J59" i="13"/>
  <c r="I59" i="13"/>
  <c r="J58" i="13"/>
  <c r="I58" i="13"/>
  <c r="J57" i="13"/>
  <c r="I57" i="13"/>
  <c r="J56" i="13"/>
  <c r="I56" i="13"/>
  <c r="J55" i="13"/>
  <c r="I55" i="13"/>
  <c r="J54" i="13"/>
  <c r="I54" i="13"/>
  <c r="J53" i="13"/>
  <c r="I53" i="13"/>
  <c r="J52" i="13"/>
  <c r="I52" i="13"/>
  <c r="H32" i="13"/>
  <c r="K16" i="13"/>
  <c r="F838" i="12"/>
  <c r="F839" i="12"/>
  <c r="J836" i="12"/>
  <c r="I836" i="12"/>
  <c r="J835" i="12"/>
  <c r="I835" i="12"/>
  <c r="J834" i="12"/>
  <c r="I834" i="12"/>
  <c r="J833" i="12"/>
  <c r="I833" i="12"/>
  <c r="J832" i="12"/>
  <c r="I832" i="12"/>
  <c r="J831" i="12"/>
  <c r="I831" i="12"/>
  <c r="J830" i="12"/>
  <c r="I830" i="12"/>
  <c r="J829" i="12"/>
  <c r="I829" i="12"/>
  <c r="J828" i="12"/>
  <c r="I828" i="12"/>
  <c r="J827" i="12"/>
  <c r="I827" i="12"/>
  <c r="J826" i="12"/>
  <c r="I826" i="12"/>
  <c r="J825" i="12"/>
  <c r="I825" i="12"/>
  <c r="J824" i="12"/>
  <c r="I824" i="12"/>
  <c r="J823" i="12"/>
  <c r="I823" i="12"/>
  <c r="J822" i="12"/>
  <c r="I822" i="12"/>
  <c r="J821" i="12"/>
  <c r="I821" i="12"/>
  <c r="J820" i="12"/>
  <c r="I820" i="12"/>
  <c r="J819" i="12"/>
  <c r="I819" i="12"/>
  <c r="J818" i="12"/>
  <c r="I818" i="12"/>
  <c r="J817" i="12"/>
  <c r="I817" i="12"/>
  <c r="J813" i="12"/>
  <c r="I813" i="12"/>
  <c r="J812" i="12"/>
  <c r="I812" i="12"/>
  <c r="J811" i="12"/>
  <c r="I811" i="12"/>
  <c r="J810" i="12"/>
  <c r="I810" i="12"/>
  <c r="J809" i="12"/>
  <c r="I809" i="12"/>
  <c r="J808" i="12"/>
  <c r="I808" i="12"/>
  <c r="J807" i="12"/>
  <c r="I807" i="12"/>
  <c r="J806" i="12"/>
  <c r="I806" i="12"/>
  <c r="J805" i="12"/>
  <c r="I805" i="12"/>
  <c r="J804" i="12"/>
  <c r="I804" i="12"/>
  <c r="J803" i="12"/>
  <c r="I803" i="12"/>
  <c r="J802" i="12"/>
  <c r="I802" i="12"/>
  <c r="J801" i="12"/>
  <c r="I801" i="12"/>
  <c r="J800" i="12"/>
  <c r="I800" i="12"/>
  <c r="J799" i="12"/>
  <c r="I799" i="12"/>
  <c r="J798" i="12"/>
  <c r="I798" i="12"/>
  <c r="J797" i="12"/>
  <c r="I797" i="12"/>
  <c r="J796" i="12"/>
  <c r="I796" i="12"/>
  <c r="J795" i="12"/>
  <c r="I795" i="12"/>
  <c r="J794" i="12"/>
  <c r="I794" i="12"/>
  <c r="J790" i="12"/>
  <c r="I790" i="12"/>
  <c r="J789" i="12"/>
  <c r="I789" i="12"/>
  <c r="J788" i="12"/>
  <c r="I788" i="12"/>
  <c r="J787" i="12"/>
  <c r="I787" i="12"/>
  <c r="J786" i="12"/>
  <c r="I786" i="12"/>
  <c r="J785" i="12"/>
  <c r="I785" i="12"/>
  <c r="J784" i="12"/>
  <c r="I784" i="12"/>
  <c r="J783" i="12"/>
  <c r="I783" i="12"/>
  <c r="J782" i="12"/>
  <c r="I782" i="12"/>
  <c r="J781" i="12"/>
  <c r="F768" i="12"/>
  <c r="F769" i="12"/>
  <c r="J766" i="12"/>
  <c r="I766" i="12"/>
  <c r="J765" i="12"/>
  <c r="I765" i="12"/>
  <c r="J764" i="12"/>
  <c r="I764" i="12"/>
  <c r="J763" i="12"/>
  <c r="I763" i="12"/>
  <c r="J762" i="12"/>
  <c r="I762" i="12"/>
  <c r="J761" i="12"/>
  <c r="I761" i="12"/>
  <c r="J760" i="12"/>
  <c r="I760" i="12"/>
  <c r="J759" i="12"/>
  <c r="I759" i="12"/>
  <c r="J758" i="12"/>
  <c r="I758" i="12"/>
  <c r="J757" i="12"/>
  <c r="I757" i="12"/>
  <c r="J756" i="12"/>
  <c r="I756" i="12"/>
  <c r="J755" i="12"/>
  <c r="I755" i="12"/>
  <c r="J754" i="12"/>
  <c r="I754" i="12"/>
  <c r="J753" i="12"/>
  <c r="I753" i="12"/>
  <c r="J752" i="12"/>
  <c r="I752" i="12"/>
  <c r="J751" i="12"/>
  <c r="I751" i="12"/>
  <c r="J750" i="12"/>
  <c r="I750" i="12"/>
  <c r="J749" i="12"/>
  <c r="I749" i="12"/>
  <c r="J748" i="12"/>
  <c r="I748" i="12"/>
  <c r="J747" i="12"/>
  <c r="I747" i="12"/>
  <c r="J743" i="12"/>
  <c r="I743" i="12"/>
  <c r="J742" i="12"/>
  <c r="I742" i="12"/>
  <c r="J741" i="12"/>
  <c r="I741" i="12"/>
  <c r="J740" i="12"/>
  <c r="I740" i="12"/>
  <c r="J739" i="12"/>
  <c r="I739" i="12"/>
  <c r="J738" i="12"/>
  <c r="I738" i="12"/>
  <c r="J737" i="12"/>
  <c r="I737" i="12"/>
  <c r="J736" i="12"/>
  <c r="I736" i="12"/>
  <c r="J735" i="12"/>
  <c r="I735" i="12"/>
  <c r="J734" i="12"/>
  <c r="I734" i="12"/>
  <c r="J733" i="12"/>
  <c r="I733" i="12"/>
  <c r="J732" i="12"/>
  <c r="I732" i="12"/>
  <c r="J731" i="12"/>
  <c r="I731" i="12"/>
  <c r="J730" i="12"/>
  <c r="I730" i="12"/>
  <c r="J729" i="12"/>
  <c r="I729" i="12"/>
  <c r="J728" i="12"/>
  <c r="I728" i="12"/>
  <c r="J727" i="12"/>
  <c r="I727" i="12"/>
  <c r="J726" i="12"/>
  <c r="I726" i="12"/>
  <c r="J725" i="12"/>
  <c r="I725" i="12"/>
  <c r="J724" i="12"/>
  <c r="I724" i="12"/>
  <c r="J720" i="12"/>
  <c r="I720" i="12"/>
  <c r="J719" i="12"/>
  <c r="I719" i="12"/>
  <c r="J718" i="12"/>
  <c r="I718" i="12"/>
  <c r="J717" i="12"/>
  <c r="I717" i="12"/>
  <c r="J716" i="12"/>
  <c r="I716" i="12"/>
  <c r="J715" i="12"/>
  <c r="I715" i="12"/>
  <c r="J714" i="12"/>
  <c r="I714" i="12"/>
  <c r="J713" i="12"/>
  <c r="I713" i="12"/>
  <c r="J712" i="12"/>
  <c r="I712" i="12"/>
  <c r="J711" i="12"/>
  <c r="I711" i="12"/>
  <c r="F698" i="12"/>
  <c r="F699" i="12"/>
  <c r="J696" i="12"/>
  <c r="I696" i="12"/>
  <c r="J695" i="12"/>
  <c r="I695" i="12"/>
  <c r="J694" i="12"/>
  <c r="I694" i="12"/>
  <c r="J693" i="12"/>
  <c r="I693" i="12"/>
  <c r="J692" i="12"/>
  <c r="I692" i="12"/>
  <c r="J691" i="12"/>
  <c r="I691" i="12"/>
  <c r="J690" i="12"/>
  <c r="I690" i="12"/>
  <c r="J689" i="12"/>
  <c r="I689" i="12"/>
  <c r="J688" i="12"/>
  <c r="I688" i="12"/>
  <c r="J687" i="12"/>
  <c r="I687" i="12"/>
  <c r="J686" i="12"/>
  <c r="I686" i="12"/>
  <c r="J685" i="12"/>
  <c r="I685" i="12"/>
  <c r="J684" i="12"/>
  <c r="I684" i="12"/>
  <c r="J683" i="12"/>
  <c r="I683" i="12"/>
  <c r="J682" i="12"/>
  <c r="I682" i="12"/>
  <c r="J681" i="12"/>
  <c r="I681" i="12"/>
  <c r="J680" i="12"/>
  <c r="I680" i="12"/>
  <c r="J679" i="12"/>
  <c r="I679" i="12"/>
  <c r="J678" i="12"/>
  <c r="I678" i="12"/>
  <c r="J677" i="12"/>
  <c r="I677" i="12"/>
  <c r="J673" i="12"/>
  <c r="I673" i="12"/>
  <c r="J672" i="12"/>
  <c r="I672" i="12"/>
  <c r="J671" i="12"/>
  <c r="I671" i="12"/>
  <c r="J670" i="12"/>
  <c r="I670" i="12"/>
  <c r="J669" i="12"/>
  <c r="I669" i="12"/>
  <c r="J668" i="12"/>
  <c r="I668" i="12"/>
  <c r="J667" i="12"/>
  <c r="I667" i="12"/>
  <c r="J666" i="12"/>
  <c r="I666" i="12"/>
  <c r="J665" i="12"/>
  <c r="I665" i="12"/>
  <c r="J664" i="12"/>
  <c r="I664" i="12"/>
  <c r="J663" i="12"/>
  <c r="I663" i="12"/>
  <c r="J662" i="12"/>
  <c r="I662" i="12"/>
  <c r="J661" i="12"/>
  <c r="I661" i="12"/>
  <c r="J660" i="12"/>
  <c r="I660" i="12"/>
  <c r="J659" i="12"/>
  <c r="I659" i="12"/>
  <c r="J658" i="12"/>
  <c r="I658" i="12"/>
  <c r="J657" i="12"/>
  <c r="I657" i="12"/>
  <c r="J656" i="12"/>
  <c r="I656" i="12"/>
  <c r="J655" i="12"/>
  <c r="I655" i="12"/>
  <c r="J654" i="12"/>
  <c r="I654" i="12"/>
  <c r="J650" i="12"/>
  <c r="I650" i="12"/>
  <c r="J649" i="12"/>
  <c r="I649" i="12"/>
  <c r="J648" i="12"/>
  <c r="I648" i="12"/>
  <c r="J647" i="12"/>
  <c r="I647" i="12"/>
  <c r="J646" i="12"/>
  <c r="I646" i="12"/>
  <c r="J645" i="12"/>
  <c r="I645" i="12"/>
  <c r="J644" i="12"/>
  <c r="I644" i="12"/>
  <c r="J643" i="12"/>
  <c r="I643" i="12"/>
  <c r="J642" i="12"/>
  <c r="I642" i="12"/>
  <c r="J641" i="12"/>
  <c r="I641" i="12"/>
  <c r="F628" i="12"/>
  <c r="F629" i="12"/>
  <c r="J626" i="12"/>
  <c r="I626" i="12"/>
  <c r="J625" i="12"/>
  <c r="I625" i="12"/>
  <c r="J624" i="12"/>
  <c r="I624" i="12"/>
  <c r="J623" i="12"/>
  <c r="I623" i="12"/>
  <c r="J622" i="12"/>
  <c r="I622" i="12"/>
  <c r="J621" i="12"/>
  <c r="I621" i="12"/>
  <c r="J620" i="12"/>
  <c r="I620" i="12"/>
  <c r="J619" i="12"/>
  <c r="I619" i="12"/>
  <c r="J618" i="12"/>
  <c r="I618" i="12"/>
  <c r="J617" i="12"/>
  <c r="I617" i="12"/>
  <c r="J616" i="12"/>
  <c r="I616" i="12"/>
  <c r="J615" i="12"/>
  <c r="I615" i="12"/>
  <c r="J614" i="12"/>
  <c r="I614" i="12"/>
  <c r="J613" i="12"/>
  <c r="I613" i="12"/>
  <c r="J612" i="12"/>
  <c r="I612" i="12"/>
  <c r="J611" i="12"/>
  <c r="I611" i="12"/>
  <c r="J610" i="12"/>
  <c r="I610" i="12"/>
  <c r="J609" i="12"/>
  <c r="I609" i="12"/>
  <c r="J608" i="12"/>
  <c r="I608" i="12"/>
  <c r="J607" i="12"/>
  <c r="I607" i="12"/>
  <c r="J603" i="12"/>
  <c r="I603" i="12"/>
  <c r="J602" i="12"/>
  <c r="I602" i="12"/>
  <c r="J601" i="12"/>
  <c r="I601" i="12"/>
  <c r="J600" i="12"/>
  <c r="I600" i="12"/>
  <c r="J599" i="12"/>
  <c r="I599" i="12"/>
  <c r="J598" i="12"/>
  <c r="I598" i="12"/>
  <c r="J597" i="12"/>
  <c r="I597" i="12"/>
  <c r="J596" i="12"/>
  <c r="I596" i="12"/>
  <c r="J595" i="12"/>
  <c r="I595" i="12"/>
  <c r="J594" i="12"/>
  <c r="I594" i="12"/>
  <c r="J593" i="12"/>
  <c r="I593" i="12"/>
  <c r="J592" i="12"/>
  <c r="I592" i="12"/>
  <c r="J591" i="12"/>
  <c r="I591" i="12"/>
  <c r="J590" i="12"/>
  <c r="I590" i="12"/>
  <c r="J589" i="12"/>
  <c r="I589" i="12"/>
  <c r="J588" i="12"/>
  <c r="I588" i="12"/>
  <c r="J587" i="12"/>
  <c r="I587" i="12"/>
  <c r="J586" i="12"/>
  <c r="I586" i="12"/>
  <c r="J585" i="12"/>
  <c r="I585" i="12"/>
  <c r="J584" i="12"/>
  <c r="I584" i="12"/>
  <c r="J580" i="12"/>
  <c r="I580" i="12"/>
  <c r="J579" i="12"/>
  <c r="I579" i="12"/>
  <c r="J578" i="12"/>
  <c r="I578" i="12"/>
  <c r="J577" i="12"/>
  <c r="I577" i="12"/>
  <c r="J576" i="12"/>
  <c r="I576" i="12"/>
  <c r="J575" i="12"/>
  <c r="I575" i="12"/>
  <c r="J574" i="12"/>
  <c r="I574" i="12"/>
  <c r="J573" i="12"/>
  <c r="I573" i="12"/>
  <c r="J572" i="12"/>
  <c r="J571" i="12"/>
  <c r="I571" i="12"/>
  <c r="F558" i="12"/>
  <c r="F559" i="12"/>
  <c r="J556" i="12"/>
  <c r="I556" i="12"/>
  <c r="J555" i="12"/>
  <c r="I555" i="12"/>
  <c r="J554" i="12"/>
  <c r="I554" i="12"/>
  <c r="J553" i="12"/>
  <c r="I553" i="12"/>
  <c r="J552" i="12"/>
  <c r="I552" i="12"/>
  <c r="J551" i="12"/>
  <c r="I551" i="12"/>
  <c r="J550" i="12"/>
  <c r="I550" i="12"/>
  <c r="J549" i="12"/>
  <c r="I549" i="12"/>
  <c r="J548" i="12"/>
  <c r="I548" i="12"/>
  <c r="J547" i="12"/>
  <c r="I547" i="12"/>
  <c r="J546" i="12"/>
  <c r="I546" i="12"/>
  <c r="J545" i="12"/>
  <c r="I545" i="12"/>
  <c r="J544" i="12"/>
  <c r="I544" i="12"/>
  <c r="J543" i="12"/>
  <c r="I543" i="12"/>
  <c r="J542" i="12"/>
  <c r="I542" i="12"/>
  <c r="J541" i="12"/>
  <c r="I541" i="12"/>
  <c r="J540" i="12"/>
  <c r="I540" i="12"/>
  <c r="J539" i="12"/>
  <c r="I539" i="12"/>
  <c r="J538" i="12"/>
  <c r="I538" i="12"/>
  <c r="J537" i="12"/>
  <c r="I537" i="12"/>
  <c r="J533" i="12"/>
  <c r="I533" i="12"/>
  <c r="J532" i="12"/>
  <c r="I532" i="12"/>
  <c r="J531" i="12"/>
  <c r="I531" i="12"/>
  <c r="J530" i="12"/>
  <c r="I530" i="12"/>
  <c r="J529" i="12"/>
  <c r="I529" i="12"/>
  <c r="J528" i="12"/>
  <c r="I528" i="12"/>
  <c r="J527" i="12"/>
  <c r="I527" i="12"/>
  <c r="J526" i="12"/>
  <c r="I526" i="12"/>
  <c r="J525" i="12"/>
  <c r="I525" i="12"/>
  <c r="J524" i="12"/>
  <c r="I524" i="12"/>
  <c r="J523" i="12"/>
  <c r="I523" i="12"/>
  <c r="J522" i="12"/>
  <c r="I522" i="12"/>
  <c r="J521" i="12"/>
  <c r="I521" i="12"/>
  <c r="J520" i="12"/>
  <c r="I520" i="12"/>
  <c r="J519" i="12"/>
  <c r="I519" i="12"/>
  <c r="J518" i="12"/>
  <c r="I518" i="12"/>
  <c r="J517" i="12"/>
  <c r="I517" i="12"/>
  <c r="J516" i="12"/>
  <c r="I516" i="12"/>
  <c r="J515" i="12"/>
  <c r="I515" i="12"/>
  <c r="J514" i="12"/>
  <c r="I514" i="12"/>
  <c r="J510" i="12"/>
  <c r="I510" i="12"/>
  <c r="J509" i="12"/>
  <c r="I509" i="12"/>
  <c r="J508" i="12"/>
  <c r="I508" i="12"/>
  <c r="J507" i="12"/>
  <c r="I507" i="12"/>
  <c r="J506" i="12"/>
  <c r="I506" i="12"/>
  <c r="J505" i="12"/>
  <c r="I505" i="12"/>
  <c r="J504" i="12"/>
  <c r="I504" i="12"/>
  <c r="J503" i="12"/>
  <c r="I503" i="12"/>
  <c r="J502" i="12"/>
  <c r="I502" i="12"/>
  <c r="J501" i="12"/>
  <c r="I501" i="12"/>
  <c r="F488" i="12"/>
  <c r="F489" i="12"/>
  <c r="J486" i="12"/>
  <c r="I486" i="12"/>
  <c r="J485" i="12"/>
  <c r="I485" i="12"/>
  <c r="J484" i="12"/>
  <c r="I484" i="12"/>
  <c r="J483" i="12"/>
  <c r="I483" i="12"/>
  <c r="J482" i="12"/>
  <c r="I482" i="12"/>
  <c r="J481" i="12"/>
  <c r="I481" i="12"/>
  <c r="J480" i="12"/>
  <c r="I480" i="12"/>
  <c r="J479" i="12"/>
  <c r="I479" i="12"/>
  <c r="J478" i="12"/>
  <c r="I478" i="12"/>
  <c r="J477" i="12"/>
  <c r="I477" i="12"/>
  <c r="J476" i="12"/>
  <c r="I476" i="12"/>
  <c r="J475" i="12"/>
  <c r="I475" i="12"/>
  <c r="J474" i="12"/>
  <c r="I474" i="12"/>
  <c r="J473" i="12"/>
  <c r="I473" i="12"/>
  <c r="J472" i="12"/>
  <c r="I472" i="12"/>
  <c r="J471" i="12"/>
  <c r="I471" i="12"/>
  <c r="J470" i="12"/>
  <c r="I470" i="12"/>
  <c r="J469" i="12"/>
  <c r="I469" i="12"/>
  <c r="J468" i="12"/>
  <c r="I468" i="12"/>
  <c r="J467" i="12"/>
  <c r="I467" i="12"/>
  <c r="J463" i="12"/>
  <c r="I463" i="12"/>
  <c r="J462" i="12"/>
  <c r="I462" i="12"/>
  <c r="J461" i="12"/>
  <c r="I461" i="12"/>
  <c r="J460" i="12"/>
  <c r="I460" i="12"/>
  <c r="J459" i="12"/>
  <c r="I459" i="12"/>
  <c r="J458" i="12"/>
  <c r="I458" i="12"/>
  <c r="J457" i="12"/>
  <c r="I457" i="12"/>
  <c r="J456" i="12"/>
  <c r="I456" i="12"/>
  <c r="J455" i="12"/>
  <c r="I455" i="12"/>
  <c r="J454" i="12"/>
  <c r="I454" i="12"/>
  <c r="J453" i="12"/>
  <c r="I453" i="12"/>
  <c r="J452" i="12"/>
  <c r="I452" i="12"/>
  <c r="J451" i="12"/>
  <c r="I451" i="12"/>
  <c r="J450" i="12"/>
  <c r="I450" i="12"/>
  <c r="J449" i="12"/>
  <c r="I449" i="12"/>
  <c r="J448" i="12"/>
  <c r="I448" i="12"/>
  <c r="J447" i="12"/>
  <c r="I447" i="12"/>
  <c r="J446" i="12"/>
  <c r="I446" i="12"/>
  <c r="J445" i="12"/>
  <c r="I445" i="12"/>
  <c r="J444" i="12"/>
  <c r="I444" i="12"/>
  <c r="J440" i="12"/>
  <c r="I440" i="12"/>
  <c r="J439" i="12"/>
  <c r="I439" i="12"/>
  <c r="J438" i="12"/>
  <c r="I438" i="12"/>
  <c r="J437" i="12"/>
  <c r="I437" i="12"/>
  <c r="J436" i="12"/>
  <c r="I436" i="12"/>
  <c r="J435" i="12"/>
  <c r="I435" i="12"/>
  <c r="J434" i="12"/>
  <c r="I434" i="12"/>
  <c r="J433" i="12"/>
  <c r="I433" i="12"/>
  <c r="J432" i="12"/>
  <c r="I432" i="12"/>
  <c r="J431" i="12"/>
  <c r="F418" i="12"/>
  <c r="F419" i="12"/>
  <c r="J416" i="12"/>
  <c r="I416" i="12"/>
  <c r="J415" i="12"/>
  <c r="I415" i="12"/>
  <c r="J414" i="12"/>
  <c r="I414" i="12"/>
  <c r="J413" i="12"/>
  <c r="I413" i="12"/>
  <c r="J412" i="12"/>
  <c r="I412" i="12"/>
  <c r="J411" i="12"/>
  <c r="I411" i="12"/>
  <c r="J410" i="12"/>
  <c r="I410" i="12"/>
  <c r="J409" i="12"/>
  <c r="I409" i="12"/>
  <c r="J408" i="12"/>
  <c r="I408" i="12"/>
  <c r="J407" i="12"/>
  <c r="I407" i="12"/>
  <c r="J406" i="12"/>
  <c r="I406" i="12"/>
  <c r="J405" i="12"/>
  <c r="I405" i="12"/>
  <c r="J404" i="12"/>
  <c r="I404" i="12"/>
  <c r="J403" i="12"/>
  <c r="I403" i="12"/>
  <c r="J402" i="12"/>
  <c r="I402" i="12"/>
  <c r="J401" i="12"/>
  <c r="I401" i="12"/>
  <c r="J400" i="12"/>
  <c r="I400" i="12"/>
  <c r="J399" i="12"/>
  <c r="I399" i="12"/>
  <c r="J398" i="12"/>
  <c r="I398" i="12"/>
  <c r="J397" i="12"/>
  <c r="I397" i="12"/>
  <c r="J393" i="12"/>
  <c r="I393" i="12"/>
  <c r="J392" i="12"/>
  <c r="I392" i="12"/>
  <c r="J391" i="12"/>
  <c r="I391" i="12"/>
  <c r="J390" i="12"/>
  <c r="I390" i="12"/>
  <c r="J389" i="12"/>
  <c r="I389" i="12"/>
  <c r="J388" i="12"/>
  <c r="I388" i="12"/>
  <c r="J387" i="12"/>
  <c r="I387" i="12"/>
  <c r="J386" i="12"/>
  <c r="I386" i="12"/>
  <c r="J385" i="12"/>
  <c r="I385" i="12"/>
  <c r="J384" i="12"/>
  <c r="I384" i="12"/>
  <c r="J383" i="12"/>
  <c r="I383" i="12"/>
  <c r="J382" i="12"/>
  <c r="I382" i="12"/>
  <c r="J381" i="12"/>
  <c r="I381" i="12"/>
  <c r="J380" i="12"/>
  <c r="I380" i="12"/>
  <c r="J379" i="12"/>
  <c r="I379" i="12"/>
  <c r="J378" i="12"/>
  <c r="I378" i="12"/>
  <c r="J377" i="12"/>
  <c r="I377" i="12"/>
  <c r="J376" i="12"/>
  <c r="I376" i="12"/>
  <c r="J375" i="12"/>
  <c r="I375" i="12"/>
  <c r="J374" i="12"/>
  <c r="I374" i="12"/>
  <c r="J370" i="12"/>
  <c r="I370" i="12"/>
  <c r="J369" i="12"/>
  <c r="I369" i="12"/>
  <c r="J368" i="12"/>
  <c r="I368" i="12"/>
  <c r="J367" i="12"/>
  <c r="I367" i="12"/>
  <c r="J366" i="12"/>
  <c r="I366" i="12"/>
  <c r="J365" i="12"/>
  <c r="I365" i="12"/>
  <c r="J364" i="12"/>
  <c r="I364" i="12"/>
  <c r="J363" i="12"/>
  <c r="I363" i="12"/>
  <c r="J362" i="12"/>
  <c r="I362" i="12"/>
  <c r="J361" i="12"/>
  <c r="I361" i="12"/>
  <c r="J360" i="12"/>
  <c r="F348" i="12"/>
  <c r="F349" i="12"/>
  <c r="J346" i="12"/>
  <c r="I346" i="12"/>
  <c r="J345" i="12"/>
  <c r="I345" i="12"/>
  <c r="J344" i="12"/>
  <c r="I344" i="12"/>
  <c r="J343" i="12"/>
  <c r="I343" i="12"/>
  <c r="J342" i="12"/>
  <c r="I342" i="12"/>
  <c r="J341" i="12"/>
  <c r="I341" i="12"/>
  <c r="J340" i="12"/>
  <c r="I340" i="12"/>
  <c r="J339" i="12"/>
  <c r="I339" i="12"/>
  <c r="J338" i="12"/>
  <c r="I338" i="12"/>
  <c r="J337" i="12"/>
  <c r="I337" i="12"/>
  <c r="J336" i="12"/>
  <c r="I336" i="12"/>
  <c r="J335" i="12"/>
  <c r="I335" i="12"/>
  <c r="J334" i="12"/>
  <c r="I334" i="12"/>
  <c r="J333" i="12"/>
  <c r="I333" i="12"/>
  <c r="J332" i="12"/>
  <c r="I332" i="12"/>
  <c r="J331" i="12"/>
  <c r="I331" i="12"/>
  <c r="J330" i="12"/>
  <c r="I330" i="12"/>
  <c r="J329" i="12"/>
  <c r="I329" i="12"/>
  <c r="J328" i="12"/>
  <c r="I328" i="12"/>
  <c r="J327" i="12"/>
  <c r="I327" i="12"/>
  <c r="J323" i="12"/>
  <c r="I323" i="12"/>
  <c r="J322" i="12"/>
  <c r="I322" i="12"/>
  <c r="J321" i="12"/>
  <c r="I321" i="12"/>
  <c r="J320" i="12"/>
  <c r="I320" i="12"/>
  <c r="J319" i="12"/>
  <c r="I319" i="12"/>
  <c r="J318" i="12"/>
  <c r="I318" i="12"/>
  <c r="J317" i="12"/>
  <c r="I317" i="12"/>
  <c r="J316" i="12"/>
  <c r="I316" i="12"/>
  <c r="J315" i="12"/>
  <c r="I315" i="12"/>
  <c r="J314" i="12"/>
  <c r="I314" i="12"/>
  <c r="J313" i="12"/>
  <c r="I313" i="12"/>
  <c r="J312" i="12"/>
  <c r="I312" i="12"/>
  <c r="J311" i="12"/>
  <c r="I311" i="12"/>
  <c r="J310" i="12"/>
  <c r="I310" i="12"/>
  <c r="J309" i="12"/>
  <c r="I309" i="12"/>
  <c r="J308" i="12"/>
  <c r="I308" i="12"/>
  <c r="J307" i="12"/>
  <c r="I307" i="12"/>
  <c r="J306" i="12"/>
  <c r="I306" i="12"/>
  <c r="J305" i="12"/>
  <c r="I305" i="12"/>
  <c r="J304" i="12"/>
  <c r="I304" i="12"/>
  <c r="J300" i="12"/>
  <c r="I300" i="12"/>
  <c r="J299" i="12"/>
  <c r="I299" i="12"/>
  <c r="J298" i="12"/>
  <c r="I298" i="12"/>
  <c r="J297" i="12"/>
  <c r="I297" i="12"/>
  <c r="J296" i="12"/>
  <c r="I296" i="12"/>
  <c r="J295" i="12"/>
  <c r="I295" i="12"/>
  <c r="J294" i="12"/>
  <c r="I294" i="12"/>
  <c r="J293" i="12"/>
  <c r="I293" i="12"/>
  <c r="J292" i="12"/>
  <c r="I292" i="12"/>
  <c r="J291" i="12"/>
  <c r="I291" i="12"/>
  <c r="F278" i="12"/>
  <c r="F279" i="12"/>
  <c r="J276" i="12"/>
  <c r="I276" i="12"/>
  <c r="J275" i="12"/>
  <c r="I275" i="12"/>
  <c r="J274" i="12"/>
  <c r="I274" i="12"/>
  <c r="J273" i="12"/>
  <c r="I273" i="12"/>
  <c r="J272" i="12"/>
  <c r="I272" i="12"/>
  <c r="J271" i="12"/>
  <c r="I271" i="12"/>
  <c r="J270" i="12"/>
  <c r="I270" i="12"/>
  <c r="J269" i="12"/>
  <c r="I269" i="12"/>
  <c r="J268" i="12"/>
  <c r="I268" i="12"/>
  <c r="J267" i="12"/>
  <c r="I267" i="12"/>
  <c r="J266" i="12"/>
  <c r="I266" i="12"/>
  <c r="J265" i="12"/>
  <c r="I265" i="12"/>
  <c r="J264" i="12"/>
  <c r="I264" i="12"/>
  <c r="J263" i="12"/>
  <c r="I263" i="12"/>
  <c r="J262" i="12"/>
  <c r="I262" i="12"/>
  <c r="J261" i="12"/>
  <c r="I261" i="12"/>
  <c r="J260" i="12"/>
  <c r="I260" i="12"/>
  <c r="J259" i="12"/>
  <c r="I259" i="12"/>
  <c r="J258" i="12"/>
  <c r="I258" i="12"/>
  <c r="J257" i="12"/>
  <c r="I257" i="12"/>
  <c r="J253" i="12"/>
  <c r="I253" i="12"/>
  <c r="J252" i="12"/>
  <c r="I252" i="12"/>
  <c r="J251" i="12"/>
  <c r="I251" i="12"/>
  <c r="J250" i="12"/>
  <c r="I250" i="12"/>
  <c r="J249" i="12"/>
  <c r="I249" i="12"/>
  <c r="J248" i="12"/>
  <c r="I248" i="12"/>
  <c r="J247" i="12"/>
  <c r="I247" i="12"/>
  <c r="J246" i="12"/>
  <c r="I246" i="12"/>
  <c r="J245" i="12"/>
  <c r="I245" i="12"/>
  <c r="J244" i="12"/>
  <c r="I244" i="12"/>
  <c r="J243" i="12"/>
  <c r="I243" i="12"/>
  <c r="J242" i="12"/>
  <c r="I242" i="12"/>
  <c r="J241" i="12"/>
  <c r="I241" i="12"/>
  <c r="J240" i="12"/>
  <c r="I240" i="12"/>
  <c r="J239" i="12"/>
  <c r="I239" i="12"/>
  <c r="J238" i="12"/>
  <c r="I238" i="12"/>
  <c r="J237" i="12"/>
  <c r="I237" i="12"/>
  <c r="J236" i="12"/>
  <c r="I236" i="12"/>
  <c r="J235" i="12"/>
  <c r="I235" i="12"/>
  <c r="J234" i="12"/>
  <c r="I234" i="12"/>
  <c r="J230" i="12"/>
  <c r="I230" i="12"/>
  <c r="J229" i="12"/>
  <c r="I229" i="12"/>
  <c r="J228" i="12"/>
  <c r="I228" i="12"/>
  <c r="J227" i="12"/>
  <c r="I227" i="12"/>
  <c r="J226" i="12"/>
  <c r="I226" i="12"/>
  <c r="J225" i="12"/>
  <c r="I225" i="12"/>
  <c r="J224" i="12"/>
  <c r="I224" i="12"/>
  <c r="J223" i="12"/>
  <c r="I223" i="12"/>
  <c r="J222" i="12"/>
  <c r="J221" i="12"/>
  <c r="I221" i="12"/>
  <c r="F208" i="12"/>
  <c r="F209" i="12"/>
  <c r="J206" i="12"/>
  <c r="I206" i="12"/>
  <c r="J205" i="12"/>
  <c r="I205" i="12"/>
  <c r="J204" i="12"/>
  <c r="I204" i="12"/>
  <c r="J203" i="12"/>
  <c r="I203" i="12"/>
  <c r="J202" i="12"/>
  <c r="I202" i="12"/>
  <c r="J201" i="12"/>
  <c r="I201" i="12"/>
  <c r="J200" i="12"/>
  <c r="I200" i="12"/>
  <c r="J199" i="12"/>
  <c r="I199" i="12"/>
  <c r="J198" i="12"/>
  <c r="I198" i="12"/>
  <c r="J197" i="12"/>
  <c r="I197" i="12"/>
  <c r="J196" i="12"/>
  <c r="I196" i="12"/>
  <c r="J195" i="12"/>
  <c r="I195" i="12"/>
  <c r="J194" i="12"/>
  <c r="I194" i="12"/>
  <c r="J193" i="12"/>
  <c r="I193" i="12"/>
  <c r="J192" i="12"/>
  <c r="I192" i="12"/>
  <c r="J191" i="12"/>
  <c r="I191" i="12"/>
  <c r="J190" i="12"/>
  <c r="I190" i="12"/>
  <c r="J189" i="12"/>
  <c r="I189" i="12"/>
  <c r="B189" i="12"/>
  <c r="B190" i="12"/>
  <c r="B191" i="12"/>
  <c r="B192" i="12"/>
  <c r="B193" i="12"/>
  <c r="B194" i="12"/>
  <c r="B195" i="12"/>
  <c r="J188" i="12"/>
  <c r="I188" i="12"/>
  <c r="J187" i="12"/>
  <c r="I187" i="12"/>
  <c r="J183" i="12"/>
  <c r="I183" i="12"/>
  <c r="J182" i="12"/>
  <c r="I182" i="12"/>
  <c r="J181" i="12"/>
  <c r="I181" i="12"/>
  <c r="J180" i="12"/>
  <c r="I180" i="12"/>
  <c r="J179" i="12"/>
  <c r="I179" i="12"/>
  <c r="J178" i="12"/>
  <c r="I178" i="12"/>
  <c r="J177" i="12"/>
  <c r="I177" i="12"/>
  <c r="J176" i="12"/>
  <c r="I176" i="12"/>
  <c r="J175" i="12"/>
  <c r="I175" i="12"/>
  <c r="J174" i="12"/>
  <c r="I174" i="12"/>
  <c r="J173" i="12"/>
  <c r="I173" i="12"/>
  <c r="J172" i="12"/>
  <c r="I172" i="12"/>
  <c r="J171" i="12"/>
  <c r="I171" i="12"/>
  <c r="J170" i="12"/>
  <c r="I170" i="12"/>
  <c r="J169" i="12"/>
  <c r="I169" i="12"/>
  <c r="J168" i="12"/>
  <c r="I168" i="12"/>
  <c r="J167" i="12"/>
  <c r="I167" i="12"/>
  <c r="J166" i="12"/>
  <c r="I166" i="12"/>
  <c r="J165" i="12"/>
  <c r="I165" i="12"/>
  <c r="J162" i="12"/>
  <c r="I162" i="12"/>
  <c r="J161" i="12"/>
  <c r="I161" i="12"/>
  <c r="J160" i="12"/>
  <c r="I160" i="12"/>
  <c r="J159" i="12"/>
  <c r="I159" i="12"/>
  <c r="J158" i="12"/>
  <c r="I158" i="12"/>
  <c r="J157" i="12"/>
  <c r="I157" i="12"/>
  <c r="J156" i="12"/>
  <c r="I156" i="12"/>
  <c r="J155" i="12"/>
  <c r="I155" i="12"/>
  <c r="J154" i="12"/>
  <c r="I154" i="12"/>
  <c r="J153" i="12"/>
  <c r="I153" i="12"/>
  <c r="J152" i="12"/>
  <c r="F139" i="12"/>
  <c r="F140" i="12"/>
  <c r="J137" i="12"/>
  <c r="I137" i="12"/>
  <c r="J136" i="12"/>
  <c r="I136" i="12"/>
  <c r="J135" i="12"/>
  <c r="I135" i="12"/>
  <c r="J134" i="12"/>
  <c r="I134" i="12"/>
  <c r="J133" i="12"/>
  <c r="I133" i="12"/>
  <c r="J132" i="12"/>
  <c r="I132" i="12"/>
  <c r="J131" i="12"/>
  <c r="I131" i="12"/>
  <c r="J128" i="12"/>
  <c r="I128" i="12"/>
  <c r="J127" i="12"/>
  <c r="I127" i="12"/>
  <c r="J126" i="12"/>
  <c r="I126" i="12"/>
  <c r="J125" i="12"/>
  <c r="I125" i="12"/>
  <c r="J124" i="12"/>
  <c r="I124" i="12"/>
  <c r="J123" i="12"/>
  <c r="I123" i="12"/>
  <c r="J122" i="12"/>
  <c r="I122" i="12"/>
  <c r="J121" i="12"/>
  <c r="I121" i="12"/>
  <c r="J120" i="12"/>
  <c r="I120" i="12"/>
  <c r="J116" i="12"/>
  <c r="I116" i="12"/>
  <c r="J115" i="12"/>
  <c r="I115" i="12"/>
  <c r="J114" i="12"/>
  <c r="I114" i="12"/>
  <c r="J113" i="12"/>
  <c r="I113" i="12"/>
  <c r="J112" i="12"/>
  <c r="I112" i="12"/>
  <c r="J111" i="12"/>
  <c r="I111" i="12"/>
  <c r="J110" i="12"/>
  <c r="I110" i="12"/>
  <c r="J109" i="12"/>
  <c r="I109" i="12"/>
  <c r="J108" i="12"/>
  <c r="I108" i="12"/>
  <c r="J107" i="12"/>
  <c r="I107" i="12"/>
  <c r="J106" i="12"/>
  <c r="I106" i="12"/>
  <c r="J105" i="12"/>
  <c r="I105" i="12"/>
  <c r="J104" i="12"/>
  <c r="I104" i="12"/>
  <c r="J103" i="12"/>
  <c r="I103" i="12"/>
  <c r="J102" i="12"/>
  <c r="I102" i="12"/>
  <c r="J101" i="12"/>
  <c r="I101" i="12"/>
  <c r="J100" i="12"/>
  <c r="I100" i="12"/>
  <c r="J99" i="12"/>
  <c r="I99" i="12"/>
  <c r="J98" i="12"/>
  <c r="I98" i="12"/>
  <c r="J97" i="12"/>
  <c r="I97" i="12"/>
  <c r="J93" i="12"/>
  <c r="I93" i="12"/>
  <c r="J92" i="12"/>
  <c r="I92" i="12"/>
  <c r="J91" i="12"/>
  <c r="I91" i="12"/>
  <c r="J90" i="12"/>
  <c r="I90" i="12"/>
  <c r="J89" i="12"/>
  <c r="I89" i="12"/>
  <c r="J88" i="12"/>
  <c r="I88" i="12"/>
  <c r="J87" i="12"/>
  <c r="I87" i="12"/>
  <c r="J86" i="12"/>
  <c r="I86" i="12"/>
  <c r="J85" i="12"/>
  <c r="I85" i="12"/>
  <c r="J84" i="12"/>
  <c r="I84" i="12"/>
  <c r="G79" i="12"/>
  <c r="F79" i="12"/>
  <c r="F147" i="12"/>
  <c r="F216" i="12"/>
  <c r="F286" i="12"/>
  <c r="F356" i="12"/>
  <c r="F426" i="12"/>
  <c r="F496" i="12"/>
  <c r="F566" i="12"/>
  <c r="F636" i="12"/>
  <c r="F706" i="12"/>
  <c r="F776" i="12"/>
  <c r="C79" i="12"/>
  <c r="C147" i="12"/>
  <c r="C216" i="12"/>
  <c r="C286" i="12"/>
  <c r="C356" i="12"/>
  <c r="C426" i="12"/>
  <c r="C496" i="12"/>
  <c r="C566" i="12"/>
  <c r="C636" i="12"/>
  <c r="C706" i="12"/>
  <c r="C776" i="12"/>
  <c r="F70" i="12"/>
  <c r="F71" i="12"/>
  <c r="J68" i="12"/>
  <c r="I68" i="12"/>
  <c r="J67" i="12"/>
  <c r="I67" i="12"/>
  <c r="J66" i="12"/>
  <c r="I66" i="12"/>
  <c r="J65" i="12"/>
  <c r="I65" i="12"/>
  <c r="J64" i="12"/>
  <c r="I64" i="12"/>
  <c r="J63" i="12"/>
  <c r="I63" i="12"/>
  <c r="J62" i="12"/>
  <c r="I62" i="12"/>
  <c r="J61" i="12"/>
  <c r="I61" i="12"/>
  <c r="J60" i="12"/>
  <c r="I60" i="12"/>
  <c r="J59" i="12"/>
  <c r="I59" i="12"/>
  <c r="J58" i="12"/>
  <c r="I58" i="12"/>
  <c r="J57" i="12"/>
  <c r="I57" i="12"/>
  <c r="J56" i="12"/>
  <c r="I56" i="12"/>
  <c r="J55" i="12"/>
  <c r="I55" i="12"/>
  <c r="J54" i="12"/>
  <c r="I54" i="12"/>
  <c r="J53" i="12"/>
  <c r="I53" i="12"/>
  <c r="J52" i="12"/>
  <c r="I52" i="12"/>
  <c r="H32" i="12"/>
  <c r="E16" i="12"/>
  <c r="K16" i="12"/>
  <c r="F839" i="11"/>
  <c r="F840" i="11"/>
  <c r="J837" i="11"/>
  <c r="I837" i="11"/>
  <c r="J836" i="11"/>
  <c r="I836" i="11"/>
  <c r="J835" i="11"/>
  <c r="I835" i="11"/>
  <c r="J834" i="11"/>
  <c r="I834" i="11"/>
  <c r="J833" i="11"/>
  <c r="I833" i="11"/>
  <c r="J832" i="11"/>
  <c r="I832" i="11"/>
  <c r="J831" i="11"/>
  <c r="I831" i="11"/>
  <c r="J830" i="11"/>
  <c r="I830" i="11"/>
  <c r="J829" i="11"/>
  <c r="I829" i="11"/>
  <c r="J828" i="11"/>
  <c r="I828" i="11"/>
  <c r="J827" i="11"/>
  <c r="I827" i="11"/>
  <c r="J826" i="11"/>
  <c r="I826" i="11"/>
  <c r="J825" i="11"/>
  <c r="I825" i="11"/>
  <c r="J824" i="11"/>
  <c r="I824" i="11"/>
  <c r="J823" i="11"/>
  <c r="I823" i="11"/>
  <c r="J822" i="11"/>
  <c r="I822" i="11"/>
  <c r="J821" i="11"/>
  <c r="I821" i="11"/>
  <c r="J820" i="11"/>
  <c r="I820" i="11"/>
  <c r="J819" i="11"/>
  <c r="I819" i="11"/>
  <c r="J818" i="11"/>
  <c r="I818" i="11"/>
  <c r="J814" i="11"/>
  <c r="I814" i="11"/>
  <c r="J813" i="11"/>
  <c r="I813" i="11"/>
  <c r="J812" i="11"/>
  <c r="I812" i="11"/>
  <c r="J811" i="11"/>
  <c r="I811" i="11"/>
  <c r="J810" i="11"/>
  <c r="I810" i="11"/>
  <c r="J809" i="11"/>
  <c r="I809" i="11"/>
  <c r="J808" i="11"/>
  <c r="I808" i="11"/>
  <c r="J807" i="11"/>
  <c r="I807" i="11"/>
  <c r="J806" i="11"/>
  <c r="I806" i="11"/>
  <c r="J805" i="11"/>
  <c r="I805" i="11"/>
  <c r="J804" i="11"/>
  <c r="I804" i="11"/>
  <c r="J803" i="11"/>
  <c r="I803" i="11"/>
  <c r="J802" i="11"/>
  <c r="I802" i="11"/>
  <c r="J801" i="11"/>
  <c r="I801" i="11"/>
  <c r="J800" i="11"/>
  <c r="I800" i="11"/>
  <c r="J799" i="11"/>
  <c r="I799" i="11"/>
  <c r="J798" i="11"/>
  <c r="I798" i="11"/>
  <c r="J797" i="11"/>
  <c r="I797" i="11"/>
  <c r="J796" i="11"/>
  <c r="I796" i="11"/>
  <c r="J795" i="11"/>
  <c r="I795" i="11"/>
  <c r="J791" i="11"/>
  <c r="I791" i="11"/>
  <c r="J790" i="11"/>
  <c r="I790" i="11"/>
  <c r="J789" i="11"/>
  <c r="I789" i="11"/>
  <c r="J788" i="11"/>
  <c r="I788" i="11"/>
  <c r="J787" i="11"/>
  <c r="I787" i="11"/>
  <c r="J786" i="11"/>
  <c r="I786" i="11"/>
  <c r="J785" i="11"/>
  <c r="I785" i="11"/>
  <c r="J784" i="11"/>
  <c r="I784" i="11"/>
  <c r="J783" i="11"/>
  <c r="I783" i="11"/>
  <c r="J782" i="11"/>
  <c r="F769" i="11"/>
  <c r="F770" i="11"/>
  <c r="J767" i="11"/>
  <c r="I767" i="11"/>
  <c r="J766" i="11"/>
  <c r="I766" i="11"/>
  <c r="J765" i="11"/>
  <c r="I765" i="11"/>
  <c r="J764" i="11"/>
  <c r="I764" i="11"/>
  <c r="J763" i="11"/>
  <c r="I763" i="11"/>
  <c r="J762" i="11"/>
  <c r="I762" i="11"/>
  <c r="J761" i="11"/>
  <c r="I761" i="11"/>
  <c r="J760" i="11"/>
  <c r="I760" i="11"/>
  <c r="J759" i="11"/>
  <c r="I759" i="11"/>
  <c r="J758" i="11"/>
  <c r="I758" i="11"/>
  <c r="J757" i="11"/>
  <c r="I757" i="11"/>
  <c r="J756" i="11"/>
  <c r="I756" i="11"/>
  <c r="J755" i="11"/>
  <c r="I755" i="11"/>
  <c r="J754" i="11"/>
  <c r="I754" i="11"/>
  <c r="J753" i="11"/>
  <c r="I753" i="11"/>
  <c r="J752" i="11"/>
  <c r="I752" i="11"/>
  <c r="J751" i="11"/>
  <c r="I751" i="11"/>
  <c r="J750" i="11"/>
  <c r="I750" i="11"/>
  <c r="J749" i="11"/>
  <c r="I749" i="11"/>
  <c r="J748" i="11"/>
  <c r="I748" i="11"/>
  <c r="J744" i="11"/>
  <c r="I744" i="11"/>
  <c r="J743" i="11"/>
  <c r="I743" i="11"/>
  <c r="J742" i="11"/>
  <c r="I742" i="11"/>
  <c r="J741" i="11"/>
  <c r="I741" i="11"/>
  <c r="J740" i="11"/>
  <c r="I740" i="11"/>
  <c r="J739" i="11"/>
  <c r="I739" i="11"/>
  <c r="J738" i="11"/>
  <c r="I738" i="11"/>
  <c r="J737" i="11"/>
  <c r="I737" i="11"/>
  <c r="J736" i="11"/>
  <c r="I736" i="11"/>
  <c r="J735" i="11"/>
  <c r="I735" i="11"/>
  <c r="J734" i="11"/>
  <c r="I734" i="11"/>
  <c r="J733" i="11"/>
  <c r="I733" i="11"/>
  <c r="J732" i="11"/>
  <c r="I732" i="11"/>
  <c r="J731" i="11"/>
  <c r="I731" i="11"/>
  <c r="J730" i="11"/>
  <c r="I730" i="11"/>
  <c r="J729" i="11"/>
  <c r="I729" i="11"/>
  <c r="J728" i="11"/>
  <c r="I728" i="11"/>
  <c r="J727" i="11"/>
  <c r="I727" i="11"/>
  <c r="J726" i="11"/>
  <c r="I726" i="11"/>
  <c r="J725" i="11"/>
  <c r="I725" i="11"/>
  <c r="J721" i="11"/>
  <c r="I721" i="11"/>
  <c r="J720" i="11"/>
  <c r="I720" i="11"/>
  <c r="J719" i="11"/>
  <c r="I719" i="11"/>
  <c r="J718" i="11"/>
  <c r="I718" i="11"/>
  <c r="J717" i="11"/>
  <c r="I717" i="11"/>
  <c r="J716" i="11"/>
  <c r="I716" i="11"/>
  <c r="J715" i="11"/>
  <c r="I715" i="11"/>
  <c r="J714" i="11"/>
  <c r="I714" i="11"/>
  <c r="J713" i="11"/>
  <c r="I713" i="11"/>
  <c r="J712" i="11"/>
  <c r="F699" i="11"/>
  <c r="F700" i="11"/>
  <c r="J697" i="11"/>
  <c r="I697" i="11"/>
  <c r="J696" i="11"/>
  <c r="I696" i="11"/>
  <c r="J695" i="11"/>
  <c r="I695" i="11"/>
  <c r="J694" i="11"/>
  <c r="I694" i="11"/>
  <c r="J693" i="11"/>
  <c r="I693" i="11"/>
  <c r="J692" i="11"/>
  <c r="I692" i="11"/>
  <c r="J691" i="11"/>
  <c r="I691" i="11"/>
  <c r="J690" i="11"/>
  <c r="I690" i="11"/>
  <c r="J689" i="11"/>
  <c r="I689" i="11"/>
  <c r="J688" i="11"/>
  <c r="I688" i="11"/>
  <c r="J687" i="11"/>
  <c r="I687" i="11"/>
  <c r="J686" i="11"/>
  <c r="I686" i="11"/>
  <c r="J685" i="11"/>
  <c r="I685" i="11"/>
  <c r="J684" i="11"/>
  <c r="I684" i="11"/>
  <c r="J683" i="11"/>
  <c r="I683" i="11"/>
  <c r="J682" i="11"/>
  <c r="I682" i="11"/>
  <c r="J681" i="11"/>
  <c r="I681" i="11"/>
  <c r="J680" i="11"/>
  <c r="I680" i="11"/>
  <c r="J679" i="11"/>
  <c r="I679" i="11"/>
  <c r="J678" i="11"/>
  <c r="I678" i="11"/>
  <c r="J674" i="11"/>
  <c r="I674" i="11"/>
  <c r="J673" i="11"/>
  <c r="I673" i="11"/>
  <c r="J672" i="11"/>
  <c r="I672" i="11"/>
  <c r="J671" i="11"/>
  <c r="I671" i="11"/>
  <c r="J670" i="11"/>
  <c r="I670" i="11"/>
  <c r="J669" i="11"/>
  <c r="I669" i="11"/>
  <c r="J668" i="11"/>
  <c r="I668" i="11"/>
  <c r="J667" i="11"/>
  <c r="I667" i="11"/>
  <c r="J666" i="11"/>
  <c r="I666" i="11"/>
  <c r="J665" i="11"/>
  <c r="I665" i="11"/>
  <c r="J664" i="11"/>
  <c r="I664" i="11"/>
  <c r="J663" i="11"/>
  <c r="I663" i="11"/>
  <c r="J662" i="11"/>
  <c r="I662" i="11"/>
  <c r="J661" i="11"/>
  <c r="I661" i="11"/>
  <c r="J660" i="11"/>
  <c r="I660" i="11"/>
  <c r="J659" i="11"/>
  <c r="I659" i="11"/>
  <c r="J658" i="11"/>
  <c r="I658" i="11"/>
  <c r="J657" i="11"/>
  <c r="I657" i="11"/>
  <c r="J656" i="11"/>
  <c r="I656" i="11"/>
  <c r="J655" i="11"/>
  <c r="I655" i="11"/>
  <c r="J651" i="11"/>
  <c r="I651" i="11"/>
  <c r="J650" i="11"/>
  <c r="I650" i="11"/>
  <c r="J649" i="11"/>
  <c r="I649" i="11"/>
  <c r="J648" i="11"/>
  <c r="I648" i="11"/>
  <c r="J647" i="11"/>
  <c r="I647" i="11"/>
  <c r="J646" i="11"/>
  <c r="I646" i="11"/>
  <c r="J645" i="11"/>
  <c r="I645" i="11"/>
  <c r="J644" i="11"/>
  <c r="I644" i="11"/>
  <c r="J643" i="11"/>
  <c r="I643" i="11"/>
  <c r="J642" i="11"/>
  <c r="I642" i="11"/>
  <c r="F629" i="11"/>
  <c r="F630" i="11"/>
  <c r="J627" i="11"/>
  <c r="I627" i="11"/>
  <c r="J626" i="11"/>
  <c r="I626" i="11"/>
  <c r="J625" i="11"/>
  <c r="I625" i="11"/>
  <c r="J624" i="11"/>
  <c r="I624" i="11"/>
  <c r="J623" i="11"/>
  <c r="I623" i="11"/>
  <c r="J622" i="11"/>
  <c r="I622" i="11"/>
  <c r="J621" i="11"/>
  <c r="I621" i="11"/>
  <c r="J620" i="11"/>
  <c r="I620" i="11"/>
  <c r="J619" i="11"/>
  <c r="I619" i="11"/>
  <c r="J618" i="11"/>
  <c r="I618" i="11"/>
  <c r="J617" i="11"/>
  <c r="I617" i="11"/>
  <c r="J616" i="11"/>
  <c r="I616" i="11"/>
  <c r="J615" i="11"/>
  <c r="I615" i="11"/>
  <c r="J614" i="11"/>
  <c r="I614" i="11"/>
  <c r="J613" i="11"/>
  <c r="I613" i="11"/>
  <c r="J612" i="11"/>
  <c r="I612" i="11"/>
  <c r="J611" i="11"/>
  <c r="I611" i="11"/>
  <c r="J610" i="11"/>
  <c r="I610" i="11"/>
  <c r="J609" i="11"/>
  <c r="I609" i="11"/>
  <c r="J608" i="11"/>
  <c r="I608" i="11"/>
  <c r="J604" i="11"/>
  <c r="I604" i="11"/>
  <c r="J603" i="11"/>
  <c r="I603" i="11"/>
  <c r="J602" i="11"/>
  <c r="I602" i="11"/>
  <c r="J601" i="11"/>
  <c r="I601" i="11"/>
  <c r="J600" i="11"/>
  <c r="I600" i="11"/>
  <c r="J599" i="11"/>
  <c r="I599" i="11"/>
  <c r="J598" i="11"/>
  <c r="I598" i="11"/>
  <c r="J597" i="11"/>
  <c r="I597" i="11"/>
  <c r="J596" i="11"/>
  <c r="I596" i="11"/>
  <c r="J595" i="11"/>
  <c r="I595" i="11"/>
  <c r="J594" i="11"/>
  <c r="I594" i="11"/>
  <c r="J593" i="11"/>
  <c r="I593" i="11"/>
  <c r="J592" i="11"/>
  <c r="I592" i="11"/>
  <c r="J591" i="11"/>
  <c r="I591" i="11"/>
  <c r="J590" i="11"/>
  <c r="I590" i="11"/>
  <c r="J589" i="11"/>
  <c r="I589" i="11"/>
  <c r="J588" i="11"/>
  <c r="I588" i="11"/>
  <c r="J587" i="11"/>
  <c r="I587" i="11"/>
  <c r="J586" i="11"/>
  <c r="I586" i="11"/>
  <c r="J585" i="11"/>
  <c r="I585" i="11"/>
  <c r="J581" i="11"/>
  <c r="I581" i="11"/>
  <c r="J580" i="11"/>
  <c r="I580" i="11"/>
  <c r="J579" i="11"/>
  <c r="I579" i="11"/>
  <c r="J578" i="11"/>
  <c r="I578" i="11"/>
  <c r="J577" i="11"/>
  <c r="I577" i="11"/>
  <c r="J576" i="11"/>
  <c r="I576" i="11"/>
  <c r="J575" i="11"/>
  <c r="I575" i="11"/>
  <c r="J574" i="11"/>
  <c r="I574" i="11"/>
  <c r="J573" i="11"/>
  <c r="I573" i="11"/>
  <c r="J572" i="11"/>
  <c r="F559" i="11"/>
  <c r="F560" i="11"/>
  <c r="J557" i="11"/>
  <c r="I557" i="11"/>
  <c r="J556" i="11"/>
  <c r="I556" i="11"/>
  <c r="J555" i="11"/>
  <c r="I555" i="11"/>
  <c r="J554" i="11"/>
  <c r="I554" i="11"/>
  <c r="J553" i="11"/>
  <c r="I553" i="11"/>
  <c r="J552" i="11"/>
  <c r="I552" i="11"/>
  <c r="J551" i="11"/>
  <c r="I551" i="11"/>
  <c r="J550" i="11"/>
  <c r="I550" i="11"/>
  <c r="J549" i="11"/>
  <c r="I549" i="11"/>
  <c r="J548" i="11"/>
  <c r="I548" i="11"/>
  <c r="J547" i="11"/>
  <c r="I547" i="11"/>
  <c r="J546" i="11"/>
  <c r="I546" i="11"/>
  <c r="J545" i="11"/>
  <c r="I545" i="11"/>
  <c r="J544" i="11"/>
  <c r="I544" i="11"/>
  <c r="J543" i="11"/>
  <c r="I543" i="11"/>
  <c r="J542" i="11"/>
  <c r="I542" i="11"/>
  <c r="J541" i="11"/>
  <c r="I541" i="11"/>
  <c r="J540" i="11"/>
  <c r="I540" i="11"/>
  <c r="J539" i="11"/>
  <c r="I539" i="11"/>
  <c r="J538" i="11"/>
  <c r="I538" i="11"/>
  <c r="J534" i="11"/>
  <c r="I534" i="11"/>
  <c r="J533" i="11"/>
  <c r="I533" i="11"/>
  <c r="J532" i="11"/>
  <c r="I532" i="11"/>
  <c r="J531" i="11"/>
  <c r="I531" i="11"/>
  <c r="J530" i="11"/>
  <c r="I530" i="11"/>
  <c r="J529" i="11"/>
  <c r="I529" i="11"/>
  <c r="J528" i="11"/>
  <c r="I528" i="11"/>
  <c r="J527" i="11"/>
  <c r="I527" i="11"/>
  <c r="J526" i="11"/>
  <c r="I526" i="11"/>
  <c r="J525" i="11"/>
  <c r="I525" i="11"/>
  <c r="J524" i="11"/>
  <c r="I524" i="11"/>
  <c r="J523" i="11"/>
  <c r="I523" i="11"/>
  <c r="J522" i="11"/>
  <c r="I522" i="11"/>
  <c r="J521" i="11"/>
  <c r="I521" i="11"/>
  <c r="J520" i="11"/>
  <c r="I520" i="11"/>
  <c r="J519" i="11"/>
  <c r="I519" i="11"/>
  <c r="J518" i="11"/>
  <c r="I518" i="11"/>
  <c r="J517" i="11"/>
  <c r="I517" i="11"/>
  <c r="J516" i="11"/>
  <c r="I516" i="11"/>
  <c r="J515" i="11"/>
  <c r="I515" i="11"/>
  <c r="J511" i="11"/>
  <c r="I511" i="11"/>
  <c r="J510" i="11"/>
  <c r="I510" i="11"/>
  <c r="J509" i="11"/>
  <c r="I509" i="11"/>
  <c r="J508" i="11"/>
  <c r="I508" i="11"/>
  <c r="J507" i="11"/>
  <c r="I507" i="11"/>
  <c r="J506" i="11"/>
  <c r="I506" i="11"/>
  <c r="J505" i="11"/>
  <c r="I505" i="11"/>
  <c r="J504" i="11"/>
  <c r="I504" i="11"/>
  <c r="J503" i="11"/>
  <c r="I503" i="11"/>
  <c r="J502" i="11"/>
  <c r="F489" i="11"/>
  <c r="F490" i="11"/>
  <c r="J487" i="11"/>
  <c r="I487" i="11"/>
  <c r="J486" i="11"/>
  <c r="I486" i="11"/>
  <c r="J485" i="11"/>
  <c r="I485" i="11"/>
  <c r="J484" i="11"/>
  <c r="I484" i="11"/>
  <c r="J483" i="11"/>
  <c r="I483" i="11"/>
  <c r="J482" i="11"/>
  <c r="I482" i="11"/>
  <c r="J481" i="11"/>
  <c r="I481" i="11"/>
  <c r="J480" i="11"/>
  <c r="I480" i="11"/>
  <c r="J479" i="11"/>
  <c r="I479" i="11"/>
  <c r="J478" i="11"/>
  <c r="I478" i="11"/>
  <c r="J477" i="11"/>
  <c r="I477" i="11"/>
  <c r="J476" i="11"/>
  <c r="I476" i="11"/>
  <c r="J475" i="11"/>
  <c r="I475" i="11"/>
  <c r="J474" i="11"/>
  <c r="I474" i="11"/>
  <c r="J473" i="11"/>
  <c r="I473" i="11"/>
  <c r="J472" i="11"/>
  <c r="I472" i="11"/>
  <c r="J471" i="11"/>
  <c r="I471" i="11"/>
  <c r="J470" i="11"/>
  <c r="I470" i="11"/>
  <c r="J469" i="11"/>
  <c r="I469" i="11"/>
  <c r="J468" i="11"/>
  <c r="I468" i="11"/>
  <c r="J464" i="11"/>
  <c r="I464" i="11"/>
  <c r="J463" i="11"/>
  <c r="I463" i="11"/>
  <c r="J462" i="11"/>
  <c r="I462" i="11"/>
  <c r="J461" i="11"/>
  <c r="I461" i="11"/>
  <c r="J460" i="11"/>
  <c r="I460" i="11"/>
  <c r="J459" i="11"/>
  <c r="I459" i="11"/>
  <c r="J458" i="11"/>
  <c r="I458" i="11"/>
  <c r="J457" i="11"/>
  <c r="I457" i="11"/>
  <c r="J456" i="11"/>
  <c r="I456" i="11"/>
  <c r="J455" i="11"/>
  <c r="I455" i="11"/>
  <c r="J454" i="11"/>
  <c r="I454" i="11"/>
  <c r="J453" i="11"/>
  <c r="I453" i="11"/>
  <c r="J452" i="11"/>
  <c r="I452" i="11"/>
  <c r="J451" i="11"/>
  <c r="I451" i="11"/>
  <c r="J450" i="11"/>
  <c r="I450" i="11"/>
  <c r="J449" i="11"/>
  <c r="I449" i="11"/>
  <c r="J448" i="11"/>
  <c r="I448" i="11"/>
  <c r="J447" i="11"/>
  <c r="I447" i="11"/>
  <c r="J446" i="11"/>
  <c r="I446" i="11"/>
  <c r="J445" i="11"/>
  <c r="I445" i="11"/>
  <c r="J441" i="11"/>
  <c r="I441" i="11"/>
  <c r="J440" i="11"/>
  <c r="I440" i="11"/>
  <c r="J439" i="11"/>
  <c r="I439" i="11"/>
  <c r="J438" i="11"/>
  <c r="I438" i="11"/>
  <c r="J437" i="11"/>
  <c r="I437" i="11"/>
  <c r="J436" i="11"/>
  <c r="I436" i="11"/>
  <c r="J435" i="11"/>
  <c r="I435" i="11"/>
  <c r="J434" i="11"/>
  <c r="I434" i="11"/>
  <c r="J433" i="11"/>
  <c r="I433" i="11"/>
  <c r="J432" i="11"/>
  <c r="F419" i="11"/>
  <c r="F420" i="11"/>
  <c r="J417" i="11"/>
  <c r="I417" i="11"/>
  <c r="J416" i="11"/>
  <c r="I416" i="11"/>
  <c r="J415" i="11"/>
  <c r="I415" i="11"/>
  <c r="J414" i="11"/>
  <c r="I414" i="11"/>
  <c r="J413" i="11"/>
  <c r="I413" i="11"/>
  <c r="J412" i="11"/>
  <c r="I412" i="11"/>
  <c r="J411" i="11"/>
  <c r="I411" i="11"/>
  <c r="J410" i="11"/>
  <c r="I410" i="11"/>
  <c r="J409" i="11"/>
  <c r="I409" i="11"/>
  <c r="J408" i="11"/>
  <c r="I408" i="11"/>
  <c r="J407" i="11"/>
  <c r="I407" i="11"/>
  <c r="J406" i="11"/>
  <c r="I406" i="11"/>
  <c r="J405" i="11"/>
  <c r="I405" i="11"/>
  <c r="J404" i="11"/>
  <c r="I404" i="11"/>
  <c r="J403" i="11"/>
  <c r="I403" i="11"/>
  <c r="J402" i="11"/>
  <c r="I402" i="11"/>
  <c r="J401" i="11"/>
  <c r="I401" i="11"/>
  <c r="J400" i="11"/>
  <c r="I400" i="11"/>
  <c r="J399" i="11"/>
  <c r="I399" i="11"/>
  <c r="J398" i="11"/>
  <c r="I398" i="11"/>
  <c r="J394" i="11"/>
  <c r="I394" i="11"/>
  <c r="J393" i="11"/>
  <c r="I393" i="11"/>
  <c r="J392" i="11"/>
  <c r="I392" i="11"/>
  <c r="J391" i="11"/>
  <c r="I391" i="11"/>
  <c r="J390" i="11"/>
  <c r="I390" i="11"/>
  <c r="J389" i="11"/>
  <c r="I389" i="11"/>
  <c r="J388" i="11"/>
  <c r="I388" i="11"/>
  <c r="J387" i="11"/>
  <c r="I387" i="11"/>
  <c r="J386" i="11"/>
  <c r="I386" i="11"/>
  <c r="J385" i="11"/>
  <c r="I385" i="11"/>
  <c r="J384" i="11"/>
  <c r="I384" i="11"/>
  <c r="J383" i="11"/>
  <c r="I383" i="11"/>
  <c r="J382" i="11"/>
  <c r="I382" i="11"/>
  <c r="J381" i="11"/>
  <c r="I381" i="11"/>
  <c r="J380" i="11"/>
  <c r="I380" i="11"/>
  <c r="J379" i="11"/>
  <c r="I379" i="11"/>
  <c r="J378" i="11"/>
  <c r="I378" i="11"/>
  <c r="J377" i="11"/>
  <c r="I377" i="11"/>
  <c r="J376" i="11"/>
  <c r="I376" i="11"/>
  <c r="J375" i="11"/>
  <c r="I375" i="11"/>
  <c r="J371" i="11"/>
  <c r="I371" i="11"/>
  <c r="J370" i="11"/>
  <c r="I370" i="11"/>
  <c r="J369" i="11"/>
  <c r="I369" i="11"/>
  <c r="J368" i="11"/>
  <c r="I368" i="11"/>
  <c r="J367" i="11"/>
  <c r="I367" i="11"/>
  <c r="J366" i="11"/>
  <c r="I366" i="11"/>
  <c r="J365" i="11"/>
  <c r="I365" i="11"/>
  <c r="J364" i="11"/>
  <c r="I364" i="11"/>
  <c r="J363" i="11"/>
  <c r="I363" i="11"/>
  <c r="J362" i="11"/>
  <c r="I362" i="11"/>
  <c r="J361" i="11"/>
  <c r="F349" i="11"/>
  <c r="F350" i="11"/>
  <c r="J347" i="11"/>
  <c r="I347" i="11"/>
  <c r="J346" i="11"/>
  <c r="I346" i="11"/>
  <c r="J345" i="11"/>
  <c r="I345" i="11"/>
  <c r="J344" i="11"/>
  <c r="I344" i="11"/>
  <c r="J343" i="11"/>
  <c r="I343" i="11"/>
  <c r="J342" i="11"/>
  <c r="I342" i="11"/>
  <c r="J341" i="11"/>
  <c r="I341" i="11"/>
  <c r="J340" i="11"/>
  <c r="I340" i="11"/>
  <c r="J339" i="11"/>
  <c r="I339" i="11"/>
  <c r="J338" i="11"/>
  <c r="I338" i="11"/>
  <c r="J337" i="11"/>
  <c r="I337" i="11"/>
  <c r="J336" i="11"/>
  <c r="I336" i="11"/>
  <c r="J335" i="11"/>
  <c r="I335" i="11"/>
  <c r="J334" i="11"/>
  <c r="I334" i="11"/>
  <c r="J333" i="11"/>
  <c r="I333" i="11"/>
  <c r="J332" i="11"/>
  <c r="I332" i="11"/>
  <c r="J331" i="11"/>
  <c r="I331" i="11"/>
  <c r="J330" i="11"/>
  <c r="I330" i="11"/>
  <c r="J329" i="11"/>
  <c r="I329" i="11"/>
  <c r="J328" i="11"/>
  <c r="I328" i="11"/>
  <c r="J324" i="11"/>
  <c r="I324" i="11"/>
  <c r="J323" i="11"/>
  <c r="I323" i="11"/>
  <c r="J322" i="11"/>
  <c r="I322" i="11"/>
  <c r="J321" i="11"/>
  <c r="I321" i="11"/>
  <c r="J320" i="11"/>
  <c r="I320" i="11"/>
  <c r="J319" i="11"/>
  <c r="I319" i="11"/>
  <c r="J318" i="11"/>
  <c r="I318" i="11"/>
  <c r="J317" i="11"/>
  <c r="I317" i="11"/>
  <c r="J316" i="11"/>
  <c r="I316" i="11"/>
  <c r="J315" i="11"/>
  <c r="I315" i="11"/>
  <c r="J314" i="11"/>
  <c r="I314" i="11"/>
  <c r="J313" i="11"/>
  <c r="I313" i="11"/>
  <c r="J312" i="11"/>
  <c r="I312" i="11"/>
  <c r="J311" i="11"/>
  <c r="I311" i="11"/>
  <c r="J310" i="11"/>
  <c r="I310" i="11"/>
  <c r="J309" i="11"/>
  <c r="I309" i="11"/>
  <c r="J308" i="11"/>
  <c r="I308" i="11"/>
  <c r="J307" i="11"/>
  <c r="I307" i="11"/>
  <c r="J306" i="11"/>
  <c r="I306" i="11"/>
  <c r="J305" i="11"/>
  <c r="I305" i="11"/>
  <c r="J301" i="11"/>
  <c r="I301" i="11"/>
  <c r="J300" i="11"/>
  <c r="I300" i="11"/>
  <c r="J299" i="11"/>
  <c r="I299" i="11"/>
  <c r="J298" i="11"/>
  <c r="I298" i="11"/>
  <c r="J297" i="11"/>
  <c r="I297" i="11"/>
  <c r="J296" i="11"/>
  <c r="I296" i="11"/>
  <c r="J295" i="11"/>
  <c r="I295" i="11"/>
  <c r="J294" i="11"/>
  <c r="I294" i="11"/>
  <c r="J293" i="11"/>
  <c r="I293" i="11"/>
  <c r="J292" i="11"/>
  <c r="I292" i="11"/>
  <c r="F279" i="11"/>
  <c r="F280" i="11"/>
  <c r="J277" i="11"/>
  <c r="I277" i="11"/>
  <c r="J276" i="11"/>
  <c r="I276" i="11"/>
  <c r="J275" i="11"/>
  <c r="I275" i="11"/>
  <c r="J274" i="11"/>
  <c r="I274" i="11"/>
  <c r="J273" i="11"/>
  <c r="I273" i="11"/>
  <c r="J272" i="11"/>
  <c r="I272" i="11"/>
  <c r="J271" i="11"/>
  <c r="I271" i="11"/>
  <c r="J270" i="11"/>
  <c r="I270" i="11"/>
  <c r="J269" i="11"/>
  <c r="I269" i="11"/>
  <c r="J268" i="11"/>
  <c r="I268" i="11"/>
  <c r="J267" i="11"/>
  <c r="I267" i="11"/>
  <c r="J266" i="11"/>
  <c r="I266" i="11"/>
  <c r="J265" i="11"/>
  <c r="I265" i="11"/>
  <c r="J264" i="11"/>
  <c r="I264" i="11"/>
  <c r="J263" i="11"/>
  <c r="I263" i="11"/>
  <c r="J262" i="11"/>
  <c r="I262" i="11"/>
  <c r="J261" i="11"/>
  <c r="I261" i="11"/>
  <c r="J260" i="11"/>
  <c r="I260" i="11"/>
  <c r="J259" i="11"/>
  <c r="I259" i="11"/>
  <c r="J258" i="11"/>
  <c r="I258" i="11"/>
  <c r="J254" i="11"/>
  <c r="I254" i="11"/>
  <c r="J253" i="11"/>
  <c r="I253" i="11"/>
  <c r="J252" i="11"/>
  <c r="I252" i="11"/>
  <c r="J251" i="11"/>
  <c r="I251" i="11"/>
  <c r="J250" i="11"/>
  <c r="I250" i="11"/>
  <c r="J249" i="11"/>
  <c r="I249" i="11"/>
  <c r="J248" i="11"/>
  <c r="I248" i="11"/>
  <c r="J247" i="11"/>
  <c r="I247" i="11"/>
  <c r="J246" i="11"/>
  <c r="I246" i="11"/>
  <c r="J245" i="11"/>
  <c r="I245" i="11"/>
  <c r="J244" i="11"/>
  <c r="I244" i="11"/>
  <c r="J243" i="11"/>
  <c r="I243" i="11"/>
  <c r="J242" i="11"/>
  <c r="I242" i="11"/>
  <c r="J241" i="11"/>
  <c r="I241" i="11"/>
  <c r="J240" i="11"/>
  <c r="I240" i="11"/>
  <c r="J239" i="11"/>
  <c r="I239" i="11"/>
  <c r="J238" i="11"/>
  <c r="I238" i="11"/>
  <c r="J237" i="11"/>
  <c r="I237" i="11"/>
  <c r="J236" i="11"/>
  <c r="I236" i="11"/>
  <c r="J235" i="11"/>
  <c r="I235" i="11"/>
  <c r="J231" i="11"/>
  <c r="I231" i="11"/>
  <c r="J230" i="11"/>
  <c r="I230" i="11"/>
  <c r="J229" i="11"/>
  <c r="I229" i="11"/>
  <c r="J228" i="11"/>
  <c r="I228" i="11"/>
  <c r="J227" i="11"/>
  <c r="I227" i="11"/>
  <c r="J226" i="11"/>
  <c r="I226" i="11"/>
  <c r="J225" i="11"/>
  <c r="I225" i="11"/>
  <c r="J224" i="11"/>
  <c r="I224" i="11"/>
  <c r="J223" i="11"/>
  <c r="J222" i="11"/>
  <c r="I222" i="11"/>
  <c r="F209" i="11"/>
  <c r="F210" i="11"/>
  <c r="J207" i="11"/>
  <c r="I207" i="11"/>
  <c r="J206" i="11"/>
  <c r="I206" i="11"/>
  <c r="J205" i="11"/>
  <c r="I205" i="11"/>
  <c r="J204" i="11"/>
  <c r="I204" i="11"/>
  <c r="J203" i="11"/>
  <c r="I203" i="11"/>
  <c r="J202" i="11"/>
  <c r="I202" i="11"/>
  <c r="J201" i="11"/>
  <c r="I201" i="11"/>
  <c r="J200" i="11"/>
  <c r="I200" i="11"/>
  <c r="J199" i="11"/>
  <c r="I199" i="11"/>
  <c r="J198" i="11"/>
  <c r="I198" i="11"/>
  <c r="J197" i="11"/>
  <c r="I197" i="11"/>
  <c r="J196" i="11"/>
  <c r="I196" i="11"/>
  <c r="J195" i="11"/>
  <c r="I195" i="11"/>
  <c r="J194" i="11"/>
  <c r="I194" i="11"/>
  <c r="J193" i="11"/>
  <c r="I193" i="11"/>
  <c r="J192" i="11"/>
  <c r="I192" i="11"/>
  <c r="J191" i="11"/>
  <c r="I191" i="11"/>
  <c r="J190" i="11"/>
  <c r="I190" i="11"/>
  <c r="B190" i="11"/>
  <c r="B191" i="11"/>
  <c r="B192" i="11"/>
  <c r="B193" i="11"/>
  <c r="B194" i="11"/>
  <c r="B195" i="11"/>
  <c r="B196" i="11"/>
  <c r="J189" i="11"/>
  <c r="I189" i="11"/>
  <c r="J188" i="11"/>
  <c r="I188" i="11"/>
  <c r="J184" i="11"/>
  <c r="I184" i="11"/>
  <c r="J183" i="11"/>
  <c r="I183" i="11"/>
  <c r="J182" i="11"/>
  <c r="I182" i="11"/>
  <c r="J181" i="11"/>
  <c r="I181" i="11"/>
  <c r="J180" i="11"/>
  <c r="I180" i="11"/>
  <c r="J179" i="11"/>
  <c r="I179" i="11"/>
  <c r="J178" i="11"/>
  <c r="I178" i="11"/>
  <c r="J177" i="11"/>
  <c r="I177" i="11"/>
  <c r="J176" i="11"/>
  <c r="I176" i="11"/>
  <c r="J175" i="11"/>
  <c r="I175" i="11"/>
  <c r="J174" i="11"/>
  <c r="I174" i="11"/>
  <c r="J173" i="11"/>
  <c r="I173" i="11"/>
  <c r="J172" i="11"/>
  <c r="I172" i="11"/>
  <c r="J171" i="11"/>
  <c r="I171" i="11"/>
  <c r="J170" i="11"/>
  <c r="I170" i="11"/>
  <c r="J169" i="11"/>
  <c r="I169" i="11"/>
  <c r="J168" i="11"/>
  <c r="I168" i="11"/>
  <c r="J167" i="11"/>
  <c r="I167" i="11"/>
  <c r="J166" i="11"/>
  <c r="I166" i="11"/>
  <c r="J163" i="11"/>
  <c r="I163" i="11"/>
  <c r="J162" i="11"/>
  <c r="I162" i="11"/>
  <c r="J161" i="11"/>
  <c r="I161" i="11"/>
  <c r="J160" i="11"/>
  <c r="I160" i="11"/>
  <c r="J159" i="11"/>
  <c r="I159" i="11"/>
  <c r="J158" i="11"/>
  <c r="I158" i="11"/>
  <c r="J157" i="11"/>
  <c r="I157" i="11"/>
  <c r="J156" i="11"/>
  <c r="I156" i="11"/>
  <c r="J155" i="11"/>
  <c r="I155" i="11"/>
  <c r="J154" i="11"/>
  <c r="I154" i="11"/>
  <c r="J153" i="11"/>
  <c r="F140" i="11"/>
  <c r="F141" i="11"/>
  <c r="J138" i="11"/>
  <c r="I138" i="11"/>
  <c r="J137" i="11"/>
  <c r="I137" i="11"/>
  <c r="J136" i="11"/>
  <c r="I136" i="11"/>
  <c r="J135" i="11"/>
  <c r="I135" i="11"/>
  <c r="J134" i="11"/>
  <c r="I134" i="11"/>
  <c r="J133" i="11"/>
  <c r="I133" i="11"/>
  <c r="J132" i="11"/>
  <c r="I132" i="11"/>
  <c r="J129" i="11"/>
  <c r="I129" i="11"/>
  <c r="J128" i="11"/>
  <c r="I128" i="11"/>
  <c r="J127" i="11"/>
  <c r="I127" i="11"/>
  <c r="J126" i="11"/>
  <c r="I126" i="11"/>
  <c r="J125" i="11"/>
  <c r="I125" i="11"/>
  <c r="J124" i="11"/>
  <c r="I124" i="11"/>
  <c r="J123" i="11"/>
  <c r="I123" i="11"/>
  <c r="J122" i="11"/>
  <c r="I122" i="11"/>
  <c r="J121" i="11"/>
  <c r="I121" i="11"/>
  <c r="J117" i="11"/>
  <c r="I117" i="11"/>
  <c r="J116" i="11"/>
  <c r="I116" i="11"/>
  <c r="J115" i="11"/>
  <c r="I115" i="11"/>
  <c r="J114" i="11"/>
  <c r="I114" i="11"/>
  <c r="J113" i="11"/>
  <c r="I113" i="11"/>
  <c r="J112" i="11"/>
  <c r="I112" i="11"/>
  <c r="J111" i="11"/>
  <c r="I111" i="11"/>
  <c r="J110" i="11"/>
  <c r="I110" i="11"/>
  <c r="J109" i="11"/>
  <c r="I109" i="11"/>
  <c r="J108" i="11"/>
  <c r="I108" i="11"/>
  <c r="J107" i="11"/>
  <c r="I107" i="11"/>
  <c r="J106" i="11"/>
  <c r="I106" i="11"/>
  <c r="J105" i="11"/>
  <c r="I105" i="11"/>
  <c r="J104" i="11"/>
  <c r="I104" i="11"/>
  <c r="J103" i="11"/>
  <c r="I103" i="11"/>
  <c r="J102" i="11"/>
  <c r="I102" i="11"/>
  <c r="J101" i="11"/>
  <c r="I101" i="11"/>
  <c r="J100" i="11"/>
  <c r="I100" i="11"/>
  <c r="J99" i="11"/>
  <c r="I99" i="11"/>
  <c r="J98" i="11"/>
  <c r="I98" i="11"/>
  <c r="J94" i="11"/>
  <c r="I94" i="11"/>
  <c r="J93" i="11"/>
  <c r="I93" i="11"/>
  <c r="J92" i="11"/>
  <c r="I92" i="11"/>
  <c r="J91" i="11"/>
  <c r="I91" i="11"/>
  <c r="J90" i="11"/>
  <c r="I90" i="11"/>
  <c r="J89" i="11"/>
  <c r="I89" i="11"/>
  <c r="J88" i="11"/>
  <c r="I88" i="11"/>
  <c r="J87" i="11"/>
  <c r="I87" i="11"/>
  <c r="J86" i="11"/>
  <c r="I86" i="11"/>
  <c r="J85" i="11"/>
  <c r="I85" i="11"/>
  <c r="G80" i="11"/>
  <c r="F80" i="11"/>
  <c r="F148" i="11"/>
  <c r="F217" i="11"/>
  <c r="F287" i="11"/>
  <c r="F357" i="11"/>
  <c r="F427" i="11"/>
  <c r="F497" i="11"/>
  <c r="F567" i="11"/>
  <c r="F637" i="11"/>
  <c r="F707" i="11"/>
  <c r="F777" i="11"/>
  <c r="C80" i="11"/>
  <c r="C148" i="11"/>
  <c r="C217" i="11"/>
  <c r="C287" i="11"/>
  <c r="C357" i="11"/>
  <c r="C427" i="11"/>
  <c r="C497" i="11"/>
  <c r="C567" i="11"/>
  <c r="C637" i="11"/>
  <c r="C707" i="11"/>
  <c r="C777" i="11"/>
  <c r="F71" i="11"/>
  <c r="F72" i="11"/>
  <c r="J69" i="11"/>
  <c r="I69" i="11"/>
  <c r="J68" i="11"/>
  <c r="I68" i="11"/>
  <c r="J67" i="11"/>
  <c r="I67" i="11"/>
  <c r="J66" i="11"/>
  <c r="I66" i="11"/>
  <c r="J65" i="11"/>
  <c r="I65" i="11"/>
  <c r="J64" i="11"/>
  <c r="I64" i="11"/>
  <c r="J63" i="11"/>
  <c r="I63" i="11"/>
  <c r="J62" i="11"/>
  <c r="I62" i="11"/>
  <c r="J61" i="11"/>
  <c r="I61" i="11"/>
  <c r="J60" i="11"/>
  <c r="I60" i="11"/>
  <c r="J59" i="11"/>
  <c r="I59" i="11"/>
  <c r="J58" i="11"/>
  <c r="I58" i="11"/>
  <c r="J57" i="11"/>
  <c r="I57" i="11"/>
  <c r="J56" i="11"/>
  <c r="I56" i="11"/>
  <c r="J55" i="11"/>
  <c r="I55" i="11"/>
  <c r="J54" i="11"/>
  <c r="I54" i="11"/>
  <c r="J53" i="11"/>
  <c r="I53" i="11"/>
  <c r="H32" i="11"/>
  <c r="E16" i="11"/>
  <c r="K16" i="11"/>
  <c r="F809" i="8"/>
  <c r="F810" i="8"/>
  <c r="J807" i="8"/>
  <c r="I807" i="8"/>
  <c r="J806" i="8"/>
  <c r="I806" i="8"/>
  <c r="J805" i="8"/>
  <c r="I805" i="8"/>
  <c r="J804" i="8"/>
  <c r="I804" i="8"/>
  <c r="J803" i="8"/>
  <c r="I803" i="8"/>
  <c r="J802" i="8"/>
  <c r="I802" i="8"/>
  <c r="J801" i="8"/>
  <c r="I801" i="8"/>
  <c r="J800" i="8"/>
  <c r="I800" i="8"/>
  <c r="J799" i="8"/>
  <c r="I799" i="8"/>
  <c r="J798" i="8"/>
  <c r="I798" i="8"/>
  <c r="J797" i="8"/>
  <c r="I797" i="8"/>
  <c r="J796" i="8"/>
  <c r="I796" i="8"/>
  <c r="J795" i="8"/>
  <c r="I795" i="8"/>
  <c r="J794" i="8"/>
  <c r="I794" i="8"/>
  <c r="J793" i="8"/>
  <c r="I793" i="8"/>
  <c r="J792" i="8"/>
  <c r="I792" i="8"/>
  <c r="J791" i="8"/>
  <c r="I791" i="8"/>
  <c r="J790" i="8"/>
  <c r="I790" i="8"/>
  <c r="J789" i="8"/>
  <c r="I789" i="8"/>
  <c r="J788" i="8"/>
  <c r="I788" i="8"/>
  <c r="J784" i="8"/>
  <c r="I784" i="8"/>
  <c r="J783" i="8"/>
  <c r="I783" i="8"/>
  <c r="J782" i="8"/>
  <c r="I782" i="8"/>
  <c r="J781" i="8"/>
  <c r="I781" i="8"/>
  <c r="J780" i="8"/>
  <c r="I780" i="8"/>
  <c r="J779" i="8"/>
  <c r="I779" i="8"/>
  <c r="J778" i="8"/>
  <c r="I778" i="8"/>
  <c r="J777" i="8"/>
  <c r="I777" i="8"/>
  <c r="J776" i="8"/>
  <c r="I776" i="8"/>
  <c r="J775" i="8"/>
  <c r="I775" i="8"/>
  <c r="J774" i="8"/>
  <c r="I774" i="8"/>
  <c r="J773" i="8"/>
  <c r="I773" i="8"/>
  <c r="J772" i="8"/>
  <c r="I772" i="8"/>
  <c r="J771" i="8"/>
  <c r="I771" i="8"/>
  <c r="J770" i="8"/>
  <c r="I770" i="8"/>
  <c r="J769" i="8"/>
  <c r="I769" i="8"/>
  <c r="J768" i="8"/>
  <c r="I768" i="8"/>
  <c r="J767" i="8"/>
  <c r="I767" i="8"/>
  <c r="J766" i="8"/>
  <c r="I766" i="8"/>
  <c r="J765" i="8"/>
  <c r="I765" i="8"/>
  <c r="J761" i="8"/>
  <c r="I761" i="8"/>
  <c r="J760" i="8"/>
  <c r="I760" i="8"/>
  <c r="J759" i="8"/>
  <c r="I759" i="8"/>
  <c r="J758" i="8"/>
  <c r="I758" i="8"/>
  <c r="J757" i="8"/>
  <c r="I757" i="8"/>
  <c r="J756" i="8"/>
  <c r="J755" i="8"/>
  <c r="I755" i="8"/>
  <c r="J754" i="8"/>
  <c r="I754" i="8"/>
  <c r="J753" i="8"/>
  <c r="I753" i="8"/>
  <c r="J752" i="8"/>
  <c r="I752" i="8"/>
  <c r="F739" i="8"/>
  <c r="F740" i="8"/>
  <c r="J737" i="8"/>
  <c r="I737" i="8"/>
  <c r="J736" i="8"/>
  <c r="I736" i="8"/>
  <c r="J735" i="8"/>
  <c r="I735" i="8"/>
  <c r="J734" i="8"/>
  <c r="I734" i="8"/>
  <c r="J733" i="8"/>
  <c r="I733" i="8"/>
  <c r="J732" i="8"/>
  <c r="I732" i="8"/>
  <c r="J731" i="8"/>
  <c r="I731" i="8"/>
  <c r="J730" i="8"/>
  <c r="I730" i="8"/>
  <c r="J729" i="8"/>
  <c r="I729" i="8"/>
  <c r="J728" i="8"/>
  <c r="I728" i="8"/>
  <c r="J727" i="8"/>
  <c r="I727" i="8"/>
  <c r="J726" i="8"/>
  <c r="I726" i="8"/>
  <c r="J725" i="8"/>
  <c r="I725" i="8"/>
  <c r="J724" i="8"/>
  <c r="I724" i="8"/>
  <c r="J723" i="8"/>
  <c r="I723" i="8"/>
  <c r="J722" i="8"/>
  <c r="I722" i="8"/>
  <c r="J721" i="8"/>
  <c r="I721" i="8"/>
  <c r="J720" i="8"/>
  <c r="I720" i="8"/>
  <c r="J719" i="8"/>
  <c r="I719" i="8"/>
  <c r="J718" i="8"/>
  <c r="I718" i="8"/>
  <c r="J714" i="8"/>
  <c r="I714" i="8"/>
  <c r="J713" i="8"/>
  <c r="I713" i="8"/>
  <c r="J712" i="8"/>
  <c r="I712" i="8"/>
  <c r="J711" i="8"/>
  <c r="I711" i="8"/>
  <c r="J710" i="8"/>
  <c r="I710" i="8"/>
  <c r="J709" i="8"/>
  <c r="I709" i="8"/>
  <c r="J708" i="8"/>
  <c r="I708" i="8"/>
  <c r="J707" i="8"/>
  <c r="I707" i="8"/>
  <c r="J706" i="8"/>
  <c r="I706" i="8"/>
  <c r="J705" i="8"/>
  <c r="I705" i="8"/>
  <c r="J704" i="8"/>
  <c r="I704" i="8"/>
  <c r="J703" i="8"/>
  <c r="I703" i="8"/>
  <c r="J702" i="8"/>
  <c r="I702" i="8"/>
  <c r="J701" i="8"/>
  <c r="I701" i="8"/>
  <c r="J700" i="8"/>
  <c r="I700" i="8"/>
  <c r="J699" i="8"/>
  <c r="I699" i="8"/>
  <c r="J698" i="8"/>
  <c r="I698" i="8"/>
  <c r="J697" i="8"/>
  <c r="I697" i="8"/>
  <c r="J696" i="8"/>
  <c r="I696" i="8"/>
  <c r="J695" i="8"/>
  <c r="I695" i="8"/>
  <c r="J691" i="8"/>
  <c r="I691" i="8"/>
  <c r="J690" i="8"/>
  <c r="I690" i="8"/>
  <c r="J689" i="8"/>
  <c r="I689" i="8"/>
  <c r="J688" i="8"/>
  <c r="I688" i="8"/>
  <c r="J687" i="8"/>
  <c r="I687" i="8"/>
  <c r="J686" i="8"/>
  <c r="I686" i="8"/>
  <c r="J685" i="8"/>
  <c r="I685" i="8"/>
  <c r="J684" i="8"/>
  <c r="I684" i="8"/>
  <c r="J683" i="8"/>
  <c r="I683" i="8"/>
  <c r="J682" i="8"/>
  <c r="I682" i="8"/>
  <c r="F669" i="8"/>
  <c r="F670" i="8"/>
  <c r="J667" i="8"/>
  <c r="I667" i="8"/>
  <c r="J666" i="8"/>
  <c r="I666" i="8"/>
  <c r="J665" i="8"/>
  <c r="I665" i="8"/>
  <c r="J664" i="8"/>
  <c r="I664" i="8"/>
  <c r="J663" i="8"/>
  <c r="I663" i="8"/>
  <c r="J662" i="8"/>
  <c r="I662" i="8"/>
  <c r="J661" i="8"/>
  <c r="I661" i="8"/>
  <c r="J660" i="8"/>
  <c r="I660" i="8"/>
  <c r="J659" i="8"/>
  <c r="I659" i="8"/>
  <c r="J658" i="8"/>
  <c r="I658" i="8"/>
  <c r="J657" i="8"/>
  <c r="I657" i="8"/>
  <c r="J656" i="8"/>
  <c r="I656" i="8"/>
  <c r="J655" i="8"/>
  <c r="I655" i="8"/>
  <c r="J654" i="8"/>
  <c r="I654" i="8"/>
  <c r="J653" i="8"/>
  <c r="I653" i="8"/>
  <c r="J652" i="8"/>
  <c r="I652" i="8"/>
  <c r="J651" i="8"/>
  <c r="I651" i="8"/>
  <c r="J650" i="8"/>
  <c r="I650" i="8"/>
  <c r="J649" i="8"/>
  <c r="I649" i="8"/>
  <c r="J648" i="8"/>
  <c r="I648" i="8"/>
  <c r="J644" i="8"/>
  <c r="I644" i="8"/>
  <c r="J643" i="8"/>
  <c r="I643" i="8"/>
  <c r="J642" i="8"/>
  <c r="I642" i="8"/>
  <c r="J641" i="8"/>
  <c r="I641" i="8"/>
  <c r="J640" i="8"/>
  <c r="I640" i="8"/>
  <c r="J639" i="8"/>
  <c r="I639" i="8"/>
  <c r="J638" i="8"/>
  <c r="I638" i="8"/>
  <c r="J637" i="8"/>
  <c r="I637" i="8"/>
  <c r="J636" i="8"/>
  <c r="I636" i="8"/>
  <c r="J635" i="8"/>
  <c r="I635" i="8"/>
  <c r="J634" i="8"/>
  <c r="I634" i="8"/>
  <c r="J633" i="8"/>
  <c r="I633" i="8"/>
  <c r="J632" i="8"/>
  <c r="I632" i="8"/>
  <c r="J631" i="8"/>
  <c r="I631" i="8"/>
  <c r="J630" i="8"/>
  <c r="I630" i="8"/>
  <c r="J629" i="8"/>
  <c r="I629" i="8"/>
  <c r="J628" i="8"/>
  <c r="I628" i="8"/>
  <c r="J627" i="8"/>
  <c r="I627" i="8"/>
  <c r="J626" i="8"/>
  <c r="I626" i="8"/>
  <c r="J625" i="8"/>
  <c r="I625" i="8"/>
  <c r="J621" i="8"/>
  <c r="I621" i="8"/>
  <c r="J620" i="8"/>
  <c r="I620" i="8"/>
  <c r="J619" i="8"/>
  <c r="I619" i="8"/>
  <c r="J618" i="8"/>
  <c r="I618" i="8"/>
  <c r="J617" i="8"/>
  <c r="I617" i="8"/>
  <c r="J616" i="8"/>
  <c r="I616" i="8"/>
  <c r="J615" i="8"/>
  <c r="I615" i="8"/>
  <c r="J614" i="8"/>
  <c r="I614" i="8"/>
  <c r="J613" i="8"/>
  <c r="I613" i="8"/>
  <c r="J612" i="8"/>
  <c r="I612" i="8"/>
  <c r="F599" i="8"/>
  <c r="F600" i="8"/>
  <c r="J597" i="8"/>
  <c r="I597" i="8"/>
  <c r="J596" i="8"/>
  <c r="I596" i="8"/>
  <c r="J595" i="8"/>
  <c r="I595" i="8"/>
  <c r="J594" i="8"/>
  <c r="I594" i="8"/>
  <c r="J593" i="8"/>
  <c r="I593" i="8"/>
  <c r="J592" i="8"/>
  <c r="I592" i="8"/>
  <c r="J591" i="8"/>
  <c r="I591" i="8"/>
  <c r="J590" i="8"/>
  <c r="I590" i="8"/>
  <c r="J589" i="8"/>
  <c r="I589" i="8"/>
  <c r="J588" i="8"/>
  <c r="I588" i="8"/>
  <c r="J587" i="8"/>
  <c r="I587" i="8"/>
  <c r="J586" i="8"/>
  <c r="I586" i="8"/>
  <c r="J585" i="8"/>
  <c r="I585" i="8"/>
  <c r="J584" i="8"/>
  <c r="I584" i="8"/>
  <c r="J583" i="8"/>
  <c r="I583" i="8"/>
  <c r="J582" i="8"/>
  <c r="I582" i="8"/>
  <c r="J581" i="8"/>
  <c r="I581" i="8"/>
  <c r="J580" i="8"/>
  <c r="I580" i="8"/>
  <c r="J579" i="8"/>
  <c r="I579" i="8"/>
  <c r="J578" i="8"/>
  <c r="I578" i="8"/>
  <c r="J574" i="8"/>
  <c r="I574" i="8"/>
  <c r="J573" i="8"/>
  <c r="I573" i="8"/>
  <c r="J572" i="8"/>
  <c r="I572" i="8"/>
  <c r="J571" i="8"/>
  <c r="I571" i="8"/>
  <c r="J570" i="8"/>
  <c r="I570" i="8"/>
  <c r="J569" i="8"/>
  <c r="I569" i="8"/>
  <c r="J568" i="8"/>
  <c r="I568" i="8"/>
  <c r="J567" i="8"/>
  <c r="I567" i="8"/>
  <c r="J566" i="8"/>
  <c r="I566" i="8"/>
  <c r="J565" i="8"/>
  <c r="I565" i="8"/>
  <c r="J564" i="8"/>
  <c r="I564" i="8"/>
  <c r="J563" i="8"/>
  <c r="I563" i="8"/>
  <c r="J562" i="8"/>
  <c r="I562" i="8"/>
  <c r="J561" i="8"/>
  <c r="I561" i="8"/>
  <c r="J560" i="8"/>
  <c r="I560" i="8"/>
  <c r="J559" i="8"/>
  <c r="I559" i="8"/>
  <c r="J558" i="8"/>
  <c r="I558" i="8"/>
  <c r="J557" i="8"/>
  <c r="I557" i="8"/>
  <c r="J556" i="8"/>
  <c r="I556" i="8"/>
  <c r="J555" i="8"/>
  <c r="I555" i="8"/>
  <c r="J551" i="8"/>
  <c r="I551" i="8"/>
  <c r="J550" i="8"/>
  <c r="I550" i="8"/>
  <c r="J549" i="8"/>
  <c r="I549" i="8"/>
  <c r="J548" i="8"/>
  <c r="I548" i="8"/>
  <c r="J547" i="8"/>
  <c r="I547" i="8"/>
  <c r="J546" i="8"/>
  <c r="I546" i="8"/>
  <c r="J545" i="8"/>
  <c r="I545" i="8"/>
  <c r="J544" i="8"/>
  <c r="I544" i="8"/>
  <c r="J543" i="8"/>
  <c r="I543" i="8"/>
  <c r="J542" i="8"/>
  <c r="I542" i="8"/>
  <c r="F529" i="8"/>
  <c r="F530" i="8"/>
  <c r="J527" i="8"/>
  <c r="I527" i="8"/>
  <c r="J526" i="8"/>
  <c r="I526" i="8"/>
  <c r="J525" i="8"/>
  <c r="I525" i="8"/>
  <c r="J524" i="8"/>
  <c r="I524" i="8"/>
  <c r="J523" i="8"/>
  <c r="I523" i="8"/>
  <c r="J522" i="8"/>
  <c r="I522" i="8"/>
  <c r="J521" i="8"/>
  <c r="I521" i="8"/>
  <c r="J520" i="8"/>
  <c r="I520" i="8"/>
  <c r="J519" i="8"/>
  <c r="I519" i="8"/>
  <c r="J518" i="8"/>
  <c r="I518" i="8"/>
  <c r="J517" i="8"/>
  <c r="I517" i="8"/>
  <c r="J516" i="8"/>
  <c r="I516" i="8"/>
  <c r="J515" i="8"/>
  <c r="I515" i="8"/>
  <c r="J514" i="8"/>
  <c r="I514" i="8"/>
  <c r="J513" i="8"/>
  <c r="I513" i="8"/>
  <c r="J512" i="8"/>
  <c r="I512" i="8"/>
  <c r="J511" i="8"/>
  <c r="I511" i="8"/>
  <c r="J510" i="8"/>
  <c r="I510" i="8"/>
  <c r="J509" i="8"/>
  <c r="I509" i="8"/>
  <c r="J508" i="8"/>
  <c r="I508" i="8"/>
  <c r="J504" i="8"/>
  <c r="I504" i="8"/>
  <c r="J503" i="8"/>
  <c r="I503" i="8"/>
  <c r="J502" i="8"/>
  <c r="I502" i="8"/>
  <c r="J501" i="8"/>
  <c r="I501" i="8"/>
  <c r="J500" i="8"/>
  <c r="I500" i="8"/>
  <c r="J499" i="8"/>
  <c r="I499" i="8"/>
  <c r="J498" i="8"/>
  <c r="I498" i="8"/>
  <c r="J497" i="8"/>
  <c r="I497" i="8"/>
  <c r="J496" i="8"/>
  <c r="I496" i="8"/>
  <c r="J495" i="8"/>
  <c r="I495" i="8"/>
  <c r="J494" i="8"/>
  <c r="I494" i="8"/>
  <c r="J493" i="8"/>
  <c r="I493" i="8"/>
  <c r="J492" i="8"/>
  <c r="I492" i="8"/>
  <c r="J491" i="8"/>
  <c r="I491" i="8"/>
  <c r="J490" i="8"/>
  <c r="I490" i="8"/>
  <c r="J489" i="8"/>
  <c r="I489" i="8"/>
  <c r="J488" i="8"/>
  <c r="I488" i="8"/>
  <c r="J487" i="8"/>
  <c r="I487" i="8"/>
  <c r="J486" i="8"/>
  <c r="I486" i="8"/>
  <c r="J485" i="8"/>
  <c r="I485" i="8"/>
  <c r="J481" i="8"/>
  <c r="I481" i="8"/>
  <c r="J480" i="8"/>
  <c r="I480" i="8"/>
  <c r="J479" i="8"/>
  <c r="I479" i="8"/>
  <c r="J478" i="8"/>
  <c r="I478" i="8"/>
  <c r="J477" i="8"/>
  <c r="I477" i="8"/>
  <c r="J476" i="8"/>
  <c r="I476" i="8"/>
  <c r="J475" i="8"/>
  <c r="I475" i="8"/>
  <c r="J474" i="8"/>
  <c r="I474" i="8"/>
  <c r="J473" i="8"/>
  <c r="I473" i="8"/>
  <c r="J472" i="8"/>
  <c r="I472" i="8"/>
  <c r="F459" i="8"/>
  <c r="F460" i="8"/>
  <c r="J457" i="8"/>
  <c r="I457" i="8"/>
  <c r="J456" i="8"/>
  <c r="I456" i="8"/>
  <c r="J455" i="8"/>
  <c r="I455" i="8"/>
  <c r="J454" i="8"/>
  <c r="I454" i="8"/>
  <c r="J453" i="8"/>
  <c r="I453" i="8"/>
  <c r="J452" i="8"/>
  <c r="I452" i="8"/>
  <c r="J451" i="8"/>
  <c r="I451" i="8"/>
  <c r="J450" i="8"/>
  <c r="I450" i="8"/>
  <c r="J449" i="8"/>
  <c r="I449" i="8"/>
  <c r="J448" i="8"/>
  <c r="I448" i="8"/>
  <c r="J447" i="8"/>
  <c r="I447" i="8"/>
  <c r="J446" i="8"/>
  <c r="I446" i="8"/>
  <c r="J445" i="8"/>
  <c r="I445" i="8"/>
  <c r="J444" i="8"/>
  <c r="I444" i="8"/>
  <c r="J443" i="8"/>
  <c r="I443" i="8"/>
  <c r="J442" i="8"/>
  <c r="I442" i="8"/>
  <c r="J441" i="8"/>
  <c r="I441" i="8"/>
  <c r="J440" i="8"/>
  <c r="I440" i="8"/>
  <c r="J439" i="8"/>
  <c r="I439" i="8"/>
  <c r="J438" i="8"/>
  <c r="I438" i="8"/>
  <c r="J434" i="8"/>
  <c r="I434" i="8"/>
  <c r="J433" i="8"/>
  <c r="I433" i="8"/>
  <c r="J432" i="8"/>
  <c r="I432" i="8"/>
  <c r="J431" i="8"/>
  <c r="I431" i="8"/>
  <c r="J430" i="8"/>
  <c r="I430" i="8"/>
  <c r="J429" i="8"/>
  <c r="I429" i="8"/>
  <c r="J428" i="8"/>
  <c r="I428" i="8"/>
  <c r="J427" i="8"/>
  <c r="I427" i="8"/>
  <c r="J426" i="8"/>
  <c r="I426" i="8"/>
  <c r="J425" i="8"/>
  <c r="I425" i="8"/>
  <c r="J424" i="8"/>
  <c r="I424" i="8"/>
  <c r="J423" i="8"/>
  <c r="I423" i="8"/>
  <c r="J422" i="8"/>
  <c r="I422" i="8"/>
  <c r="J421" i="8"/>
  <c r="I421" i="8"/>
  <c r="J420" i="8"/>
  <c r="I420" i="8"/>
  <c r="J419" i="8"/>
  <c r="I419" i="8"/>
  <c r="J418" i="8"/>
  <c r="I418" i="8"/>
  <c r="J417" i="8"/>
  <c r="I417" i="8"/>
  <c r="J416" i="8"/>
  <c r="I416" i="8"/>
  <c r="J415" i="8"/>
  <c r="I415" i="8"/>
  <c r="J411" i="8"/>
  <c r="I411" i="8"/>
  <c r="J410" i="8"/>
  <c r="I410" i="8"/>
  <c r="J409" i="8"/>
  <c r="I409" i="8"/>
  <c r="J408" i="8"/>
  <c r="I408" i="8"/>
  <c r="J407" i="8"/>
  <c r="I407" i="8"/>
  <c r="J406" i="8"/>
  <c r="I406" i="8"/>
  <c r="J405" i="8"/>
  <c r="I405" i="8"/>
  <c r="J404" i="8"/>
  <c r="I404" i="8"/>
  <c r="J403" i="8"/>
  <c r="I403" i="8"/>
  <c r="J402" i="8"/>
  <c r="I402" i="8"/>
  <c r="F389" i="8"/>
  <c r="F390" i="8"/>
  <c r="J387" i="8"/>
  <c r="I387" i="8"/>
  <c r="J386" i="8"/>
  <c r="I386" i="8"/>
  <c r="J385" i="8"/>
  <c r="I385" i="8"/>
  <c r="J384" i="8"/>
  <c r="I384" i="8"/>
  <c r="J383" i="8"/>
  <c r="I383" i="8"/>
  <c r="J382" i="8"/>
  <c r="I382" i="8"/>
  <c r="J381" i="8"/>
  <c r="I381" i="8"/>
  <c r="J380" i="8"/>
  <c r="I380" i="8"/>
  <c r="J379" i="8"/>
  <c r="I379" i="8"/>
  <c r="J378" i="8"/>
  <c r="I378" i="8"/>
  <c r="J377" i="8"/>
  <c r="I377" i="8"/>
  <c r="J376" i="8"/>
  <c r="I376" i="8"/>
  <c r="J375" i="8"/>
  <c r="I375" i="8"/>
  <c r="J374" i="8"/>
  <c r="I374" i="8"/>
  <c r="J373" i="8"/>
  <c r="I373" i="8"/>
  <c r="J372" i="8"/>
  <c r="I372" i="8"/>
  <c r="J371" i="8"/>
  <c r="I371" i="8"/>
  <c r="J370" i="8"/>
  <c r="I370" i="8"/>
  <c r="J369" i="8"/>
  <c r="I369" i="8"/>
  <c r="J368" i="8"/>
  <c r="I368" i="8"/>
  <c r="J364" i="8"/>
  <c r="I364" i="8"/>
  <c r="J363" i="8"/>
  <c r="I363" i="8"/>
  <c r="J362" i="8"/>
  <c r="I362" i="8"/>
  <c r="J361" i="8"/>
  <c r="I361" i="8"/>
  <c r="J360" i="8"/>
  <c r="I360" i="8"/>
  <c r="J359" i="8"/>
  <c r="I359" i="8"/>
  <c r="J358" i="8"/>
  <c r="I358" i="8"/>
  <c r="J357" i="8"/>
  <c r="I357" i="8"/>
  <c r="J356" i="8"/>
  <c r="I356" i="8"/>
  <c r="J355" i="8"/>
  <c r="I355" i="8"/>
  <c r="J354" i="8"/>
  <c r="I354" i="8"/>
  <c r="J353" i="8"/>
  <c r="I353" i="8"/>
  <c r="J352" i="8"/>
  <c r="I352" i="8"/>
  <c r="J351" i="8"/>
  <c r="I351" i="8"/>
  <c r="J350" i="8"/>
  <c r="I350" i="8"/>
  <c r="J349" i="8"/>
  <c r="I349" i="8"/>
  <c r="J348" i="8"/>
  <c r="I348" i="8"/>
  <c r="J347" i="8"/>
  <c r="I347" i="8"/>
  <c r="J346" i="8"/>
  <c r="I346" i="8"/>
  <c r="J345" i="8"/>
  <c r="I345" i="8"/>
  <c r="J341" i="8"/>
  <c r="I341" i="8"/>
  <c r="J340" i="8"/>
  <c r="I340" i="8"/>
  <c r="J339" i="8"/>
  <c r="I339" i="8"/>
  <c r="J338" i="8"/>
  <c r="I338" i="8"/>
  <c r="J337" i="8"/>
  <c r="I337" i="8"/>
  <c r="J336" i="8"/>
  <c r="I336" i="8"/>
  <c r="J335" i="8"/>
  <c r="I335" i="8"/>
  <c r="J334" i="8"/>
  <c r="I334" i="8"/>
  <c r="J333" i="8"/>
  <c r="I333" i="8"/>
  <c r="J332" i="8"/>
  <c r="I332" i="8"/>
  <c r="J331" i="8"/>
  <c r="F319" i="8"/>
  <c r="F320" i="8"/>
  <c r="J317" i="8"/>
  <c r="I317" i="8"/>
  <c r="J316" i="8"/>
  <c r="I316" i="8"/>
  <c r="J315" i="8"/>
  <c r="I315" i="8"/>
  <c r="J314" i="8"/>
  <c r="I314" i="8"/>
  <c r="J313" i="8"/>
  <c r="I313" i="8"/>
  <c r="J312" i="8"/>
  <c r="I312" i="8"/>
  <c r="J311" i="8"/>
  <c r="I311" i="8"/>
  <c r="J310" i="8"/>
  <c r="I310" i="8"/>
  <c r="J309" i="8"/>
  <c r="I309" i="8"/>
  <c r="J308" i="8"/>
  <c r="I308" i="8"/>
  <c r="J307" i="8"/>
  <c r="I307" i="8"/>
  <c r="J306" i="8"/>
  <c r="I306" i="8"/>
  <c r="J305" i="8"/>
  <c r="I305" i="8"/>
  <c r="J304" i="8"/>
  <c r="I304" i="8"/>
  <c r="J303" i="8"/>
  <c r="I303" i="8"/>
  <c r="J302" i="8"/>
  <c r="I302" i="8"/>
  <c r="J301" i="8"/>
  <c r="I301" i="8"/>
  <c r="J300" i="8"/>
  <c r="I300" i="8"/>
  <c r="J299" i="8"/>
  <c r="I299" i="8"/>
  <c r="J298" i="8"/>
  <c r="I298" i="8"/>
  <c r="J294" i="8"/>
  <c r="I294" i="8"/>
  <c r="J293" i="8"/>
  <c r="I293" i="8"/>
  <c r="J292" i="8"/>
  <c r="I292" i="8"/>
  <c r="J291" i="8"/>
  <c r="I291" i="8"/>
  <c r="J290" i="8"/>
  <c r="I290" i="8"/>
  <c r="J289" i="8"/>
  <c r="I289" i="8"/>
  <c r="J288" i="8"/>
  <c r="I288" i="8"/>
  <c r="J287" i="8"/>
  <c r="I287" i="8"/>
  <c r="J286" i="8"/>
  <c r="I286" i="8"/>
  <c r="J285" i="8"/>
  <c r="I285" i="8"/>
  <c r="J284" i="8"/>
  <c r="I284" i="8"/>
  <c r="J283" i="8"/>
  <c r="I283" i="8"/>
  <c r="J282" i="8"/>
  <c r="I282" i="8"/>
  <c r="J281" i="8"/>
  <c r="I281" i="8"/>
  <c r="J280" i="8"/>
  <c r="I280" i="8"/>
  <c r="J279" i="8"/>
  <c r="I279" i="8"/>
  <c r="J278" i="8"/>
  <c r="I278" i="8"/>
  <c r="J277" i="8"/>
  <c r="I277" i="8"/>
  <c r="J276" i="8"/>
  <c r="I276" i="8"/>
  <c r="J275" i="8"/>
  <c r="I275" i="8"/>
  <c r="J271" i="8"/>
  <c r="I271" i="8"/>
  <c r="J270" i="8"/>
  <c r="I270" i="8"/>
  <c r="J269" i="8"/>
  <c r="I269" i="8"/>
  <c r="J268" i="8"/>
  <c r="I268" i="8"/>
  <c r="J267" i="8"/>
  <c r="I267" i="8"/>
  <c r="J266" i="8"/>
  <c r="I266" i="8"/>
  <c r="J265" i="8"/>
  <c r="I265" i="8"/>
  <c r="J264" i="8"/>
  <c r="I264" i="8"/>
  <c r="J263" i="8"/>
  <c r="I263" i="8"/>
  <c r="J262" i="8"/>
  <c r="I262" i="8"/>
  <c r="F249" i="8"/>
  <c r="F250" i="8"/>
  <c r="J247" i="8"/>
  <c r="I247" i="8"/>
  <c r="J246" i="8"/>
  <c r="I246" i="8"/>
  <c r="J245" i="8"/>
  <c r="I245" i="8"/>
  <c r="J244" i="8"/>
  <c r="I244" i="8"/>
  <c r="J243" i="8"/>
  <c r="I243" i="8"/>
  <c r="J242" i="8"/>
  <c r="I242" i="8"/>
  <c r="J241" i="8"/>
  <c r="I241" i="8"/>
  <c r="J240" i="8"/>
  <c r="I240" i="8"/>
  <c r="J239" i="8"/>
  <c r="I239" i="8"/>
  <c r="J238" i="8"/>
  <c r="I238" i="8"/>
  <c r="J237" i="8"/>
  <c r="I237" i="8"/>
  <c r="J236" i="8"/>
  <c r="I236" i="8"/>
  <c r="J235" i="8"/>
  <c r="I235" i="8"/>
  <c r="J234" i="8"/>
  <c r="I234" i="8"/>
  <c r="J233" i="8"/>
  <c r="I233" i="8"/>
  <c r="J232" i="8"/>
  <c r="I232" i="8"/>
  <c r="J231" i="8"/>
  <c r="I231" i="8"/>
  <c r="J230" i="8"/>
  <c r="I230" i="8"/>
  <c r="J229" i="8"/>
  <c r="I229" i="8"/>
  <c r="J228" i="8"/>
  <c r="I228" i="8"/>
  <c r="J224" i="8"/>
  <c r="I224" i="8"/>
  <c r="J223" i="8"/>
  <c r="I223" i="8"/>
  <c r="J222" i="8"/>
  <c r="I222" i="8"/>
  <c r="J221" i="8"/>
  <c r="I221" i="8"/>
  <c r="J220" i="8"/>
  <c r="I220" i="8"/>
  <c r="J219" i="8"/>
  <c r="I219" i="8"/>
  <c r="J218" i="8"/>
  <c r="I218" i="8"/>
  <c r="J217" i="8"/>
  <c r="I217" i="8"/>
  <c r="J216" i="8"/>
  <c r="I216" i="8"/>
  <c r="J215" i="8"/>
  <c r="I215" i="8"/>
  <c r="J214" i="8"/>
  <c r="I214" i="8"/>
  <c r="J213" i="8"/>
  <c r="I213" i="8"/>
  <c r="J212" i="8"/>
  <c r="I212" i="8"/>
  <c r="J211" i="8"/>
  <c r="I211" i="8"/>
  <c r="J210" i="8"/>
  <c r="I210" i="8"/>
  <c r="J209" i="8"/>
  <c r="I209" i="8"/>
  <c r="J208" i="8"/>
  <c r="I208" i="8"/>
  <c r="J207" i="8"/>
  <c r="I207" i="8"/>
  <c r="J206" i="8"/>
  <c r="I206" i="8"/>
  <c r="J205" i="8"/>
  <c r="I205" i="8"/>
  <c r="J201" i="8"/>
  <c r="I201" i="8"/>
  <c r="J200" i="8"/>
  <c r="I200" i="8"/>
  <c r="J199" i="8"/>
  <c r="I199" i="8"/>
  <c r="J198" i="8"/>
  <c r="I198" i="8"/>
  <c r="J197" i="8"/>
  <c r="I197" i="8"/>
  <c r="J196" i="8"/>
  <c r="I196" i="8"/>
  <c r="J195" i="8"/>
  <c r="I195" i="8"/>
  <c r="J194" i="8"/>
  <c r="I194" i="8"/>
  <c r="J193" i="8"/>
  <c r="J192" i="8"/>
  <c r="I192" i="8"/>
  <c r="F179" i="8"/>
  <c r="F180" i="8"/>
  <c r="J177" i="8"/>
  <c r="I177" i="8"/>
  <c r="J176" i="8"/>
  <c r="I176" i="8"/>
  <c r="J175" i="8"/>
  <c r="I175" i="8"/>
  <c r="J174" i="8"/>
  <c r="I174" i="8"/>
  <c r="J173" i="8"/>
  <c r="I173" i="8"/>
  <c r="J172" i="8"/>
  <c r="I172" i="8"/>
  <c r="J171" i="8"/>
  <c r="I171" i="8"/>
  <c r="J170" i="8"/>
  <c r="I170" i="8"/>
  <c r="J169" i="8"/>
  <c r="I169" i="8"/>
  <c r="J168" i="8"/>
  <c r="I168" i="8"/>
  <c r="J167" i="8"/>
  <c r="I167" i="8"/>
  <c r="J166" i="8"/>
  <c r="I166" i="8"/>
  <c r="J165" i="8"/>
  <c r="I165" i="8"/>
  <c r="J164" i="8"/>
  <c r="I164" i="8"/>
  <c r="J163" i="8"/>
  <c r="I163" i="8"/>
  <c r="J162" i="8"/>
  <c r="I162" i="8"/>
  <c r="J161" i="8"/>
  <c r="I161" i="8"/>
  <c r="J160" i="8"/>
  <c r="I160" i="8"/>
  <c r="B160" i="8"/>
  <c r="B161" i="8"/>
  <c r="B162" i="8"/>
  <c r="B163" i="8"/>
  <c r="B164" i="8"/>
  <c r="B165" i="8"/>
  <c r="B166" i="8"/>
  <c r="J159" i="8"/>
  <c r="I159" i="8"/>
  <c r="J158" i="8"/>
  <c r="I158" i="8"/>
  <c r="J154" i="8"/>
  <c r="I154" i="8"/>
  <c r="J153" i="8"/>
  <c r="I153" i="8"/>
  <c r="J152" i="8"/>
  <c r="I152" i="8"/>
  <c r="J151" i="8"/>
  <c r="I151" i="8"/>
  <c r="J150" i="8"/>
  <c r="I150" i="8"/>
  <c r="J149" i="8"/>
  <c r="I149" i="8"/>
  <c r="J148" i="8"/>
  <c r="I148" i="8"/>
  <c r="J147" i="8"/>
  <c r="I147" i="8"/>
  <c r="J146" i="8"/>
  <c r="I146" i="8"/>
  <c r="J145" i="8"/>
  <c r="I145" i="8"/>
  <c r="J144" i="8"/>
  <c r="I144" i="8"/>
  <c r="J143" i="8"/>
  <c r="I143" i="8"/>
  <c r="J142" i="8"/>
  <c r="I142" i="8"/>
  <c r="J141" i="8"/>
  <c r="I141" i="8"/>
  <c r="J140" i="8"/>
  <c r="I140" i="8"/>
  <c r="J139" i="8"/>
  <c r="I139" i="8"/>
  <c r="J138" i="8"/>
  <c r="I138" i="8"/>
  <c r="J137" i="8"/>
  <c r="I137" i="8"/>
  <c r="J136" i="8"/>
  <c r="I136" i="8"/>
  <c r="J133" i="8"/>
  <c r="I133" i="8"/>
  <c r="J132" i="8"/>
  <c r="I132" i="8"/>
  <c r="J131" i="8"/>
  <c r="I131" i="8"/>
  <c r="J130" i="8"/>
  <c r="I130" i="8"/>
  <c r="J129" i="8"/>
  <c r="I129" i="8"/>
  <c r="J128" i="8"/>
  <c r="I128" i="8"/>
  <c r="J127" i="8"/>
  <c r="I127" i="8"/>
  <c r="J126" i="8"/>
  <c r="I126" i="8"/>
  <c r="J125" i="8"/>
  <c r="I125" i="8"/>
  <c r="J124" i="8"/>
  <c r="I124" i="8"/>
  <c r="J123" i="8"/>
  <c r="I123" i="8"/>
  <c r="F110" i="8"/>
  <c r="F111" i="8"/>
  <c r="J108" i="8"/>
  <c r="I108" i="8"/>
  <c r="J107" i="8"/>
  <c r="I107" i="8"/>
  <c r="J106" i="8"/>
  <c r="I106" i="8"/>
  <c r="J105" i="8"/>
  <c r="I105" i="8"/>
  <c r="J104" i="8"/>
  <c r="I104" i="8"/>
  <c r="J103" i="8"/>
  <c r="I103" i="8"/>
  <c r="J102" i="8"/>
  <c r="I102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86" i="8"/>
  <c r="I86" i="8"/>
  <c r="J85" i="8"/>
  <c r="I85" i="8"/>
  <c r="J84" i="8"/>
  <c r="I84" i="8"/>
  <c r="J83" i="8"/>
  <c r="I83" i="8"/>
  <c r="J82" i="8"/>
  <c r="I82" i="8"/>
  <c r="J81" i="8"/>
  <c r="I81" i="8"/>
  <c r="J80" i="8"/>
  <c r="I80" i="8"/>
  <c r="J79" i="8"/>
  <c r="I79" i="8"/>
  <c r="F118" i="8"/>
  <c r="F187" i="8"/>
  <c r="F257" i="8"/>
  <c r="F327" i="8"/>
  <c r="F397" i="8"/>
  <c r="F467" i="8"/>
  <c r="F537" i="8"/>
  <c r="F607" i="8"/>
  <c r="F677" i="8"/>
  <c r="F747" i="8"/>
  <c r="C74" i="8"/>
  <c r="C118" i="8"/>
  <c r="C187" i="8"/>
  <c r="C257" i="8"/>
  <c r="C327" i="8"/>
  <c r="C397" i="8"/>
  <c r="C467" i="8"/>
  <c r="C537" i="8"/>
  <c r="C607" i="8"/>
  <c r="C677" i="8"/>
  <c r="C747" i="8"/>
  <c r="F65" i="8"/>
  <c r="F66" i="8"/>
  <c r="J63" i="8"/>
  <c r="I63" i="8"/>
  <c r="J62" i="8"/>
  <c r="I62" i="8"/>
  <c r="J61" i="8"/>
  <c r="I61" i="8"/>
  <c r="J60" i="8"/>
  <c r="I60" i="8"/>
  <c r="J59" i="8"/>
  <c r="I59" i="8"/>
  <c r="J58" i="8"/>
  <c r="I58" i="8"/>
  <c r="J57" i="8"/>
  <c r="I57" i="8"/>
  <c r="J56" i="8"/>
  <c r="I56" i="8"/>
  <c r="J55" i="8"/>
  <c r="I55" i="8"/>
  <c r="J54" i="8"/>
  <c r="I54" i="8"/>
  <c r="J53" i="8"/>
  <c r="I53" i="8"/>
  <c r="J52" i="8"/>
  <c r="I52" i="8"/>
  <c r="J51" i="8"/>
  <c r="I51" i="8"/>
  <c r="J50" i="8"/>
  <c r="I50" i="8"/>
  <c r="J49" i="8"/>
  <c r="I49" i="8"/>
  <c r="J40" i="8"/>
  <c r="I40" i="8"/>
  <c r="J39" i="8"/>
  <c r="I39" i="8"/>
  <c r="J38" i="8"/>
  <c r="I38" i="8"/>
  <c r="J37" i="8"/>
  <c r="I37" i="8"/>
  <c r="H32" i="8"/>
  <c r="K16" i="8"/>
  <c r="F801" i="10"/>
  <c r="F802" i="10"/>
  <c r="J799" i="10"/>
  <c r="I799" i="10"/>
  <c r="J798" i="10"/>
  <c r="I798" i="10"/>
  <c r="J797" i="10"/>
  <c r="I797" i="10"/>
  <c r="J796" i="10"/>
  <c r="I796" i="10"/>
  <c r="J795" i="10"/>
  <c r="I795" i="10"/>
  <c r="J794" i="10"/>
  <c r="I794" i="10"/>
  <c r="J793" i="10"/>
  <c r="I793" i="10"/>
  <c r="J792" i="10"/>
  <c r="I792" i="10"/>
  <c r="J791" i="10"/>
  <c r="I791" i="10"/>
  <c r="J790" i="10"/>
  <c r="I790" i="10"/>
  <c r="J789" i="10"/>
  <c r="I789" i="10"/>
  <c r="J788" i="10"/>
  <c r="I788" i="10"/>
  <c r="J787" i="10"/>
  <c r="I787" i="10"/>
  <c r="J786" i="10"/>
  <c r="I786" i="10"/>
  <c r="J785" i="10"/>
  <c r="I785" i="10"/>
  <c r="J784" i="10"/>
  <c r="I784" i="10"/>
  <c r="J783" i="10"/>
  <c r="I783" i="10"/>
  <c r="J782" i="10"/>
  <c r="I782" i="10"/>
  <c r="J781" i="10"/>
  <c r="I781" i="10"/>
  <c r="J780" i="10"/>
  <c r="I780" i="10"/>
  <c r="J776" i="10"/>
  <c r="I776" i="10"/>
  <c r="J775" i="10"/>
  <c r="I775" i="10"/>
  <c r="J774" i="10"/>
  <c r="I774" i="10"/>
  <c r="J773" i="10"/>
  <c r="I773" i="10"/>
  <c r="J772" i="10"/>
  <c r="I772" i="10"/>
  <c r="J771" i="10"/>
  <c r="I771" i="10"/>
  <c r="J770" i="10"/>
  <c r="I770" i="10"/>
  <c r="J769" i="10"/>
  <c r="I769" i="10"/>
  <c r="J768" i="10"/>
  <c r="I768" i="10"/>
  <c r="J767" i="10"/>
  <c r="I767" i="10"/>
  <c r="J766" i="10"/>
  <c r="I766" i="10"/>
  <c r="J765" i="10"/>
  <c r="I765" i="10"/>
  <c r="J764" i="10"/>
  <c r="I764" i="10"/>
  <c r="J763" i="10"/>
  <c r="I763" i="10"/>
  <c r="J762" i="10"/>
  <c r="I762" i="10"/>
  <c r="J761" i="10"/>
  <c r="I761" i="10"/>
  <c r="J760" i="10"/>
  <c r="I760" i="10"/>
  <c r="J759" i="10"/>
  <c r="I759" i="10"/>
  <c r="J758" i="10"/>
  <c r="I758" i="10"/>
  <c r="J757" i="10"/>
  <c r="I757" i="10"/>
  <c r="J753" i="10"/>
  <c r="I753" i="10"/>
  <c r="J752" i="10"/>
  <c r="I752" i="10"/>
  <c r="J751" i="10"/>
  <c r="I751" i="10"/>
  <c r="J750" i="10"/>
  <c r="I750" i="10"/>
  <c r="J749" i="10"/>
  <c r="I749" i="10"/>
  <c r="J748" i="10"/>
  <c r="I748" i="10"/>
  <c r="J747" i="10"/>
  <c r="I747" i="10"/>
  <c r="J746" i="10"/>
  <c r="I746" i="10"/>
  <c r="J745" i="10"/>
  <c r="I745" i="10"/>
  <c r="J744" i="10"/>
  <c r="I744" i="10"/>
  <c r="F731" i="10"/>
  <c r="F732" i="10"/>
  <c r="J729" i="10"/>
  <c r="I729" i="10"/>
  <c r="J728" i="10"/>
  <c r="I728" i="10"/>
  <c r="J727" i="10"/>
  <c r="I727" i="10"/>
  <c r="J726" i="10"/>
  <c r="I726" i="10"/>
  <c r="J725" i="10"/>
  <c r="I725" i="10"/>
  <c r="J724" i="10"/>
  <c r="I724" i="10"/>
  <c r="J723" i="10"/>
  <c r="I723" i="10"/>
  <c r="J722" i="10"/>
  <c r="I722" i="10"/>
  <c r="J721" i="10"/>
  <c r="I721" i="10"/>
  <c r="J720" i="10"/>
  <c r="I720" i="10"/>
  <c r="J719" i="10"/>
  <c r="I719" i="10"/>
  <c r="J718" i="10"/>
  <c r="I718" i="10"/>
  <c r="J717" i="10"/>
  <c r="I717" i="10"/>
  <c r="J716" i="10"/>
  <c r="I716" i="10"/>
  <c r="J715" i="10"/>
  <c r="I715" i="10"/>
  <c r="J714" i="10"/>
  <c r="I714" i="10"/>
  <c r="J713" i="10"/>
  <c r="I713" i="10"/>
  <c r="J712" i="10"/>
  <c r="I712" i="10"/>
  <c r="J711" i="10"/>
  <c r="I711" i="10"/>
  <c r="J710" i="10"/>
  <c r="I710" i="10"/>
  <c r="J706" i="10"/>
  <c r="I706" i="10"/>
  <c r="J705" i="10"/>
  <c r="I705" i="10"/>
  <c r="J704" i="10"/>
  <c r="I704" i="10"/>
  <c r="J703" i="10"/>
  <c r="I703" i="10"/>
  <c r="J702" i="10"/>
  <c r="I702" i="10"/>
  <c r="J701" i="10"/>
  <c r="I701" i="10"/>
  <c r="J700" i="10"/>
  <c r="I700" i="10"/>
  <c r="J699" i="10"/>
  <c r="I699" i="10"/>
  <c r="J698" i="10"/>
  <c r="I698" i="10"/>
  <c r="J697" i="10"/>
  <c r="I697" i="10"/>
  <c r="J696" i="10"/>
  <c r="I696" i="10"/>
  <c r="J695" i="10"/>
  <c r="I695" i="10"/>
  <c r="J694" i="10"/>
  <c r="I694" i="10"/>
  <c r="J693" i="10"/>
  <c r="I693" i="10"/>
  <c r="J692" i="10"/>
  <c r="I692" i="10"/>
  <c r="J691" i="10"/>
  <c r="I691" i="10"/>
  <c r="J690" i="10"/>
  <c r="I690" i="10"/>
  <c r="J689" i="10"/>
  <c r="I689" i="10"/>
  <c r="J688" i="10"/>
  <c r="I688" i="10"/>
  <c r="J687" i="10"/>
  <c r="I687" i="10"/>
  <c r="J683" i="10"/>
  <c r="I683" i="10"/>
  <c r="J682" i="10"/>
  <c r="I682" i="10"/>
  <c r="J681" i="10"/>
  <c r="I681" i="10"/>
  <c r="J680" i="10"/>
  <c r="I680" i="10"/>
  <c r="J679" i="10"/>
  <c r="I679" i="10"/>
  <c r="J678" i="10"/>
  <c r="I678" i="10"/>
  <c r="J677" i="10"/>
  <c r="I677" i="10"/>
  <c r="J676" i="10"/>
  <c r="I676" i="10"/>
  <c r="J675" i="10"/>
  <c r="I675" i="10"/>
  <c r="J674" i="10"/>
  <c r="I674" i="10"/>
  <c r="F661" i="10"/>
  <c r="F662" i="10"/>
  <c r="J659" i="10"/>
  <c r="I659" i="10"/>
  <c r="J658" i="10"/>
  <c r="I658" i="10"/>
  <c r="J657" i="10"/>
  <c r="I657" i="10"/>
  <c r="J656" i="10"/>
  <c r="I656" i="10"/>
  <c r="J655" i="10"/>
  <c r="I655" i="10"/>
  <c r="J654" i="10"/>
  <c r="I654" i="10"/>
  <c r="J653" i="10"/>
  <c r="I653" i="10"/>
  <c r="J652" i="10"/>
  <c r="I652" i="10"/>
  <c r="J651" i="10"/>
  <c r="I651" i="10"/>
  <c r="J650" i="10"/>
  <c r="I650" i="10"/>
  <c r="J649" i="10"/>
  <c r="I649" i="10"/>
  <c r="J648" i="10"/>
  <c r="I648" i="10"/>
  <c r="J647" i="10"/>
  <c r="I647" i="10"/>
  <c r="J646" i="10"/>
  <c r="I646" i="10"/>
  <c r="J645" i="10"/>
  <c r="I645" i="10"/>
  <c r="J644" i="10"/>
  <c r="I644" i="10"/>
  <c r="J643" i="10"/>
  <c r="I643" i="10"/>
  <c r="J642" i="10"/>
  <c r="I642" i="10"/>
  <c r="J641" i="10"/>
  <c r="I641" i="10"/>
  <c r="J640" i="10"/>
  <c r="I640" i="10"/>
  <c r="J636" i="10"/>
  <c r="I636" i="10"/>
  <c r="J635" i="10"/>
  <c r="I635" i="10"/>
  <c r="J634" i="10"/>
  <c r="I634" i="10"/>
  <c r="J633" i="10"/>
  <c r="I633" i="10"/>
  <c r="J632" i="10"/>
  <c r="I632" i="10"/>
  <c r="J631" i="10"/>
  <c r="I631" i="10"/>
  <c r="J630" i="10"/>
  <c r="I630" i="10"/>
  <c r="J629" i="10"/>
  <c r="I629" i="10"/>
  <c r="J628" i="10"/>
  <c r="I628" i="10"/>
  <c r="J627" i="10"/>
  <c r="I627" i="10"/>
  <c r="J626" i="10"/>
  <c r="I626" i="10"/>
  <c r="J625" i="10"/>
  <c r="I625" i="10"/>
  <c r="J624" i="10"/>
  <c r="I624" i="10"/>
  <c r="J623" i="10"/>
  <c r="I623" i="10"/>
  <c r="J622" i="10"/>
  <c r="I622" i="10"/>
  <c r="J621" i="10"/>
  <c r="I621" i="10"/>
  <c r="J620" i="10"/>
  <c r="I620" i="10"/>
  <c r="J619" i="10"/>
  <c r="I619" i="10"/>
  <c r="J618" i="10"/>
  <c r="I618" i="10"/>
  <c r="J617" i="10"/>
  <c r="I617" i="10"/>
  <c r="J613" i="10"/>
  <c r="I613" i="10"/>
  <c r="J612" i="10"/>
  <c r="I612" i="10"/>
  <c r="J611" i="10"/>
  <c r="I611" i="10"/>
  <c r="J610" i="10"/>
  <c r="I610" i="10"/>
  <c r="J609" i="10"/>
  <c r="I609" i="10"/>
  <c r="J608" i="10"/>
  <c r="I608" i="10"/>
  <c r="J607" i="10"/>
  <c r="I607" i="10"/>
  <c r="J606" i="10"/>
  <c r="I606" i="10"/>
  <c r="J605" i="10"/>
  <c r="I605" i="10"/>
  <c r="J604" i="10"/>
  <c r="I604" i="10"/>
  <c r="F591" i="10"/>
  <c r="F592" i="10"/>
  <c r="J589" i="10"/>
  <c r="I589" i="10"/>
  <c r="J588" i="10"/>
  <c r="I588" i="10"/>
  <c r="J587" i="10"/>
  <c r="I587" i="10"/>
  <c r="J586" i="10"/>
  <c r="I586" i="10"/>
  <c r="J585" i="10"/>
  <c r="I585" i="10"/>
  <c r="J584" i="10"/>
  <c r="I584" i="10"/>
  <c r="J583" i="10"/>
  <c r="I583" i="10"/>
  <c r="J582" i="10"/>
  <c r="I582" i="10"/>
  <c r="J581" i="10"/>
  <c r="I581" i="10"/>
  <c r="J580" i="10"/>
  <c r="I580" i="10"/>
  <c r="J579" i="10"/>
  <c r="I579" i="10"/>
  <c r="J578" i="10"/>
  <c r="I578" i="10"/>
  <c r="J577" i="10"/>
  <c r="I577" i="10"/>
  <c r="J576" i="10"/>
  <c r="I576" i="10"/>
  <c r="J575" i="10"/>
  <c r="I575" i="10"/>
  <c r="J574" i="10"/>
  <c r="I574" i="10"/>
  <c r="J573" i="10"/>
  <c r="I573" i="10"/>
  <c r="J572" i="10"/>
  <c r="I572" i="10"/>
  <c r="J571" i="10"/>
  <c r="I571" i="10"/>
  <c r="J570" i="10"/>
  <c r="I570" i="10"/>
  <c r="J566" i="10"/>
  <c r="I566" i="10"/>
  <c r="J565" i="10"/>
  <c r="I565" i="10"/>
  <c r="J564" i="10"/>
  <c r="I564" i="10"/>
  <c r="J563" i="10"/>
  <c r="I563" i="10"/>
  <c r="J562" i="10"/>
  <c r="I562" i="10"/>
  <c r="J561" i="10"/>
  <c r="I561" i="10"/>
  <c r="J560" i="10"/>
  <c r="I560" i="10"/>
  <c r="J559" i="10"/>
  <c r="I559" i="10"/>
  <c r="J558" i="10"/>
  <c r="I558" i="10"/>
  <c r="J557" i="10"/>
  <c r="I557" i="10"/>
  <c r="J556" i="10"/>
  <c r="I556" i="10"/>
  <c r="J555" i="10"/>
  <c r="I555" i="10"/>
  <c r="J554" i="10"/>
  <c r="I554" i="10"/>
  <c r="J553" i="10"/>
  <c r="I553" i="10"/>
  <c r="J552" i="10"/>
  <c r="I552" i="10"/>
  <c r="J551" i="10"/>
  <c r="I551" i="10"/>
  <c r="J550" i="10"/>
  <c r="I550" i="10"/>
  <c r="J549" i="10"/>
  <c r="I549" i="10"/>
  <c r="J548" i="10"/>
  <c r="I548" i="10"/>
  <c r="J547" i="10"/>
  <c r="I547" i="10"/>
  <c r="J543" i="10"/>
  <c r="I543" i="10"/>
  <c r="J542" i="10"/>
  <c r="I542" i="10"/>
  <c r="J541" i="10"/>
  <c r="I541" i="10"/>
  <c r="J540" i="10"/>
  <c r="I540" i="10"/>
  <c r="J539" i="10"/>
  <c r="I539" i="10"/>
  <c r="J538" i="10"/>
  <c r="I538" i="10"/>
  <c r="J537" i="10"/>
  <c r="I537" i="10"/>
  <c r="J536" i="10"/>
  <c r="I536" i="10"/>
  <c r="J535" i="10"/>
  <c r="I535" i="10"/>
  <c r="J534" i="10"/>
  <c r="I534" i="10"/>
  <c r="F521" i="10"/>
  <c r="F522" i="10"/>
  <c r="J519" i="10"/>
  <c r="I519" i="10"/>
  <c r="J518" i="10"/>
  <c r="I518" i="10"/>
  <c r="J517" i="10"/>
  <c r="I517" i="10"/>
  <c r="J516" i="10"/>
  <c r="I516" i="10"/>
  <c r="J515" i="10"/>
  <c r="I515" i="10"/>
  <c r="J514" i="10"/>
  <c r="I514" i="10"/>
  <c r="J513" i="10"/>
  <c r="I513" i="10"/>
  <c r="J512" i="10"/>
  <c r="I512" i="10"/>
  <c r="J511" i="10"/>
  <c r="I511" i="10"/>
  <c r="J510" i="10"/>
  <c r="I510" i="10"/>
  <c r="J509" i="10"/>
  <c r="I509" i="10"/>
  <c r="J508" i="10"/>
  <c r="I508" i="10"/>
  <c r="J507" i="10"/>
  <c r="I507" i="10"/>
  <c r="J506" i="10"/>
  <c r="I506" i="10"/>
  <c r="J505" i="10"/>
  <c r="I505" i="10"/>
  <c r="J504" i="10"/>
  <c r="I504" i="10"/>
  <c r="J503" i="10"/>
  <c r="I503" i="10"/>
  <c r="J502" i="10"/>
  <c r="I502" i="10"/>
  <c r="J501" i="10"/>
  <c r="I501" i="10"/>
  <c r="J500" i="10"/>
  <c r="I500" i="10"/>
  <c r="J496" i="10"/>
  <c r="I496" i="10"/>
  <c r="J495" i="10"/>
  <c r="I495" i="10"/>
  <c r="J494" i="10"/>
  <c r="I494" i="10"/>
  <c r="J493" i="10"/>
  <c r="I493" i="10"/>
  <c r="J492" i="10"/>
  <c r="I492" i="10"/>
  <c r="J491" i="10"/>
  <c r="I491" i="10"/>
  <c r="J490" i="10"/>
  <c r="I490" i="10"/>
  <c r="J489" i="10"/>
  <c r="I489" i="10"/>
  <c r="J488" i="10"/>
  <c r="I488" i="10"/>
  <c r="J487" i="10"/>
  <c r="I487" i="10"/>
  <c r="J486" i="10"/>
  <c r="I486" i="10"/>
  <c r="J485" i="10"/>
  <c r="I485" i="10"/>
  <c r="J484" i="10"/>
  <c r="I484" i="10"/>
  <c r="J483" i="10"/>
  <c r="I483" i="10"/>
  <c r="J482" i="10"/>
  <c r="I482" i="10"/>
  <c r="J481" i="10"/>
  <c r="I481" i="10"/>
  <c r="J480" i="10"/>
  <c r="I480" i="10"/>
  <c r="J479" i="10"/>
  <c r="I479" i="10"/>
  <c r="J478" i="10"/>
  <c r="I478" i="10"/>
  <c r="J477" i="10"/>
  <c r="I477" i="10"/>
  <c r="J473" i="10"/>
  <c r="I473" i="10"/>
  <c r="J472" i="10"/>
  <c r="I472" i="10"/>
  <c r="J471" i="10"/>
  <c r="I471" i="10"/>
  <c r="J470" i="10"/>
  <c r="I470" i="10"/>
  <c r="J469" i="10"/>
  <c r="I469" i="10"/>
  <c r="J468" i="10"/>
  <c r="I468" i="10"/>
  <c r="J467" i="10"/>
  <c r="I467" i="10"/>
  <c r="J466" i="10"/>
  <c r="I466" i="10"/>
  <c r="J465" i="10"/>
  <c r="I465" i="10"/>
  <c r="J464" i="10"/>
  <c r="I464" i="10"/>
  <c r="F451" i="10"/>
  <c r="F452" i="10"/>
  <c r="J449" i="10"/>
  <c r="I449" i="10"/>
  <c r="J448" i="10"/>
  <c r="I448" i="10"/>
  <c r="J447" i="10"/>
  <c r="I447" i="10"/>
  <c r="J446" i="10"/>
  <c r="I446" i="10"/>
  <c r="J445" i="10"/>
  <c r="I445" i="10"/>
  <c r="J444" i="10"/>
  <c r="I444" i="10"/>
  <c r="J443" i="10"/>
  <c r="I443" i="10"/>
  <c r="J442" i="10"/>
  <c r="I442" i="10"/>
  <c r="J441" i="10"/>
  <c r="I441" i="10"/>
  <c r="J440" i="10"/>
  <c r="I440" i="10"/>
  <c r="J439" i="10"/>
  <c r="I439" i="10"/>
  <c r="J438" i="10"/>
  <c r="I438" i="10"/>
  <c r="J437" i="10"/>
  <c r="I437" i="10"/>
  <c r="J436" i="10"/>
  <c r="I436" i="10"/>
  <c r="J435" i="10"/>
  <c r="I435" i="10"/>
  <c r="J434" i="10"/>
  <c r="I434" i="10"/>
  <c r="J433" i="10"/>
  <c r="I433" i="10"/>
  <c r="J432" i="10"/>
  <c r="I432" i="10"/>
  <c r="J431" i="10"/>
  <c r="I431" i="10"/>
  <c r="J430" i="10"/>
  <c r="I430" i="10"/>
  <c r="J426" i="10"/>
  <c r="I426" i="10"/>
  <c r="J425" i="10"/>
  <c r="I425" i="10"/>
  <c r="J424" i="10"/>
  <c r="I424" i="10"/>
  <c r="J423" i="10"/>
  <c r="I423" i="10"/>
  <c r="J422" i="10"/>
  <c r="I422" i="10"/>
  <c r="J421" i="10"/>
  <c r="I421" i="10"/>
  <c r="J420" i="10"/>
  <c r="I420" i="10"/>
  <c r="J419" i="10"/>
  <c r="I419" i="10"/>
  <c r="J418" i="10"/>
  <c r="I418" i="10"/>
  <c r="J417" i="10"/>
  <c r="I417" i="10"/>
  <c r="J416" i="10"/>
  <c r="I416" i="10"/>
  <c r="J415" i="10"/>
  <c r="I415" i="10"/>
  <c r="J414" i="10"/>
  <c r="I414" i="10"/>
  <c r="J413" i="10"/>
  <c r="I413" i="10"/>
  <c r="J412" i="10"/>
  <c r="I412" i="10"/>
  <c r="J411" i="10"/>
  <c r="I411" i="10"/>
  <c r="J410" i="10"/>
  <c r="I410" i="10"/>
  <c r="J409" i="10"/>
  <c r="I409" i="10"/>
  <c r="J408" i="10"/>
  <c r="I408" i="10"/>
  <c r="J407" i="10"/>
  <c r="I407" i="10"/>
  <c r="J403" i="10"/>
  <c r="I403" i="10"/>
  <c r="J402" i="10"/>
  <c r="I402" i="10"/>
  <c r="J401" i="10"/>
  <c r="I401" i="10"/>
  <c r="J400" i="10"/>
  <c r="I400" i="10"/>
  <c r="J399" i="10"/>
  <c r="I399" i="10"/>
  <c r="J398" i="10"/>
  <c r="I398" i="10"/>
  <c r="J397" i="10"/>
  <c r="I397" i="10"/>
  <c r="J396" i="10"/>
  <c r="I396" i="10"/>
  <c r="J395" i="10"/>
  <c r="I395" i="10"/>
  <c r="J394" i="10"/>
  <c r="I394" i="10"/>
  <c r="F381" i="10"/>
  <c r="F382" i="10"/>
  <c r="J379" i="10"/>
  <c r="I379" i="10"/>
  <c r="J378" i="10"/>
  <c r="I378" i="10"/>
  <c r="J377" i="10"/>
  <c r="I377" i="10"/>
  <c r="J376" i="10"/>
  <c r="I376" i="10"/>
  <c r="J375" i="10"/>
  <c r="I375" i="10"/>
  <c r="J374" i="10"/>
  <c r="I374" i="10"/>
  <c r="J373" i="10"/>
  <c r="I373" i="10"/>
  <c r="J372" i="10"/>
  <c r="I372" i="10"/>
  <c r="J371" i="10"/>
  <c r="I371" i="10"/>
  <c r="J370" i="10"/>
  <c r="I370" i="10"/>
  <c r="J369" i="10"/>
  <c r="I369" i="10"/>
  <c r="J368" i="10"/>
  <c r="I368" i="10"/>
  <c r="J367" i="10"/>
  <c r="I367" i="10"/>
  <c r="J366" i="10"/>
  <c r="I366" i="10"/>
  <c r="J365" i="10"/>
  <c r="I365" i="10"/>
  <c r="J364" i="10"/>
  <c r="I364" i="10"/>
  <c r="J363" i="10"/>
  <c r="I363" i="10"/>
  <c r="J362" i="10"/>
  <c r="I362" i="10"/>
  <c r="J361" i="10"/>
  <c r="I361" i="10"/>
  <c r="J360" i="10"/>
  <c r="I360" i="10"/>
  <c r="J356" i="10"/>
  <c r="I356" i="10"/>
  <c r="J355" i="10"/>
  <c r="I355" i="10"/>
  <c r="J354" i="10"/>
  <c r="I354" i="10"/>
  <c r="J353" i="10"/>
  <c r="I353" i="10"/>
  <c r="J352" i="10"/>
  <c r="I352" i="10"/>
  <c r="J351" i="10"/>
  <c r="I351" i="10"/>
  <c r="J350" i="10"/>
  <c r="I350" i="10"/>
  <c r="J349" i="10"/>
  <c r="I349" i="10"/>
  <c r="J348" i="10"/>
  <c r="I348" i="10"/>
  <c r="J347" i="10"/>
  <c r="I347" i="10"/>
  <c r="J346" i="10"/>
  <c r="I346" i="10"/>
  <c r="J345" i="10"/>
  <c r="I345" i="10"/>
  <c r="J344" i="10"/>
  <c r="I344" i="10"/>
  <c r="J343" i="10"/>
  <c r="I343" i="10"/>
  <c r="J342" i="10"/>
  <c r="I342" i="10"/>
  <c r="J341" i="10"/>
  <c r="I341" i="10"/>
  <c r="J340" i="10"/>
  <c r="I340" i="10"/>
  <c r="J339" i="10"/>
  <c r="I339" i="10"/>
  <c r="J338" i="10"/>
  <c r="I338" i="10"/>
  <c r="J337" i="10"/>
  <c r="I337" i="10"/>
  <c r="J333" i="10"/>
  <c r="I333" i="10"/>
  <c r="J332" i="10"/>
  <c r="I332" i="10"/>
  <c r="J331" i="10"/>
  <c r="I331" i="10"/>
  <c r="J330" i="10"/>
  <c r="I330" i="10"/>
  <c r="J329" i="10"/>
  <c r="I329" i="10"/>
  <c r="J328" i="10"/>
  <c r="I328" i="10"/>
  <c r="J327" i="10"/>
  <c r="I327" i="10"/>
  <c r="J326" i="10"/>
  <c r="I326" i="10"/>
  <c r="J325" i="10"/>
  <c r="I325" i="10"/>
  <c r="J324" i="10"/>
  <c r="I324" i="10"/>
  <c r="J323" i="10"/>
  <c r="I323" i="10"/>
  <c r="F311" i="10"/>
  <c r="F312" i="10"/>
  <c r="J309" i="10"/>
  <c r="I309" i="10"/>
  <c r="J308" i="10"/>
  <c r="I308" i="10"/>
  <c r="J307" i="10"/>
  <c r="I307" i="10"/>
  <c r="J306" i="10"/>
  <c r="I306" i="10"/>
  <c r="J305" i="10"/>
  <c r="I305" i="10"/>
  <c r="J304" i="10"/>
  <c r="I304" i="10"/>
  <c r="J303" i="10"/>
  <c r="I303" i="10"/>
  <c r="J302" i="10"/>
  <c r="I302" i="10"/>
  <c r="J301" i="10"/>
  <c r="I301" i="10"/>
  <c r="J300" i="10"/>
  <c r="I300" i="10"/>
  <c r="J299" i="10"/>
  <c r="I299" i="10"/>
  <c r="J298" i="10"/>
  <c r="I298" i="10"/>
  <c r="J297" i="10"/>
  <c r="I297" i="10"/>
  <c r="J296" i="10"/>
  <c r="I296" i="10"/>
  <c r="J295" i="10"/>
  <c r="I295" i="10"/>
  <c r="J294" i="10"/>
  <c r="I294" i="10"/>
  <c r="J293" i="10"/>
  <c r="I293" i="10"/>
  <c r="J292" i="10"/>
  <c r="I292" i="10"/>
  <c r="J291" i="10"/>
  <c r="I291" i="10"/>
  <c r="J290" i="10"/>
  <c r="I290" i="10"/>
  <c r="J286" i="10"/>
  <c r="I286" i="10"/>
  <c r="J285" i="10"/>
  <c r="I285" i="10"/>
  <c r="J284" i="10"/>
  <c r="I284" i="10"/>
  <c r="J283" i="10"/>
  <c r="I283" i="10"/>
  <c r="J282" i="10"/>
  <c r="I282" i="10"/>
  <c r="J281" i="10"/>
  <c r="I281" i="10"/>
  <c r="J280" i="10"/>
  <c r="I280" i="10"/>
  <c r="J279" i="10"/>
  <c r="I279" i="10"/>
  <c r="J278" i="10"/>
  <c r="I278" i="10"/>
  <c r="J277" i="10"/>
  <c r="I277" i="10"/>
  <c r="J276" i="10"/>
  <c r="I276" i="10"/>
  <c r="J275" i="10"/>
  <c r="I275" i="10"/>
  <c r="J274" i="10"/>
  <c r="I274" i="10"/>
  <c r="J273" i="10"/>
  <c r="I273" i="10"/>
  <c r="J272" i="10"/>
  <c r="I272" i="10"/>
  <c r="J271" i="10"/>
  <c r="I271" i="10"/>
  <c r="J270" i="10"/>
  <c r="I270" i="10"/>
  <c r="J269" i="10"/>
  <c r="I269" i="10"/>
  <c r="J268" i="10"/>
  <c r="I268" i="10"/>
  <c r="J267" i="10"/>
  <c r="I267" i="10"/>
  <c r="J263" i="10"/>
  <c r="I263" i="10"/>
  <c r="J262" i="10"/>
  <c r="I262" i="10"/>
  <c r="J261" i="10"/>
  <c r="I261" i="10"/>
  <c r="J260" i="10"/>
  <c r="I260" i="10"/>
  <c r="J259" i="10"/>
  <c r="I259" i="10"/>
  <c r="J258" i="10"/>
  <c r="I258" i="10"/>
  <c r="J257" i="10"/>
  <c r="I257" i="10"/>
  <c r="J256" i="10"/>
  <c r="I256" i="10"/>
  <c r="J255" i="10"/>
  <c r="I255" i="10"/>
  <c r="J254" i="10"/>
  <c r="F241" i="10"/>
  <c r="F242" i="10"/>
  <c r="J239" i="10"/>
  <c r="I239" i="10"/>
  <c r="J238" i="10"/>
  <c r="I238" i="10"/>
  <c r="J237" i="10"/>
  <c r="I237" i="10"/>
  <c r="J236" i="10"/>
  <c r="I236" i="10"/>
  <c r="J235" i="10"/>
  <c r="I235" i="10"/>
  <c r="J234" i="10"/>
  <c r="I234" i="10"/>
  <c r="J233" i="10"/>
  <c r="I233" i="10"/>
  <c r="J232" i="10"/>
  <c r="I232" i="10"/>
  <c r="J231" i="10"/>
  <c r="I231" i="10"/>
  <c r="J230" i="10"/>
  <c r="I230" i="10"/>
  <c r="J229" i="10"/>
  <c r="I229" i="10"/>
  <c r="J228" i="10"/>
  <c r="I228" i="10"/>
  <c r="J227" i="10"/>
  <c r="I227" i="10"/>
  <c r="J226" i="10"/>
  <c r="I226" i="10"/>
  <c r="J225" i="10"/>
  <c r="I225" i="10"/>
  <c r="J224" i="10"/>
  <c r="I224" i="10"/>
  <c r="J223" i="10"/>
  <c r="I223" i="10"/>
  <c r="J222" i="10"/>
  <c r="I222" i="10"/>
  <c r="J221" i="10"/>
  <c r="I221" i="10"/>
  <c r="J220" i="10"/>
  <c r="I220" i="10"/>
  <c r="J216" i="10"/>
  <c r="I216" i="10"/>
  <c r="J215" i="10"/>
  <c r="I215" i="10"/>
  <c r="J214" i="10"/>
  <c r="I214" i="10"/>
  <c r="J213" i="10"/>
  <c r="I213" i="10"/>
  <c r="J212" i="10"/>
  <c r="I212" i="10"/>
  <c r="J211" i="10"/>
  <c r="I211" i="10"/>
  <c r="J210" i="10"/>
  <c r="I210" i="10"/>
  <c r="J209" i="10"/>
  <c r="I209" i="10"/>
  <c r="J208" i="10"/>
  <c r="I208" i="10"/>
  <c r="J207" i="10"/>
  <c r="I207" i="10"/>
  <c r="J206" i="10"/>
  <c r="I206" i="10"/>
  <c r="J205" i="10"/>
  <c r="I205" i="10"/>
  <c r="J204" i="10"/>
  <c r="I204" i="10"/>
  <c r="J203" i="10"/>
  <c r="I203" i="10"/>
  <c r="J202" i="10"/>
  <c r="I202" i="10"/>
  <c r="J201" i="10"/>
  <c r="I201" i="10"/>
  <c r="J200" i="10"/>
  <c r="I200" i="10"/>
  <c r="J199" i="10"/>
  <c r="I199" i="10"/>
  <c r="J198" i="10"/>
  <c r="I198" i="10"/>
  <c r="J197" i="10"/>
  <c r="I197" i="10"/>
  <c r="J193" i="10"/>
  <c r="I193" i="10"/>
  <c r="J192" i="10"/>
  <c r="I192" i="10"/>
  <c r="J191" i="10"/>
  <c r="I191" i="10"/>
  <c r="J190" i="10"/>
  <c r="I190" i="10"/>
  <c r="J189" i="10"/>
  <c r="I189" i="10"/>
  <c r="J188" i="10"/>
  <c r="I188" i="10"/>
  <c r="J187" i="10"/>
  <c r="I187" i="10"/>
  <c r="J186" i="10"/>
  <c r="I186" i="10"/>
  <c r="J185" i="10"/>
  <c r="J184" i="10"/>
  <c r="I184" i="10"/>
  <c r="F171" i="10"/>
  <c r="F172" i="10"/>
  <c r="J169" i="10"/>
  <c r="I169" i="10"/>
  <c r="J168" i="10"/>
  <c r="I168" i="10"/>
  <c r="J167" i="10"/>
  <c r="I167" i="10"/>
  <c r="J166" i="10"/>
  <c r="I166" i="10"/>
  <c r="J165" i="10"/>
  <c r="I165" i="10"/>
  <c r="J164" i="10"/>
  <c r="I164" i="10"/>
  <c r="J163" i="10"/>
  <c r="I163" i="10"/>
  <c r="J162" i="10"/>
  <c r="I162" i="10"/>
  <c r="J161" i="10"/>
  <c r="I161" i="10"/>
  <c r="J160" i="10"/>
  <c r="I160" i="10"/>
  <c r="J159" i="10"/>
  <c r="I159" i="10"/>
  <c r="J158" i="10"/>
  <c r="I158" i="10"/>
  <c r="J157" i="10"/>
  <c r="I157" i="10"/>
  <c r="J156" i="10"/>
  <c r="I156" i="10"/>
  <c r="J155" i="10"/>
  <c r="I155" i="10"/>
  <c r="J154" i="10"/>
  <c r="I154" i="10"/>
  <c r="J153" i="10"/>
  <c r="I153" i="10"/>
  <c r="J152" i="10"/>
  <c r="I152" i="10"/>
  <c r="B152" i="10"/>
  <c r="B153" i="10"/>
  <c r="B154" i="10"/>
  <c r="B155" i="10"/>
  <c r="B156" i="10"/>
  <c r="B157" i="10"/>
  <c r="B158" i="10"/>
  <c r="J151" i="10"/>
  <c r="I151" i="10"/>
  <c r="J150" i="10"/>
  <c r="I150" i="10"/>
  <c r="J146" i="10"/>
  <c r="I146" i="10"/>
  <c r="J145" i="10"/>
  <c r="I145" i="10"/>
  <c r="J144" i="10"/>
  <c r="I144" i="10"/>
  <c r="J143" i="10"/>
  <c r="I143" i="10"/>
  <c r="J142" i="10"/>
  <c r="I142" i="10"/>
  <c r="J141" i="10"/>
  <c r="I141" i="10"/>
  <c r="J140" i="10"/>
  <c r="I140" i="10"/>
  <c r="J139" i="10"/>
  <c r="I139" i="10"/>
  <c r="J138" i="10"/>
  <c r="I138" i="10"/>
  <c r="J137" i="10"/>
  <c r="I137" i="10"/>
  <c r="J136" i="10"/>
  <c r="I136" i="10"/>
  <c r="J135" i="10"/>
  <c r="I135" i="10"/>
  <c r="J134" i="10"/>
  <c r="I134" i="10"/>
  <c r="J133" i="10"/>
  <c r="I133" i="10"/>
  <c r="J132" i="10"/>
  <c r="I132" i="10"/>
  <c r="J131" i="10"/>
  <c r="I131" i="10"/>
  <c r="J130" i="10"/>
  <c r="I130" i="10"/>
  <c r="J129" i="10"/>
  <c r="I129" i="10"/>
  <c r="J128" i="10"/>
  <c r="I128" i="10"/>
  <c r="J125" i="10"/>
  <c r="I125" i="10"/>
  <c r="J124" i="10"/>
  <c r="I124" i="10"/>
  <c r="J123" i="10"/>
  <c r="I123" i="10"/>
  <c r="J122" i="10"/>
  <c r="I122" i="10"/>
  <c r="J121" i="10"/>
  <c r="I121" i="10"/>
  <c r="J120" i="10"/>
  <c r="I120" i="10"/>
  <c r="J119" i="10"/>
  <c r="I119" i="10"/>
  <c r="J118" i="10"/>
  <c r="I118" i="10"/>
  <c r="J117" i="10"/>
  <c r="I117" i="10"/>
  <c r="J116" i="10"/>
  <c r="I116" i="10"/>
  <c r="J115" i="10"/>
  <c r="I115" i="10"/>
  <c r="F102" i="10"/>
  <c r="F103" i="10"/>
  <c r="J100" i="10"/>
  <c r="I100" i="10"/>
  <c r="J99" i="10"/>
  <c r="I99" i="10"/>
  <c r="J98" i="10"/>
  <c r="I98" i="10"/>
  <c r="J97" i="10"/>
  <c r="I97" i="10"/>
  <c r="J96" i="10"/>
  <c r="I96" i="10"/>
  <c r="J95" i="10"/>
  <c r="I95" i="10"/>
  <c r="J94" i="10"/>
  <c r="I94" i="10"/>
  <c r="J91" i="10"/>
  <c r="I91" i="10"/>
  <c r="J90" i="10"/>
  <c r="I90" i="10"/>
  <c r="J89" i="10"/>
  <c r="I89" i="10"/>
  <c r="J88" i="10"/>
  <c r="I88" i="10"/>
  <c r="J87" i="10"/>
  <c r="I87" i="10"/>
  <c r="J86" i="10"/>
  <c r="I86" i="10"/>
  <c r="J85" i="10"/>
  <c r="I85" i="10"/>
  <c r="J84" i="10"/>
  <c r="I84" i="10"/>
  <c r="J83" i="10"/>
  <c r="I83" i="10"/>
  <c r="J79" i="10"/>
  <c r="I79" i="10"/>
  <c r="J78" i="10"/>
  <c r="I78" i="10"/>
  <c r="J77" i="10"/>
  <c r="I77" i="10"/>
  <c r="J76" i="10"/>
  <c r="I76" i="10"/>
  <c r="G65" i="10"/>
  <c r="F65" i="10"/>
  <c r="F110" i="10"/>
  <c r="F179" i="10"/>
  <c r="F249" i="10"/>
  <c r="F319" i="10"/>
  <c r="F389" i="10"/>
  <c r="F459" i="10"/>
  <c r="F529" i="10"/>
  <c r="F599" i="10"/>
  <c r="F669" i="10"/>
  <c r="F739" i="10"/>
  <c r="C65" i="10"/>
  <c r="C110" i="10"/>
  <c r="C179" i="10"/>
  <c r="C249" i="10"/>
  <c r="C319" i="10"/>
  <c r="C389" i="10"/>
  <c r="C459" i="10"/>
  <c r="C529" i="10"/>
  <c r="C599" i="10"/>
  <c r="C669" i="10"/>
  <c r="C739" i="10"/>
  <c r="F56" i="10"/>
  <c r="F57" i="10"/>
  <c r="J54" i="10"/>
  <c r="I54" i="10"/>
  <c r="J53" i="10"/>
  <c r="I53" i="10"/>
  <c r="J52" i="10"/>
  <c r="I52" i="10"/>
  <c r="J51" i="10"/>
  <c r="I51" i="10"/>
  <c r="J50" i="10"/>
  <c r="I50" i="10"/>
  <c r="J49" i="10"/>
  <c r="I49" i="10"/>
  <c r="J48" i="10"/>
  <c r="I48" i="10"/>
  <c r="J47" i="10"/>
  <c r="I47" i="10"/>
  <c r="J46" i="10"/>
  <c r="I46" i="10"/>
  <c r="J45" i="10"/>
  <c r="I45" i="10"/>
  <c r="J44" i="10"/>
  <c r="I44" i="10"/>
  <c r="J43" i="10"/>
  <c r="I43" i="10"/>
  <c r="J42" i="10"/>
  <c r="I42" i="10"/>
  <c r="J41" i="10"/>
  <c r="I41" i="10"/>
  <c r="F812" i="6"/>
  <c r="F813" i="6"/>
  <c r="J810" i="6"/>
  <c r="I810" i="6"/>
  <c r="J809" i="6"/>
  <c r="I809" i="6"/>
  <c r="J808" i="6"/>
  <c r="I808" i="6"/>
  <c r="J807" i="6"/>
  <c r="I807" i="6"/>
  <c r="J806" i="6"/>
  <c r="I806" i="6"/>
  <c r="J805" i="6"/>
  <c r="I805" i="6"/>
  <c r="J804" i="6"/>
  <c r="I804" i="6"/>
  <c r="J803" i="6"/>
  <c r="I803" i="6"/>
  <c r="J802" i="6"/>
  <c r="I802" i="6"/>
  <c r="J801" i="6"/>
  <c r="I801" i="6"/>
  <c r="J800" i="6"/>
  <c r="I800" i="6"/>
  <c r="J799" i="6"/>
  <c r="I799" i="6"/>
  <c r="J798" i="6"/>
  <c r="I798" i="6"/>
  <c r="J797" i="6"/>
  <c r="I797" i="6"/>
  <c r="J796" i="6"/>
  <c r="I796" i="6"/>
  <c r="J795" i="6"/>
  <c r="I795" i="6"/>
  <c r="J794" i="6"/>
  <c r="I794" i="6"/>
  <c r="J793" i="6"/>
  <c r="I793" i="6"/>
  <c r="J792" i="6"/>
  <c r="I792" i="6"/>
  <c r="J791" i="6"/>
  <c r="I791" i="6"/>
  <c r="J787" i="6"/>
  <c r="I787" i="6"/>
  <c r="J786" i="6"/>
  <c r="I786" i="6"/>
  <c r="J785" i="6"/>
  <c r="I785" i="6"/>
  <c r="J784" i="6"/>
  <c r="I784" i="6"/>
  <c r="J783" i="6"/>
  <c r="I783" i="6"/>
  <c r="J782" i="6"/>
  <c r="I782" i="6"/>
  <c r="J781" i="6"/>
  <c r="I781" i="6"/>
  <c r="J780" i="6"/>
  <c r="I780" i="6"/>
  <c r="J779" i="6"/>
  <c r="I779" i="6"/>
  <c r="J778" i="6"/>
  <c r="I778" i="6"/>
  <c r="J777" i="6"/>
  <c r="I777" i="6"/>
  <c r="J776" i="6"/>
  <c r="I776" i="6"/>
  <c r="J775" i="6"/>
  <c r="I775" i="6"/>
  <c r="J774" i="6"/>
  <c r="I774" i="6"/>
  <c r="J773" i="6"/>
  <c r="I773" i="6"/>
  <c r="J772" i="6"/>
  <c r="I772" i="6"/>
  <c r="J771" i="6"/>
  <c r="I771" i="6"/>
  <c r="J770" i="6"/>
  <c r="I770" i="6"/>
  <c r="J769" i="6"/>
  <c r="I769" i="6"/>
  <c r="J768" i="6"/>
  <c r="I768" i="6"/>
  <c r="J764" i="6"/>
  <c r="I764" i="6"/>
  <c r="J763" i="6"/>
  <c r="I763" i="6"/>
  <c r="J762" i="6"/>
  <c r="I762" i="6"/>
  <c r="J761" i="6"/>
  <c r="I761" i="6"/>
  <c r="J760" i="6"/>
  <c r="I760" i="6"/>
  <c r="J759" i="6"/>
  <c r="I759" i="6"/>
  <c r="J758" i="6"/>
  <c r="I758" i="6"/>
  <c r="J757" i="6"/>
  <c r="I757" i="6"/>
  <c r="J756" i="6"/>
  <c r="I756" i="6"/>
  <c r="J755" i="6"/>
  <c r="I755" i="6"/>
  <c r="F742" i="6"/>
  <c r="F743" i="6"/>
  <c r="J740" i="6"/>
  <c r="I740" i="6"/>
  <c r="J739" i="6"/>
  <c r="I739" i="6"/>
  <c r="J738" i="6"/>
  <c r="I738" i="6"/>
  <c r="J737" i="6"/>
  <c r="I737" i="6"/>
  <c r="J736" i="6"/>
  <c r="I736" i="6"/>
  <c r="J735" i="6"/>
  <c r="I735" i="6"/>
  <c r="J734" i="6"/>
  <c r="I734" i="6"/>
  <c r="J733" i="6"/>
  <c r="I733" i="6"/>
  <c r="J732" i="6"/>
  <c r="I732" i="6"/>
  <c r="J731" i="6"/>
  <c r="I731" i="6"/>
  <c r="J730" i="6"/>
  <c r="I730" i="6"/>
  <c r="J729" i="6"/>
  <c r="I729" i="6"/>
  <c r="J728" i="6"/>
  <c r="I728" i="6"/>
  <c r="J727" i="6"/>
  <c r="I727" i="6"/>
  <c r="J726" i="6"/>
  <c r="I726" i="6"/>
  <c r="J725" i="6"/>
  <c r="I725" i="6"/>
  <c r="J724" i="6"/>
  <c r="I724" i="6"/>
  <c r="J723" i="6"/>
  <c r="I723" i="6"/>
  <c r="J722" i="6"/>
  <c r="I722" i="6"/>
  <c r="J721" i="6"/>
  <c r="I721" i="6"/>
  <c r="J717" i="6"/>
  <c r="I717" i="6"/>
  <c r="J716" i="6"/>
  <c r="I716" i="6"/>
  <c r="J715" i="6"/>
  <c r="I715" i="6"/>
  <c r="J714" i="6"/>
  <c r="I714" i="6"/>
  <c r="J713" i="6"/>
  <c r="I713" i="6"/>
  <c r="J712" i="6"/>
  <c r="I712" i="6"/>
  <c r="J711" i="6"/>
  <c r="I711" i="6"/>
  <c r="J710" i="6"/>
  <c r="I710" i="6"/>
  <c r="J709" i="6"/>
  <c r="I709" i="6"/>
  <c r="J708" i="6"/>
  <c r="I708" i="6"/>
  <c r="J707" i="6"/>
  <c r="I707" i="6"/>
  <c r="J706" i="6"/>
  <c r="I706" i="6"/>
  <c r="J705" i="6"/>
  <c r="I705" i="6"/>
  <c r="J704" i="6"/>
  <c r="I704" i="6"/>
  <c r="J703" i="6"/>
  <c r="I703" i="6"/>
  <c r="J702" i="6"/>
  <c r="I702" i="6"/>
  <c r="J701" i="6"/>
  <c r="I701" i="6"/>
  <c r="J700" i="6"/>
  <c r="I700" i="6"/>
  <c r="J699" i="6"/>
  <c r="I699" i="6"/>
  <c r="J698" i="6"/>
  <c r="I698" i="6"/>
  <c r="J694" i="6"/>
  <c r="I694" i="6"/>
  <c r="J693" i="6"/>
  <c r="I693" i="6"/>
  <c r="J692" i="6"/>
  <c r="I692" i="6"/>
  <c r="J691" i="6"/>
  <c r="I691" i="6"/>
  <c r="J690" i="6"/>
  <c r="I690" i="6"/>
  <c r="J689" i="6"/>
  <c r="I689" i="6"/>
  <c r="J688" i="6"/>
  <c r="I688" i="6"/>
  <c r="J687" i="6"/>
  <c r="I687" i="6"/>
  <c r="J686" i="6"/>
  <c r="I686" i="6"/>
  <c r="J685" i="6"/>
  <c r="F672" i="6"/>
  <c r="F673" i="6"/>
  <c r="J670" i="6"/>
  <c r="I670" i="6"/>
  <c r="J669" i="6"/>
  <c r="I669" i="6"/>
  <c r="J668" i="6"/>
  <c r="I668" i="6"/>
  <c r="J667" i="6"/>
  <c r="I667" i="6"/>
  <c r="J666" i="6"/>
  <c r="I666" i="6"/>
  <c r="J665" i="6"/>
  <c r="I665" i="6"/>
  <c r="J664" i="6"/>
  <c r="I664" i="6"/>
  <c r="J663" i="6"/>
  <c r="I663" i="6"/>
  <c r="J662" i="6"/>
  <c r="I662" i="6"/>
  <c r="J661" i="6"/>
  <c r="I661" i="6"/>
  <c r="J660" i="6"/>
  <c r="I660" i="6"/>
  <c r="J659" i="6"/>
  <c r="I659" i="6"/>
  <c r="J658" i="6"/>
  <c r="I658" i="6"/>
  <c r="J657" i="6"/>
  <c r="I657" i="6"/>
  <c r="J656" i="6"/>
  <c r="I656" i="6"/>
  <c r="J655" i="6"/>
  <c r="I655" i="6"/>
  <c r="J654" i="6"/>
  <c r="I654" i="6"/>
  <c r="J653" i="6"/>
  <c r="I653" i="6"/>
  <c r="J652" i="6"/>
  <c r="I652" i="6"/>
  <c r="J651" i="6"/>
  <c r="I651" i="6"/>
  <c r="J647" i="6"/>
  <c r="I647" i="6"/>
  <c r="J646" i="6"/>
  <c r="I646" i="6"/>
  <c r="J645" i="6"/>
  <c r="I645" i="6"/>
  <c r="J644" i="6"/>
  <c r="I644" i="6"/>
  <c r="J643" i="6"/>
  <c r="I643" i="6"/>
  <c r="J642" i="6"/>
  <c r="I642" i="6"/>
  <c r="J641" i="6"/>
  <c r="I641" i="6"/>
  <c r="J640" i="6"/>
  <c r="I640" i="6"/>
  <c r="J639" i="6"/>
  <c r="I639" i="6"/>
  <c r="J638" i="6"/>
  <c r="I638" i="6"/>
  <c r="J637" i="6"/>
  <c r="I637" i="6"/>
  <c r="J636" i="6"/>
  <c r="I636" i="6"/>
  <c r="J635" i="6"/>
  <c r="I635" i="6"/>
  <c r="J634" i="6"/>
  <c r="I634" i="6"/>
  <c r="J633" i="6"/>
  <c r="I633" i="6"/>
  <c r="J632" i="6"/>
  <c r="I632" i="6"/>
  <c r="J631" i="6"/>
  <c r="I631" i="6"/>
  <c r="J630" i="6"/>
  <c r="I630" i="6"/>
  <c r="J629" i="6"/>
  <c r="I629" i="6"/>
  <c r="J628" i="6"/>
  <c r="I628" i="6"/>
  <c r="J624" i="6"/>
  <c r="I624" i="6"/>
  <c r="J623" i="6"/>
  <c r="I623" i="6"/>
  <c r="J622" i="6"/>
  <c r="I622" i="6"/>
  <c r="J621" i="6"/>
  <c r="I621" i="6"/>
  <c r="J620" i="6"/>
  <c r="I620" i="6"/>
  <c r="J619" i="6"/>
  <c r="I619" i="6"/>
  <c r="J618" i="6"/>
  <c r="I618" i="6"/>
  <c r="J617" i="6"/>
  <c r="I617" i="6"/>
  <c r="J616" i="6"/>
  <c r="I616" i="6"/>
  <c r="J615" i="6"/>
  <c r="F602" i="6"/>
  <c r="F603" i="6"/>
  <c r="J600" i="6"/>
  <c r="I600" i="6"/>
  <c r="J599" i="6"/>
  <c r="I599" i="6"/>
  <c r="J598" i="6"/>
  <c r="I598" i="6"/>
  <c r="J597" i="6"/>
  <c r="I597" i="6"/>
  <c r="J596" i="6"/>
  <c r="I596" i="6"/>
  <c r="J595" i="6"/>
  <c r="I595" i="6"/>
  <c r="J594" i="6"/>
  <c r="I594" i="6"/>
  <c r="J593" i="6"/>
  <c r="I593" i="6"/>
  <c r="J592" i="6"/>
  <c r="I592" i="6"/>
  <c r="J591" i="6"/>
  <c r="I591" i="6"/>
  <c r="J590" i="6"/>
  <c r="I590" i="6"/>
  <c r="J589" i="6"/>
  <c r="I589" i="6"/>
  <c r="J588" i="6"/>
  <c r="I588" i="6"/>
  <c r="J587" i="6"/>
  <c r="I587" i="6"/>
  <c r="J586" i="6"/>
  <c r="I586" i="6"/>
  <c r="J585" i="6"/>
  <c r="I585" i="6"/>
  <c r="J584" i="6"/>
  <c r="I584" i="6"/>
  <c r="J583" i="6"/>
  <c r="I583" i="6"/>
  <c r="J582" i="6"/>
  <c r="I582" i="6"/>
  <c r="J581" i="6"/>
  <c r="I581" i="6"/>
  <c r="J577" i="6"/>
  <c r="I577" i="6"/>
  <c r="J576" i="6"/>
  <c r="I576" i="6"/>
  <c r="J575" i="6"/>
  <c r="I575" i="6"/>
  <c r="J574" i="6"/>
  <c r="I574" i="6"/>
  <c r="J573" i="6"/>
  <c r="I573" i="6"/>
  <c r="J572" i="6"/>
  <c r="I572" i="6"/>
  <c r="J571" i="6"/>
  <c r="I571" i="6"/>
  <c r="J570" i="6"/>
  <c r="I570" i="6"/>
  <c r="J569" i="6"/>
  <c r="I569" i="6"/>
  <c r="J568" i="6"/>
  <c r="I568" i="6"/>
  <c r="J567" i="6"/>
  <c r="I567" i="6"/>
  <c r="J566" i="6"/>
  <c r="I566" i="6"/>
  <c r="J565" i="6"/>
  <c r="I565" i="6"/>
  <c r="J564" i="6"/>
  <c r="I564" i="6"/>
  <c r="J563" i="6"/>
  <c r="I563" i="6"/>
  <c r="J562" i="6"/>
  <c r="I562" i="6"/>
  <c r="J561" i="6"/>
  <c r="I561" i="6"/>
  <c r="J560" i="6"/>
  <c r="I560" i="6"/>
  <c r="J559" i="6"/>
  <c r="I559" i="6"/>
  <c r="J558" i="6"/>
  <c r="I558" i="6"/>
  <c r="J554" i="6"/>
  <c r="I554" i="6"/>
  <c r="J553" i="6"/>
  <c r="I553" i="6"/>
  <c r="J552" i="6"/>
  <c r="I552" i="6"/>
  <c r="J551" i="6"/>
  <c r="I551" i="6"/>
  <c r="J550" i="6"/>
  <c r="I550" i="6"/>
  <c r="J549" i="6"/>
  <c r="I549" i="6"/>
  <c r="J548" i="6"/>
  <c r="I548" i="6"/>
  <c r="J547" i="6"/>
  <c r="I547" i="6"/>
  <c r="J546" i="6"/>
  <c r="I546" i="6"/>
  <c r="J545" i="6"/>
  <c r="I545" i="6"/>
  <c r="F532" i="6"/>
  <c r="F533" i="6"/>
  <c r="J530" i="6"/>
  <c r="I530" i="6"/>
  <c r="J529" i="6"/>
  <c r="I529" i="6"/>
  <c r="J528" i="6"/>
  <c r="I528" i="6"/>
  <c r="J527" i="6"/>
  <c r="I527" i="6"/>
  <c r="J526" i="6"/>
  <c r="I526" i="6"/>
  <c r="J525" i="6"/>
  <c r="I525" i="6"/>
  <c r="J524" i="6"/>
  <c r="I524" i="6"/>
  <c r="J523" i="6"/>
  <c r="I523" i="6"/>
  <c r="J522" i="6"/>
  <c r="I522" i="6"/>
  <c r="J521" i="6"/>
  <c r="I521" i="6"/>
  <c r="J520" i="6"/>
  <c r="I520" i="6"/>
  <c r="J519" i="6"/>
  <c r="I519" i="6"/>
  <c r="J518" i="6"/>
  <c r="I518" i="6"/>
  <c r="J517" i="6"/>
  <c r="I517" i="6"/>
  <c r="J516" i="6"/>
  <c r="I516" i="6"/>
  <c r="J515" i="6"/>
  <c r="I515" i="6"/>
  <c r="J514" i="6"/>
  <c r="I514" i="6"/>
  <c r="J513" i="6"/>
  <c r="I513" i="6"/>
  <c r="J512" i="6"/>
  <c r="I512" i="6"/>
  <c r="J511" i="6"/>
  <c r="I511" i="6"/>
  <c r="J507" i="6"/>
  <c r="I507" i="6"/>
  <c r="J506" i="6"/>
  <c r="I506" i="6"/>
  <c r="J505" i="6"/>
  <c r="I505" i="6"/>
  <c r="J504" i="6"/>
  <c r="I504" i="6"/>
  <c r="J503" i="6"/>
  <c r="I503" i="6"/>
  <c r="J502" i="6"/>
  <c r="I502" i="6"/>
  <c r="J501" i="6"/>
  <c r="I501" i="6"/>
  <c r="J500" i="6"/>
  <c r="I500" i="6"/>
  <c r="J499" i="6"/>
  <c r="I499" i="6"/>
  <c r="J498" i="6"/>
  <c r="I498" i="6"/>
  <c r="J497" i="6"/>
  <c r="I497" i="6"/>
  <c r="J496" i="6"/>
  <c r="I496" i="6"/>
  <c r="J495" i="6"/>
  <c r="I495" i="6"/>
  <c r="J494" i="6"/>
  <c r="I494" i="6"/>
  <c r="J493" i="6"/>
  <c r="I493" i="6"/>
  <c r="J492" i="6"/>
  <c r="I492" i="6"/>
  <c r="J491" i="6"/>
  <c r="I491" i="6"/>
  <c r="J490" i="6"/>
  <c r="I490" i="6"/>
  <c r="J489" i="6"/>
  <c r="I489" i="6"/>
  <c r="J488" i="6"/>
  <c r="I488" i="6"/>
  <c r="J484" i="6"/>
  <c r="I484" i="6"/>
  <c r="J483" i="6"/>
  <c r="I483" i="6"/>
  <c r="J482" i="6"/>
  <c r="I482" i="6"/>
  <c r="J481" i="6"/>
  <c r="I481" i="6"/>
  <c r="J480" i="6"/>
  <c r="I480" i="6"/>
  <c r="J479" i="6"/>
  <c r="I479" i="6"/>
  <c r="J478" i="6"/>
  <c r="I478" i="6"/>
  <c r="J477" i="6"/>
  <c r="I477" i="6"/>
  <c r="J476" i="6"/>
  <c r="J475" i="6"/>
  <c r="I475" i="6"/>
  <c r="F462" i="6"/>
  <c r="F463" i="6"/>
  <c r="J460" i="6"/>
  <c r="I460" i="6"/>
  <c r="J459" i="6"/>
  <c r="I459" i="6"/>
  <c r="J458" i="6"/>
  <c r="I458" i="6"/>
  <c r="J457" i="6"/>
  <c r="I457" i="6"/>
  <c r="J456" i="6"/>
  <c r="I456" i="6"/>
  <c r="J455" i="6"/>
  <c r="I455" i="6"/>
  <c r="J454" i="6"/>
  <c r="I454" i="6"/>
  <c r="J453" i="6"/>
  <c r="I453" i="6"/>
  <c r="J452" i="6"/>
  <c r="I452" i="6"/>
  <c r="J451" i="6"/>
  <c r="I451" i="6"/>
  <c r="J450" i="6"/>
  <c r="I450" i="6"/>
  <c r="J449" i="6"/>
  <c r="I449" i="6"/>
  <c r="J448" i="6"/>
  <c r="I448" i="6"/>
  <c r="J447" i="6"/>
  <c r="I447" i="6"/>
  <c r="J446" i="6"/>
  <c r="I446" i="6"/>
  <c r="J445" i="6"/>
  <c r="I445" i="6"/>
  <c r="J444" i="6"/>
  <c r="I444" i="6"/>
  <c r="J443" i="6"/>
  <c r="I443" i="6"/>
  <c r="J442" i="6"/>
  <c r="I442" i="6"/>
  <c r="J441" i="6"/>
  <c r="I441" i="6"/>
  <c r="J437" i="6"/>
  <c r="I437" i="6"/>
  <c r="J436" i="6"/>
  <c r="I436" i="6"/>
  <c r="J435" i="6"/>
  <c r="I435" i="6"/>
  <c r="J434" i="6"/>
  <c r="I434" i="6"/>
  <c r="J433" i="6"/>
  <c r="I433" i="6"/>
  <c r="J432" i="6"/>
  <c r="I432" i="6"/>
  <c r="J431" i="6"/>
  <c r="I431" i="6"/>
  <c r="J430" i="6"/>
  <c r="I430" i="6"/>
  <c r="J429" i="6"/>
  <c r="I429" i="6"/>
  <c r="J428" i="6"/>
  <c r="I428" i="6"/>
  <c r="J427" i="6"/>
  <c r="I427" i="6"/>
  <c r="J426" i="6"/>
  <c r="I426" i="6"/>
  <c r="J425" i="6"/>
  <c r="I425" i="6"/>
  <c r="J424" i="6"/>
  <c r="I424" i="6"/>
  <c r="J423" i="6"/>
  <c r="I423" i="6"/>
  <c r="J422" i="6"/>
  <c r="I422" i="6"/>
  <c r="J421" i="6"/>
  <c r="I421" i="6"/>
  <c r="J420" i="6"/>
  <c r="I420" i="6"/>
  <c r="J419" i="6"/>
  <c r="I419" i="6"/>
  <c r="J418" i="6"/>
  <c r="I418" i="6"/>
  <c r="J414" i="6"/>
  <c r="I414" i="6"/>
  <c r="J413" i="6"/>
  <c r="I413" i="6"/>
  <c r="J412" i="6"/>
  <c r="I412" i="6"/>
  <c r="J411" i="6"/>
  <c r="I411" i="6"/>
  <c r="J410" i="6"/>
  <c r="I410" i="6"/>
  <c r="J409" i="6"/>
  <c r="I409" i="6"/>
  <c r="J408" i="6"/>
  <c r="I408" i="6"/>
  <c r="J407" i="6"/>
  <c r="I407" i="6"/>
  <c r="J406" i="6"/>
  <c r="I406" i="6"/>
  <c r="J405" i="6"/>
  <c r="I405" i="6"/>
  <c r="F392" i="6"/>
  <c r="F393" i="6"/>
  <c r="J390" i="6"/>
  <c r="I390" i="6"/>
  <c r="J389" i="6"/>
  <c r="I389" i="6"/>
  <c r="J388" i="6"/>
  <c r="I388" i="6"/>
  <c r="J387" i="6"/>
  <c r="I387" i="6"/>
  <c r="J386" i="6"/>
  <c r="I386" i="6"/>
  <c r="J385" i="6"/>
  <c r="I385" i="6"/>
  <c r="J384" i="6"/>
  <c r="I384" i="6"/>
  <c r="J383" i="6"/>
  <c r="I383" i="6"/>
  <c r="J382" i="6"/>
  <c r="I382" i="6"/>
  <c r="J381" i="6"/>
  <c r="I381" i="6"/>
  <c r="J380" i="6"/>
  <c r="I380" i="6"/>
  <c r="J379" i="6"/>
  <c r="I379" i="6"/>
  <c r="J378" i="6"/>
  <c r="I378" i="6"/>
  <c r="J377" i="6"/>
  <c r="I377" i="6"/>
  <c r="J376" i="6"/>
  <c r="I376" i="6"/>
  <c r="J375" i="6"/>
  <c r="I375" i="6"/>
  <c r="J374" i="6"/>
  <c r="I374" i="6"/>
  <c r="J373" i="6"/>
  <c r="I373" i="6"/>
  <c r="J372" i="6"/>
  <c r="I372" i="6"/>
  <c r="J371" i="6"/>
  <c r="I371" i="6"/>
  <c r="J367" i="6"/>
  <c r="I367" i="6"/>
  <c r="J366" i="6"/>
  <c r="I366" i="6"/>
  <c r="J365" i="6"/>
  <c r="I365" i="6"/>
  <c r="J364" i="6"/>
  <c r="I364" i="6"/>
  <c r="J363" i="6"/>
  <c r="I363" i="6"/>
  <c r="J362" i="6"/>
  <c r="I362" i="6"/>
  <c r="J361" i="6"/>
  <c r="I361" i="6"/>
  <c r="J360" i="6"/>
  <c r="I360" i="6"/>
  <c r="J359" i="6"/>
  <c r="I359" i="6"/>
  <c r="J358" i="6"/>
  <c r="I358" i="6"/>
  <c r="J357" i="6"/>
  <c r="I357" i="6"/>
  <c r="J356" i="6"/>
  <c r="I356" i="6"/>
  <c r="J355" i="6"/>
  <c r="I355" i="6"/>
  <c r="J354" i="6"/>
  <c r="I354" i="6"/>
  <c r="J353" i="6"/>
  <c r="I353" i="6"/>
  <c r="J352" i="6"/>
  <c r="I352" i="6"/>
  <c r="J351" i="6"/>
  <c r="I351" i="6"/>
  <c r="J350" i="6"/>
  <c r="I350" i="6"/>
  <c r="J349" i="6"/>
  <c r="I349" i="6"/>
  <c r="J348" i="6"/>
  <c r="I348" i="6"/>
  <c r="J344" i="6"/>
  <c r="I344" i="6"/>
  <c r="J343" i="6"/>
  <c r="I343" i="6"/>
  <c r="J342" i="6"/>
  <c r="I342" i="6"/>
  <c r="J341" i="6"/>
  <c r="I341" i="6"/>
  <c r="J340" i="6"/>
  <c r="I340" i="6"/>
  <c r="J339" i="6"/>
  <c r="I339" i="6"/>
  <c r="J338" i="6"/>
  <c r="I338" i="6"/>
  <c r="J337" i="6"/>
  <c r="I337" i="6"/>
  <c r="J336" i="6"/>
  <c r="I336" i="6"/>
  <c r="J335" i="6"/>
  <c r="I335" i="6"/>
  <c r="J334" i="6"/>
  <c r="F322" i="6"/>
  <c r="F323" i="6"/>
  <c r="J320" i="6"/>
  <c r="I320" i="6"/>
  <c r="J319" i="6"/>
  <c r="I319" i="6"/>
  <c r="J318" i="6"/>
  <c r="I318" i="6"/>
  <c r="J317" i="6"/>
  <c r="I317" i="6"/>
  <c r="J316" i="6"/>
  <c r="I316" i="6"/>
  <c r="J315" i="6"/>
  <c r="I315" i="6"/>
  <c r="J314" i="6"/>
  <c r="I314" i="6"/>
  <c r="J313" i="6"/>
  <c r="I313" i="6"/>
  <c r="J312" i="6"/>
  <c r="I312" i="6"/>
  <c r="J311" i="6"/>
  <c r="I311" i="6"/>
  <c r="J310" i="6"/>
  <c r="I310" i="6"/>
  <c r="J309" i="6"/>
  <c r="I309" i="6"/>
  <c r="J308" i="6"/>
  <c r="I308" i="6"/>
  <c r="J307" i="6"/>
  <c r="I307" i="6"/>
  <c r="J306" i="6"/>
  <c r="I306" i="6"/>
  <c r="J305" i="6"/>
  <c r="I305" i="6"/>
  <c r="J304" i="6"/>
  <c r="I304" i="6"/>
  <c r="J303" i="6"/>
  <c r="I303" i="6"/>
  <c r="J302" i="6"/>
  <c r="I302" i="6"/>
  <c r="J301" i="6"/>
  <c r="I301" i="6"/>
  <c r="J297" i="6"/>
  <c r="I297" i="6"/>
  <c r="J296" i="6"/>
  <c r="I296" i="6"/>
  <c r="J295" i="6"/>
  <c r="I295" i="6"/>
  <c r="J294" i="6"/>
  <c r="I294" i="6"/>
  <c r="J293" i="6"/>
  <c r="I293" i="6"/>
  <c r="J292" i="6"/>
  <c r="I292" i="6"/>
  <c r="J291" i="6"/>
  <c r="I291" i="6"/>
  <c r="J290" i="6"/>
  <c r="I290" i="6"/>
  <c r="J289" i="6"/>
  <c r="I289" i="6"/>
  <c r="J288" i="6"/>
  <c r="I288" i="6"/>
  <c r="J287" i="6"/>
  <c r="I287" i="6"/>
  <c r="J286" i="6"/>
  <c r="I286" i="6"/>
  <c r="J285" i="6"/>
  <c r="I285" i="6"/>
  <c r="J284" i="6"/>
  <c r="I284" i="6"/>
  <c r="J283" i="6"/>
  <c r="I283" i="6"/>
  <c r="J282" i="6"/>
  <c r="I282" i="6"/>
  <c r="J281" i="6"/>
  <c r="I281" i="6"/>
  <c r="J280" i="6"/>
  <c r="I280" i="6"/>
  <c r="J279" i="6"/>
  <c r="I279" i="6"/>
  <c r="J278" i="6"/>
  <c r="I278" i="6"/>
  <c r="J274" i="6"/>
  <c r="I274" i="6"/>
  <c r="J273" i="6"/>
  <c r="I273" i="6"/>
  <c r="J272" i="6"/>
  <c r="I272" i="6"/>
  <c r="J271" i="6"/>
  <c r="I271" i="6"/>
  <c r="J270" i="6"/>
  <c r="I270" i="6"/>
  <c r="J269" i="6"/>
  <c r="I269" i="6"/>
  <c r="J268" i="6"/>
  <c r="I268" i="6"/>
  <c r="J267" i="6"/>
  <c r="I267" i="6"/>
  <c r="J266" i="6"/>
  <c r="I266" i="6"/>
  <c r="J265" i="6"/>
  <c r="I265" i="6"/>
  <c r="F252" i="6"/>
  <c r="F253" i="6"/>
  <c r="J250" i="6"/>
  <c r="I250" i="6"/>
  <c r="J249" i="6"/>
  <c r="I249" i="6"/>
  <c r="J248" i="6"/>
  <c r="I248" i="6"/>
  <c r="J247" i="6"/>
  <c r="I247" i="6"/>
  <c r="J246" i="6"/>
  <c r="I246" i="6"/>
  <c r="J245" i="6"/>
  <c r="I245" i="6"/>
  <c r="J244" i="6"/>
  <c r="I244" i="6"/>
  <c r="J243" i="6"/>
  <c r="I243" i="6"/>
  <c r="J242" i="6"/>
  <c r="I242" i="6"/>
  <c r="J241" i="6"/>
  <c r="I241" i="6"/>
  <c r="J240" i="6"/>
  <c r="I240" i="6"/>
  <c r="J239" i="6"/>
  <c r="I239" i="6"/>
  <c r="J238" i="6"/>
  <c r="I238" i="6"/>
  <c r="J237" i="6"/>
  <c r="I237" i="6"/>
  <c r="J236" i="6"/>
  <c r="I236" i="6"/>
  <c r="J235" i="6"/>
  <c r="I235" i="6"/>
  <c r="J234" i="6"/>
  <c r="I234" i="6"/>
  <c r="J233" i="6"/>
  <c r="I233" i="6"/>
  <c r="J232" i="6"/>
  <c r="I232" i="6"/>
  <c r="J231" i="6"/>
  <c r="I231" i="6"/>
  <c r="J227" i="6"/>
  <c r="I227" i="6"/>
  <c r="J226" i="6"/>
  <c r="I226" i="6"/>
  <c r="J225" i="6"/>
  <c r="I225" i="6"/>
  <c r="J224" i="6"/>
  <c r="I224" i="6"/>
  <c r="J223" i="6"/>
  <c r="I223" i="6"/>
  <c r="J222" i="6"/>
  <c r="I222" i="6"/>
  <c r="J221" i="6"/>
  <c r="I221" i="6"/>
  <c r="J220" i="6"/>
  <c r="I220" i="6"/>
  <c r="J219" i="6"/>
  <c r="I219" i="6"/>
  <c r="J218" i="6"/>
  <c r="I218" i="6"/>
  <c r="J217" i="6"/>
  <c r="I217" i="6"/>
  <c r="J216" i="6"/>
  <c r="I216" i="6"/>
  <c r="J215" i="6"/>
  <c r="I215" i="6"/>
  <c r="J214" i="6"/>
  <c r="I214" i="6"/>
  <c r="J213" i="6"/>
  <c r="I213" i="6"/>
  <c r="J212" i="6"/>
  <c r="I212" i="6"/>
  <c r="J211" i="6"/>
  <c r="I211" i="6"/>
  <c r="J210" i="6"/>
  <c r="I210" i="6"/>
  <c r="J209" i="6"/>
  <c r="I209" i="6"/>
  <c r="J208" i="6"/>
  <c r="I208" i="6"/>
  <c r="J204" i="6"/>
  <c r="I204" i="6"/>
  <c r="J203" i="6"/>
  <c r="I203" i="6"/>
  <c r="J202" i="6"/>
  <c r="I202" i="6"/>
  <c r="J201" i="6"/>
  <c r="I201" i="6"/>
  <c r="J200" i="6"/>
  <c r="I200" i="6"/>
  <c r="J199" i="6"/>
  <c r="I199" i="6"/>
  <c r="J198" i="6"/>
  <c r="I198" i="6"/>
  <c r="J197" i="6"/>
  <c r="I197" i="6"/>
  <c r="J196" i="6"/>
  <c r="J195" i="6"/>
  <c r="I195" i="6"/>
  <c r="F182" i="6"/>
  <c r="F183" i="6"/>
  <c r="J180" i="6"/>
  <c r="I180" i="6"/>
  <c r="J179" i="6"/>
  <c r="I179" i="6"/>
  <c r="J178" i="6"/>
  <c r="I178" i="6"/>
  <c r="J177" i="6"/>
  <c r="I177" i="6"/>
  <c r="J176" i="6"/>
  <c r="I176" i="6"/>
  <c r="J175" i="6"/>
  <c r="I175" i="6"/>
  <c r="J174" i="6"/>
  <c r="I174" i="6"/>
  <c r="J173" i="6"/>
  <c r="I173" i="6"/>
  <c r="J172" i="6"/>
  <c r="I172" i="6"/>
  <c r="J171" i="6"/>
  <c r="I171" i="6"/>
  <c r="J170" i="6"/>
  <c r="I170" i="6"/>
  <c r="J169" i="6"/>
  <c r="I169" i="6"/>
  <c r="J168" i="6"/>
  <c r="I168" i="6"/>
  <c r="J167" i="6"/>
  <c r="I167" i="6"/>
  <c r="J166" i="6"/>
  <c r="I166" i="6"/>
  <c r="J165" i="6"/>
  <c r="I165" i="6"/>
  <c r="J164" i="6"/>
  <c r="I164" i="6"/>
  <c r="J163" i="6"/>
  <c r="I163" i="6"/>
  <c r="B163" i="6"/>
  <c r="B164" i="6"/>
  <c r="B165" i="6"/>
  <c r="B166" i="6"/>
  <c r="B167" i="6"/>
  <c r="B168" i="6"/>
  <c r="B169" i="6"/>
  <c r="J162" i="6"/>
  <c r="I162" i="6"/>
  <c r="J161" i="6"/>
  <c r="I161" i="6"/>
  <c r="J157" i="6"/>
  <c r="I157" i="6"/>
  <c r="J156" i="6"/>
  <c r="I156" i="6"/>
  <c r="J155" i="6"/>
  <c r="I155" i="6"/>
  <c r="J154" i="6"/>
  <c r="I154" i="6"/>
  <c r="J153" i="6"/>
  <c r="I153" i="6"/>
  <c r="J152" i="6"/>
  <c r="I152" i="6"/>
  <c r="J151" i="6"/>
  <c r="I151" i="6"/>
  <c r="J150" i="6"/>
  <c r="I150" i="6"/>
  <c r="J149" i="6"/>
  <c r="I149" i="6"/>
  <c r="J148" i="6"/>
  <c r="I148" i="6"/>
  <c r="J147" i="6"/>
  <c r="I147" i="6"/>
  <c r="J146" i="6"/>
  <c r="I146" i="6"/>
  <c r="J145" i="6"/>
  <c r="I145" i="6"/>
  <c r="J144" i="6"/>
  <c r="I144" i="6"/>
  <c r="J143" i="6"/>
  <c r="I143" i="6"/>
  <c r="J142" i="6"/>
  <c r="I142" i="6"/>
  <c r="J141" i="6"/>
  <c r="I141" i="6"/>
  <c r="J140" i="6"/>
  <c r="I140" i="6"/>
  <c r="J139" i="6"/>
  <c r="I139" i="6"/>
  <c r="J136" i="6"/>
  <c r="I136" i="6"/>
  <c r="J135" i="6"/>
  <c r="I135" i="6"/>
  <c r="J134" i="6"/>
  <c r="I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F113" i="6"/>
  <c r="F114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105" i="6"/>
  <c r="I105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G76" i="6"/>
  <c r="F76" i="6"/>
  <c r="F121" i="6"/>
  <c r="F190" i="6"/>
  <c r="F260" i="6"/>
  <c r="F330" i="6"/>
  <c r="F400" i="6"/>
  <c r="F470" i="6"/>
  <c r="F540" i="6"/>
  <c r="F610" i="6"/>
  <c r="F680" i="6"/>
  <c r="F750" i="6"/>
  <c r="C76" i="6"/>
  <c r="C121" i="6"/>
  <c r="C190" i="6"/>
  <c r="C260" i="6"/>
  <c r="C330" i="6"/>
  <c r="C400" i="6"/>
  <c r="C470" i="6"/>
  <c r="C540" i="6"/>
  <c r="C610" i="6"/>
  <c r="C680" i="6"/>
  <c r="C750" i="6"/>
  <c r="F67" i="6"/>
  <c r="F68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H32" i="6"/>
  <c r="K16" i="6"/>
  <c r="F783" i="4"/>
  <c r="F784" i="4"/>
  <c r="F853" i="4"/>
  <c r="F854" i="4"/>
  <c r="J805" i="4"/>
  <c r="I805" i="4"/>
  <c r="J845" i="4"/>
  <c r="I845" i="4"/>
  <c r="J846" i="4"/>
  <c r="I846" i="4"/>
  <c r="J847" i="4"/>
  <c r="I847" i="4"/>
  <c r="J848" i="4"/>
  <c r="I848" i="4"/>
  <c r="J849" i="4"/>
  <c r="I849" i="4"/>
  <c r="J850" i="4"/>
  <c r="I850" i="4"/>
  <c r="J851" i="4"/>
  <c r="I851" i="4"/>
  <c r="J841" i="4"/>
  <c r="I841" i="4"/>
  <c r="J832" i="4"/>
  <c r="I832" i="4"/>
  <c r="J833" i="4"/>
  <c r="I833" i="4"/>
  <c r="J834" i="4"/>
  <c r="J835" i="4"/>
  <c r="I835" i="4"/>
  <c r="J836" i="4"/>
  <c r="I836" i="4"/>
  <c r="J837" i="4"/>
  <c r="I837" i="4"/>
  <c r="J838" i="4"/>
  <c r="I838" i="4"/>
  <c r="J839" i="4"/>
  <c r="I839" i="4"/>
  <c r="J840" i="4"/>
  <c r="I840" i="4"/>
  <c r="I834" i="4"/>
  <c r="J819" i="4"/>
  <c r="I819" i="4"/>
  <c r="J820" i="4"/>
  <c r="I820" i="4"/>
  <c r="J821" i="4"/>
  <c r="I821" i="4"/>
  <c r="J822" i="4"/>
  <c r="I822" i="4"/>
  <c r="J823" i="4"/>
  <c r="I823" i="4"/>
  <c r="J824" i="4"/>
  <c r="I824" i="4"/>
  <c r="J825" i="4"/>
  <c r="I825" i="4"/>
  <c r="J826" i="4"/>
  <c r="I826" i="4"/>
  <c r="J827" i="4"/>
  <c r="I827" i="4"/>
  <c r="J828" i="4"/>
  <c r="I828" i="4"/>
  <c r="J818" i="4"/>
  <c r="I818" i="4"/>
  <c r="J771" i="4"/>
  <c r="I771" i="4"/>
  <c r="J772" i="4"/>
  <c r="I772" i="4"/>
  <c r="J773" i="4"/>
  <c r="I773" i="4"/>
  <c r="J774" i="4"/>
  <c r="I774" i="4"/>
  <c r="J775" i="4"/>
  <c r="I775" i="4"/>
  <c r="J776" i="4"/>
  <c r="I776" i="4"/>
  <c r="J777" i="4"/>
  <c r="I777" i="4"/>
  <c r="J778" i="4"/>
  <c r="I778" i="4"/>
  <c r="J779" i="4"/>
  <c r="I779" i="4"/>
  <c r="J780" i="4"/>
  <c r="I780" i="4"/>
  <c r="J781" i="4"/>
  <c r="I781" i="4"/>
  <c r="J768" i="4"/>
  <c r="I768" i="4"/>
  <c r="J762" i="4"/>
  <c r="I762" i="4"/>
  <c r="J763" i="4"/>
  <c r="I763" i="4"/>
  <c r="J764" i="4"/>
  <c r="I764" i="4"/>
  <c r="J765" i="4"/>
  <c r="I765" i="4"/>
  <c r="J766" i="4"/>
  <c r="I766" i="4"/>
  <c r="J767" i="4"/>
  <c r="I767" i="4"/>
  <c r="J752" i="4"/>
  <c r="I752" i="4"/>
  <c r="J753" i="4"/>
  <c r="I753" i="4"/>
  <c r="J754" i="4"/>
  <c r="I754" i="4"/>
  <c r="J755" i="4"/>
  <c r="I755" i="4"/>
  <c r="J756" i="4"/>
  <c r="I756" i="4"/>
  <c r="J757" i="4"/>
  <c r="I757" i="4"/>
  <c r="J758" i="4"/>
  <c r="I758" i="4"/>
  <c r="J747" i="4"/>
  <c r="I747" i="4"/>
  <c r="F713" i="4"/>
  <c r="F714" i="4"/>
  <c r="J696" i="4"/>
  <c r="I696" i="4"/>
  <c r="J684" i="4"/>
  <c r="I684" i="4"/>
  <c r="J685" i="4"/>
  <c r="I685" i="4"/>
  <c r="J686" i="4"/>
  <c r="I686" i="4"/>
  <c r="J687" i="4"/>
  <c r="I687" i="4"/>
  <c r="J688" i="4"/>
  <c r="I688" i="4"/>
  <c r="F643" i="4"/>
  <c r="F644" i="4"/>
  <c r="J638" i="4"/>
  <c r="I638" i="4"/>
  <c r="J639" i="4"/>
  <c r="I639" i="4"/>
  <c r="J640" i="4"/>
  <c r="I640" i="4"/>
  <c r="J641" i="4"/>
  <c r="I641" i="4"/>
  <c r="J627" i="4"/>
  <c r="I627" i="4"/>
  <c r="J626" i="4"/>
  <c r="I626" i="4"/>
  <c r="J615" i="4"/>
  <c r="I615" i="4"/>
  <c r="J616" i="4"/>
  <c r="I616" i="4"/>
  <c r="J617" i="4"/>
  <c r="I617" i="4"/>
  <c r="J618" i="4"/>
  <c r="I618" i="4"/>
  <c r="F573" i="4"/>
  <c r="F574" i="4"/>
  <c r="J544" i="4"/>
  <c r="I544" i="4"/>
  <c r="J545" i="4"/>
  <c r="I545" i="4"/>
  <c r="J546" i="4"/>
  <c r="I546" i="4"/>
  <c r="J547" i="4"/>
  <c r="I547" i="4"/>
  <c r="J548" i="4"/>
  <c r="I548" i="4"/>
  <c r="F503" i="4"/>
  <c r="F504" i="4"/>
  <c r="F433" i="4"/>
  <c r="F434" i="4"/>
  <c r="F363" i="4"/>
  <c r="F364" i="4"/>
  <c r="F293" i="4"/>
  <c r="F223" i="4"/>
  <c r="F224" i="4"/>
  <c r="F154" i="4"/>
  <c r="F88" i="4"/>
  <c r="J491" i="4"/>
  <c r="I491" i="4"/>
  <c r="J492" i="4"/>
  <c r="I492" i="4"/>
  <c r="J493" i="4"/>
  <c r="I493" i="4"/>
  <c r="J494" i="4"/>
  <c r="I494" i="4"/>
  <c r="J495" i="4"/>
  <c r="I495" i="4"/>
  <c r="J496" i="4"/>
  <c r="I496" i="4"/>
  <c r="J497" i="4"/>
  <c r="I497" i="4"/>
  <c r="J498" i="4"/>
  <c r="I498" i="4"/>
  <c r="J499" i="4"/>
  <c r="I499" i="4"/>
  <c r="J500" i="4"/>
  <c r="I500" i="4"/>
  <c r="J501" i="4"/>
  <c r="I501" i="4"/>
  <c r="J482" i="4"/>
  <c r="I482" i="4"/>
  <c r="J483" i="4"/>
  <c r="I483" i="4"/>
  <c r="J484" i="4"/>
  <c r="I484" i="4"/>
  <c r="J485" i="4"/>
  <c r="I485" i="4"/>
  <c r="J486" i="4"/>
  <c r="I486" i="4"/>
  <c r="J487" i="4"/>
  <c r="I487" i="4"/>
  <c r="J488" i="4"/>
  <c r="I488" i="4"/>
  <c r="J489" i="4"/>
  <c r="I489" i="4"/>
  <c r="J490" i="4"/>
  <c r="I490" i="4"/>
  <c r="J431" i="4"/>
  <c r="I431" i="4"/>
  <c r="J424" i="4"/>
  <c r="I424" i="4"/>
  <c r="J425" i="4"/>
  <c r="I425" i="4"/>
  <c r="J426" i="4"/>
  <c r="I426" i="4"/>
  <c r="J427" i="4"/>
  <c r="I427" i="4"/>
  <c r="J428" i="4"/>
  <c r="I428" i="4"/>
  <c r="J429" i="4"/>
  <c r="I429" i="4"/>
  <c r="J430" i="4"/>
  <c r="I430" i="4"/>
  <c r="J408" i="4"/>
  <c r="I408" i="4"/>
  <c r="J346" i="4"/>
  <c r="I346" i="4"/>
  <c r="J347" i="4"/>
  <c r="I347" i="4"/>
  <c r="J348" i="4"/>
  <c r="I348" i="4"/>
  <c r="J349" i="4"/>
  <c r="I349" i="4"/>
  <c r="J350" i="4"/>
  <c r="I350" i="4"/>
  <c r="J351" i="4"/>
  <c r="I351" i="4"/>
  <c r="J352" i="4"/>
  <c r="I352" i="4"/>
  <c r="J353" i="4"/>
  <c r="I353" i="4"/>
  <c r="J354" i="4"/>
  <c r="I354" i="4"/>
  <c r="J355" i="4"/>
  <c r="I355" i="4"/>
  <c r="J356" i="4"/>
  <c r="I356" i="4"/>
  <c r="J357" i="4"/>
  <c r="I357" i="4"/>
  <c r="J358" i="4"/>
  <c r="I358" i="4"/>
  <c r="J359" i="4"/>
  <c r="I359" i="4"/>
  <c r="J360" i="4"/>
  <c r="I360" i="4"/>
  <c r="J361" i="4"/>
  <c r="I361" i="4"/>
  <c r="J342" i="4"/>
  <c r="I342" i="4"/>
  <c r="J343" i="4"/>
  <c r="I343" i="4"/>
  <c r="J344" i="4"/>
  <c r="I344" i="4"/>
  <c r="J345" i="4"/>
  <c r="I345" i="4"/>
  <c r="J237" i="4"/>
  <c r="I237" i="4"/>
  <c r="J289" i="4"/>
  <c r="I289" i="4"/>
  <c r="J290" i="4"/>
  <c r="I290" i="4"/>
  <c r="J291" i="4"/>
  <c r="I291" i="4"/>
  <c r="J279" i="4"/>
  <c r="I279" i="4"/>
  <c r="J280" i="4"/>
  <c r="I280" i="4"/>
  <c r="J281" i="4"/>
  <c r="I281" i="4"/>
  <c r="J282" i="4"/>
  <c r="I282" i="4"/>
  <c r="J283" i="4"/>
  <c r="I283" i="4"/>
  <c r="J284" i="4"/>
  <c r="I284" i="4"/>
  <c r="J285" i="4"/>
  <c r="I285" i="4"/>
  <c r="J286" i="4"/>
  <c r="I286" i="4"/>
  <c r="J287" i="4"/>
  <c r="I287" i="4"/>
  <c r="J213" i="4"/>
  <c r="I213" i="4"/>
  <c r="J214" i="4"/>
  <c r="I214" i="4"/>
  <c r="J215" i="4"/>
  <c r="I215" i="4"/>
  <c r="J216" i="4"/>
  <c r="I216" i="4"/>
  <c r="J217" i="4"/>
  <c r="I217" i="4"/>
  <c r="J218" i="4"/>
  <c r="I218" i="4"/>
  <c r="J219" i="4"/>
  <c r="I219" i="4"/>
  <c r="J220" i="4"/>
  <c r="I220" i="4"/>
  <c r="J221" i="4"/>
  <c r="I221" i="4"/>
  <c r="J171" i="4"/>
  <c r="I171" i="4"/>
  <c r="J172" i="4"/>
  <c r="I172" i="4"/>
  <c r="J173" i="4"/>
  <c r="I173" i="4"/>
  <c r="J174" i="4"/>
  <c r="I174" i="4"/>
  <c r="J175" i="4"/>
  <c r="I175" i="4"/>
  <c r="J176" i="4"/>
  <c r="I176" i="4"/>
  <c r="J177" i="4"/>
  <c r="I177" i="4"/>
  <c r="J104" i="4"/>
  <c r="I104" i="4"/>
  <c r="J844" i="4"/>
  <c r="I844" i="4"/>
  <c r="J843" i="4"/>
  <c r="I843" i="4"/>
  <c r="J842" i="4"/>
  <c r="I842" i="4"/>
  <c r="J817" i="4"/>
  <c r="I817" i="4"/>
  <c r="J816" i="4"/>
  <c r="I816" i="4"/>
  <c r="J815" i="4"/>
  <c r="I815" i="4"/>
  <c r="J814" i="4"/>
  <c r="I814" i="4"/>
  <c r="J813" i="4"/>
  <c r="I813" i="4"/>
  <c r="J812" i="4"/>
  <c r="I812" i="4"/>
  <c r="J811" i="4"/>
  <c r="I811" i="4"/>
  <c r="J810" i="4"/>
  <c r="I810" i="4"/>
  <c r="J809" i="4"/>
  <c r="I809" i="4"/>
  <c r="J804" i="4"/>
  <c r="I804" i="4"/>
  <c r="J803" i="4"/>
  <c r="I803" i="4"/>
  <c r="J802" i="4"/>
  <c r="I802" i="4"/>
  <c r="J801" i="4"/>
  <c r="I801" i="4"/>
  <c r="J800" i="4"/>
  <c r="I800" i="4"/>
  <c r="J799" i="4"/>
  <c r="I799" i="4"/>
  <c r="J798" i="4"/>
  <c r="I798" i="4"/>
  <c r="J797" i="4"/>
  <c r="I797" i="4"/>
  <c r="J796" i="4"/>
  <c r="I796" i="4"/>
  <c r="J770" i="4"/>
  <c r="I770" i="4"/>
  <c r="J769" i="4"/>
  <c r="I769" i="4"/>
  <c r="J751" i="4"/>
  <c r="I751" i="4"/>
  <c r="J750" i="4"/>
  <c r="I750" i="4"/>
  <c r="J749" i="4"/>
  <c r="I749" i="4"/>
  <c r="J748" i="4"/>
  <c r="I748" i="4"/>
  <c r="J746" i="4"/>
  <c r="I746" i="4"/>
  <c r="J745" i="4"/>
  <c r="I745" i="4"/>
  <c r="J744" i="4"/>
  <c r="I744" i="4"/>
  <c r="J743" i="4"/>
  <c r="I743" i="4"/>
  <c r="J742" i="4"/>
  <c r="I742" i="4"/>
  <c r="J741" i="4"/>
  <c r="I741" i="4"/>
  <c r="J740" i="4"/>
  <c r="I740" i="4"/>
  <c r="J739" i="4"/>
  <c r="I739" i="4"/>
  <c r="J735" i="4"/>
  <c r="I735" i="4"/>
  <c r="J734" i="4"/>
  <c r="I734" i="4"/>
  <c r="J733" i="4"/>
  <c r="I733" i="4"/>
  <c r="J732" i="4"/>
  <c r="I732" i="4"/>
  <c r="J731" i="4"/>
  <c r="I731" i="4"/>
  <c r="J730" i="4"/>
  <c r="I730" i="4"/>
  <c r="J729" i="4"/>
  <c r="I729" i="4"/>
  <c r="J728" i="4"/>
  <c r="I728" i="4"/>
  <c r="J727" i="4"/>
  <c r="I727" i="4"/>
  <c r="J726" i="4"/>
  <c r="I726" i="4"/>
  <c r="J711" i="4"/>
  <c r="I711" i="4"/>
  <c r="J710" i="4"/>
  <c r="I710" i="4"/>
  <c r="J709" i="4"/>
  <c r="I709" i="4"/>
  <c r="J708" i="4"/>
  <c r="I708" i="4"/>
  <c r="J707" i="4"/>
  <c r="I707" i="4"/>
  <c r="J706" i="4"/>
  <c r="I706" i="4"/>
  <c r="J705" i="4"/>
  <c r="I705" i="4"/>
  <c r="J704" i="4"/>
  <c r="I704" i="4"/>
  <c r="J703" i="4"/>
  <c r="I703" i="4"/>
  <c r="J702" i="4"/>
  <c r="I702" i="4"/>
  <c r="J701" i="4"/>
  <c r="I701" i="4"/>
  <c r="J700" i="4"/>
  <c r="I700" i="4"/>
  <c r="J699" i="4"/>
  <c r="I699" i="4"/>
  <c r="J698" i="4"/>
  <c r="I698" i="4"/>
  <c r="J697" i="4"/>
  <c r="I697" i="4"/>
  <c r="J695" i="4"/>
  <c r="I695" i="4"/>
  <c r="J694" i="4"/>
  <c r="I694" i="4"/>
  <c r="J693" i="4"/>
  <c r="I693" i="4"/>
  <c r="J692" i="4"/>
  <c r="I692" i="4"/>
  <c r="J683" i="4"/>
  <c r="I683" i="4"/>
  <c r="J682" i="4"/>
  <c r="I682" i="4"/>
  <c r="J681" i="4"/>
  <c r="I681" i="4"/>
  <c r="J680" i="4"/>
  <c r="I680" i="4"/>
  <c r="J679" i="4"/>
  <c r="I679" i="4"/>
  <c r="J678" i="4"/>
  <c r="I678" i="4"/>
  <c r="J677" i="4"/>
  <c r="I677" i="4"/>
  <c r="J676" i="4"/>
  <c r="I676" i="4"/>
  <c r="J675" i="4"/>
  <c r="I675" i="4"/>
  <c r="J674" i="4"/>
  <c r="I674" i="4"/>
  <c r="J673" i="4"/>
  <c r="I673" i="4"/>
  <c r="J672" i="4"/>
  <c r="I672" i="4"/>
  <c r="J671" i="4"/>
  <c r="I671" i="4"/>
  <c r="J670" i="4"/>
  <c r="I670" i="4"/>
  <c r="J669" i="4"/>
  <c r="I669" i="4"/>
  <c r="J665" i="4"/>
  <c r="I665" i="4"/>
  <c r="J664" i="4"/>
  <c r="I664" i="4"/>
  <c r="J663" i="4"/>
  <c r="I663" i="4"/>
  <c r="J662" i="4"/>
  <c r="I662" i="4"/>
  <c r="J661" i="4"/>
  <c r="I661" i="4"/>
  <c r="J660" i="4"/>
  <c r="I660" i="4"/>
  <c r="J659" i="4"/>
  <c r="I659" i="4"/>
  <c r="J658" i="4"/>
  <c r="I658" i="4"/>
  <c r="J657" i="4"/>
  <c r="I657" i="4"/>
  <c r="J656" i="4"/>
  <c r="I656" i="4"/>
  <c r="J637" i="4"/>
  <c r="I637" i="4"/>
  <c r="J636" i="4"/>
  <c r="I636" i="4"/>
  <c r="J635" i="4"/>
  <c r="I635" i="4"/>
  <c r="J634" i="4"/>
  <c r="I634" i="4"/>
  <c r="J633" i="4"/>
  <c r="I633" i="4"/>
  <c r="J632" i="4"/>
  <c r="I632" i="4"/>
  <c r="J631" i="4"/>
  <c r="I631" i="4"/>
  <c r="J630" i="4"/>
  <c r="I630" i="4"/>
  <c r="J629" i="4"/>
  <c r="I629" i="4"/>
  <c r="J628" i="4"/>
  <c r="I628" i="4"/>
  <c r="J625" i="4"/>
  <c r="I625" i="4"/>
  <c r="J624" i="4"/>
  <c r="I624" i="4"/>
  <c r="J623" i="4"/>
  <c r="I623" i="4"/>
  <c r="J622" i="4"/>
  <c r="I622" i="4"/>
  <c r="J614" i="4"/>
  <c r="I614" i="4"/>
  <c r="J613" i="4"/>
  <c r="I613" i="4"/>
  <c r="J612" i="4"/>
  <c r="I612" i="4"/>
  <c r="J611" i="4"/>
  <c r="I611" i="4"/>
  <c r="J610" i="4"/>
  <c r="I610" i="4"/>
  <c r="J609" i="4"/>
  <c r="I609" i="4"/>
  <c r="J608" i="4"/>
  <c r="I608" i="4"/>
  <c r="J607" i="4"/>
  <c r="I607" i="4"/>
  <c r="J606" i="4"/>
  <c r="I606" i="4"/>
  <c r="J605" i="4"/>
  <c r="I605" i="4"/>
  <c r="J604" i="4"/>
  <c r="I604" i="4"/>
  <c r="J603" i="4"/>
  <c r="I603" i="4"/>
  <c r="J602" i="4"/>
  <c r="I602" i="4"/>
  <c r="J601" i="4"/>
  <c r="I601" i="4"/>
  <c r="J600" i="4"/>
  <c r="I600" i="4"/>
  <c r="J599" i="4"/>
  <c r="I599" i="4"/>
  <c r="J595" i="4"/>
  <c r="I595" i="4"/>
  <c r="J594" i="4"/>
  <c r="I594" i="4"/>
  <c r="J593" i="4"/>
  <c r="I593" i="4"/>
  <c r="J592" i="4"/>
  <c r="I592" i="4"/>
  <c r="J591" i="4"/>
  <c r="I591" i="4"/>
  <c r="J590" i="4"/>
  <c r="I590" i="4"/>
  <c r="J589" i="4"/>
  <c r="I589" i="4"/>
  <c r="J588" i="4"/>
  <c r="I588" i="4"/>
  <c r="J587" i="4"/>
  <c r="I587" i="4"/>
  <c r="J586" i="4"/>
  <c r="I586" i="4"/>
  <c r="J571" i="4"/>
  <c r="I571" i="4"/>
  <c r="J570" i="4"/>
  <c r="I570" i="4"/>
  <c r="J569" i="4"/>
  <c r="I569" i="4"/>
  <c r="J568" i="4"/>
  <c r="I568" i="4"/>
  <c r="J567" i="4"/>
  <c r="I567" i="4"/>
  <c r="J566" i="4"/>
  <c r="I566" i="4"/>
  <c r="J565" i="4"/>
  <c r="I565" i="4"/>
  <c r="J564" i="4"/>
  <c r="I564" i="4"/>
  <c r="J563" i="4"/>
  <c r="I563" i="4"/>
  <c r="J562" i="4"/>
  <c r="I562" i="4"/>
  <c r="J561" i="4"/>
  <c r="I561" i="4"/>
  <c r="J560" i="4"/>
  <c r="I560" i="4"/>
  <c r="J559" i="4"/>
  <c r="I559" i="4"/>
  <c r="J558" i="4"/>
  <c r="I558" i="4"/>
  <c r="J557" i="4"/>
  <c r="I557" i="4"/>
  <c r="J556" i="4"/>
  <c r="I556" i="4"/>
  <c r="J555" i="4"/>
  <c r="I555" i="4"/>
  <c r="J554" i="4"/>
  <c r="I554" i="4"/>
  <c r="J553" i="4"/>
  <c r="I553" i="4"/>
  <c r="J552" i="4"/>
  <c r="I552" i="4"/>
  <c r="J543" i="4"/>
  <c r="I543" i="4"/>
  <c r="J542" i="4"/>
  <c r="I542" i="4"/>
  <c r="J541" i="4"/>
  <c r="I541" i="4"/>
  <c r="J540" i="4"/>
  <c r="I540" i="4"/>
  <c r="J539" i="4"/>
  <c r="I539" i="4"/>
  <c r="J538" i="4"/>
  <c r="I538" i="4"/>
  <c r="J537" i="4"/>
  <c r="I537" i="4"/>
  <c r="J536" i="4"/>
  <c r="I536" i="4"/>
  <c r="J535" i="4"/>
  <c r="I535" i="4"/>
  <c r="J534" i="4"/>
  <c r="I534" i="4"/>
  <c r="J533" i="4"/>
  <c r="I533" i="4"/>
  <c r="J532" i="4"/>
  <c r="I532" i="4"/>
  <c r="J531" i="4"/>
  <c r="I531" i="4"/>
  <c r="J530" i="4"/>
  <c r="I530" i="4"/>
  <c r="J529" i="4"/>
  <c r="I529" i="4"/>
  <c r="J525" i="4"/>
  <c r="I525" i="4"/>
  <c r="J524" i="4"/>
  <c r="I524" i="4"/>
  <c r="J523" i="4"/>
  <c r="I523" i="4"/>
  <c r="J522" i="4"/>
  <c r="I522" i="4"/>
  <c r="J521" i="4"/>
  <c r="I521" i="4"/>
  <c r="J520" i="4"/>
  <c r="I520" i="4"/>
  <c r="J519" i="4"/>
  <c r="I519" i="4"/>
  <c r="J518" i="4"/>
  <c r="I518" i="4"/>
  <c r="J517" i="4"/>
  <c r="I517" i="4"/>
  <c r="J516" i="4"/>
  <c r="I516" i="4"/>
  <c r="J478" i="4"/>
  <c r="I478" i="4"/>
  <c r="J477" i="4"/>
  <c r="I477" i="4"/>
  <c r="J476" i="4"/>
  <c r="I476" i="4"/>
  <c r="J475" i="4"/>
  <c r="I475" i="4"/>
  <c r="J474" i="4"/>
  <c r="I474" i="4"/>
  <c r="J473" i="4"/>
  <c r="I473" i="4"/>
  <c r="J472" i="4"/>
  <c r="I472" i="4"/>
  <c r="J471" i="4"/>
  <c r="I471" i="4"/>
  <c r="J470" i="4"/>
  <c r="I470" i="4"/>
  <c r="J469" i="4"/>
  <c r="I469" i="4"/>
  <c r="J468" i="4"/>
  <c r="I468" i="4"/>
  <c r="J467" i="4"/>
  <c r="I467" i="4"/>
  <c r="J466" i="4"/>
  <c r="I466" i="4"/>
  <c r="J465" i="4"/>
  <c r="I465" i="4"/>
  <c r="J464" i="4"/>
  <c r="I464" i="4"/>
  <c r="J463" i="4"/>
  <c r="I463" i="4"/>
  <c r="J462" i="4"/>
  <c r="I462" i="4"/>
  <c r="J461" i="4"/>
  <c r="I461" i="4"/>
  <c r="J460" i="4"/>
  <c r="I460" i="4"/>
  <c r="J459" i="4"/>
  <c r="I459" i="4"/>
  <c r="J455" i="4"/>
  <c r="I455" i="4"/>
  <c r="J454" i="4"/>
  <c r="I454" i="4"/>
  <c r="J453" i="4"/>
  <c r="I453" i="4"/>
  <c r="J452" i="4"/>
  <c r="I452" i="4"/>
  <c r="J451" i="4"/>
  <c r="I451" i="4"/>
  <c r="J450" i="4"/>
  <c r="I450" i="4"/>
  <c r="J449" i="4"/>
  <c r="I449" i="4"/>
  <c r="J448" i="4"/>
  <c r="I448" i="4"/>
  <c r="J447" i="4"/>
  <c r="I447" i="4"/>
  <c r="J446" i="4"/>
  <c r="I446" i="4"/>
  <c r="J423" i="4"/>
  <c r="I423" i="4"/>
  <c r="J422" i="4"/>
  <c r="I422" i="4"/>
  <c r="J421" i="4"/>
  <c r="I421" i="4"/>
  <c r="J420" i="4"/>
  <c r="I420" i="4"/>
  <c r="J419" i="4"/>
  <c r="I419" i="4"/>
  <c r="J418" i="4"/>
  <c r="I418" i="4"/>
  <c r="J417" i="4"/>
  <c r="I417" i="4"/>
  <c r="J416" i="4"/>
  <c r="I416" i="4"/>
  <c r="J415" i="4"/>
  <c r="I415" i="4"/>
  <c r="J414" i="4"/>
  <c r="I414" i="4"/>
  <c r="J413" i="4"/>
  <c r="I413" i="4"/>
  <c r="J412" i="4"/>
  <c r="I412" i="4"/>
  <c r="J407" i="4"/>
  <c r="I407" i="4"/>
  <c r="J406" i="4"/>
  <c r="I406" i="4"/>
  <c r="J405" i="4"/>
  <c r="I405" i="4"/>
  <c r="J404" i="4"/>
  <c r="I404" i="4"/>
  <c r="J403" i="4"/>
  <c r="I403" i="4"/>
  <c r="J402" i="4"/>
  <c r="I402" i="4"/>
  <c r="J401" i="4"/>
  <c r="I401" i="4"/>
  <c r="J400" i="4"/>
  <c r="I400" i="4"/>
  <c r="J399" i="4"/>
  <c r="I399" i="4"/>
  <c r="J398" i="4"/>
  <c r="I398" i="4"/>
  <c r="J397" i="4"/>
  <c r="I397" i="4"/>
  <c r="J396" i="4"/>
  <c r="I396" i="4"/>
  <c r="J395" i="4"/>
  <c r="I395" i="4"/>
  <c r="J394" i="4"/>
  <c r="I394" i="4"/>
  <c r="J393" i="4"/>
  <c r="I393" i="4"/>
  <c r="J392" i="4"/>
  <c r="I392" i="4"/>
  <c r="J391" i="4"/>
  <c r="I391" i="4"/>
  <c r="J390" i="4"/>
  <c r="I390" i="4"/>
  <c r="J389" i="4"/>
  <c r="I389" i="4"/>
  <c r="J385" i="4"/>
  <c r="I385" i="4"/>
  <c r="J384" i="4"/>
  <c r="I384" i="4"/>
  <c r="J383" i="4"/>
  <c r="I383" i="4"/>
  <c r="J382" i="4"/>
  <c r="I382" i="4"/>
  <c r="J381" i="4"/>
  <c r="I381" i="4"/>
  <c r="J380" i="4"/>
  <c r="I380" i="4"/>
  <c r="J379" i="4"/>
  <c r="I379" i="4"/>
  <c r="J378" i="4"/>
  <c r="I378" i="4"/>
  <c r="J377" i="4"/>
  <c r="I377" i="4"/>
  <c r="J376" i="4"/>
  <c r="J375" i="4"/>
  <c r="I375" i="4"/>
  <c r="J338" i="4"/>
  <c r="I338" i="4"/>
  <c r="J337" i="4"/>
  <c r="I337" i="4"/>
  <c r="J336" i="4"/>
  <c r="I336" i="4"/>
  <c r="J335" i="4"/>
  <c r="I335" i="4"/>
  <c r="J334" i="4"/>
  <c r="I334" i="4"/>
  <c r="J333" i="4"/>
  <c r="I333" i="4"/>
  <c r="J332" i="4"/>
  <c r="I332" i="4"/>
  <c r="J331" i="4"/>
  <c r="I331" i="4"/>
  <c r="J330" i="4"/>
  <c r="I330" i="4"/>
  <c r="J329" i="4"/>
  <c r="I329" i="4"/>
  <c r="J328" i="4"/>
  <c r="I328" i="4"/>
  <c r="J327" i="4"/>
  <c r="I327" i="4"/>
  <c r="J326" i="4"/>
  <c r="I326" i="4"/>
  <c r="J325" i="4"/>
  <c r="I325" i="4"/>
  <c r="J324" i="4"/>
  <c r="I324" i="4"/>
  <c r="J323" i="4"/>
  <c r="I323" i="4"/>
  <c r="J322" i="4"/>
  <c r="I322" i="4"/>
  <c r="J321" i="4"/>
  <c r="I321" i="4"/>
  <c r="J320" i="4"/>
  <c r="I320" i="4"/>
  <c r="J319" i="4"/>
  <c r="I319" i="4"/>
  <c r="J315" i="4"/>
  <c r="I315" i="4"/>
  <c r="J314" i="4"/>
  <c r="I314" i="4"/>
  <c r="J313" i="4"/>
  <c r="I313" i="4"/>
  <c r="J312" i="4"/>
  <c r="I312" i="4"/>
  <c r="J311" i="4"/>
  <c r="I311" i="4"/>
  <c r="J310" i="4"/>
  <c r="I310" i="4"/>
  <c r="J309" i="4"/>
  <c r="I309" i="4"/>
  <c r="J308" i="4"/>
  <c r="I308" i="4"/>
  <c r="J307" i="4"/>
  <c r="I307" i="4"/>
  <c r="J306" i="4"/>
  <c r="I306" i="4"/>
  <c r="J288" i="4"/>
  <c r="I288" i="4"/>
  <c r="J278" i="4"/>
  <c r="I278" i="4"/>
  <c r="J277" i="4"/>
  <c r="I277" i="4"/>
  <c r="J276" i="4"/>
  <c r="I276" i="4"/>
  <c r="J275" i="4"/>
  <c r="I275" i="4"/>
  <c r="J274" i="4"/>
  <c r="I274" i="4"/>
  <c r="J273" i="4"/>
  <c r="I273" i="4"/>
  <c r="J272" i="4"/>
  <c r="I272" i="4"/>
  <c r="J268" i="4"/>
  <c r="I268" i="4"/>
  <c r="J267" i="4"/>
  <c r="I267" i="4"/>
  <c r="J266" i="4"/>
  <c r="I266" i="4"/>
  <c r="J265" i="4"/>
  <c r="I265" i="4"/>
  <c r="J264" i="4"/>
  <c r="I264" i="4"/>
  <c r="J263" i="4"/>
  <c r="I263" i="4"/>
  <c r="J262" i="4"/>
  <c r="I262" i="4"/>
  <c r="J261" i="4"/>
  <c r="I261" i="4"/>
  <c r="J260" i="4"/>
  <c r="I260" i="4"/>
  <c r="J259" i="4"/>
  <c r="I259" i="4"/>
  <c r="J258" i="4"/>
  <c r="I258" i="4"/>
  <c r="J257" i="4"/>
  <c r="I257" i="4"/>
  <c r="J256" i="4"/>
  <c r="I256" i="4"/>
  <c r="J255" i="4"/>
  <c r="I255" i="4"/>
  <c r="J254" i="4"/>
  <c r="I254" i="4"/>
  <c r="J253" i="4"/>
  <c r="I253" i="4"/>
  <c r="J252" i="4"/>
  <c r="I252" i="4"/>
  <c r="J251" i="4"/>
  <c r="I251" i="4"/>
  <c r="J250" i="4"/>
  <c r="I250" i="4"/>
  <c r="J249" i="4"/>
  <c r="I249" i="4"/>
  <c r="J245" i="4"/>
  <c r="I245" i="4"/>
  <c r="J244" i="4"/>
  <c r="I244" i="4"/>
  <c r="J243" i="4"/>
  <c r="I243" i="4"/>
  <c r="J242" i="4"/>
  <c r="I242" i="4"/>
  <c r="J241" i="4"/>
  <c r="I241" i="4"/>
  <c r="J240" i="4"/>
  <c r="I240" i="4"/>
  <c r="J238" i="4"/>
  <c r="I238" i="4"/>
  <c r="J236" i="4"/>
  <c r="I236" i="4"/>
  <c r="J212" i="4"/>
  <c r="I212" i="4"/>
  <c r="J211" i="4"/>
  <c r="I211" i="4"/>
  <c r="J210" i="4"/>
  <c r="I210" i="4"/>
  <c r="J209" i="4"/>
  <c r="I209" i="4"/>
  <c r="J208" i="4"/>
  <c r="I208" i="4"/>
  <c r="J207" i="4"/>
  <c r="I207" i="4"/>
  <c r="J206" i="4"/>
  <c r="I206" i="4"/>
  <c r="J205" i="4"/>
  <c r="I205" i="4"/>
  <c r="J204" i="4"/>
  <c r="I204" i="4"/>
  <c r="B204" i="4"/>
  <c r="B205" i="4"/>
  <c r="B206" i="4"/>
  <c r="B207" i="4"/>
  <c r="B208" i="4"/>
  <c r="B209" i="4"/>
  <c r="B210" i="4"/>
  <c r="J203" i="4"/>
  <c r="I203" i="4"/>
  <c r="J202" i="4"/>
  <c r="I202" i="4"/>
  <c r="J198" i="4"/>
  <c r="I198" i="4"/>
  <c r="J197" i="4"/>
  <c r="I197" i="4"/>
  <c r="J196" i="4"/>
  <c r="I196" i="4"/>
  <c r="J195" i="4"/>
  <c r="I195" i="4"/>
  <c r="J194" i="4"/>
  <c r="I194" i="4"/>
  <c r="J193" i="4"/>
  <c r="I193" i="4"/>
  <c r="J192" i="4"/>
  <c r="I192" i="4"/>
  <c r="J191" i="4"/>
  <c r="I191" i="4"/>
  <c r="J190" i="4"/>
  <c r="I190" i="4"/>
  <c r="J189" i="4"/>
  <c r="I189" i="4"/>
  <c r="J188" i="4"/>
  <c r="I188" i="4"/>
  <c r="J187" i="4"/>
  <c r="I187" i="4"/>
  <c r="J186" i="4"/>
  <c r="I186" i="4"/>
  <c r="J185" i="4"/>
  <c r="I185" i="4"/>
  <c r="J184" i="4"/>
  <c r="I184" i="4"/>
  <c r="J183" i="4"/>
  <c r="I183" i="4"/>
  <c r="J182" i="4"/>
  <c r="I182" i="4"/>
  <c r="J181" i="4"/>
  <c r="I181" i="4"/>
  <c r="J180" i="4"/>
  <c r="I180" i="4"/>
  <c r="J170" i="4"/>
  <c r="I170" i="4"/>
  <c r="J169" i="4"/>
  <c r="I169" i="4"/>
  <c r="J168" i="4"/>
  <c r="I168" i="4"/>
  <c r="J167" i="4"/>
  <c r="I167" i="4"/>
  <c r="J151" i="4"/>
  <c r="I151" i="4"/>
  <c r="J150" i="4"/>
  <c r="I150" i="4"/>
  <c r="J149" i="4"/>
  <c r="I149" i="4"/>
  <c r="J148" i="4"/>
  <c r="I148" i="4"/>
  <c r="J147" i="4"/>
  <c r="I147" i="4"/>
  <c r="J146" i="4"/>
  <c r="I146" i="4"/>
  <c r="J145" i="4"/>
  <c r="I145" i="4"/>
  <c r="J142" i="4"/>
  <c r="I142" i="4"/>
  <c r="J141" i="4"/>
  <c r="I141" i="4"/>
  <c r="I140" i="4"/>
  <c r="J132" i="4"/>
  <c r="I132" i="4"/>
  <c r="J127" i="4"/>
  <c r="I127" i="4"/>
  <c r="J126" i="4"/>
  <c r="I126" i="4"/>
  <c r="J125" i="4"/>
  <c r="I125" i="4"/>
  <c r="J124" i="4"/>
  <c r="I124" i="4"/>
  <c r="J123" i="4"/>
  <c r="I123" i="4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3" i="4"/>
  <c r="I103" i="4"/>
  <c r="J102" i="4"/>
  <c r="I102" i="4"/>
  <c r="G97" i="4"/>
  <c r="G162" i="4"/>
  <c r="F97" i="4"/>
  <c r="F162" i="4"/>
  <c r="F231" i="4"/>
  <c r="F301" i="4"/>
  <c r="F371" i="4"/>
  <c r="F441" i="4"/>
  <c r="F511" i="4"/>
  <c r="F581" i="4"/>
  <c r="F651" i="4"/>
  <c r="F721" i="4"/>
  <c r="F791" i="4"/>
  <c r="C97" i="4"/>
  <c r="C162" i="4"/>
  <c r="C231" i="4"/>
  <c r="C301" i="4"/>
  <c r="C371" i="4"/>
  <c r="C441" i="4"/>
  <c r="C511" i="4"/>
  <c r="C581" i="4"/>
  <c r="C651" i="4"/>
  <c r="C721" i="4"/>
  <c r="C791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H32" i="4"/>
  <c r="E16" i="4"/>
  <c r="K16" i="4"/>
  <c r="I88" i="15"/>
  <c r="I32" i="15"/>
  <c r="J252" i="6"/>
  <c r="L10" i="16"/>
  <c r="I64" i="17"/>
  <c r="J64" i="17"/>
  <c r="H80" i="11"/>
  <c r="G148" i="11"/>
  <c r="G217" i="11"/>
  <c r="G287" i="11"/>
  <c r="H76" i="6"/>
  <c r="I196" i="6"/>
  <c r="I252" i="6"/>
  <c r="I253" i="6"/>
  <c r="J209" i="11"/>
  <c r="J559" i="11"/>
  <c r="J768" i="13"/>
  <c r="H79" i="12"/>
  <c r="J208" i="12"/>
  <c r="J348" i="12"/>
  <c r="J56" i="10"/>
  <c r="I381" i="10"/>
  <c r="I382" i="10"/>
  <c r="I56" i="10"/>
  <c r="I32" i="10"/>
  <c r="J241" i="10"/>
  <c r="I185" i="10"/>
  <c r="I241" i="10"/>
  <c r="J311" i="10"/>
  <c r="J381" i="10"/>
  <c r="G147" i="12"/>
  <c r="G216" i="12"/>
  <c r="G286" i="12"/>
  <c r="H286" i="12"/>
  <c r="J70" i="12"/>
  <c r="J32" i="12"/>
  <c r="E21" i="12"/>
  <c r="J558" i="12"/>
  <c r="J698" i="12"/>
  <c r="J768" i="12"/>
  <c r="I139" i="12"/>
  <c r="I79" i="12"/>
  <c r="I152" i="12"/>
  <c r="I71" i="11"/>
  <c r="I32" i="11"/>
  <c r="I223" i="11"/>
  <c r="I279" i="11"/>
  <c r="J279" i="11"/>
  <c r="I361" i="11"/>
  <c r="I419" i="11"/>
  <c r="I357" i="11"/>
  <c r="J419" i="11"/>
  <c r="J769" i="11"/>
  <c r="I712" i="11"/>
  <c r="I769" i="11"/>
  <c r="I707" i="11"/>
  <c r="J71" i="11"/>
  <c r="J32" i="11"/>
  <c r="E21" i="11"/>
  <c r="I153" i="11"/>
  <c r="I209" i="11"/>
  <c r="I502" i="11"/>
  <c r="I559" i="11"/>
  <c r="J699" i="11"/>
  <c r="I349" i="11"/>
  <c r="I287" i="11"/>
  <c r="J489" i="11"/>
  <c r="J139" i="13"/>
  <c r="I208" i="13"/>
  <c r="I147" i="13"/>
  <c r="J348" i="13"/>
  <c r="J698" i="13"/>
  <c r="I641" i="13"/>
  <c r="I698" i="13"/>
  <c r="J70" i="13"/>
  <c r="J558" i="13"/>
  <c r="I711" i="13"/>
  <c r="I768" i="13"/>
  <c r="I706" i="13"/>
  <c r="I451" i="10"/>
  <c r="I452" i="10"/>
  <c r="I731" i="10"/>
  <c r="I732" i="10"/>
  <c r="I591" i="10"/>
  <c r="I529" i="10"/>
  <c r="I801" i="10"/>
  <c r="I802" i="10"/>
  <c r="J102" i="10"/>
  <c r="J171" i="10"/>
  <c r="J451" i="10"/>
  <c r="J521" i="10"/>
  <c r="I171" i="10"/>
  <c r="I172" i="10"/>
  <c r="H65" i="10"/>
  <c r="G110" i="10"/>
  <c r="H110" i="10"/>
  <c r="I254" i="10"/>
  <c r="I311" i="10"/>
  <c r="I110" i="8"/>
  <c r="J110" i="8"/>
  <c r="J74" i="8"/>
  <c r="E22" i="8"/>
  <c r="I179" i="8"/>
  <c r="I180" i="8"/>
  <c r="I319" i="8"/>
  <c r="I320" i="8"/>
  <c r="I459" i="8"/>
  <c r="I460" i="8"/>
  <c r="J529" i="8"/>
  <c r="J672" i="6"/>
  <c r="I615" i="6"/>
  <c r="I672" i="6"/>
  <c r="I610" i="6"/>
  <c r="J673" i="6"/>
  <c r="I462" i="6"/>
  <c r="I400" i="6"/>
  <c r="J392" i="6"/>
  <c r="I334" i="6"/>
  <c r="I392" i="6"/>
  <c r="J527" i="14"/>
  <c r="J668" i="14"/>
  <c r="I457" i="14"/>
  <c r="I458" i="14"/>
  <c r="I807" i="14"/>
  <c r="I745" i="14"/>
  <c r="H73" i="14"/>
  <c r="J177" i="14"/>
  <c r="J64" i="14"/>
  <c r="J32" i="14"/>
  <c r="E21" i="14"/>
  <c r="J457" i="14"/>
  <c r="I470" i="14"/>
  <c r="I527" i="14"/>
  <c r="I612" i="14"/>
  <c r="I667" i="14"/>
  <c r="I70" i="12"/>
  <c r="I71" i="12"/>
  <c r="I70" i="13"/>
  <c r="I71" i="13"/>
  <c r="I64" i="14"/>
  <c r="I32" i="14"/>
  <c r="J88" i="15"/>
  <c r="J243" i="15"/>
  <c r="J383" i="15"/>
  <c r="J734" i="15"/>
  <c r="I682" i="15"/>
  <c r="I383" i="15"/>
  <c r="I384" i="15"/>
  <c r="J523" i="15"/>
  <c r="I466" i="15"/>
  <c r="I523" i="15"/>
  <c r="J663" i="15"/>
  <c r="I606" i="15"/>
  <c r="I663" i="15"/>
  <c r="J803" i="15"/>
  <c r="I746" i="15"/>
  <c r="I803" i="15"/>
  <c r="I804" i="15"/>
  <c r="H97" i="15"/>
  <c r="J174" i="15"/>
  <c r="I187" i="15"/>
  <c r="I243" i="15"/>
  <c r="I174" i="15"/>
  <c r="H251" i="15"/>
  <c r="G321" i="15"/>
  <c r="J313" i="15"/>
  <c r="I257" i="15"/>
  <c r="I313" i="15"/>
  <c r="J453" i="15"/>
  <c r="I395" i="15"/>
  <c r="I453" i="15"/>
  <c r="J593" i="15"/>
  <c r="I537" i="15"/>
  <c r="I593" i="15"/>
  <c r="H182" i="15"/>
  <c r="J733" i="15"/>
  <c r="I676" i="15"/>
  <c r="I818" i="15"/>
  <c r="I873" i="15"/>
  <c r="J873" i="15"/>
  <c r="I108" i="14"/>
  <c r="F255" i="14"/>
  <c r="F325" i="14"/>
  <c r="F395" i="14"/>
  <c r="F465" i="14"/>
  <c r="F535" i="14"/>
  <c r="F605" i="14"/>
  <c r="F675" i="14"/>
  <c r="F745" i="14"/>
  <c r="H185" i="14"/>
  <c r="J108" i="14"/>
  <c r="I260" i="14"/>
  <c r="I317" i="14"/>
  <c r="J317" i="14"/>
  <c r="G325" i="14"/>
  <c r="I177" i="14"/>
  <c r="I737" i="14"/>
  <c r="H116" i="14"/>
  <c r="J247" i="14"/>
  <c r="I191" i="14"/>
  <c r="I247" i="14"/>
  <c r="J387" i="14"/>
  <c r="I329" i="14"/>
  <c r="I387" i="14"/>
  <c r="I597" i="14"/>
  <c r="J597" i="14"/>
  <c r="J667" i="14"/>
  <c r="J737" i="14"/>
  <c r="J807" i="14"/>
  <c r="H286" i="13"/>
  <c r="G356" i="13"/>
  <c r="I139" i="13"/>
  <c r="H216" i="13"/>
  <c r="J488" i="13"/>
  <c r="I431" i="13"/>
  <c r="I488" i="13"/>
  <c r="I781" i="13"/>
  <c r="I838" i="13"/>
  <c r="J838" i="13"/>
  <c r="H79" i="13"/>
  <c r="J79" i="13"/>
  <c r="E22" i="13"/>
  <c r="H147" i="13"/>
  <c r="J208" i="13"/>
  <c r="I348" i="13"/>
  <c r="I418" i="13"/>
  <c r="J278" i="13"/>
  <c r="I222" i="13"/>
  <c r="I278" i="13"/>
  <c r="J418" i="13"/>
  <c r="I558" i="13"/>
  <c r="J628" i="13"/>
  <c r="I571" i="13"/>
  <c r="I628" i="13"/>
  <c r="J699" i="13"/>
  <c r="I32" i="12"/>
  <c r="I208" i="12"/>
  <c r="J278" i="12"/>
  <c r="I222" i="12"/>
  <c r="I278" i="12"/>
  <c r="J139" i="12"/>
  <c r="J418" i="12"/>
  <c r="I360" i="12"/>
  <c r="I418" i="12"/>
  <c r="J488" i="12"/>
  <c r="I431" i="12"/>
  <c r="I488" i="12"/>
  <c r="I348" i="12"/>
  <c r="I558" i="12"/>
  <c r="I768" i="12"/>
  <c r="I781" i="12"/>
  <c r="I838" i="12"/>
  <c r="J838" i="12"/>
  <c r="J628" i="12"/>
  <c r="I572" i="12"/>
  <c r="I628" i="12"/>
  <c r="I698" i="12"/>
  <c r="J699" i="12"/>
  <c r="H148" i="11"/>
  <c r="J148" i="11"/>
  <c r="E23" i="11"/>
  <c r="H287" i="11"/>
  <c r="G357" i="11"/>
  <c r="I350" i="11"/>
  <c r="I140" i="11"/>
  <c r="I782" i="11"/>
  <c r="I839" i="11"/>
  <c r="J839" i="11"/>
  <c r="J140" i="11"/>
  <c r="H217" i="11"/>
  <c r="J349" i="11"/>
  <c r="J629" i="11"/>
  <c r="I699" i="11"/>
  <c r="I432" i="11"/>
  <c r="I489" i="11"/>
  <c r="I572" i="11"/>
  <c r="I629" i="11"/>
  <c r="J700" i="11"/>
  <c r="I65" i="8"/>
  <c r="I74" i="8"/>
  <c r="I111" i="8"/>
  <c r="J65" i="8"/>
  <c r="G118" i="8"/>
  <c r="J249" i="8"/>
  <c r="J319" i="8"/>
  <c r="I669" i="8"/>
  <c r="J670" i="8"/>
  <c r="J459" i="8"/>
  <c r="J179" i="8"/>
  <c r="J389" i="8"/>
  <c r="I739" i="8"/>
  <c r="I756" i="8"/>
  <c r="I809" i="8"/>
  <c r="J809" i="8"/>
  <c r="I529" i="8"/>
  <c r="J739" i="8"/>
  <c r="I193" i="8"/>
  <c r="I249" i="8"/>
  <c r="I331" i="8"/>
  <c r="I389" i="8"/>
  <c r="I599" i="8"/>
  <c r="J599" i="8"/>
  <c r="J669" i="8"/>
  <c r="I102" i="10"/>
  <c r="I319" i="10"/>
  <c r="I661" i="10"/>
  <c r="J591" i="10"/>
  <c r="J661" i="10"/>
  <c r="J662" i="10"/>
  <c r="J731" i="10"/>
  <c r="I521" i="10"/>
  <c r="J801" i="10"/>
  <c r="I182" i="6"/>
  <c r="I393" i="6"/>
  <c r="I330" i="6"/>
  <c r="J742" i="6"/>
  <c r="I685" i="6"/>
  <c r="I742" i="6"/>
  <c r="I67" i="6"/>
  <c r="I113" i="6"/>
  <c r="G121" i="6"/>
  <c r="I322" i="6"/>
  <c r="I476" i="6"/>
  <c r="I532" i="6"/>
  <c r="J532" i="6"/>
  <c r="I602" i="6"/>
  <c r="J67" i="6"/>
  <c r="J182" i="6"/>
  <c r="J462" i="6"/>
  <c r="J113" i="6"/>
  <c r="J76" i="6"/>
  <c r="E22" i="6"/>
  <c r="J322" i="6"/>
  <c r="I673" i="6"/>
  <c r="I812" i="6"/>
  <c r="J602" i="6"/>
  <c r="J812" i="6"/>
  <c r="I783" i="4"/>
  <c r="I784" i="4"/>
  <c r="J783" i="4"/>
  <c r="J853" i="4"/>
  <c r="I853" i="4"/>
  <c r="I713" i="4"/>
  <c r="I714" i="4"/>
  <c r="J714" i="4"/>
  <c r="I643" i="4"/>
  <c r="I644" i="4"/>
  <c r="I363" i="4"/>
  <c r="I364" i="4"/>
  <c r="I223" i="4"/>
  <c r="I503" i="4"/>
  <c r="I573" i="4"/>
  <c r="I574" i="4"/>
  <c r="F294" i="4"/>
  <c r="F89" i="4"/>
  <c r="J239" i="4"/>
  <c r="I239" i="4"/>
  <c r="I293" i="4"/>
  <c r="J433" i="4"/>
  <c r="G231" i="4"/>
  <c r="H162" i="4"/>
  <c r="F155" i="4"/>
  <c r="J131" i="4"/>
  <c r="I131" i="4"/>
  <c r="I154" i="4"/>
  <c r="J713" i="4"/>
  <c r="J503" i="4"/>
  <c r="H97" i="4"/>
  <c r="J223" i="4"/>
  <c r="J363" i="4"/>
  <c r="I376" i="4"/>
  <c r="I433" i="4"/>
  <c r="J573" i="4"/>
  <c r="J643" i="4"/>
  <c r="J32" i="15"/>
  <c r="E21" i="15"/>
  <c r="I397" i="8"/>
  <c r="I257" i="8"/>
  <c r="J65" i="10"/>
  <c r="E22" i="10"/>
  <c r="J97" i="15"/>
  <c r="E22" i="15"/>
  <c r="J32" i="17"/>
  <c r="E21" i="17"/>
  <c r="G25" i="17"/>
  <c r="K17" i="17"/>
  <c r="K18" i="17"/>
  <c r="E17" i="17"/>
  <c r="E18" i="17"/>
  <c r="I32" i="17"/>
  <c r="I65" i="17"/>
  <c r="J286" i="12"/>
  <c r="G22" i="12"/>
  <c r="J32" i="13"/>
  <c r="E21" i="13"/>
  <c r="I808" i="14"/>
  <c r="I190" i="6"/>
  <c r="I463" i="6"/>
  <c r="J32" i="10"/>
  <c r="E21" i="10"/>
  <c r="I420" i="11"/>
  <c r="I217" i="11"/>
  <c r="I280" i="11"/>
  <c r="J217" i="11"/>
  <c r="G21" i="11"/>
  <c r="I72" i="11"/>
  <c r="J286" i="13"/>
  <c r="G22" i="13"/>
  <c r="I209" i="13"/>
  <c r="I32" i="13"/>
  <c r="H216" i="12"/>
  <c r="G356" i="12"/>
  <c r="H356" i="12"/>
  <c r="J356" i="12"/>
  <c r="G23" i="12"/>
  <c r="H147" i="12"/>
  <c r="J147" i="12"/>
  <c r="E23" i="12"/>
  <c r="I140" i="12"/>
  <c r="J216" i="12"/>
  <c r="G21" i="12"/>
  <c r="I321" i="15"/>
  <c r="I669" i="10"/>
  <c r="I389" i="10"/>
  <c r="I110" i="10"/>
  <c r="I57" i="10"/>
  <c r="J110" i="10"/>
  <c r="E23" i="10"/>
  <c r="I179" i="10"/>
  <c r="I242" i="10"/>
  <c r="K17" i="12"/>
  <c r="K18" i="12"/>
  <c r="J79" i="12"/>
  <c r="E22" i="12"/>
  <c r="K17" i="11"/>
  <c r="K18" i="11"/>
  <c r="I770" i="11"/>
  <c r="J287" i="11"/>
  <c r="G22" i="11"/>
  <c r="I769" i="13"/>
  <c r="J216" i="13"/>
  <c r="G21" i="13"/>
  <c r="K17" i="13"/>
  <c r="K18" i="13"/>
  <c r="I395" i="14"/>
  <c r="J116" i="14"/>
  <c r="E23" i="14"/>
  <c r="J73" i="14"/>
  <c r="E22" i="14"/>
  <c r="K17" i="10"/>
  <c r="K18" i="10"/>
  <c r="I739" i="10"/>
  <c r="E17" i="10"/>
  <c r="E18" i="10"/>
  <c r="I592" i="10"/>
  <c r="G179" i="10"/>
  <c r="H179" i="10"/>
  <c r="J179" i="10"/>
  <c r="G21" i="10"/>
  <c r="I65" i="14"/>
  <c r="I118" i="8"/>
  <c r="I721" i="4"/>
  <c r="H255" i="14"/>
  <c r="J255" i="14"/>
  <c r="G22" i="14"/>
  <c r="J185" i="14"/>
  <c r="G21" i="14"/>
  <c r="E17" i="14"/>
  <c r="E18" i="14"/>
  <c r="K17" i="14"/>
  <c r="K18" i="14"/>
  <c r="I733" i="15"/>
  <c r="E17" i="15"/>
  <c r="E18" i="15"/>
  <c r="I741" i="15"/>
  <c r="J182" i="15"/>
  <c r="E23" i="15"/>
  <c r="I89" i="15"/>
  <c r="K17" i="15"/>
  <c r="K18" i="15"/>
  <c r="I874" i="15"/>
  <c r="I811" i="15"/>
  <c r="I251" i="15"/>
  <c r="I314" i="15"/>
  <c r="I454" i="15"/>
  <c r="I391" i="15"/>
  <c r="G391" i="15"/>
  <c r="H321" i="15"/>
  <c r="J321" i="15"/>
  <c r="G22" i="15"/>
  <c r="I244" i="15"/>
  <c r="I182" i="15"/>
  <c r="J251" i="15"/>
  <c r="G21" i="15"/>
  <c r="I594" i="15"/>
  <c r="I531" i="15"/>
  <c r="I524" i="15"/>
  <c r="I461" i="15"/>
  <c r="I601" i="15"/>
  <c r="I664" i="15"/>
  <c r="I97" i="15"/>
  <c r="I175" i="15"/>
  <c r="I185" i="14"/>
  <c r="I248" i="14"/>
  <c r="I535" i="14"/>
  <c r="I598" i="14"/>
  <c r="I675" i="14"/>
  <c r="I738" i="14"/>
  <c r="G395" i="14"/>
  <c r="H325" i="14"/>
  <c r="J325" i="14"/>
  <c r="G23" i="14"/>
  <c r="I178" i="14"/>
  <c r="I116" i="14"/>
  <c r="I528" i="14"/>
  <c r="I465" i="14"/>
  <c r="I388" i="14"/>
  <c r="I325" i="14"/>
  <c r="I605" i="14"/>
  <c r="I668" i="14"/>
  <c r="I109" i="14"/>
  <c r="I73" i="14"/>
  <c r="I318" i="14"/>
  <c r="I255" i="14"/>
  <c r="I279" i="13"/>
  <c r="I216" i="13"/>
  <c r="E17" i="13"/>
  <c r="E18" i="13"/>
  <c r="I839" i="13"/>
  <c r="I776" i="13"/>
  <c r="I566" i="13"/>
  <c r="I629" i="13"/>
  <c r="I559" i="13"/>
  <c r="I496" i="13"/>
  <c r="J147" i="13"/>
  <c r="E23" i="13"/>
  <c r="I489" i="13"/>
  <c r="I426" i="13"/>
  <c r="H356" i="13"/>
  <c r="J356" i="13"/>
  <c r="G23" i="13"/>
  <c r="G426" i="13"/>
  <c r="I349" i="13"/>
  <c r="I286" i="13"/>
  <c r="I79" i="13"/>
  <c r="I140" i="13"/>
  <c r="I356" i="13"/>
  <c r="I419" i="13"/>
  <c r="I636" i="13"/>
  <c r="I699" i="13"/>
  <c r="I566" i="12"/>
  <c r="I629" i="12"/>
  <c r="G426" i="12"/>
  <c r="I489" i="12"/>
  <c r="I426" i="12"/>
  <c r="I559" i="12"/>
  <c r="I496" i="12"/>
  <c r="I356" i="12"/>
  <c r="I419" i="12"/>
  <c r="I216" i="12"/>
  <c r="I279" i="12"/>
  <c r="I209" i="12"/>
  <c r="I147" i="12"/>
  <c r="I706" i="12"/>
  <c r="I769" i="12"/>
  <c r="I636" i="12"/>
  <c r="I699" i="12"/>
  <c r="I839" i="12"/>
  <c r="I776" i="12"/>
  <c r="I286" i="12"/>
  <c r="I349" i="12"/>
  <c r="E17" i="12"/>
  <c r="E18" i="12"/>
  <c r="I141" i="11"/>
  <c r="I80" i="11"/>
  <c r="I567" i="11"/>
  <c r="I630" i="11"/>
  <c r="E17" i="11"/>
  <c r="E18" i="11"/>
  <c r="J80" i="11"/>
  <c r="E22" i="11"/>
  <c r="I148" i="11"/>
  <c r="I210" i="11"/>
  <c r="I637" i="11"/>
  <c r="I700" i="11"/>
  <c r="I490" i="11"/>
  <c r="I427" i="11"/>
  <c r="I560" i="11"/>
  <c r="I497" i="11"/>
  <c r="I840" i="11"/>
  <c r="I777" i="11"/>
  <c r="G427" i="11"/>
  <c r="H357" i="11"/>
  <c r="J357" i="11"/>
  <c r="G23" i="11"/>
  <c r="I187" i="8"/>
  <c r="I250" i="8"/>
  <c r="I810" i="8"/>
  <c r="I747" i="8"/>
  <c r="I537" i="8"/>
  <c r="I600" i="8"/>
  <c r="I677" i="8"/>
  <c r="I740" i="8"/>
  <c r="I530" i="8"/>
  <c r="I467" i="8"/>
  <c r="I390" i="8"/>
  <c r="I327" i="8"/>
  <c r="H118" i="8"/>
  <c r="J118" i="8"/>
  <c r="E23" i="8"/>
  <c r="G187" i="8"/>
  <c r="I66" i="8"/>
  <c r="E17" i="8"/>
  <c r="E18" i="8"/>
  <c r="I32" i="8"/>
  <c r="I607" i="8"/>
  <c r="I670" i="8"/>
  <c r="K17" i="8"/>
  <c r="K18" i="8"/>
  <c r="J32" i="8"/>
  <c r="E21" i="8"/>
  <c r="I65" i="10"/>
  <c r="I103" i="10"/>
  <c r="I599" i="10"/>
  <c r="I662" i="10"/>
  <c r="I522" i="10"/>
  <c r="I459" i="10"/>
  <c r="I249" i="10"/>
  <c r="I312" i="10"/>
  <c r="K17" i="6"/>
  <c r="K18" i="6"/>
  <c r="J32" i="6"/>
  <c r="E21" i="6"/>
  <c r="I540" i="6"/>
  <c r="I603" i="6"/>
  <c r="G190" i="6"/>
  <c r="H121" i="6"/>
  <c r="J121" i="6"/>
  <c r="E23" i="6"/>
  <c r="I260" i="6"/>
  <c r="I323" i="6"/>
  <c r="I813" i="6"/>
  <c r="I750" i="6"/>
  <c r="I470" i="6"/>
  <c r="I533" i="6"/>
  <c r="I76" i="6"/>
  <c r="I114" i="6"/>
  <c r="I183" i="6"/>
  <c r="I121" i="6"/>
  <c r="I680" i="6"/>
  <c r="I743" i="6"/>
  <c r="I68" i="6"/>
  <c r="E17" i="6"/>
  <c r="E18" i="6"/>
  <c r="I32" i="6"/>
  <c r="I791" i="4"/>
  <c r="I854" i="4"/>
  <c r="I581" i="4"/>
  <c r="I651" i="4"/>
  <c r="I88" i="4"/>
  <c r="I89" i="4"/>
  <c r="I511" i="4"/>
  <c r="J88" i="4"/>
  <c r="J32" i="4"/>
  <c r="E21" i="4"/>
  <c r="I441" i="4"/>
  <c r="I504" i="4"/>
  <c r="I371" i="4"/>
  <c r="I434" i="4"/>
  <c r="I301" i="4"/>
  <c r="I231" i="4"/>
  <c r="I294" i="4"/>
  <c r="I162" i="4"/>
  <c r="I224" i="4"/>
  <c r="I97" i="4"/>
  <c r="I155" i="4"/>
  <c r="J293" i="4"/>
  <c r="J154" i="4"/>
  <c r="J162" i="4"/>
  <c r="E23" i="4"/>
  <c r="G301" i="4"/>
  <c r="H231" i="4"/>
  <c r="I734" i="15"/>
  <c r="I671" i="15"/>
  <c r="G249" i="10"/>
  <c r="G319" i="10"/>
  <c r="G461" i="15"/>
  <c r="H391" i="15"/>
  <c r="J391" i="15"/>
  <c r="G23" i="15"/>
  <c r="G465" i="14"/>
  <c r="H395" i="14"/>
  <c r="J395" i="14"/>
  <c r="I21" i="14"/>
  <c r="G496" i="13"/>
  <c r="H426" i="13"/>
  <c r="J426" i="13"/>
  <c r="I21" i="13"/>
  <c r="G496" i="12"/>
  <c r="H426" i="12"/>
  <c r="J426" i="12"/>
  <c r="I21" i="12"/>
  <c r="G497" i="11"/>
  <c r="H427" i="11"/>
  <c r="J427" i="11"/>
  <c r="I21" i="11"/>
  <c r="G257" i="8"/>
  <c r="H187" i="8"/>
  <c r="J187" i="8"/>
  <c r="G21" i="8"/>
  <c r="H190" i="6"/>
  <c r="J190" i="6"/>
  <c r="G21" i="6"/>
  <c r="G260" i="6"/>
  <c r="E17" i="4"/>
  <c r="E18" i="4"/>
  <c r="K17" i="4"/>
  <c r="K18" i="4"/>
  <c r="I32" i="4"/>
  <c r="J231" i="4"/>
  <c r="G21" i="4"/>
  <c r="J97" i="4"/>
  <c r="E22" i="4"/>
  <c r="H301" i="4"/>
  <c r="J301" i="4"/>
  <c r="G22" i="4"/>
  <c r="G371" i="4"/>
  <c r="H249" i="10"/>
  <c r="J249" i="10"/>
  <c r="G22" i="10"/>
  <c r="G531" i="15"/>
  <c r="H461" i="15"/>
  <c r="J461" i="15"/>
  <c r="I21" i="15"/>
  <c r="H465" i="14"/>
  <c r="J465" i="14"/>
  <c r="I22" i="14"/>
  <c r="G535" i="14"/>
  <c r="H496" i="13"/>
  <c r="J496" i="13"/>
  <c r="I22" i="13"/>
  <c r="G566" i="13"/>
  <c r="H496" i="12"/>
  <c r="J496" i="12"/>
  <c r="I22" i="12"/>
  <c r="G566" i="12"/>
  <c r="H497" i="11"/>
  <c r="J497" i="11"/>
  <c r="I22" i="11"/>
  <c r="G567" i="11"/>
  <c r="G327" i="8"/>
  <c r="H257" i="8"/>
  <c r="J257" i="8"/>
  <c r="G22" i="8"/>
  <c r="G389" i="10"/>
  <c r="H319" i="10"/>
  <c r="J319" i="10"/>
  <c r="G23" i="10"/>
  <c r="H260" i="6"/>
  <c r="J260" i="6"/>
  <c r="G22" i="6"/>
  <c r="G330" i="6"/>
  <c r="H371" i="4"/>
  <c r="J371" i="4"/>
  <c r="G23" i="4"/>
  <c r="G441" i="4"/>
  <c r="H531" i="15"/>
  <c r="J531" i="15"/>
  <c r="I22" i="15"/>
  <c r="G601" i="15"/>
  <c r="H535" i="14"/>
  <c r="J535" i="14"/>
  <c r="I23" i="14"/>
  <c r="G605" i="14"/>
  <c r="H566" i="13"/>
  <c r="J566" i="13"/>
  <c r="I23" i="13"/>
  <c r="G636" i="13"/>
  <c r="H566" i="12"/>
  <c r="J566" i="12"/>
  <c r="I23" i="12"/>
  <c r="G636" i="12"/>
  <c r="H567" i="11"/>
  <c r="J567" i="11"/>
  <c r="I23" i="11"/>
  <c r="G637" i="11"/>
  <c r="G397" i="8"/>
  <c r="H327" i="8"/>
  <c r="J327" i="8"/>
  <c r="G23" i="8"/>
  <c r="G459" i="10"/>
  <c r="H389" i="10"/>
  <c r="J389" i="10"/>
  <c r="I21" i="10"/>
  <c r="G400" i="6"/>
  <c r="H330" i="6"/>
  <c r="J330" i="6"/>
  <c r="G23" i="6"/>
  <c r="H441" i="4"/>
  <c r="J441" i="4"/>
  <c r="I21" i="4"/>
  <c r="G511" i="4"/>
  <c r="H601" i="15"/>
  <c r="J601" i="15"/>
  <c r="I23" i="15"/>
  <c r="G671" i="15"/>
  <c r="G675" i="14"/>
  <c r="H605" i="14"/>
  <c r="J605" i="14"/>
  <c r="K21" i="14"/>
  <c r="H636" i="13"/>
  <c r="J636" i="13"/>
  <c r="K21" i="13"/>
  <c r="G706" i="13"/>
  <c r="H636" i="12"/>
  <c r="J636" i="12"/>
  <c r="K21" i="12"/>
  <c r="G706" i="12"/>
  <c r="H637" i="11"/>
  <c r="J637" i="11"/>
  <c r="K21" i="11"/>
  <c r="G707" i="11"/>
  <c r="G467" i="8"/>
  <c r="H397" i="8"/>
  <c r="J397" i="8"/>
  <c r="I21" i="8"/>
  <c r="H459" i="10"/>
  <c r="J459" i="10"/>
  <c r="I22" i="10"/>
  <c r="G529" i="10"/>
  <c r="G470" i="6"/>
  <c r="H400" i="6"/>
  <c r="J400" i="6"/>
  <c r="I21" i="6"/>
  <c r="G581" i="4"/>
  <c r="H511" i="4"/>
  <c r="J511" i="4"/>
  <c r="I22" i="4"/>
  <c r="G741" i="15"/>
  <c r="H671" i="15"/>
  <c r="J671" i="15"/>
  <c r="K21" i="15"/>
  <c r="G745" i="14"/>
  <c r="H745" i="14"/>
  <c r="J745" i="14"/>
  <c r="K23" i="14"/>
  <c r="H675" i="14"/>
  <c r="J675" i="14"/>
  <c r="K22" i="14"/>
  <c r="G776" i="13"/>
  <c r="H776" i="13"/>
  <c r="J776" i="13"/>
  <c r="K23" i="13"/>
  <c r="H706" i="13"/>
  <c r="J706" i="13"/>
  <c r="K22" i="13"/>
  <c r="G25" i="13"/>
  <c r="G776" i="12"/>
  <c r="H776" i="12"/>
  <c r="J776" i="12"/>
  <c r="K23" i="12"/>
  <c r="H706" i="12"/>
  <c r="J706" i="12"/>
  <c r="K22" i="12"/>
  <c r="G25" i="12"/>
  <c r="G777" i="11"/>
  <c r="H777" i="11"/>
  <c r="J777" i="11"/>
  <c r="K23" i="11"/>
  <c r="H707" i="11"/>
  <c r="J707" i="11"/>
  <c r="K22" i="11"/>
  <c r="H467" i="8"/>
  <c r="J467" i="8"/>
  <c r="I22" i="8"/>
  <c r="G537" i="8"/>
  <c r="H529" i="10"/>
  <c r="J529" i="10"/>
  <c r="I23" i="10"/>
  <c r="G599" i="10"/>
  <c r="H470" i="6"/>
  <c r="J470" i="6"/>
  <c r="I22" i="6"/>
  <c r="G540" i="6"/>
  <c r="H581" i="4"/>
  <c r="J581" i="4"/>
  <c r="I23" i="4"/>
  <c r="G651" i="4"/>
  <c r="G25" i="11"/>
  <c r="G25" i="14"/>
  <c r="G811" i="15"/>
  <c r="H811" i="15"/>
  <c r="J811" i="15"/>
  <c r="K23" i="15"/>
  <c r="H741" i="15"/>
  <c r="J741" i="15"/>
  <c r="K22" i="15"/>
  <c r="H537" i="8"/>
  <c r="J537" i="8"/>
  <c r="I23" i="8"/>
  <c r="G607" i="8"/>
  <c r="G669" i="10"/>
  <c r="H599" i="10"/>
  <c r="J599" i="10"/>
  <c r="K21" i="10"/>
  <c r="H540" i="6"/>
  <c r="J540" i="6"/>
  <c r="I23" i="6"/>
  <c r="G610" i="6"/>
  <c r="H651" i="4"/>
  <c r="J651" i="4"/>
  <c r="K21" i="4"/>
  <c r="G721" i="4"/>
  <c r="G25" i="15"/>
  <c r="G677" i="8"/>
  <c r="H607" i="8"/>
  <c r="J607" i="8"/>
  <c r="K21" i="8"/>
  <c r="G739" i="10"/>
  <c r="H739" i="10"/>
  <c r="J739" i="10"/>
  <c r="K23" i="10"/>
  <c r="H669" i="10"/>
  <c r="J669" i="10"/>
  <c r="K22" i="10"/>
  <c r="G680" i="6"/>
  <c r="H610" i="6"/>
  <c r="J610" i="6"/>
  <c r="K21" i="6"/>
  <c r="H721" i="4"/>
  <c r="J721" i="4"/>
  <c r="K22" i="4"/>
  <c r="G791" i="4"/>
  <c r="H791" i="4"/>
  <c r="J791" i="4"/>
  <c r="K23" i="4"/>
  <c r="G25" i="10"/>
  <c r="G747" i="8"/>
  <c r="H747" i="8"/>
  <c r="J747" i="8"/>
  <c r="K23" i="8"/>
  <c r="H677" i="8"/>
  <c r="J677" i="8"/>
  <c r="K22" i="8"/>
  <c r="G25" i="8"/>
  <c r="G750" i="6"/>
  <c r="H750" i="6"/>
  <c r="J750" i="6"/>
  <c r="K23" i="6"/>
  <c r="H680" i="6"/>
  <c r="J680" i="6"/>
  <c r="K22" i="6"/>
  <c r="G25" i="4"/>
  <c r="G25" i="6"/>
  <c r="F64" i="14"/>
  <c r="F65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tc={9ED6117F-D2CD-41C6-84DD-7709B87789FB}</author>
    <author>tc={43A1975F-4B2D-4B82-AEB2-BE4F415137B4}</author>
    <author>tc={302F3578-6A41-40E7-A134-BB2B1C86A606}</author>
    <author>tc={8A16BC76-5C95-4567-9D88-4717ACE42488}</author>
  </authors>
  <commentList>
    <comment ref="C10" authorId="0" shapeId="0" xr:uid="{9ED6117F-D2CD-41C6-84DD-7709B87789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colour coordinated to the tabs </t>
      </text>
    </comment>
    <comment ref="E10" authorId="1" shapeId="0" xr:uid="{43A1975F-4B2D-4B82-AEB2-BE4F415137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These amounts are from the “Management Accounts costs from August 2024 “ spreadsheet on the server. They differ from the “ management accounts de 2025” spreadsheet 
</t>
      </text>
    </comment>
    <comment ref="I10" authorId="2" shapeId="0" xr:uid="{302F3578-6A41-40E7-A134-BB2B1C86A6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colour coordinated to the tabs </t>
      </text>
    </comment>
    <comment ref="C15" authorId="3" shapeId="0" xr:uid="{8A16BC76-5C95-4567-9D88-4717ACE424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don’t have the prices for spade , astra and plush spaces 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tc={5FEEDF32-F344-4B5A-B076-C509D55533F3}</author>
  </authors>
  <commentList>
    <comment ref="E16" authorId="0" shapeId="0" xr:uid="{5FEEDF32-F344-4B5A-B076-C509D55533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These are 2025 amounts, they still need to be updated </t>
      </text>
    </comment>
  </commentList>
</comments>
</file>

<file path=xl/sharedStrings.xml><?xml version="1.0" encoding="utf-8"?>
<sst xmlns="http://schemas.openxmlformats.org/spreadsheetml/2006/main" count="3660" uniqueCount="281">
  <si>
    <t>Work Allocation</t>
  </si>
  <si>
    <t xml:space="preserve">Seniors Review </t>
  </si>
  <si>
    <t>Accountants Work</t>
  </si>
  <si>
    <t xml:space="preserve">Bookkeeper's Work </t>
  </si>
  <si>
    <t xml:space="preserve">Management Accounts </t>
  </si>
  <si>
    <t>Payroll</t>
  </si>
  <si>
    <t xml:space="preserve">Once Off Work </t>
  </si>
  <si>
    <t>Client</t>
  </si>
  <si>
    <t>Payroll (Cost Incl)</t>
  </si>
  <si>
    <t>Management accounts (Cost Incl)</t>
  </si>
  <si>
    <t>Total Amount (Cost Excl)</t>
  </si>
  <si>
    <t>P: Reviewer</t>
  </si>
  <si>
    <t>P: Accountant</t>
  </si>
  <si>
    <t>MA: Bookkeeper</t>
  </si>
  <si>
    <t xml:space="preserve">MA: Accountant </t>
  </si>
  <si>
    <t>MA: Reviewer</t>
  </si>
  <si>
    <t>% total</t>
  </si>
  <si>
    <t>Maxopani Holdings</t>
  </si>
  <si>
    <t>Sinet Africa</t>
  </si>
  <si>
    <t>Innovateher</t>
  </si>
  <si>
    <t>Khulio Electric</t>
  </si>
  <si>
    <t xml:space="preserve">Hambo Lwethu </t>
  </si>
  <si>
    <t>Spade</t>
  </si>
  <si>
    <t>Makhubela Incorporated</t>
  </si>
  <si>
    <t>Destiny Finance (Pty) Ltd</t>
  </si>
  <si>
    <t>DR WW NGWATA PRACTICE INC</t>
  </si>
  <si>
    <t xml:space="preserve">Bixa Consulting </t>
  </si>
  <si>
    <t xml:space="preserve">Mvundlane </t>
  </si>
  <si>
    <t xml:space="preserve">Solid Re Global </t>
  </si>
  <si>
    <t xml:space="preserve">Drs Koranteng </t>
  </si>
  <si>
    <t xml:space="preserve">Destiny Portfolio </t>
  </si>
  <si>
    <t>Giant Bee Logistics Pty Ltd</t>
  </si>
  <si>
    <t>Pono Vision Radiology</t>
  </si>
  <si>
    <t xml:space="preserve">Achri </t>
  </si>
  <si>
    <t xml:space="preserve">Astra Matellite </t>
  </si>
  <si>
    <t>Advocate Maputla</t>
  </si>
  <si>
    <t>CREATIVE VALLEY NURSERY SCHOOL</t>
  </si>
  <si>
    <t>Depesh Cara</t>
  </si>
  <si>
    <t>Dr A.S Bajomo</t>
  </si>
  <si>
    <t>Katomax Investments</t>
  </si>
  <si>
    <t xml:space="preserve">New Orlscade </t>
  </si>
  <si>
    <t>Rentals Proper team Fourways</t>
  </si>
  <si>
    <t xml:space="preserve">TMM TECH </t>
  </si>
  <si>
    <t xml:space="preserve">Mectech Motors </t>
  </si>
  <si>
    <t xml:space="preserve">Blue Hill </t>
  </si>
  <si>
    <t xml:space="preserve">Chemstrat </t>
  </si>
  <si>
    <t>R Protections</t>
  </si>
  <si>
    <t>Fitness Reenvisioned</t>
  </si>
  <si>
    <t>Luk Capital</t>
  </si>
  <si>
    <t>Moja Legal Consulting and Investment (Pty) Ltd</t>
  </si>
  <si>
    <t>Vera Step</t>
  </si>
  <si>
    <t>Natasha Mohunlal</t>
  </si>
  <si>
    <t xml:space="preserve">Swiiff </t>
  </si>
  <si>
    <t>Mawela Simpson</t>
  </si>
  <si>
    <t>MGI Global</t>
  </si>
  <si>
    <t>MMFS</t>
  </si>
  <si>
    <t>Bona By Wenzy</t>
  </si>
  <si>
    <t xml:space="preserve">Recovery Advisors </t>
  </si>
  <si>
    <t xml:space="preserve">Subtream </t>
  </si>
  <si>
    <t>Plush Spaces</t>
  </si>
  <si>
    <t>CM Freelancing (Pty) Ltd</t>
  </si>
  <si>
    <t>EKSN ENGINEERING</t>
  </si>
  <si>
    <t xml:space="preserve">CN Freight </t>
  </si>
  <si>
    <t xml:space="preserve">Khayelihle Properties </t>
  </si>
  <si>
    <t xml:space="preserve">Ndana Investments </t>
  </si>
  <si>
    <t xml:space="preserve">Primetyme </t>
  </si>
  <si>
    <t xml:space="preserve">SRYC </t>
  </si>
  <si>
    <t xml:space="preserve">Mutsekwa Private Wealth </t>
  </si>
  <si>
    <t>JFM Private property</t>
  </si>
  <si>
    <t xml:space="preserve">Promote Balance </t>
  </si>
  <si>
    <t>Bophelong</t>
  </si>
  <si>
    <t xml:space="preserve">Maksure Risk Solutions </t>
  </si>
  <si>
    <t xml:space="preserve">Maksure Zim </t>
  </si>
  <si>
    <t>Maphosa Attorneys</t>
  </si>
  <si>
    <t>Playroll Zimbabwe</t>
  </si>
  <si>
    <t>RutotechSA</t>
  </si>
  <si>
    <t xml:space="preserve">Sinto </t>
  </si>
  <si>
    <t>Work co</t>
  </si>
  <si>
    <t>Total:</t>
  </si>
  <si>
    <t>Workflow Scheduling</t>
  </si>
  <si>
    <t>"A business is a commercial profitable enterprise that runs without you"</t>
  </si>
  <si>
    <t>Workflow Dashboard</t>
  </si>
  <si>
    <t>Senior Client Manager In Charge :</t>
  </si>
  <si>
    <t>Mollen Mukuze</t>
  </si>
  <si>
    <t>Team Name:</t>
  </si>
  <si>
    <t xml:space="preserve">Star Bongowongo </t>
  </si>
  <si>
    <t>Team Member:</t>
  </si>
  <si>
    <t>Star</t>
  </si>
  <si>
    <t xml:space="preserve">Role: </t>
  </si>
  <si>
    <t>Senior Auditor</t>
  </si>
  <si>
    <t>Analysis:</t>
  </si>
  <si>
    <t>Fees:</t>
  </si>
  <si>
    <t>Hours:</t>
  </si>
  <si>
    <t xml:space="preserve">Annual Fee Budget                </t>
  </si>
  <si>
    <t>Annual Budgeted Hours</t>
  </si>
  <si>
    <t xml:space="preserve">Scheduled Work and Jobs   </t>
  </si>
  <si>
    <t>Scheduled Hours</t>
  </si>
  <si>
    <r>
      <t xml:space="preserve">Over </t>
    </r>
    <r>
      <rPr>
        <sz val="10"/>
        <color rgb="FFFF0000"/>
        <rFont val="Tw Cen MT"/>
        <family val="2"/>
      </rPr>
      <t>(Under)</t>
    </r>
    <r>
      <rPr>
        <sz val="10"/>
        <color rgb="FF000000"/>
        <rFont val="Tw Cen MT"/>
        <family val="2"/>
      </rPr>
      <t xml:space="preserve"> Scheduled Work</t>
    </r>
  </si>
  <si>
    <t>Remaining Hours to Fill:</t>
  </si>
  <si>
    <t xml:space="preserve">   January</t>
  </si>
  <si>
    <t>Apr</t>
  </si>
  <si>
    <t>July</t>
  </si>
  <si>
    <t>Oct</t>
  </si>
  <si>
    <t>Feb</t>
  </si>
  <si>
    <t>May</t>
  </si>
  <si>
    <t>Aug</t>
  </si>
  <si>
    <t>Nov</t>
  </si>
  <si>
    <t>Mar</t>
  </si>
  <si>
    <t>June</t>
  </si>
  <si>
    <t>Sept</t>
  </si>
  <si>
    <t>Dec</t>
  </si>
  <si>
    <t>Total Productivity Hours To Fill :</t>
  </si>
  <si>
    <t>Workflow Schedule for</t>
  </si>
  <si>
    <t>January</t>
  </si>
  <si>
    <t>Charge Rate:</t>
  </si>
  <si>
    <t>Working Days in Month</t>
  </si>
  <si>
    <t>KPI %</t>
  </si>
  <si>
    <t>Hours per Day</t>
  </si>
  <si>
    <t>Monthly Budgeted Hours</t>
  </si>
  <si>
    <t>Total Scheduled Fees</t>
  </si>
  <si>
    <t>Hours Left</t>
  </si>
  <si>
    <t>Entity Group \ Job Name</t>
  </si>
  <si>
    <t>Notes</t>
  </si>
  <si>
    <t>Estimated Fees for Job</t>
  </si>
  <si>
    <t>Team Members Job Completion %</t>
  </si>
  <si>
    <t>Pricing or Efficiency Override</t>
  </si>
  <si>
    <t>Budgeted WIP</t>
  </si>
  <si>
    <t>Job Budgeted Hrs</t>
  </si>
  <si>
    <t xml:space="preserve">Submission Date to client </t>
  </si>
  <si>
    <t>Accountants commnent on Due Date</t>
  </si>
  <si>
    <t>Monthly Recurring Work</t>
  </si>
  <si>
    <t xml:space="preserve">Management Accounts: </t>
  </si>
  <si>
    <t>Once Off Clients:</t>
  </si>
  <si>
    <t>Aquity Innovations NPC</t>
  </si>
  <si>
    <t xml:space="preserve">Audit </t>
  </si>
  <si>
    <t>Customers Appreciate Better Service (PTY) LTD</t>
  </si>
  <si>
    <t xml:space="preserve">AFS Preparation </t>
  </si>
  <si>
    <t>DAWN RISK MANAGING AGENCY (PTY) LTD</t>
  </si>
  <si>
    <t xml:space="preserve">Auditors Letters review </t>
  </si>
  <si>
    <t>Directec Consulting (Pty) Ltd</t>
  </si>
  <si>
    <t>Review Directors Income confirmation letter.</t>
  </si>
  <si>
    <t>Portia</t>
  </si>
  <si>
    <t>Audit - Review of the reports and supporting documents.</t>
  </si>
  <si>
    <t>Sefton Engineering (Pty) Ltd</t>
  </si>
  <si>
    <t>Review of AFS.</t>
  </si>
  <si>
    <t>Simbarashe Makwembere</t>
  </si>
  <si>
    <t>SARS letter review</t>
  </si>
  <si>
    <t>Excl VAT</t>
  </si>
  <si>
    <t>February</t>
  </si>
  <si>
    <t>Management Accounts:</t>
  </si>
  <si>
    <t>Once Off work:</t>
  </si>
  <si>
    <t>March</t>
  </si>
  <si>
    <t>Mamangement Accounts:</t>
  </si>
  <si>
    <t>Payroll:</t>
  </si>
  <si>
    <t>Once off work:</t>
  </si>
  <si>
    <t>April</t>
  </si>
  <si>
    <t xml:space="preserve">Payroll: </t>
  </si>
  <si>
    <t xml:space="preserve">Once off work: </t>
  </si>
  <si>
    <t>Monthly Reccuring Work</t>
  </si>
  <si>
    <t>Once Off Work:</t>
  </si>
  <si>
    <t>Once Off Clients</t>
  </si>
  <si>
    <t>August</t>
  </si>
  <si>
    <t>September</t>
  </si>
  <si>
    <t>October</t>
  </si>
  <si>
    <t>November</t>
  </si>
  <si>
    <t xml:space="preserve">
</t>
  </si>
  <si>
    <t xml:space="preserve">Workflow Schedule for </t>
  </si>
  <si>
    <t>December</t>
  </si>
  <si>
    <t xml:space="preserve">Accountants commnent on Due Date </t>
  </si>
  <si>
    <t>5244,00</t>
  </si>
  <si>
    <t>20712,00</t>
  </si>
  <si>
    <t>5644,20</t>
  </si>
  <si>
    <t>Star Bongowongo</t>
  </si>
  <si>
    <t>Tatenda Chasakara</t>
  </si>
  <si>
    <t>Tatenda</t>
  </si>
  <si>
    <t>Accountant</t>
  </si>
  <si>
    <t>Once Off Client:</t>
  </si>
  <si>
    <t>Hambo Lwethu Travel</t>
  </si>
  <si>
    <t xml:space="preserve">Bank Reconciliation </t>
  </si>
  <si>
    <t>Implantcast SA (Pty) Ltd</t>
  </si>
  <si>
    <t>Rutendo Addeline Gavhera</t>
  </si>
  <si>
    <t>Tax submission</t>
  </si>
  <si>
    <t>SA SELLO</t>
  </si>
  <si>
    <t>Spade Encryption (Pty) Ltd</t>
  </si>
  <si>
    <t> Tax submission</t>
  </si>
  <si>
    <t>-</t>
  </si>
  <si>
    <t>Spade - New client</t>
  </si>
  <si>
    <t xml:space="preserve">Sinet </t>
  </si>
  <si>
    <t>Rudzi Mziki</t>
  </si>
  <si>
    <t xml:space="preserve">Rudzi </t>
  </si>
  <si>
    <t xml:space="preserve">Accounting Intern </t>
  </si>
  <si>
    <t>Blue Hills</t>
  </si>
  <si>
    <t>Bongani Buthelezi</t>
  </si>
  <si>
    <t>Prepare rental income schedule</t>
  </si>
  <si>
    <t>Nosipho</t>
  </si>
  <si>
    <t xml:space="preserve">Bank statement requisition, cost estimation </t>
  </si>
  <si>
    <t>DR P Ngwata</t>
  </si>
  <si>
    <t>due dilligene reports </t>
  </si>
  <si>
    <t>EmpowerXX</t>
  </si>
  <si>
    <t>Freshly Ground (Pty) Ltd</t>
  </si>
  <si>
    <t xml:space="preserve">Management accounts Review </t>
  </si>
  <si>
    <t>SARS Dispute Resolution</t>
  </si>
  <si>
    <t>Hylee Choto</t>
  </si>
  <si>
    <t>2nd Provisional tax submission ,  ITR 14 - submission</t>
  </si>
  <si>
    <t>Jacas Trading (Pty) Ltd</t>
  </si>
  <si>
    <t xml:space="preserve">Management accounts </t>
  </si>
  <si>
    <t>KHANYA CONSORTIUM</t>
  </si>
  <si>
    <t>(1st) Provisional Tax Submission</t>
  </si>
  <si>
    <t>Mosuhlamakwe Projects and Trading Enterprise (Pty) Ltd</t>
  </si>
  <si>
    <t>ITR 14 - submission</t>
  </si>
  <si>
    <t>Nkothimemo2021 Trading (Pty) Ltd</t>
  </si>
  <si>
    <t>Transaction Allocations ,AFS Preparation , management accounts review</t>
  </si>
  <si>
    <t>Peter Chali</t>
  </si>
  <si>
    <t> ITR 14 - submission</t>
  </si>
  <si>
    <t>R Protections (Pty) Ltd</t>
  </si>
  <si>
    <t>Consulting Services</t>
  </si>
  <si>
    <t>Natasha Mohunlal and Associates</t>
  </si>
  <si>
    <t xml:space="preserve">Amagovu Trust </t>
  </si>
  <si>
    <t xml:space="preserve">Income Tax Number Registration  </t>
  </si>
  <si>
    <t>GUGULETHU FOUNDATION NPC</t>
  </si>
  <si>
    <t>Tax Profile Registration</t>
  </si>
  <si>
    <t>Kenneth Mashava</t>
  </si>
  <si>
    <t xml:space="preserve">Kenneth </t>
  </si>
  <si>
    <t xml:space="preserve">Siyaphila Trading </t>
  </si>
  <si>
    <t>Astra Matellite</t>
  </si>
  <si>
    <t>Katlego Mamatlepa</t>
  </si>
  <si>
    <t>Depesh Cara - Rudzi</t>
  </si>
  <si>
    <t>TMM TECH -Rudzi</t>
  </si>
  <si>
    <t>Recovery Advisors - Kenneth</t>
  </si>
  <si>
    <t>Luk capital - Tatenda</t>
  </si>
  <si>
    <t>MMFS - Kenneth</t>
  </si>
  <si>
    <t>Katomax Investments - Rudzi</t>
  </si>
  <si>
    <t xml:space="preserve">Bruce Saurombe </t>
  </si>
  <si>
    <t>Bruce</t>
  </si>
  <si>
    <t xml:space="preserve">Susbtream </t>
  </si>
  <si>
    <t>Heavens Gate</t>
  </si>
  <si>
    <t>Managemet Accounts</t>
  </si>
  <si>
    <t>Annual Financial Statements</t>
  </si>
  <si>
    <t xml:space="preserve">Christine Mashava </t>
  </si>
  <si>
    <t xml:space="preserve">Christine </t>
  </si>
  <si>
    <t>Junior Accountant</t>
  </si>
  <si>
    <t>Affinity Risk Solutions</t>
  </si>
  <si>
    <t>Bixa Consulting (Pty) Ltd</t>
  </si>
  <si>
    <t>changing shareholders and the company structure</t>
  </si>
  <si>
    <t>Auditors appointment  and confirmation letter</t>
  </si>
  <si>
    <t>GLN Properties (Pty) Ltd</t>
  </si>
  <si>
    <t>preparing schedule,EMP 201</t>
  </si>
  <si>
    <t>Hambo Lwethu Travel (Pty) Ltd</t>
  </si>
  <si>
    <t>emp 201</t>
  </si>
  <si>
    <t>Innovateher Solutions (Pty) Ltd</t>
  </si>
  <si>
    <t>beneficial ownership</t>
  </si>
  <si>
    <t>Joren Communications (Pty) Ltd</t>
  </si>
  <si>
    <t>Processing payroll , Ufiling Submissions</t>
  </si>
  <si>
    <t>payroll setup and payroll</t>
  </si>
  <si>
    <t>MP Zwane And Associates</t>
  </si>
  <si>
    <t>Rentals Properteam Fourways</t>
  </si>
  <si>
    <t>compiling documents for COIDA , emp 201,staement converting and sorting for PAYE</t>
  </si>
  <si>
    <t>share register and mandate , CIPC return 2021 to 2025 , address change for company and director , 	company reinstatement</t>
  </si>
  <si>
    <t>SMECPT</t>
  </si>
  <si>
    <t>Processing payroll</t>
  </si>
  <si>
    <t>Wood Wharf Investments</t>
  </si>
  <si>
    <t>company registration</t>
  </si>
  <si>
    <t>Once off Work:</t>
  </si>
  <si>
    <t xml:space="preserve">Jacas Trading </t>
  </si>
  <si>
    <t>CIPC Annual Returns and BO</t>
  </si>
  <si>
    <t xml:space="preserve">ACHRI </t>
  </si>
  <si>
    <t>Property Audit</t>
  </si>
  <si>
    <t>EMP201 Submissions (Jan 2026)</t>
  </si>
  <si>
    <t xml:space="preserve">Lesego Moncho </t>
  </si>
  <si>
    <t xml:space="preserve">Lesego </t>
  </si>
  <si>
    <t xml:space="preserve">Maxopani Holdings </t>
  </si>
  <si>
    <t>Bruce Saurombe</t>
  </si>
  <si>
    <t>Simelinkosi Kariga</t>
  </si>
  <si>
    <t xml:space="preserve">Simelinkosi </t>
  </si>
  <si>
    <t>Bookkeeper</t>
  </si>
  <si>
    <t>every 6 months</t>
  </si>
  <si>
    <t>every 2 months</t>
  </si>
  <si>
    <t>Mavis Bincent</t>
  </si>
  <si>
    <t xml:space="preserve">Mavis </t>
  </si>
  <si>
    <t xml:space="preserve">Aquity 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</si>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</sst>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* #,##0.00_);_(* \(#,##0.00\);_(* &quot;-&quot;??_);_(@_)"/>
    <numFmt numFmtId="167" formatCode="_-&quot;£&quot;* #,##0.00_-;\-&quot;£&quot;* #,##0.00_-;_-&quot;£&quot;* &quot;-&quot;??_-;_-@_-"/>
    <numFmt numFmtId="168" formatCode="_(* #,##0_);_(* \(#,##0\);_(* &quot;-&quot;??_);_(@_)"/>
    <numFmt numFmtId="169" formatCode="_-[$R-1C09]* #,##0.00_-;\-[$R-1C09]* #,##0.00_-;_-[$R-1C09]* &quot;-&quot;??_-;_-@_-"/>
    <numFmt numFmtId="170" formatCode="_-* #,##0_-;\-* #,##0_-;_-* &quot;-&quot;??_-;_-@_-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Tw Cen MT"/>
      <family val="2"/>
    </font>
    <font>
      <b/>
      <sz val="20"/>
      <color theme="1"/>
      <name val="Tw Cen MT"/>
      <family val="2"/>
    </font>
    <font>
      <b/>
      <sz val="20"/>
      <color theme="0"/>
      <name val="Tw Cen MT"/>
      <family val="2"/>
    </font>
    <font>
      <sz val="12"/>
      <color rgb="FF000000"/>
      <name val="Tw Cen MT"/>
      <family val="2"/>
    </font>
    <font>
      <b/>
      <sz val="12"/>
      <color theme="0"/>
      <name val="Tw Cen MT"/>
      <family val="2"/>
    </font>
    <font>
      <b/>
      <sz val="12"/>
      <name val="Tw Cen MT"/>
      <family val="2"/>
    </font>
    <font>
      <sz val="12"/>
      <name val="Tw Cen MT"/>
      <family val="2"/>
    </font>
    <font>
      <b/>
      <sz val="10"/>
      <color theme="0"/>
      <name val="Tw Cen MT"/>
      <family val="2"/>
    </font>
    <font>
      <b/>
      <sz val="10"/>
      <name val="Tw Cen MT"/>
      <family val="2"/>
    </font>
    <font>
      <sz val="10"/>
      <name val="Tw Cen MT"/>
      <family val="2"/>
    </font>
    <font>
      <b/>
      <sz val="10"/>
      <color rgb="FF000000"/>
      <name val="Tw Cen MT"/>
      <family val="2"/>
    </font>
    <font>
      <sz val="10"/>
      <color rgb="FFFF0000"/>
      <name val="Tw Cen MT"/>
      <family val="2"/>
    </font>
    <font>
      <sz val="11"/>
      <color rgb="FF000000"/>
      <name val="Tw Cen MT"/>
      <family val="2"/>
    </font>
    <font>
      <sz val="10"/>
      <color theme="1"/>
      <name val="Tw Cen MT"/>
      <family val="2"/>
    </font>
    <font>
      <sz val="11"/>
      <name val="Tw Cen MT"/>
      <family val="2"/>
    </font>
    <font>
      <b/>
      <sz val="11"/>
      <color rgb="FF000000"/>
      <name val="Tw Cen MT"/>
      <family val="2"/>
    </font>
    <font>
      <b/>
      <sz val="14"/>
      <name val="Tw Cen MT"/>
      <family val="2"/>
    </font>
    <font>
      <sz val="11"/>
      <color rgb="FF242424"/>
      <name val="Tw Cen MT"/>
      <family val="2"/>
    </font>
    <font>
      <b/>
      <sz val="11"/>
      <name val="Tw Cen MT"/>
      <family val="2"/>
    </font>
    <font>
      <b/>
      <sz val="15"/>
      <color rgb="FF000000"/>
      <name val="Tw Cen MT"/>
      <family val="2"/>
    </font>
    <font>
      <sz val="25"/>
      <color rgb="FF000000"/>
      <name val="Tw Cen MT"/>
      <family val="2"/>
    </font>
    <font>
      <b/>
      <sz val="25"/>
      <color rgb="FF000000"/>
      <name val="Tw Cen MT"/>
      <family val="2"/>
    </font>
    <font>
      <b/>
      <sz val="40"/>
      <color theme="1"/>
      <name val="Tw Cen MT"/>
      <family val="2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212529"/>
      <name val="Tw Cen MT"/>
      <family val="2"/>
    </font>
    <font>
      <sz val="10"/>
      <name val="Tw Cen MT"/>
    </font>
    <font>
      <sz val="10"/>
      <color rgb="FF000000"/>
      <name val="Tw Cen MT"/>
    </font>
    <font>
      <sz val="10"/>
      <color rgb="FFFF0000"/>
      <name val="Tw Cen MT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999FF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dashed">
        <color indexed="64"/>
      </top>
      <bottom/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/>
      <right style="dashed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indexed="64"/>
      </top>
      <bottom/>
      <diagonal/>
    </border>
    <border>
      <left/>
      <right style="thin">
        <color auto="1"/>
      </right>
      <top style="thin">
        <color auto="1"/>
      </top>
      <bottom style="dashed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39">
    <xf numFmtId="0" fontId="0" fillId="0" borderId="0" xfId="0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7" fontId="4" fillId="2" borderId="1" xfId="2" applyFont="1" applyFill="1" applyBorder="1" applyAlignment="1" applyProtection="1">
      <alignment horizontal="center" vertical="center"/>
    </xf>
    <xf numFmtId="0" fontId="2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38" fontId="2" fillId="0" borderId="3" xfId="0" applyNumberFormat="1" applyFont="1" applyBorder="1" applyAlignment="1">
      <alignment wrapText="1"/>
    </xf>
    <xf numFmtId="9" fontId="11" fillId="4" borderId="3" xfId="3" applyFont="1" applyFill="1" applyBorder="1" applyAlignment="1">
      <alignment horizontal="center" wrapText="1"/>
    </xf>
    <xf numFmtId="43" fontId="11" fillId="4" borderId="3" xfId="1" applyFont="1" applyFill="1" applyBorder="1" applyAlignment="1">
      <alignment horizontal="center" wrapText="1"/>
    </xf>
    <xf numFmtId="9" fontId="11" fillId="0" borderId="6" xfId="3" applyFont="1" applyFill="1" applyBorder="1" applyAlignment="1">
      <alignment horizontal="center"/>
    </xf>
    <xf numFmtId="0" fontId="14" fillId="0" borderId="0" xfId="0" applyFont="1"/>
    <xf numFmtId="0" fontId="14" fillId="0" borderId="9" xfId="0" applyFont="1" applyBorder="1"/>
    <xf numFmtId="0" fontId="14" fillId="0" borderId="9" xfId="0" applyFont="1" applyBorder="1" applyAlignment="1">
      <alignment wrapText="1"/>
    </xf>
    <xf numFmtId="9" fontId="11" fillId="5" borderId="3" xfId="3" applyFont="1" applyFill="1" applyBorder="1" applyAlignment="1">
      <alignment horizontal="center" wrapText="1"/>
    </xf>
    <xf numFmtId="43" fontId="11" fillId="5" borderId="3" xfId="1" applyFont="1" applyFill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2" fillId="0" borderId="9" xfId="0" applyFont="1" applyBorder="1" applyAlignment="1">
      <alignment wrapText="1"/>
    </xf>
    <xf numFmtId="0" fontId="11" fillId="0" borderId="9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167" fontId="11" fillId="0" borderId="9" xfId="2" applyFont="1" applyFill="1" applyBorder="1"/>
    <xf numFmtId="9" fontId="11" fillId="0" borderId="9" xfId="3" applyFont="1" applyFill="1" applyBorder="1" applyAlignment="1">
      <alignment horizontal="center"/>
    </xf>
    <xf numFmtId="170" fontId="11" fillId="2" borderId="9" xfId="1" applyNumberFormat="1" applyFont="1" applyFill="1" applyBorder="1"/>
    <xf numFmtId="0" fontId="10" fillId="0" borderId="9" xfId="0" applyFont="1" applyBorder="1" applyAlignment="1">
      <alignment horizontal="left"/>
    </xf>
    <xf numFmtId="0" fontId="11" fillId="2" borderId="9" xfId="0" applyFont="1" applyFill="1" applyBorder="1" applyAlignment="1">
      <alignment horizontal="left"/>
    </xf>
    <xf numFmtId="0" fontId="11" fillId="0" borderId="9" xfId="0" applyFont="1" applyBorder="1"/>
    <xf numFmtId="0" fontId="13" fillId="0" borderId="9" xfId="0" applyFont="1" applyBorder="1"/>
    <xf numFmtId="0" fontId="2" fillId="2" borderId="9" xfId="0" applyFont="1" applyFill="1" applyBorder="1" applyAlignment="1">
      <alignment wrapText="1"/>
    </xf>
    <xf numFmtId="170" fontId="11" fillId="0" borderId="9" xfId="1" applyNumberFormat="1" applyFont="1" applyFill="1" applyBorder="1"/>
    <xf numFmtId="0" fontId="10" fillId="5" borderId="9" xfId="0" applyFont="1" applyFill="1" applyBorder="1" applyAlignment="1">
      <alignment horizontal="center" wrapText="1"/>
    </xf>
    <xf numFmtId="9" fontId="11" fillId="5" borderId="9" xfId="3" applyFont="1" applyFill="1" applyBorder="1" applyAlignment="1">
      <alignment horizontal="center" wrapText="1"/>
    </xf>
    <xf numFmtId="43" fontId="11" fillId="5" borderId="9" xfId="1" applyFont="1" applyFill="1" applyBorder="1" applyAlignment="1">
      <alignment horizontal="center" wrapText="1"/>
    </xf>
    <xf numFmtId="37" fontId="11" fillId="5" borderId="9" xfId="2" applyNumberFormat="1" applyFont="1" applyFill="1" applyBorder="1" applyAlignment="1">
      <alignment horizontal="center" wrapText="1"/>
    </xf>
    <xf numFmtId="0" fontId="10" fillId="0" borderId="9" xfId="0" applyFont="1" applyBorder="1" applyAlignment="1">
      <alignment horizontal="center"/>
    </xf>
    <xf numFmtId="37" fontId="10" fillId="0" borderId="9" xfId="0" applyNumberFormat="1" applyFont="1" applyBorder="1"/>
    <xf numFmtId="37" fontId="10" fillId="0" borderId="9" xfId="0" applyNumberFormat="1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164" fontId="11" fillId="0" borderId="9" xfId="2" applyNumberFormat="1" applyFont="1" applyFill="1" applyBorder="1"/>
    <xf numFmtId="0" fontId="12" fillId="0" borderId="9" xfId="0" applyFont="1" applyBorder="1" applyAlignment="1">
      <alignment wrapText="1"/>
    </xf>
    <xf numFmtId="166" fontId="11" fillId="2" borderId="9" xfId="1" applyNumberFormat="1" applyFont="1" applyFill="1" applyBorder="1"/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14" fillId="0" borderId="16" xfId="0" applyFont="1" applyBorder="1"/>
    <xf numFmtId="9" fontId="14" fillId="0" borderId="0" xfId="0" applyNumberFormat="1" applyFont="1"/>
    <xf numFmtId="0" fontId="8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17" fillId="0" borderId="9" xfId="0" applyFont="1" applyBorder="1"/>
    <xf numFmtId="0" fontId="5" fillId="0" borderId="9" xfId="0" applyFont="1" applyBorder="1"/>
    <xf numFmtId="0" fontId="11" fillId="2" borderId="9" xfId="0" applyFont="1" applyFill="1" applyBorder="1"/>
    <xf numFmtId="0" fontId="11" fillId="2" borderId="9" xfId="0" applyFont="1" applyFill="1" applyBorder="1" applyAlignment="1">
      <alignment horizontal="center"/>
    </xf>
    <xf numFmtId="9" fontId="11" fillId="2" borderId="9" xfId="3" applyFont="1" applyFill="1" applyBorder="1" applyAlignment="1">
      <alignment horizontal="center"/>
    </xf>
    <xf numFmtId="169" fontId="5" fillId="0" borderId="9" xfId="0" applyNumberFormat="1" applyFont="1" applyBorder="1" applyAlignment="1">
      <alignment wrapText="1"/>
    </xf>
    <xf numFmtId="166" fontId="11" fillId="0" borderId="9" xfId="1" applyNumberFormat="1" applyFont="1" applyFill="1" applyBorder="1"/>
    <xf numFmtId="0" fontId="15" fillId="0" borderId="9" xfId="0" applyFont="1" applyBorder="1" applyAlignment="1">
      <alignment horizontal="left"/>
    </xf>
    <xf numFmtId="166" fontId="11" fillId="0" borderId="9" xfId="1" applyNumberFormat="1" applyFont="1" applyBorder="1"/>
    <xf numFmtId="9" fontId="2" fillId="0" borderId="9" xfId="3" applyFont="1" applyFill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14" fillId="2" borderId="0" xfId="0" applyFont="1" applyFill="1"/>
    <xf numFmtId="9" fontId="14" fillId="2" borderId="0" xfId="0" applyNumberFormat="1" applyFont="1" applyFill="1"/>
    <xf numFmtId="0" fontId="8" fillId="2" borderId="9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14" fillId="2" borderId="9" xfId="0" applyFont="1" applyFill="1" applyBorder="1"/>
    <xf numFmtId="0" fontId="11" fillId="0" borderId="8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0" fillId="5" borderId="8" xfId="0" applyFont="1" applyFill="1" applyBorder="1" applyAlignment="1">
      <alignment horizontal="center" wrapText="1"/>
    </xf>
    <xf numFmtId="169" fontId="14" fillId="0" borderId="3" xfId="0" applyNumberFormat="1" applyFont="1" applyBorder="1" applyAlignment="1">
      <alignment horizontal="center" vertical="center" wrapText="1"/>
    </xf>
    <xf numFmtId="169" fontId="11" fillId="5" borderId="3" xfId="2" applyNumberFormat="1" applyFont="1" applyFill="1" applyBorder="1" applyAlignment="1">
      <alignment horizontal="center" wrapText="1"/>
    </xf>
    <xf numFmtId="0" fontId="12" fillId="0" borderId="0" xfId="0" applyFont="1" applyAlignment="1">
      <alignment wrapText="1"/>
    </xf>
    <xf numFmtId="0" fontId="17" fillId="0" borderId="0" xfId="0" applyFont="1"/>
    <xf numFmtId="9" fontId="17" fillId="0" borderId="0" xfId="0" applyNumberFormat="1" applyFont="1"/>
    <xf numFmtId="0" fontId="17" fillId="2" borderId="9" xfId="0" applyFont="1" applyFill="1" applyBorder="1"/>
    <xf numFmtId="0" fontId="5" fillId="2" borderId="9" xfId="0" applyFont="1" applyFill="1" applyBorder="1"/>
    <xf numFmtId="0" fontId="10" fillId="2" borderId="9" xfId="0" applyFont="1" applyFill="1" applyBorder="1" applyAlignment="1">
      <alignment horizontal="left"/>
    </xf>
    <xf numFmtId="0" fontId="10" fillId="0" borderId="9" xfId="0" applyFont="1" applyBorder="1" applyAlignment="1">
      <alignment vertical="center" wrapText="1"/>
    </xf>
    <xf numFmtId="0" fontId="14" fillId="0" borderId="18" xfId="0" applyFont="1" applyBorder="1"/>
    <xf numFmtId="0" fontId="11" fillId="0" borderId="18" xfId="0" applyFont="1" applyBorder="1" applyAlignment="1">
      <alignment horizontal="center"/>
    </xf>
    <xf numFmtId="167" fontId="11" fillId="0" borderId="18" xfId="2" applyFont="1" applyFill="1" applyBorder="1"/>
    <xf numFmtId="9" fontId="11" fillId="0" borderId="18" xfId="3" applyFont="1" applyFill="1" applyBorder="1" applyAlignment="1">
      <alignment horizontal="center"/>
    </xf>
    <xf numFmtId="170" fontId="11" fillId="2" borderId="18" xfId="1" applyNumberFormat="1" applyFont="1" applyFill="1" applyBorder="1"/>
    <xf numFmtId="0" fontId="2" fillId="0" borderId="2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11" fillId="0" borderId="23" xfId="0" applyFont="1" applyBorder="1" applyAlignment="1">
      <alignment horizontal="left"/>
    </xf>
    <xf numFmtId="0" fontId="2" fillId="0" borderId="3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11" fillId="0" borderId="23" xfId="0" applyFont="1" applyBorder="1" applyAlignment="1">
      <alignment horizontal="center"/>
    </xf>
    <xf numFmtId="164" fontId="11" fillId="0" borderId="23" xfId="2" applyNumberFormat="1" applyFont="1" applyFill="1" applyBorder="1"/>
    <xf numFmtId="9" fontId="11" fillId="0" borderId="23" xfId="3" applyFont="1" applyFill="1" applyBorder="1" applyAlignment="1">
      <alignment horizontal="center"/>
    </xf>
    <xf numFmtId="170" fontId="11" fillId="2" borderId="23" xfId="1" applyNumberFormat="1" applyFont="1" applyFill="1" applyBorder="1"/>
    <xf numFmtId="0" fontId="11" fillId="0" borderId="3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164" fontId="11" fillId="0" borderId="3" xfId="2" applyNumberFormat="1" applyFont="1" applyFill="1" applyBorder="1"/>
    <xf numFmtId="9" fontId="11" fillId="0" borderId="3" xfId="3" applyFont="1" applyFill="1" applyBorder="1" applyAlignment="1">
      <alignment horizontal="center"/>
    </xf>
    <xf numFmtId="167" fontId="11" fillId="2" borderId="3" xfId="2" applyFont="1" applyFill="1" applyBorder="1"/>
    <xf numFmtId="170" fontId="11" fillId="2" borderId="3" xfId="1" applyNumberFormat="1" applyFont="1" applyFill="1" applyBorder="1"/>
    <xf numFmtId="0" fontId="10" fillId="2" borderId="9" xfId="0" applyFont="1" applyFill="1" applyBorder="1" applyAlignment="1">
      <alignment vertical="center" wrapText="1"/>
    </xf>
    <xf numFmtId="0" fontId="12" fillId="0" borderId="9" xfId="0" applyFont="1" applyBorder="1"/>
    <xf numFmtId="0" fontId="13" fillId="2" borderId="9" xfId="0" applyFont="1" applyFill="1" applyBorder="1"/>
    <xf numFmtId="0" fontId="10" fillId="5" borderId="18" xfId="0" applyFont="1" applyFill="1" applyBorder="1" applyAlignment="1">
      <alignment horizontal="center" wrapText="1"/>
    </xf>
    <xf numFmtId="168" fontId="10" fillId="5" borderId="18" xfId="0" applyNumberFormat="1" applyFont="1" applyFill="1" applyBorder="1" applyAlignment="1">
      <alignment wrapText="1"/>
    </xf>
    <xf numFmtId="0" fontId="10" fillId="5" borderId="18" xfId="0" applyFont="1" applyFill="1" applyBorder="1" applyAlignment="1">
      <alignment wrapText="1"/>
    </xf>
    <xf numFmtId="168" fontId="10" fillId="5" borderId="18" xfId="1" applyNumberFormat="1" applyFont="1" applyFill="1" applyBorder="1"/>
    <xf numFmtId="0" fontId="10" fillId="5" borderId="3" xfId="0" applyFont="1" applyFill="1" applyBorder="1" applyAlignment="1">
      <alignment horizontal="center" wrapText="1"/>
    </xf>
    <xf numFmtId="168" fontId="10" fillId="5" borderId="3" xfId="0" applyNumberFormat="1" applyFont="1" applyFill="1" applyBorder="1" applyAlignment="1">
      <alignment wrapText="1"/>
    </xf>
    <xf numFmtId="0" fontId="10" fillId="5" borderId="3" xfId="0" applyFont="1" applyFill="1" applyBorder="1" applyAlignment="1">
      <alignment wrapText="1"/>
    </xf>
    <xf numFmtId="168" fontId="10" fillId="5" borderId="3" xfId="1" applyNumberFormat="1" applyFont="1" applyFill="1" applyBorder="1"/>
    <xf numFmtId="170" fontId="10" fillId="5" borderId="3" xfId="1" applyNumberFormat="1" applyFont="1" applyFill="1" applyBorder="1"/>
    <xf numFmtId="0" fontId="12" fillId="5" borderId="8" xfId="0" applyFont="1" applyFill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2" fillId="0" borderId="24" xfId="0" applyFont="1" applyBorder="1" applyAlignment="1">
      <alignment wrapText="1"/>
    </xf>
    <xf numFmtId="0" fontId="12" fillId="2" borderId="8" xfId="0" applyFont="1" applyFill="1" applyBorder="1" applyAlignment="1">
      <alignment wrapText="1"/>
    </xf>
    <xf numFmtId="0" fontId="2" fillId="0" borderId="2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2" fillId="5" borderId="3" xfId="0" applyFont="1" applyFill="1" applyBorder="1" applyAlignment="1">
      <alignment wrapText="1"/>
    </xf>
    <xf numFmtId="0" fontId="16" fillId="0" borderId="3" xfId="0" applyFont="1" applyBorder="1"/>
    <xf numFmtId="0" fontId="12" fillId="0" borderId="3" xfId="0" applyFont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0" fillId="0" borderId="3" xfId="0" applyBorder="1"/>
    <xf numFmtId="0" fontId="2" fillId="0" borderId="4" xfId="0" applyFont="1" applyBorder="1" applyAlignment="1">
      <alignment wrapText="1"/>
    </xf>
    <xf numFmtId="0" fontId="2" fillId="0" borderId="27" xfId="0" applyFont="1" applyBorder="1" applyAlignment="1">
      <alignment wrapText="1"/>
    </xf>
    <xf numFmtId="38" fontId="11" fillId="5" borderId="8" xfId="2" applyNumberFormat="1" applyFont="1" applyFill="1" applyBorder="1" applyAlignment="1">
      <alignment horizontal="center" wrapText="1"/>
    </xf>
    <xf numFmtId="0" fontId="12" fillId="5" borderId="21" xfId="0" applyFont="1" applyFill="1" applyBorder="1" applyAlignment="1">
      <alignment wrapText="1"/>
    </xf>
    <xf numFmtId="0" fontId="12" fillId="5" borderId="27" xfId="0" applyFont="1" applyFill="1" applyBorder="1" applyAlignment="1">
      <alignment wrapText="1"/>
    </xf>
    <xf numFmtId="169" fontId="11" fillId="5" borderId="9" xfId="2" applyNumberFormat="1" applyFont="1" applyFill="1" applyBorder="1" applyAlignment="1">
      <alignment horizontal="center" wrapText="1"/>
    </xf>
    <xf numFmtId="169" fontId="12" fillId="0" borderId="9" xfId="0" applyNumberFormat="1" applyFont="1" applyBorder="1" applyAlignment="1">
      <alignment horizontal="center" wrapText="1"/>
    </xf>
    <xf numFmtId="169" fontId="11" fillId="2" borderId="9" xfId="2" applyNumberFormat="1" applyFont="1" applyFill="1" applyBorder="1"/>
    <xf numFmtId="169" fontId="10" fillId="5" borderId="18" xfId="2" applyNumberFormat="1" applyFont="1" applyFill="1" applyBorder="1" applyAlignment="1">
      <alignment horizontal="right"/>
    </xf>
    <xf numFmtId="169" fontId="10" fillId="5" borderId="3" xfId="2" applyNumberFormat="1" applyFont="1" applyFill="1" applyBorder="1" applyAlignment="1">
      <alignment horizontal="right"/>
    </xf>
    <xf numFmtId="169" fontId="11" fillId="0" borderId="9" xfId="2" applyNumberFormat="1" applyFont="1" applyFill="1" applyBorder="1"/>
    <xf numFmtId="169" fontId="19" fillId="0" borderId="9" xfId="0" applyNumberFormat="1" applyFont="1" applyBorder="1"/>
    <xf numFmtId="169" fontId="11" fillId="2" borderId="18" xfId="2" applyNumberFormat="1" applyFont="1" applyFill="1" applyBorder="1"/>
    <xf numFmtId="169" fontId="11" fillId="0" borderId="18" xfId="2" applyNumberFormat="1" applyFont="1" applyFill="1" applyBorder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169" fontId="2" fillId="0" borderId="0" xfId="0" applyNumberFormat="1" applyFont="1" applyAlignment="1">
      <alignment wrapText="1"/>
    </xf>
    <xf numFmtId="0" fontId="10" fillId="0" borderId="23" xfId="0" applyFont="1" applyBorder="1" applyAlignment="1">
      <alignment horizontal="left"/>
    </xf>
    <xf numFmtId="37" fontId="10" fillId="0" borderId="23" xfId="0" applyNumberFormat="1" applyFont="1" applyBorder="1"/>
    <xf numFmtId="37" fontId="10" fillId="0" borderId="23" xfId="0" applyNumberFormat="1" applyFont="1" applyBorder="1" applyAlignment="1">
      <alignment horizontal="center" wrapText="1"/>
    </xf>
    <xf numFmtId="0" fontId="12" fillId="0" borderId="23" xfId="0" applyFont="1" applyBorder="1" applyAlignment="1">
      <alignment horizontal="center" wrapText="1"/>
    </xf>
    <xf numFmtId="169" fontId="12" fillId="0" borderId="23" xfId="0" applyNumberFormat="1" applyFont="1" applyBorder="1" applyAlignment="1">
      <alignment horizontal="center" wrapText="1"/>
    </xf>
    <xf numFmtId="169" fontId="10" fillId="5" borderId="3" xfId="0" applyNumberFormat="1" applyFont="1" applyFill="1" applyBorder="1" applyAlignment="1">
      <alignment horizontal="center" wrapText="1"/>
    </xf>
    <xf numFmtId="37" fontId="11" fillId="5" borderId="3" xfId="2" applyNumberFormat="1" applyFont="1" applyFill="1" applyBorder="1" applyAlignment="1">
      <alignment horizontal="center" wrapText="1"/>
    </xf>
    <xf numFmtId="38" fontId="11" fillId="5" borderId="3" xfId="2" applyNumberFormat="1" applyFont="1" applyFill="1" applyBorder="1" applyAlignment="1">
      <alignment horizontal="center" wrapText="1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9" fontId="11" fillId="5" borderId="23" xfId="3" applyFont="1" applyFill="1" applyBorder="1" applyAlignment="1">
      <alignment horizontal="center" wrapText="1"/>
    </xf>
    <xf numFmtId="43" fontId="11" fillId="5" borderId="23" xfId="1" applyFont="1" applyFill="1" applyBorder="1" applyAlignment="1">
      <alignment horizontal="center" wrapText="1"/>
    </xf>
    <xf numFmtId="37" fontId="11" fillId="5" borderId="23" xfId="2" applyNumberFormat="1" applyFont="1" applyFill="1" applyBorder="1" applyAlignment="1">
      <alignment horizontal="center" wrapText="1"/>
    </xf>
    <xf numFmtId="169" fontId="11" fillId="5" borderId="23" xfId="2" applyNumberFormat="1" applyFont="1" applyFill="1" applyBorder="1" applyAlignment="1">
      <alignment horizontal="center" wrapText="1"/>
    </xf>
    <xf numFmtId="38" fontId="11" fillId="5" borderId="23" xfId="2" applyNumberFormat="1" applyFont="1" applyFill="1" applyBorder="1" applyAlignment="1">
      <alignment horizontal="center" wrapText="1"/>
    </xf>
    <xf numFmtId="169" fontId="10" fillId="0" borderId="9" xfId="0" applyNumberFormat="1" applyFont="1" applyBorder="1"/>
    <xf numFmtId="0" fontId="11" fillId="0" borderId="4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9" fontId="11" fillId="0" borderId="4" xfId="3" applyFont="1" applyFill="1" applyBorder="1" applyAlignment="1">
      <alignment horizontal="center"/>
    </xf>
    <xf numFmtId="0" fontId="2" fillId="0" borderId="12" xfId="0" applyFont="1" applyBorder="1" applyAlignment="1">
      <alignment wrapText="1"/>
    </xf>
    <xf numFmtId="169" fontId="2" fillId="0" borderId="3" xfId="0" applyNumberFormat="1" applyFont="1" applyBorder="1" applyAlignment="1">
      <alignment wrapText="1"/>
    </xf>
    <xf numFmtId="169" fontId="11" fillId="0" borderId="4" xfId="2" applyNumberFormat="1" applyFont="1" applyFill="1" applyBorder="1"/>
    <xf numFmtId="169" fontId="11" fillId="2" borderId="4" xfId="2" applyNumberFormat="1" applyFont="1" applyFill="1" applyBorder="1"/>
    <xf numFmtId="0" fontId="12" fillId="0" borderId="18" xfId="0" applyFont="1" applyBorder="1" applyAlignment="1">
      <alignment wrapText="1"/>
    </xf>
    <xf numFmtId="0" fontId="11" fillId="0" borderId="18" xfId="0" applyFont="1" applyBorder="1" applyAlignment="1">
      <alignment horizontal="left"/>
    </xf>
    <xf numFmtId="167" fontId="12" fillId="5" borderId="3" xfId="0" applyNumberFormat="1" applyFont="1" applyFill="1" applyBorder="1" applyAlignment="1">
      <alignment wrapText="1"/>
    </xf>
    <xf numFmtId="169" fontId="12" fillId="5" borderId="3" xfId="0" applyNumberFormat="1" applyFont="1" applyFill="1" applyBorder="1" applyAlignment="1">
      <alignment wrapText="1"/>
    </xf>
    <xf numFmtId="9" fontId="11" fillId="0" borderId="10" xfId="3" applyFont="1" applyFill="1" applyBorder="1" applyAlignment="1">
      <alignment horizontal="center"/>
    </xf>
    <xf numFmtId="0" fontId="11" fillId="0" borderId="18" xfId="0" applyFont="1" applyBorder="1"/>
    <xf numFmtId="0" fontId="11" fillId="0" borderId="23" xfId="0" applyFont="1" applyBorder="1"/>
    <xf numFmtId="169" fontId="11" fillId="0" borderId="23" xfId="2" applyNumberFormat="1" applyFont="1" applyFill="1" applyBorder="1"/>
    <xf numFmtId="0" fontId="10" fillId="0" borderId="3" xfId="0" applyFont="1" applyBorder="1" applyAlignment="1">
      <alignment horizontal="left"/>
    </xf>
    <xf numFmtId="169" fontId="11" fillId="0" borderId="3" xfId="2" applyNumberFormat="1" applyFont="1" applyFill="1" applyBorder="1"/>
    <xf numFmtId="0" fontId="11" fillId="0" borderId="3" xfId="0" applyFont="1" applyBorder="1"/>
    <xf numFmtId="0" fontId="15" fillId="0" borderId="3" xfId="0" applyFont="1" applyBorder="1" applyAlignment="1">
      <alignment horizontal="left"/>
    </xf>
    <xf numFmtId="0" fontId="5" fillId="0" borderId="18" xfId="0" applyFont="1" applyBorder="1" applyAlignment="1">
      <alignment vertical="center" wrapText="1"/>
    </xf>
    <xf numFmtId="169" fontId="5" fillId="0" borderId="18" xfId="0" applyNumberFormat="1" applyFont="1" applyBorder="1" applyAlignment="1">
      <alignment wrapText="1"/>
    </xf>
    <xf numFmtId="167" fontId="10" fillId="5" borderId="3" xfId="2" applyFont="1" applyFill="1" applyBorder="1" applyAlignment="1">
      <alignment horizontal="center" wrapText="1"/>
    </xf>
    <xf numFmtId="0" fontId="17" fillId="0" borderId="18" xfId="0" applyFont="1" applyBorder="1"/>
    <xf numFmtId="167" fontId="11" fillId="0" borderId="23" xfId="2" applyFont="1" applyFill="1" applyBorder="1"/>
    <xf numFmtId="169" fontId="11" fillId="2" borderId="23" xfId="2" applyNumberFormat="1" applyFont="1" applyFill="1" applyBorder="1"/>
    <xf numFmtId="37" fontId="10" fillId="0" borderId="3" xfId="0" applyNumberFormat="1" applyFont="1" applyBorder="1"/>
    <xf numFmtId="37" fontId="10" fillId="0" borderId="3" xfId="0" applyNumberFormat="1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169" fontId="12" fillId="0" borderId="3" xfId="0" applyNumberFormat="1" applyFont="1" applyBorder="1" applyAlignment="1">
      <alignment horizontal="center" wrapText="1"/>
    </xf>
    <xf numFmtId="0" fontId="11" fillId="0" borderId="18" xfId="0" applyFont="1" applyBorder="1" applyAlignment="1">
      <alignment horizontal="left" wrapText="1"/>
    </xf>
    <xf numFmtId="170" fontId="11" fillId="0" borderId="18" xfId="1" applyNumberFormat="1" applyFont="1" applyFill="1" applyBorder="1"/>
    <xf numFmtId="0" fontId="11" fillId="0" borderId="3" xfId="0" applyFont="1" applyBorder="1" applyAlignment="1">
      <alignment horizontal="left" wrapText="1"/>
    </xf>
    <xf numFmtId="167" fontId="11" fillId="0" borderId="3" xfId="2" applyFont="1" applyFill="1" applyBorder="1"/>
    <xf numFmtId="170" fontId="11" fillId="0" borderId="3" xfId="1" applyNumberFormat="1" applyFont="1" applyFill="1" applyBorder="1"/>
    <xf numFmtId="0" fontId="11" fillId="0" borderId="23" xfId="0" applyFont="1" applyBorder="1" applyAlignment="1">
      <alignment horizontal="left" wrapText="1"/>
    </xf>
    <xf numFmtId="0" fontId="12" fillId="0" borderId="3" xfId="0" applyFont="1" applyBorder="1" applyAlignment="1">
      <alignment horizontal="left"/>
    </xf>
    <xf numFmtId="0" fontId="11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13" fillId="0" borderId="3" xfId="0" applyFont="1" applyBorder="1"/>
    <xf numFmtId="169" fontId="11" fillId="0" borderId="3" xfId="2" applyNumberFormat="1" applyFont="1" applyBorder="1"/>
    <xf numFmtId="169" fontId="11" fillId="0" borderId="9" xfId="2" applyNumberFormat="1" applyFont="1" applyBorder="1"/>
    <xf numFmtId="0" fontId="11" fillId="0" borderId="27" xfId="0" applyFont="1" applyBorder="1" applyAlignment="1">
      <alignment horizontal="left"/>
    </xf>
    <xf numFmtId="167" fontId="11" fillId="0" borderId="27" xfId="2" applyFont="1" applyFill="1" applyBorder="1"/>
    <xf numFmtId="9" fontId="11" fillId="0" borderId="27" xfId="3" applyFont="1" applyFill="1" applyBorder="1" applyAlignment="1">
      <alignment horizontal="center"/>
    </xf>
    <xf numFmtId="9" fontId="11" fillId="0" borderId="22" xfId="3" applyFont="1" applyFill="1" applyBorder="1" applyAlignment="1">
      <alignment horizontal="center"/>
    </xf>
    <xf numFmtId="9" fontId="11" fillId="0" borderId="37" xfId="3" applyFont="1" applyFill="1" applyBorder="1" applyAlignment="1">
      <alignment horizontal="center"/>
    </xf>
    <xf numFmtId="37" fontId="10" fillId="0" borderId="20" xfId="0" applyNumberFormat="1" applyFont="1" applyBorder="1" applyAlignment="1">
      <alignment horizontal="center" wrapText="1"/>
    </xf>
    <xf numFmtId="9" fontId="11" fillId="0" borderId="38" xfId="3" applyFont="1" applyFill="1" applyBorder="1" applyAlignment="1">
      <alignment horizontal="center"/>
    </xf>
    <xf numFmtId="9" fontId="11" fillId="0" borderId="7" xfId="3" applyFont="1" applyFill="1" applyBorder="1" applyAlignment="1">
      <alignment horizontal="center"/>
    </xf>
    <xf numFmtId="9" fontId="11" fillId="0" borderId="13" xfId="3" applyFont="1" applyFill="1" applyBorder="1" applyAlignment="1">
      <alignment horizontal="center"/>
    </xf>
    <xf numFmtId="9" fontId="11" fillId="0" borderId="26" xfId="3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11" fillId="2" borderId="3" xfId="0" applyFont="1" applyFill="1" applyBorder="1"/>
    <xf numFmtId="0" fontId="13" fillId="2" borderId="3" xfId="0" applyFont="1" applyFill="1" applyBorder="1"/>
    <xf numFmtId="0" fontId="11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left" wrapText="1"/>
    </xf>
    <xf numFmtId="9" fontId="11" fillId="5" borderId="27" xfId="3" applyFont="1" applyFill="1" applyBorder="1" applyAlignment="1">
      <alignment horizontal="center" wrapText="1"/>
    </xf>
    <xf numFmtId="43" fontId="11" fillId="5" borderId="36" xfId="1" applyFont="1" applyFill="1" applyBorder="1" applyAlignment="1">
      <alignment horizontal="center" wrapText="1"/>
    </xf>
    <xf numFmtId="37" fontId="11" fillId="5" borderId="40" xfId="2" applyNumberFormat="1" applyFont="1" applyFill="1" applyBorder="1" applyAlignment="1">
      <alignment horizontal="center" wrapText="1"/>
    </xf>
    <xf numFmtId="38" fontId="11" fillId="5" borderId="27" xfId="2" applyNumberFormat="1" applyFont="1" applyFill="1" applyBorder="1" applyAlignment="1">
      <alignment horizontal="center" wrapText="1"/>
    </xf>
    <xf numFmtId="9" fontId="11" fillId="2" borderId="3" xfId="3" applyFont="1" applyFill="1" applyBorder="1" applyAlignment="1">
      <alignment horizontal="center"/>
    </xf>
    <xf numFmtId="170" fontId="11" fillId="2" borderId="3" xfId="1" applyNumberFormat="1" applyFont="1" applyFill="1" applyBorder="1" applyAlignment="1">
      <alignment horizontal="right"/>
    </xf>
    <xf numFmtId="9" fontId="11" fillId="0" borderId="3" xfId="3" applyFont="1" applyBorder="1" applyAlignment="1">
      <alignment horizontal="center"/>
    </xf>
    <xf numFmtId="170" fontId="11" fillId="0" borderId="3" xfId="1" applyNumberFormat="1" applyFont="1" applyBorder="1"/>
    <xf numFmtId="169" fontId="11" fillId="5" borderId="39" xfId="2" applyNumberFormat="1" applyFont="1" applyFill="1" applyBorder="1" applyAlignment="1">
      <alignment horizontal="center" wrapText="1"/>
    </xf>
    <xf numFmtId="169" fontId="12" fillId="0" borderId="5" xfId="0" applyNumberFormat="1" applyFont="1" applyBorder="1" applyAlignment="1">
      <alignment horizontal="center" wrapText="1"/>
    </xf>
    <xf numFmtId="169" fontId="11" fillId="2" borderId="3" xfId="2" applyNumberFormat="1" applyFont="1" applyFill="1" applyBorder="1"/>
    <xf numFmtId="169" fontId="11" fillId="0" borderId="3" xfId="2" quotePrefix="1" applyNumberFormat="1" applyFont="1" applyFill="1" applyBorder="1"/>
    <xf numFmtId="169" fontId="11" fillId="5" borderId="27" xfId="2" applyNumberFormat="1" applyFont="1" applyFill="1" applyBorder="1" applyAlignment="1">
      <alignment horizontal="center" wrapText="1"/>
    </xf>
    <xf numFmtId="169" fontId="11" fillId="2" borderId="3" xfId="2" quotePrefix="1" applyNumberFormat="1" applyFont="1" applyFill="1" applyBorder="1"/>
    <xf numFmtId="0" fontId="16" fillId="0" borderId="0" xfId="0" applyFont="1"/>
    <xf numFmtId="169" fontId="16" fillId="0" borderId="3" xfId="2" applyNumberFormat="1" applyFont="1" applyFill="1" applyBorder="1"/>
    <xf numFmtId="169" fontId="20" fillId="5" borderId="3" xfId="2" applyNumberFormat="1" applyFont="1" applyFill="1" applyBorder="1" applyAlignment="1">
      <alignment horizontal="right"/>
    </xf>
    <xf numFmtId="0" fontId="2" fillId="0" borderId="0" xfId="0" applyFont="1" applyAlignment="1">
      <alignment horizontal="center" wrapText="1"/>
    </xf>
    <xf numFmtId="165" fontId="12" fillId="0" borderId="0" xfId="0" applyNumberFormat="1" applyFont="1" applyAlignment="1">
      <alignment wrapText="1"/>
    </xf>
    <xf numFmtId="0" fontId="2" fillId="0" borderId="0" xfId="0" applyFont="1" applyAlignment="1">
      <alignment horizontal="right" wrapText="1"/>
    </xf>
    <xf numFmtId="38" fontId="12" fillId="0" borderId="0" xfId="0" applyNumberFormat="1" applyFont="1" applyAlignment="1">
      <alignment horizontal="right" wrapText="1"/>
    </xf>
    <xf numFmtId="169" fontId="11" fillId="4" borderId="3" xfId="2" applyNumberFormat="1" applyFont="1" applyFill="1" applyBorder="1" applyAlignment="1">
      <alignment horizontal="center" wrapText="1"/>
    </xf>
    <xf numFmtId="0" fontId="10" fillId="0" borderId="27" xfId="0" applyFont="1" applyBorder="1" applyAlignment="1">
      <alignment horizontal="left"/>
    </xf>
    <xf numFmtId="37" fontId="10" fillId="0" borderId="27" xfId="0" applyNumberFormat="1" applyFont="1" applyBorder="1"/>
    <xf numFmtId="37" fontId="10" fillId="0" borderId="27" xfId="0" applyNumberFormat="1" applyFont="1" applyBorder="1" applyAlignment="1">
      <alignment horizontal="center" wrapText="1"/>
    </xf>
    <xf numFmtId="0" fontId="12" fillId="0" borderId="27" xfId="0" applyFont="1" applyBorder="1" applyAlignment="1">
      <alignment horizontal="center" wrapText="1"/>
    </xf>
    <xf numFmtId="17" fontId="2" fillId="0" borderId="3" xfId="0" applyNumberFormat="1" applyFont="1" applyBorder="1" applyAlignment="1">
      <alignment horizontal="center" wrapText="1"/>
    </xf>
    <xf numFmtId="17" fontId="2" fillId="0" borderId="3" xfId="0" applyNumberFormat="1" applyFont="1" applyBorder="1" applyAlignment="1">
      <alignment horizontal="right" wrapText="1"/>
    </xf>
    <xf numFmtId="0" fontId="9" fillId="2" borderId="3" xfId="0" applyFont="1" applyFill="1" applyBorder="1" applyAlignment="1">
      <alignment horizontal="right" wrapText="1"/>
    </xf>
    <xf numFmtId="0" fontId="6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10" fillId="2" borderId="3" xfId="0" applyFont="1" applyFill="1" applyBorder="1" applyAlignment="1">
      <alignment horizontal="left"/>
    </xf>
    <xf numFmtId="0" fontId="6" fillId="2" borderId="39" xfId="0" applyFont="1" applyFill="1" applyBorder="1" applyAlignment="1">
      <alignment horizontal="right" wrapText="1"/>
    </xf>
    <xf numFmtId="0" fontId="5" fillId="0" borderId="34" xfId="0" applyFont="1" applyBorder="1" applyAlignment="1">
      <alignment wrapText="1"/>
    </xf>
    <xf numFmtId="0" fontId="2" fillId="0" borderId="26" xfId="0" applyFont="1" applyBorder="1" applyAlignment="1">
      <alignment wrapText="1"/>
    </xf>
    <xf numFmtId="169" fontId="12" fillId="0" borderId="0" xfId="2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horizontal="right"/>
    </xf>
    <xf numFmtId="0" fontId="2" fillId="0" borderId="34" xfId="0" applyFont="1" applyBorder="1" applyAlignment="1">
      <alignment wrapText="1"/>
    </xf>
    <xf numFmtId="0" fontId="22" fillId="0" borderId="0" xfId="0" applyFont="1" applyAlignment="1">
      <alignment wrapText="1"/>
    </xf>
    <xf numFmtId="0" fontId="22" fillId="0" borderId="3" xfId="0" applyFont="1" applyBorder="1" applyAlignment="1">
      <alignment wrapText="1"/>
    </xf>
    <xf numFmtId="0" fontId="22" fillId="0" borderId="0" xfId="0" applyFont="1"/>
    <xf numFmtId="9" fontId="22" fillId="0" borderId="0" xfId="0" applyNumberFormat="1" applyFont="1"/>
    <xf numFmtId="0" fontId="22" fillId="0" borderId="31" xfId="0" applyFont="1" applyBorder="1" applyAlignment="1">
      <alignment wrapText="1"/>
    </xf>
    <xf numFmtId="168" fontId="10" fillId="5" borderId="25" xfId="1" applyNumberFormat="1" applyFont="1" applyFill="1" applyBorder="1"/>
    <xf numFmtId="168" fontId="10" fillId="5" borderId="5" xfId="1" applyNumberFormat="1" applyFont="1" applyFill="1" applyBorder="1"/>
    <xf numFmtId="169" fontId="11" fillId="2" borderId="8" xfId="2" applyNumberFormat="1" applyFont="1" applyFill="1" applyBorder="1"/>
    <xf numFmtId="169" fontId="11" fillId="2" borderId="25" xfId="2" applyNumberFormat="1" applyFont="1" applyFill="1" applyBorder="1"/>
    <xf numFmtId="169" fontId="10" fillId="5" borderId="5" xfId="2" applyNumberFormat="1" applyFont="1" applyFill="1" applyBorder="1" applyAlignment="1">
      <alignment horizontal="right"/>
    </xf>
    <xf numFmtId="170" fontId="10" fillId="5" borderId="27" xfId="1" applyNumberFormat="1" applyFont="1" applyFill="1" applyBorder="1"/>
    <xf numFmtId="169" fontId="10" fillId="5" borderId="25" xfId="2" applyNumberFormat="1" applyFont="1" applyFill="1" applyBorder="1" applyAlignment="1">
      <alignment horizontal="right"/>
    </xf>
    <xf numFmtId="170" fontId="11" fillId="2" borderId="8" xfId="1" applyNumberFormat="1" applyFont="1" applyFill="1" applyBorder="1"/>
    <xf numFmtId="170" fontId="11" fillId="2" borderId="25" xfId="1" applyNumberFormat="1" applyFont="1" applyFill="1" applyBorder="1"/>
    <xf numFmtId="170" fontId="11" fillId="2" borderId="5" xfId="1" applyNumberFormat="1" applyFont="1" applyFill="1" applyBorder="1"/>
    <xf numFmtId="169" fontId="11" fillId="0" borderId="8" xfId="2" applyNumberFormat="1" applyFont="1" applyFill="1" applyBorder="1"/>
    <xf numFmtId="169" fontId="11" fillId="0" borderId="25" xfId="2" applyNumberFormat="1" applyFont="1" applyFill="1" applyBorder="1"/>
    <xf numFmtId="169" fontId="12" fillId="5" borderId="5" xfId="0" applyNumberFormat="1" applyFont="1" applyFill="1" applyBorder="1" applyAlignment="1">
      <alignment wrapText="1"/>
    </xf>
    <xf numFmtId="166" fontId="11" fillId="0" borderId="18" xfId="1" applyNumberFormat="1" applyFont="1" applyFill="1" applyBorder="1"/>
    <xf numFmtId="166" fontId="11" fillId="0" borderId="3" xfId="1" applyNumberFormat="1" applyFont="1" applyFill="1" applyBorder="1"/>
    <xf numFmtId="9" fontId="11" fillId="0" borderId="8" xfId="3" applyFont="1" applyFill="1" applyBorder="1" applyAlignment="1">
      <alignment horizontal="center"/>
    </xf>
    <xf numFmtId="9" fontId="11" fillId="0" borderId="25" xfId="3" applyFont="1" applyFill="1" applyBorder="1" applyAlignment="1">
      <alignment horizontal="center"/>
    </xf>
    <xf numFmtId="9" fontId="11" fillId="0" borderId="5" xfId="3" applyFont="1" applyFill="1" applyBorder="1" applyAlignment="1">
      <alignment horizontal="center"/>
    </xf>
    <xf numFmtId="167" fontId="12" fillId="5" borderId="5" xfId="0" applyNumberFormat="1" applyFont="1" applyFill="1" applyBorder="1" applyAlignment="1">
      <alignment wrapText="1"/>
    </xf>
    <xf numFmtId="2" fontId="11" fillId="2" borderId="3" xfId="1" applyNumberFormat="1" applyFont="1" applyFill="1" applyBorder="1"/>
    <xf numFmtId="0" fontId="11" fillId="0" borderId="27" xfId="0" applyFont="1" applyBorder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/>
    <xf numFmtId="0" fontId="25" fillId="3" borderId="3" xfId="0" applyFont="1" applyFill="1" applyBorder="1" applyAlignment="1">
      <alignment horizontal="center"/>
    </xf>
    <xf numFmtId="9" fontId="0" fillId="0" borderId="3" xfId="0" applyNumberFormat="1" applyBorder="1"/>
    <xf numFmtId="9" fontId="0" fillId="0" borderId="3" xfId="3" applyFont="1" applyBorder="1"/>
    <xf numFmtId="169" fontId="0" fillId="0" borderId="3" xfId="0" applyNumberFormat="1" applyBorder="1"/>
    <xf numFmtId="169" fontId="25" fillId="3" borderId="3" xfId="0" applyNumberFormat="1" applyFont="1" applyFill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3" xfId="3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8" fillId="0" borderId="3" xfId="0" applyFont="1" applyBorder="1" applyAlignment="1">
      <alignment horizontal="center"/>
    </xf>
    <xf numFmtId="0" fontId="29" fillId="3" borderId="3" xfId="0" applyFont="1" applyFill="1" applyBorder="1" applyAlignment="1">
      <alignment horizontal="center"/>
    </xf>
    <xf numFmtId="0" fontId="29" fillId="6" borderId="3" xfId="0" applyFont="1" applyFill="1" applyBorder="1" applyAlignment="1">
      <alignment horizontal="center"/>
    </xf>
    <xf numFmtId="169" fontId="16" fillId="0" borderId="27" xfId="2" applyNumberFormat="1" applyFont="1" applyFill="1" applyBorder="1"/>
    <xf numFmtId="169" fontId="11" fillId="0" borderId="27" xfId="2" applyNumberFormat="1" applyFont="1" applyFill="1" applyBorder="1"/>
    <xf numFmtId="170" fontId="11" fillId="2" borderId="27" xfId="1" applyNumberFormat="1" applyFont="1" applyFill="1" applyBorder="1"/>
    <xf numFmtId="0" fontId="16" fillId="0" borderId="27" xfId="0" applyFont="1" applyBorder="1"/>
    <xf numFmtId="9" fontId="30" fillId="0" borderId="3" xfId="3" applyFont="1" applyBorder="1" applyAlignment="1">
      <alignment horizontal="center"/>
    </xf>
    <xf numFmtId="0" fontId="0" fillId="7" borderId="0" xfId="0" applyFill="1"/>
    <xf numFmtId="0" fontId="0" fillId="8" borderId="3" xfId="0" applyFill="1" applyBorder="1"/>
    <xf numFmtId="0" fontId="0" fillId="2" borderId="0" xfId="0" applyFill="1"/>
    <xf numFmtId="9" fontId="0" fillId="2" borderId="3" xfId="3" applyFont="1" applyFill="1" applyBorder="1"/>
    <xf numFmtId="0" fontId="0" fillId="2" borderId="0" xfId="0" applyFill="1" applyAlignment="1">
      <alignment horizontal="center"/>
    </xf>
    <xf numFmtId="0" fontId="0" fillId="4" borderId="3" xfId="0" applyFill="1" applyBorder="1"/>
    <xf numFmtId="0" fontId="0" fillId="5" borderId="3" xfId="0" applyFill="1" applyBorder="1"/>
    <xf numFmtId="0" fontId="0" fillId="9" borderId="3" xfId="0" applyFill="1" applyBorder="1"/>
    <xf numFmtId="0" fontId="0" fillId="10" borderId="3" xfId="0" applyFill="1" applyBorder="1"/>
    <xf numFmtId="0" fontId="26" fillId="10" borderId="3" xfId="0" applyFont="1" applyFill="1" applyBorder="1"/>
    <xf numFmtId="0" fontId="27" fillId="10" borderId="3" xfId="0" applyFont="1" applyFill="1" applyBorder="1"/>
    <xf numFmtId="9" fontId="0" fillId="11" borderId="3" xfId="3" applyFont="1" applyFill="1" applyBorder="1"/>
    <xf numFmtId="9" fontId="0" fillId="12" borderId="3" xfId="3" applyFont="1" applyFill="1" applyBorder="1"/>
    <xf numFmtId="9" fontId="0" fillId="13" borderId="3" xfId="3" applyFont="1" applyFill="1" applyBorder="1"/>
    <xf numFmtId="9" fontId="0" fillId="14" borderId="3" xfId="3" applyFont="1" applyFill="1" applyBorder="1"/>
    <xf numFmtId="9" fontId="0" fillId="10" borderId="3" xfId="3" applyFont="1" applyFill="1" applyBorder="1"/>
    <xf numFmtId="0" fontId="0" fillId="0" borderId="3" xfId="0" applyBorder="1" applyAlignment="1">
      <alignment horizontal="center"/>
    </xf>
    <xf numFmtId="0" fontId="25" fillId="6" borderId="3" xfId="0" applyFont="1" applyFill="1" applyBorder="1" applyAlignment="1">
      <alignment horizontal="center"/>
    </xf>
    <xf numFmtId="0" fontId="31" fillId="0" borderId="3" xfId="0" applyFont="1" applyBorder="1"/>
    <xf numFmtId="0" fontId="9" fillId="7" borderId="0" xfId="0" applyFont="1" applyFill="1" applyAlignment="1">
      <alignment wrapText="1"/>
    </xf>
    <xf numFmtId="0" fontId="32" fillId="0" borderId="0" xfId="0" applyFont="1"/>
    <xf numFmtId="0" fontId="13" fillId="0" borderId="3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13" fillId="2" borderId="3" xfId="0" applyFont="1" applyFill="1" applyBorder="1" applyAlignment="1">
      <alignment horizontal="center"/>
    </xf>
    <xf numFmtId="0" fontId="33" fillId="0" borderId="0" xfId="0" applyFont="1"/>
    <xf numFmtId="43" fontId="11" fillId="0" borderId="3" xfId="1" applyFont="1" applyFill="1" applyBorder="1"/>
    <xf numFmtId="43" fontId="11" fillId="2" borderId="3" xfId="1" applyFont="1" applyFill="1" applyBorder="1"/>
    <xf numFmtId="43" fontId="11" fillId="2" borderId="3" xfId="1" applyFont="1" applyFill="1" applyBorder="1" applyAlignment="1">
      <alignment horizontal="right"/>
    </xf>
    <xf numFmtId="0" fontId="11" fillId="0" borderId="0" xfId="0" applyFont="1" applyAlignment="1">
      <alignment wrapText="1"/>
    </xf>
    <xf numFmtId="0" fontId="11" fillId="0" borderId="3" xfId="0" applyFont="1" applyBorder="1" applyAlignment="1">
      <alignment horizontal="center"/>
    </xf>
    <xf numFmtId="0" fontId="2" fillId="0" borderId="0" xfId="0" applyFont="1" applyAlignment="1">
      <alignment wrapText="1"/>
    </xf>
    <xf numFmtId="166" fontId="11" fillId="2" borderId="3" xfId="1" applyNumberFormat="1" applyFont="1" applyFill="1" applyBorder="1"/>
    <xf numFmtId="166" fontId="11" fillId="2" borderId="18" xfId="1" applyNumberFormat="1" applyFont="1" applyFill="1" applyBorder="1"/>
    <xf numFmtId="166" fontId="11" fillId="2" borderId="23" xfId="1" applyNumberFormat="1" applyFont="1" applyFill="1" applyBorder="1"/>
    <xf numFmtId="166" fontId="11" fillId="0" borderId="3" xfId="2" applyNumberFormat="1" applyFont="1" applyFill="1" applyBorder="1"/>
    <xf numFmtId="166" fontId="10" fillId="0" borderId="9" xfId="0" applyNumberFormat="1" applyFont="1" applyBorder="1" applyAlignment="1">
      <alignment horizontal="center" wrapText="1"/>
    </xf>
    <xf numFmtId="166" fontId="11" fillId="2" borderId="25" xfId="1" applyNumberFormat="1" applyFont="1" applyFill="1" applyBorder="1"/>
    <xf numFmtId="166" fontId="11" fillId="2" borderId="5" xfId="1" applyNumberFormat="1" applyFont="1" applyFill="1" applyBorder="1"/>
    <xf numFmtId="0" fontId="25" fillId="3" borderId="3" xfId="0" applyFont="1" applyFill="1" applyBorder="1" applyAlignment="1">
      <alignment horizontal="center"/>
    </xf>
    <xf numFmtId="167" fontId="4" fillId="3" borderId="41" xfId="2" applyFont="1" applyFill="1" applyBorder="1" applyAlignment="1" applyProtection="1">
      <alignment horizontal="center" vertical="center"/>
    </xf>
    <xf numFmtId="167" fontId="4" fillId="3" borderId="19" xfId="2" applyFont="1" applyFill="1" applyBorder="1" applyAlignment="1" applyProtection="1">
      <alignment horizontal="center" vertical="center"/>
    </xf>
    <xf numFmtId="167" fontId="4" fillId="3" borderId="28" xfId="2" applyFont="1" applyFill="1" applyBorder="1" applyAlignment="1" applyProtection="1">
      <alignment horizontal="center" vertical="center"/>
    </xf>
    <xf numFmtId="167" fontId="4" fillId="2" borderId="0" xfId="2" applyFont="1" applyFill="1" applyBorder="1" applyAlignment="1" applyProtection="1">
      <alignment horizontal="center" vertical="center"/>
    </xf>
    <xf numFmtId="167" fontId="4" fillId="2" borderId="34" xfId="2" applyFont="1" applyFill="1" applyBorder="1" applyAlignment="1" applyProtection="1">
      <alignment horizontal="center" vertical="center"/>
    </xf>
    <xf numFmtId="167" fontId="3" fillId="2" borderId="0" xfId="2" applyFont="1" applyFill="1" applyBorder="1" applyAlignment="1" applyProtection="1">
      <alignment horizontal="center" vertical="center"/>
    </xf>
    <xf numFmtId="167" fontId="3" fillId="2" borderId="35" xfId="2" applyFont="1" applyFill="1" applyBorder="1" applyAlignment="1" applyProtection="1">
      <alignment horizontal="center" vertical="center"/>
    </xf>
    <xf numFmtId="167" fontId="3" fillId="2" borderId="36" xfId="2" applyFont="1" applyFill="1" applyBorder="1" applyAlignment="1" applyProtection="1">
      <alignment horizontal="center" vertical="center"/>
    </xf>
    <xf numFmtId="0" fontId="6" fillId="3" borderId="5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26" xfId="0" applyFont="1" applyFill="1" applyBorder="1" applyAlignment="1">
      <alignment horizontal="center" wrapText="1"/>
    </xf>
    <xf numFmtId="0" fontId="7" fillId="4" borderId="5" xfId="0" applyFont="1" applyFill="1" applyBorder="1" applyAlignment="1">
      <alignment horizontal="center" wrapText="1"/>
    </xf>
    <xf numFmtId="0" fontId="7" fillId="4" borderId="11" xfId="0" applyFont="1" applyFill="1" applyBorder="1" applyAlignment="1">
      <alignment horizontal="center" wrapText="1"/>
    </xf>
    <xf numFmtId="0" fontId="7" fillId="4" borderId="26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" wrapText="1"/>
    </xf>
    <xf numFmtId="0" fontId="2" fillId="0" borderId="4" xfId="0" applyFont="1" applyBorder="1" applyAlignment="1">
      <alignment wrapText="1"/>
    </xf>
    <xf numFmtId="167" fontId="24" fillId="2" borderId="2" xfId="2" applyFont="1" applyFill="1" applyBorder="1" applyAlignment="1" applyProtection="1">
      <alignment horizontal="center" vertical="center" wrapText="1"/>
    </xf>
    <xf numFmtId="167" fontId="24" fillId="2" borderId="19" xfId="2" applyFont="1" applyFill="1" applyBorder="1" applyAlignment="1" applyProtection="1">
      <alignment horizontal="center" vertical="center" wrapText="1"/>
    </xf>
    <xf numFmtId="167" fontId="24" fillId="2" borderId="28" xfId="2" applyFont="1" applyFill="1" applyBorder="1" applyAlignment="1" applyProtection="1">
      <alignment horizontal="center" vertical="center" wrapText="1"/>
    </xf>
    <xf numFmtId="167" fontId="24" fillId="2" borderId="39" xfId="2" applyFont="1" applyFill="1" applyBorder="1" applyAlignment="1" applyProtection="1">
      <alignment horizontal="center" vertical="center" wrapText="1"/>
    </xf>
    <xf numFmtId="167" fontId="24" fillId="2" borderId="0" xfId="2" applyFont="1" applyFill="1" applyBorder="1" applyAlignment="1" applyProtection="1">
      <alignment horizontal="center" vertical="center" wrapText="1"/>
    </xf>
    <xf numFmtId="167" fontId="24" fillId="2" borderId="34" xfId="2" applyFont="1" applyFill="1" applyBorder="1" applyAlignment="1" applyProtection="1">
      <alignment horizontal="center" vertical="center" wrapText="1"/>
    </xf>
    <xf numFmtId="167" fontId="24" fillId="2" borderId="40" xfId="2" applyFont="1" applyFill="1" applyBorder="1" applyAlignment="1" applyProtection="1">
      <alignment horizontal="center" vertical="center" wrapText="1"/>
    </xf>
    <xf numFmtId="167" fontId="24" fillId="2" borderId="35" xfId="2" applyFont="1" applyFill="1" applyBorder="1" applyAlignment="1" applyProtection="1">
      <alignment horizontal="center" vertical="center" wrapText="1"/>
    </xf>
    <xf numFmtId="167" fontId="24" fillId="2" borderId="36" xfId="2" applyFont="1" applyFill="1" applyBorder="1" applyAlignment="1" applyProtection="1">
      <alignment horizontal="center" vertical="center" wrapText="1"/>
    </xf>
    <xf numFmtId="0" fontId="2" fillId="0" borderId="39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34" xfId="0" applyFont="1" applyBorder="1" applyAlignment="1">
      <alignment wrapText="1"/>
    </xf>
    <xf numFmtId="0" fontId="2" fillId="0" borderId="40" xfId="0" applyFont="1" applyBorder="1" applyAlignment="1">
      <alignment wrapText="1"/>
    </xf>
    <xf numFmtId="0" fontId="2" fillId="0" borderId="35" xfId="0" applyFont="1" applyBorder="1" applyAlignment="1">
      <alignment wrapText="1"/>
    </xf>
    <xf numFmtId="0" fontId="2" fillId="0" borderId="36" xfId="0" applyFont="1" applyBorder="1" applyAlignment="1">
      <alignment wrapText="1"/>
    </xf>
    <xf numFmtId="0" fontId="2" fillId="0" borderId="5" xfId="0" applyFont="1" applyBorder="1" applyAlignment="1">
      <alignment horizontal="left" wrapText="1"/>
    </xf>
    <xf numFmtId="0" fontId="2" fillId="0" borderId="26" xfId="0" applyFont="1" applyBorder="1" applyAlignment="1">
      <alignment horizontal="left" wrapText="1"/>
    </xf>
    <xf numFmtId="169" fontId="2" fillId="4" borderId="5" xfId="2" applyNumberFormat="1" applyFont="1" applyFill="1" applyBorder="1" applyAlignment="1">
      <alignment wrapText="1"/>
    </xf>
    <xf numFmtId="169" fontId="2" fillId="4" borderId="26" xfId="2" applyNumberFormat="1" applyFont="1" applyFill="1" applyBorder="1" applyAlignment="1">
      <alignment wrapText="1"/>
    </xf>
    <xf numFmtId="0" fontId="2" fillId="0" borderId="11" xfId="0" applyFont="1" applyBorder="1" applyAlignment="1">
      <alignment horizontal="left" wrapText="1"/>
    </xf>
    <xf numFmtId="37" fontId="2" fillId="2" borderId="5" xfId="2" applyNumberFormat="1" applyFont="1" applyFill="1" applyBorder="1" applyAlignment="1">
      <alignment horizontal="left" wrapText="1"/>
    </xf>
    <xf numFmtId="37" fontId="2" fillId="2" borderId="26" xfId="2" applyNumberFormat="1" applyFont="1" applyFill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169" fontId="2" fillId="0" borderId="3" xfId="2" applyNumberFormat="1" applyFont="1" applyBorder="1" applyAlignment="1">
      <alignment wrapText="1"/>
    </xf>
    <xf numFmtId="2" fontId="2" fillId="0" borderId="3" xfId="0" applyNumberFormat="1" applyFont="1" applyBorder="1" applyAlignment="1">
      <alignment horizontal="left" wrapText="1"/>
    </xf>
    <xf numFmtId="0" fontId="7" fillId="2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left" vertical="center"/>
    </xf>
    <xf numFmtId="38" fontId="12" fillId="0" borderId="3" xfId="0" applyNumberFormat="1" applyFont="1" applyBorder="1" applyAlignment="1">
      <alignment horizontal="center" wrapText="1"/>
    </xf>
    <xf numFmtId="0" fontId="21" fillId="0" borderId="3" xfId="0" applyFont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wrapText="1"/>
    </xf>
    <xf numFmtId="169" fontId="12" fillId="0" borderId="3" xfId="2" applyNumberFormat="1" applyFont="1" applyBorder="1" applyAlignment="1">
      <alignment wrapText="1"/>
    </xf>
    <xf numFmtId="38" fontId="12" fillId="0" borderId="3" xfId="0" applyNumberFormat="1" applyFont="1" applyBorder="1" applyAlignment="1">
      <alignment horizontal="left" wrapText="1"/>
    </xf>
    <xf numFmtId="0" fontId="1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10" fillId="5" borderId="3" xfId="0" applyFont="1" applyFill="1" applyBorder="1" applyAlignment="1">
      <alignment horizontal="center" wrapText="1"/>
    </xf>
    <xf numFmtId="0" fontId="11" fillId="4" borderId="3" xfId="0" applyFont="1" applyFill="1" applyBorder="1" applyAlignment="1">
      <alignment horizontal="center" wrapText="1"/>
    </xf>
    <xf numFmtId="0" fontId="10" fillId="0" borderId="27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3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23" fillId="4" borderId="5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23" fillId="4" borderId="26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wrapText="1"/>
    </xf>
    <xf numFmtId="0" fontId="23" fillId="4" borderId="5" xfId="0" applyFont="1" applyFill="1" applyBorder="1" applyAlignment="1">
      <alignment horizontal="center" vertical="center"/>
    </xf>
    <xf numFmtId="0" fontId="23" fillId="4" borderId="11" xfId="0" applyFont="1" applyFill="1" applyBorder="1" applyAlignment="1">
      <alignment horizontal="center" vertical="center"/>
    </xf>
    <xf numFmtId="0" fontId="23" fillId="4" borderId="26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/>
    </xf>
    <xf numFmtId="0" fontId="11" fillId="0" borderId="23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23" fillId="4" borderId="5" xfId="0" applyFont="1" applyFill="1" applyBorder="1" applyAlignment="1">
      <alignment horizontal="center" wrapText="1"/>
    </xf>
    <xf numFmtId="0" fontId="23" fillId="4" borderId="11" xfId="0" applyFont="1" applyFill="1" applyBorder="1" applyAlignment="1">
      <alignment horizontal="center" wrapText="1"/>
    </xf>
    <xf numFmtId="0" fontId="23" fillId="4" borderId="26" xfId="0" applyFont="1" applyFill="1" applyBorder="1" applyAlignment="1">
      <alignment horizontal="center" wrapText="1"/>
    </xf>
    <xf numFmtId="0" fontId="18" fillId="2" borderId="9" xfId="0" applyFont="1" applyFill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1" fillId="4" borderId="23" xfId="0" applyFont="1" applyFill="1" applyBorder="1" applyAlignment="1">
      <alignment horizontal="center" wrapText="1"/>
    </xf>
    <xf numFmtId="0" fontId="10" fillId="0" borderId="9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23" fillId="4" borderId="32" xfId="0" applyFont="1" applyFill="1" applyBorder="1" applyAlignment="1">
      <alignment horizontal="center" wrapText="1"/>
    </xf>
    <xf numFmtId="0" fontId="23" fillId="4" borderId="19" xfId="0" applyFont="1" applyFill="1" applyBorder="1" applyAlignment="1">
      <alignment horizontal="center" wrapText="1"/>
    </xf>
    <xf numFmtId="0" fontId="23" fillId="4" borderId="28" xfId="0" applyFont="1" applyFill="1" applyBorder="1" applyAlignment="1">
      <alignment horizontal="center" wrapText="1"/>
    </xf>
    <xf numFmtId="0" fontId="10" fillId="5" borderId="9" xfId="0" applyFont="1" applyFill="1" applyBorder="1" applyAlignment="1">
      <alignment horizontal="center" wrapText="1"/>
    </xf>
    <xf numFmtId="0" fontId="11" fillId="4" borderId="9" xfId="0" applyFont="1" applyFill="1" applyBorder="1" applyAlignment="1">
      <alignment horizontal="center" wrapText="1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21" fillId="2" borderId="17" xfId="0" applyFont="1" applyFill="1" applyBorder="1" applyAlignment="1">
      <alignment horizontal="center" vertical="center" wrapText="1"/>
    </xf>
    <xf numFmtId="0" fontId="23" fillId="4" borderId="29" xfId="0" applyFont="1" applyFill="1" applyBorder="1" applyAlignment="1">
      <alignment horizontal="center" vertical="center"/>
    </xf>
    <xf numFmtId="0" fontId="23" fillId="4" borderId="33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169" fontId="34" fillId="0" borderId="3" xfId="2" applyNumberFormat="1" applyFont="1" applyBorder="1"/>
    <xf numFmtId="0" fontId="35" fillId="0" borderId="3" xfId="0" applyFont="1" applyBorder="1" applyAlignment="1">
      <alignment horizontal="left"/>
    </xf>
    <xf numFmtId="0" fontId="34" fillId="2" borderId="3" xfId="0" applyFont="1" applyFill="1" applyBorder="1" applyAlignment="1">
      <alignment horizontal="left"/>
    </xf>
    <xf numFmtId="0" fontId="34" fillId="2" borderId="3" xfId="0" applyFont="1" applyFill="1" applyBorder="1" applyAlignment="1">
      <alignment horizontal="center"/>
    </xf>
    <xf numFmtId="169" fontId="34" fillId="2" borderId="3" xfId="2" applyNumberFormat="1" applyFont="1" applyFill="1" applyBorder="1"/>
    <xf numFmtId="9" fontId="34" fillId="2" borderId="3" xfId="3" applyFont="1" applyFill="1" applyBorder="1" applyAlignment="1">
      <alignment horizontal="center"/>
    </xf>
    <xf numFmtId="0" fontId="35" fillId="2" borderId="3" xfId="0" applyFont="1" applyFill="1" applyBorder="1" applyAlignment="1">
      <alignment horizontal="left"/>
    </xf>
    <xf numFmtId="9" fontId="34" fillId="0" borderId="3" xfId="3" applyFont="1" applyBorder="1" applyAlignment="1">
      <alignment horizontal="center"/>
    </xf>
    <xf numFmtId="0" fontId="36" fillId="2" borderId="3" xfId="0" applyFont="1" applyFill="1" applyBorder="1" applyAlignment="1">
      <alignment horizontal="center"/>
    </xf>
    <xf numFmtId="2" fontId="11" fillId="0" borderId="3" xfId="1" applyNumberFormat="1" applyFont="1" applyFill="1" applyBorder="1"/>
  </cellXfs>
  <cellStyles count="6">
    <cellStyle name="Comma" xfId="1" builtinId="3"/>
    <cellStyle name="Comma 2" xfId="5" xr:uid="{D3B53C95-4A33-472A-A82C-5CF907360FDA}"/>
    <cellStyle name="Comma 3" xfId="4" xr:uid="{F0AE2160-83A2-48B7-9FB0-97BB396C55D3}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9999FF"/>
      <color rgb="FF6666FF"/>
      <color rgb="FFFF66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18" Type="http://schemas.openxmlformats.org/officeDocument/2006/relationships/customXml" Target="../customXml/item2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1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6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microsoft.com/office/2017/10/relationships/person" Target="persons/person.xml" /><Relationship Id="rId10" Type="http://schemas.openxmlformats.org/officeDocument/2006/relationships/worksheet" Target="worksheets/sheet10.xml" /><Relationship Id="rId19" Type="http://schemas.openxmlformats.org/officeDocument/2006/relationships/customXml" Target="../customXml/item3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495299</xdr:colOff>
      <xdr:row>2</xdr:row>
      <xdr:rowOff>58740</xdr:rowOff>
    </xdr:from>
    <xdr:to>
      <xdr:col>3</xdr:col>
      <xdr:colOff>668122</xdr:colOff>
      <xdr:row>6</xdr:row>
      <xdr:rowOff>316299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A9F608-5C66-4741-8E78-EFAF837A8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699" y="401640"/>
          <a:ext cx="1830173" cy="10433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604838</xdr:colOff>
      <xdr:row>2</xdr:row>
      <xdr:rowOff>39690</xdr:rowOff>
    </xdr:from>
    <xdr:to>
      <xdr:col>4</xdr:col>
      <xdr:colOff>144248</xdr:colOff>
      <xdr:row>6</xdr:row>
      <xdr:rowOff>267383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210A72-410B-4198-9849-E7241D79B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9238" y="382590"/>
          <a:ext cx="1777785" cy="10135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533401</xdr:colOff>
      <xdr:row>2</xdr:row>
      <xdr:rowOff>39688</xdr:rowOff>
    </xdr:from>
    <xdr:to>
      <xdr:col>3</xdr:col>
      <xdr:colOff>672886</xdr:colOff>
      <xdr:row>6</xdr:row>
      <xdr:rowOff>245660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368D8D-081A-40DD-8E5C-1B36A4537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1" y="382588"/>
          <a:ext cx="1739685" cy="9917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819150</xdr:colOff>
      <xdr:row>2</xdr:row>
      <xdr:rowOff>34926</xdr:rowOff>
    </xdr:from>
    <xdr:to>
      <xdr:col>3</xdr:col>
      <xdr:colOff>715747</xdr:colOff>
      <xdr:row>6</xdr:row>
      <xdr:rowOff>342700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FB14E6-4BE2-4211-86F1-62187D9BE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3550" y="377826"/>
          <a:ext cx="1349160" cy="10935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571501</xdr:colOff>
      <xdr:row>2</xdr:row>
      <xdr:rowOff>87315</xdr:rowOff>
    </xdr:from>
    <xdr:to>
      <xdr:col>3</xdr:col>
      <xdr:colOff>600075</xdr:colOff>
      <xdr:row>6</xdr:row>
      <xdr:rowOff>298419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811449-F9AC-4583-99A9-BDFED7A9D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1" y="430215"/>
          <a:ext cx="1404937" cy="9969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2</xdr:row>
      <xdr:rowOff>82552</xdr:rowOff>
    </xdr:from>
    <xdr:to>
      <xdr:col>4</xdr:col>
      <xdr:colOff>77573</xdr:colOff>
      <xdr:row>6</xdr:row>
      <xdr:rowOff>274949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074C7C-F482-448C-BC50-BAE72C780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4475" y="425452"/>
          <a:ext cx="1715873" cy="9782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482599</xdr:colOff>
      <xdr:row>2</xdr:row>
      <xdr:rowOff>82551</xdr:rowOff>
    </xdr:from>
    <xdr:to>
      <xdr:col>4</xdr:col>
      <xdr:colOff>363323</xdr:colOff>
      <xdr:row>6</xdr:row>
      <xdr:rowOff>271462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EAB99-7611-4D46-962D-30A050F42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6999" y="244476"/>
          <a:ext cx="2119099" cy="9747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652463</xdr:colOff>
      <xdr:row>2</xdr:row>
      <xdr:rowOff>96839</xdr:rowOff>
    </xdr:from>
    <xdr:to>
      <xdr:col>4</xdr:col>
      <xdr:colOff>96623</xdr:colOff>
      <xdr:row>6</xdr:row>
      <xdr:rowOff>270230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536E7D-5DB9-4B08-9ACD-5E59C2CE0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6863" y="439739"/>
          <a:ext cx="1682535" cy="95920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2</xdr:row>
      <xdr:rowOff>82552</xdr:rowOff>
    </xdr:from>
    <xdr:to>
      <xdr:col>4</xdr:col>
      <xdr:colOff>87098</xdr:colOff>
      <xdr:row>6</xdr:row>
      <xdr:rowOff>274949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545CF1-9437-4CA9-B13D-0DAA143E8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425452"/>
          <a:ext cx="1715873" cy="9782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571501</xdr:colOff>
      <xdr:row>2</xdr:row>
      <xdr:rowOff>87315</xdr:rowOff>
    </xdr:from>
    <xdr:to>
      <xdr:col>4</xdr:col>
      <xdr:colOff>6136</xdr:colOff>
      <xdr:row>6</xdr:row>
      <xdr:rowOff>255276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35301A-9A12-4629-B833-C1E765B00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1" y="430215"/>
          <a:ext cx="1673010" cy="9537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shleigh Mavhondo" id="{1D46F57A-A0C8-4075-959E-081E55BEFED4}" userId="S::traineeaccountant2@brendmo.co.za::6bae8d65-37ac-42d8-bbd5-1303c414634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5-12-22T06:57:39.57" personId="{1D46F57A-A0C8-4075-959E-081E55BEFED4}" id="{9ED6117F-D2CD-41C6-84DD-7709B87789FB}">
    <text xml:space="preserve">colour coordinated to the tabs </text>
  </threadedComment>
  <threadedComment ref="E10" dT="2025-12-22T06:52:54.67" personId="{1D46F57A-A0C8-4075-959E-081E55BEFED4}" id="{43A1975F-4B2D-4B82-AEB2-BE4F415137B4}">
    <text xml:space="preserve">These amounts are from the “Management Accounts costs from August 2024 “ spreadsheet on the server. They differ from the “ management accounts de 2025” spreadsheet 
</text>
  </threadedComment>
  <threadedComment ref="I10" dT="2025-12-22T06:57:31.62" personId="{1D46F57A-A0C8-4075-959E-081E55BEFED4}" id="{302F3578-6A41-40E7-A134-BB2B1C86A606}">
    <text xml:space="preserve">colour coordinated to the tabs </text>
  </threadedComment>
  <threadedComment ref="C15" dT="2025-12-22T06:42:50.17" personId="{1D46F57A-A0C8-4075-959E-081E55BEFED4}" id="{8A16BC76-5C95-4567-9D88-4717ACE42488}">
    <text xml:space="preserve">I don’t have the prices for spade , astra and plush spaces 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6" dT="2025-12-22T06:53:29.24" personId="{1D46F57A-A0C8-4075-959E-081E55BEFED4}" id="{5FEEDF32-F344-4B5A-B076-C509D55533F3}">
    <text xml:space="preserve">These are 2025 amounts, they still need to be updated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 /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1" Type="http://schemas.openxmlformats.org/officeDocument/2006/relationships/drawing" Target="../drawings/drawing1.xml" /><Relationship Id="rId4" Type="http://schemas.microsoft.com/office/2017/10/relationships/threadedComment" Target="../threadedComments/threadedComment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6397-052B-479A-B121-F28A1AE4BEFC}">
  <sheetPr>
    <tabColor rgb="FFFF0000"/>
  </sheetPr>
  <dimension ref="B2:N75"/>
  <sheetViews>
    <sheetView topLeftCell="H26" zoomScaleNormal="100" workbookViewId="0">
      <selection activeCell="B49" sqref="B49"/>
    </sheetView>
  </sheetViews>
  <sheetFormatPr defaultRowHeight="15" x14ac:dyDescent="0.2"/>
  <cols>
    <col min="2" max="2" width="9.01171875" customWidth="1"/>
    <col min="3" max="3" width="37.26171875" customWidth="1"/>
    <col min="4" max="4" width="20.984375" customWidth="1"/>
    <col min="5" max="5" width="35.2421875" customWidth="1"/>
    <col min="6" max="6" width="22.734375" bestFit="1" customWidth="1"/>
    <col min="7" max="7" width="15.33203125" style="293" customWidth="1"/>
    <col min="8" max="8" width="17.62109375" style="293" customWidth="1"/>
    <col min="9" max="9" width="19.50390625" customWidth="1"/>
    <col min="10" max="10" width="19.7734375" bestFit="1" customWidth="1"/>
    <col min="11" max="11" width="16.94921875" bestFit="1" customWidth="1"/>
    <col min="12" max="12" width="11.296875" bestFit="1" customWidth="1"/>
  </cols>
  <sheetData>
    <row r="2" spans="2:14" x14ac:dyDescent="0.2">
      <c r="C2" s="330" t="s">
        <v>0</v>
      </c>
      <c r="D2" s="330"/>
      <c r="E2" s="330"/>
      <c r="F2" s="330"/>
    </row>
    <row r="3" spans="2:14" s="273" customFormat="1" x14ac:dyDescent="0.2">
      <c r="C3" s="307"/>
      <c r="D3" s="308" t="s">
        <v>1</v>
      </c>
      <c r="E3" s="308" t="s">
        <v>2</v>
      </c>
      <c r="F3" s="308" t="s">
        <v>3</v>
      </c>
      <c r="G3" s="295"/>
      <c r="H3" s="295"/>
    </row>
    <row r="4" spans="2:14" x14ac:dyDescent="0.2">
      <c r="C4" s="309" t="s">
        <v>4</v>
      </c>
      <c r="D4" s="280">
        <v>0.1</v>
      </c>
      <c r="E4" s="280">
        <v>0.4</v>
      </c>
      <c r="F4" s="280">
        <v>0.5</v>
      </c>
    </row>
    <row r="5" spans="2:14" x14ac:dyDescent="0.2">
      <c r="C5" s="309" t="s">
        <v>5</v>
      </c>
      <c r="D5" s="281">
        <v>0.1</v>
      </c>
      <c r="E5" s="281">
        <v>0.9</v>
      </c>
      <c r="F5" s="281">
        <v>0</v>
      </c>
    </row>
    <row r="6" spans="2:14" x14ac:dyDescent="0.2">
      <c r="C6" s="309" t="s">
        <v>6</v>
      </c>
      <c r="D6" s="281">
        <v>0.1</v>
      </c>
      <c r="E6" s="281">
        <v>0.9</v>
      </c>
      <c r="F6" s="281">
        <v>0</v>
      </c>
    </row>
    <row r="9" spans="2:14" s="282" customFormat="1" ht="16.5" x14ac:dyDescent="0.25">
      <c r="C9" s="283" t="s">
        <v>7</v>
      </c>
      <c r="D9" s="284" t="s">
        <v>8</v>
      </c>
      <c r="E9" s="284" t="s">
        <v>9</v>
      </c>
      <c r="F9" s="284" t="s">
        <v>10</v>
      </c>
      <c r="G9" s="285" t="s">
        <v>11</v>
      </c>
      <c r="H9" s="285" t="s">
        <v>12</v>
      </c>
      <c r="I9" s="285" t="s">
        <v>13</v>
      </c>
      <c r="J9" s="285" t="s">
        <v>14</v>
      </c>
      <c r="K9" s="285" t="s">
        <v>15</v>
      </c>
      <c r="L9" s="285" t="s">
        <v>16</v>
      </c>
    </row>
    <row r="10" spans="2:14" x14ac:dyDescent="0.2">
      <c r="C10" s="292" t="s">
        <v>17</v>
      </c>
      <c r="D10" s="278">
        <f>7948.8*100/115</f>
        <v>6912</v>
      </c>
      <c r="E10" s="278">
        <f>18600/1.15</f>
        <v>16173.913043478262</v>
      </c>
      <c r="F10" s="278">
        <v>23085.91</v>
      </c>
      <c r="G10" s="294">
        <f t="shared" ref="G10:G41" si="0">(D10*$D$5)/F10</f>
        <v>2.9940340233501735E-2</v>
      </c>
      <c r="H10" s="294">
        <f t="shared" ref="H10:H41" si="1">(D10*$E$5)/F10</f>
        <v>0.2694630621015156</v>
      </c>
      <c r="I10" s="302">
        <f t="shared" ref="I10:I41" si="2">(E10*$F$4)/F10</f>
        <v>0.35029836474885034</v>
      </c>
      <c r="J10" s="277">
        <f t="shared" ref="J10:J41" si="3">(E10*$E$4)/F10</f>
        <v>0.28023869179908029</v>
      </c>
      <c r="K10" s="277">
        <f t="shared" ref="K10:K41" si="4">(E10*$D$4)/F10</f>
        <v>7.0059672949770072E-2</v>
      </c>
      <c r="L10" s="276">
        <f>K10+J10+I10+H10+G10</f>
        <v>1.0000001318327181</v>
      </c>
      <c r="N10">
        <v>1.1499999999999999</v>
      </c>
    </row>
    <row r="11" spans="2:14" x14ac:dyDescent="0.2">
      <c r="C11" s="292" t="s">
        <v>18</v>
      </c>
      <c r="D11" s="278">
        <v>0</v>
      </c>
      <c r="E11" s="278">
        <f>4968/1.15</f>
        <v>4320</v>
      </c>
      <c r="F11" s="278">
        <v>4320</v>
      </c>
      <c r="G11" s="294">
        <f t="shared" si="0"/>
        <v>0</v>
      </c>
      <c r="H11" s="294">
        <f t="shared" si="1"/>
        <v>0</v>
      </c>
      <c r="I11" s="302">
        <f t="shared" si="2"/>
        <v>0.5</v>
      </c>
      <c r="J11" s="277">
        <f t="shared" si="3"/>
        <v>0.4</v>
      </c>
      <c r="K11" s="277">
        <f t="shared" si="4"/>
        <v>0.1</v>
      </c>
      <c r="L11" s="276">
        <f t="shared" ref="L11:L41" si="5">K11+J11+I11+H11+G11</f>
        <v>1</v>
      </c>
    </row>
    <row r="12" spans="2:14" x14ac:dyDescent="0.2">
      <c r="C12" s="292" t="s">
        <v>19</v>
      </c>
      <c r="D12" s="278">
        <v>0</v>
      </c>
      <c r="E12" s="278">
        <f>28444.5108/1.15</f>
        <v>24734.357217391305</v>
      </c>
      <c r="F12" s="278">
        <v>24734.36</v>
      </c>
      <c r="G12" s="294">
        <f t="shared" si="0"/>
        <v>0</v>
      </c>
      <c r="H12" s="294">
        <f t="shared" si="1"/>
        <v>0</v>
      </c>
      <c r="I12" s="302">
        <f t="shared" si="2"/>
        <v>0.49999994375013757</v>
      </c>
      <c r="J12" s="277">
        <f t="shared" si="3"/>
        <v>0.3999999550001101</v>
      </c>
      <c r="K12" s="277">
        <f t="shared" si="4"/>
        <v>9.9999988750027524E-2</v>
      </c>
      <c r="L12" s="276">
        <f t="shared" si="5"/>
        <v>0.99999988750027513</v>
      </c>
    </row>
    <row r="13" spans="2:14" x14ac:dyDescent="0.2">
      <c r="C13" s="292" t="s">
        <v>20</v>
      </c>
      <c r="D13" s="278">
        <v>0</v>
      </c>
      <c r="E13" s="278">
        <f>14904/1.15</f>
        <v>12960.000000000002</v>
      </c>
      <c r="F13" s="278">
        <v>12960</v>
      </c>
      <c r="G13" s="294">
        <f t="shared" si="0"/>
        <v>0</v>
      </c>
      <c r="H13" s="294">
        <f t="shared" si="1"/>
        <v>0</v>
      </c>
      <c r="I13" s="302">
        <f t="shared" si="2"/>
        <v>0.50000000000000011</v>
      </c>
      <c r="J13" s="277">
        <f t="shared" si="3"/>
        <v>0.40000000000000008</v>
      </c>
      <c r="K13" s="277">
        <f t="shared" si="4"/>
        <v>0.10000000000000002</v>
      </c>
      <c r="L13" s="276">
        <f t="shared" si="5"/>
        <v>1.0000000000000002</v>
      </c>
    </row>
    <row r="14" spans="2:14" x14ac:dyDescent="0.2">
      <c r="C14" s="292" t="s">
        <v>21</v>
      </c>
      <c r="D14" s="278">
        <v>0</v>
      </c>
      <c r="E14" s="278">
        <f>5302.098/1.15</f>
        <v>4610.5200000000004</v>
      </c>
      <c r="F14" s="278">
        <v>4610.5200000000004</v>
      </c>
      <c r="G14" s="294">
        <f t="shared" si="0"/>
        <v>0</v>
      </c>
      <c r="H14" s="294">
        <f t="shared" si="1"/>
        <v>0</v>
      </c>
      <c r="I14" s="302">
        <f t="shared" si="2"/>
        <v>0.5</v>
      </c>
      <c r="J14" s="277">
        <f t="shared" si="3"/>
        <v>0.4</v>
      </c>
      <c r="K14" s="277">
        <f t="shared" si="4"/>
        <v>0.1</v>
      </c>
      <c r="L14" s="276">
        <f t="shared" si="5"/>
        <v>1</v>
      </c>
    </row>
    <row r="15" spans="2:14" x14ac:dyDescent="0.2">
      <c r="B15" s="291"/>
      <c r="C15" s="292" t="s">
        <v>22</v>
      </c>
      <c r="D15" s="278">
        <v>0</v>
      </c>
      <c r="E15" s="278">
        <v>0</v>
      </c>
      <c r="F15" s="278">
        <f t="shared" ref="F15:F61" si="6">E15+D15</f>
        <v>0</v>
      </c>
      <c r="G15" s="294" t="e">
        <f t="shared" si="0"/>
        <v>#DIV/0!</v>
      </c>
      <c r="H15" s="294" t="e">
        <f t="shared" si="1"/>
        <v>#DIV/0!</v>
      </c>
      <c r="I15" s="302" t="e">
        <f t="shared" si="2"/>
        <v>#DIV/0!</v>
      </c>
      <c r="J15" s="277" t="e">
        <f t="shared" si="3"/>
        <v>#DIV/0!</v>
      </c>
      <c r="K15" s="277" t="e">
        <f t="shared" si="4"/>
        <v>#DIV/0!</v>
      </c>
      <c r="L15" s="276" t="e">
        <f t="shared" si="5"/>
        <v>#DIV/0!</v>
      </c>
    </row>
    <row r="16" spans="2:14" x14ac:dyDescent="0.2">
      <c r="C16" s="296" t="s">
        <v>23</v>
      </c>
      <c r="D16" s="278">
        <f>500/1.15</f>
        <v>434.78260869565219</v>
      </c>
      <c r="E16" s="278">
        <f>1851.77/1.15</f>
        <v>1610.2347826086957</v>
      </c>
      <c r="F16" s="278">
        <v>2045.02</v>
      </c>
      <c r="G16" s="294">
        <f t="shared" si="0"/>
        <v>2.1260555334209553E-2</v>
      </c>
      <c r="H16" s="294">
        <f t="shared" si="1"/>
        <v>0.19134499800788599</v>
      </c>
      <c r="I16" s="303">
        <f t="shared" si="2"/>
        <v>0.39369658551229225</v>
      </c>
      <c r="J16" s="277">
        <f t="shared" si="3"/>
        <v>0.31495726840983379</v>
      </c>
      <c r="K16" s="277">
        <f t="shared" si="4"/>
        <v>7.8739317102458448E-2</v>
      </c>
      <c r="L16" s="276">
        <f t="shared" si="5"/>
        <v>0.99999872436668003</v>
      </c>
    </row>
    <row r="17" spans="2:12" x14ac:dyDescent="0.2">
      <c r="C17" s="296" t="s">
        <v>24</v>
      </c>
      <c r="D17" s="278">
        <f>3585.14/1.15</f>
        <v>3117.5130434782609</v>
      </c>
      <c r="E17" s="278">
        <f>6613.65/1.15</f>
        <v>5751</v>
      </c>
      <c r="F17" s="278">
        <v>8868.51</v>
      </c>
      <c r="G17" s="294">
        <f t="shared" si="0"/>
        <v>3.5152613499655087E-2</v>
      </c>
      <c r="H17" s="294">
        <f t="shared" si="1"/>
        <v>0.31637352149689574</v>
      </c>
      <c r="I17" s="303">
        <f t="shared" si="2"/>
        <v>0.32423710409076606</v>
      </c>
      <c r="J17" s="277">
        <f t="shared" si="3"/>
        <v>0.25938968327261286</v>
      </c>
      <c r="K17" s="277">
        <f t="shared" si="4"/>
        <v>6.4847420818153215E-2</v>
      </c>
      <c r="L17" s="276">
        <f t="shared" si="5"/>
        <v>1.0000003431780831</v>
      </c>
    </row>
    <row r="18" spans="2:12" x14ac:dyDescent="0.2">
      <c r="C18" s="296" t="s">
        <v>25</v>
      </c>
      <c r="D18" s="278">
        <f>460/1.15</f>
        <v>400.00000000000006</v>
      </c>
      <c r="E18" s="278">
        <f>3189.02/1.15</f>
        <v>2773.0608695652177</v>
      </c>
      <c r="F18" s="278">
        <v>3173.06</v>
      </c>
      <c r="G18" s="294">
        <f t="shared" si="0"/>
        <v>1.2606127838742416E-2</v>
      </c>
      <c r="H18" s="294">
        <f t="shared" si="1"/>
        <v>0.11345515054868173</v>
      </c>
      <c r="I18" s="303">
        <f t="shared" si="2"/>
        <v>0.43696949782941669</v>
      </c>
      <c r="J18" s="277">
        <f t="shared" si="3"/>
        <v>0.34957559826353335</v>
      </c>
      <c r="K18" s="277">
        <f t="shared" si="4"/>
        <v>8.7393899565883337E-2</v>
      </c>
      <c r="L18" s="276">
        <f t="shared" si="5"/>
        <v>1.0000002740462575</v>
      </c>
    </row>
    <row r="19" spans="2:12" x14ac:dyDescent="0.2">
      <c r="C19" s="296" t="s">
        <v>26</v>
      </c>
      <c r="D19" s="278">
        <f>500/1.15</f>
        <v>434.78260869565219</v>
      </c>
      <c r="E19" s="278">
        <f>2794.5/1.15</f>
        <v>2430</v>
      </c>
      <c r="F19" s="278">
        <v>2864.78</v>
      </c>
      <c r="G19" s="294">
        <f t="shared" si="0"/>
        <v>1.5176823654718763E-2</v>
      </c>
      <c r="H19" s="294">
        <f t="shared" si="1"/>
        <v>0.13659141289246887</v>
      </c>
      <c r="I19" s="303">
        <f t="shared" si="2"/>
        <v>0.42411633703111579</v>
      </c>
      <c r="J19" s="277">
        <f t="shared" si="3"/>
        <v>0.33929306962489264</v>
      </c>
      <c r="K19" s="277">
        <f t="shared" si="4"/>
        <v>8.482326740622316E-2</v>
      </c>
      <c r="L19" s="276">
        <f t="shared" si="5"/>
        <v>1.0000009106094192</v>
      </c>
    </row>
    <row r="20" spans="2:12" x14ac:dyDescent="0.2">
      <c r="C20" s="296" t="s">
        <v>27</v>
      </c>
      <c r="D20" s="278">
        <v>0</v>
      </c>
      <c r="E20" s="278">
        <f>3105/1.15</f>
        <v>2700</v>
      </c>
      <c r="F20" s="278">
        <v>2700</v>
      </c>
      <c r="G20" s="294">
        <f t="shared" si="0"/>
        <v>0</v>
      </c>
      <c r="H20" s="294">
        <f t="shared" si="1"/>
        <v>0</v>
      </c>
      <c r="I20" s="303">
        <f t="shared" si="2"/>
        <v>0.5</v>
      </c>
      <c r="J20" s="277">
        <f t="shared" si="3"/>
        <v>0.4</v>
      </c>
      <c r="K20" s="277">
        <f t="shared" si="4"/>
        <v>0.1</v>
      </c>
      <c r="L20" s="276">
        <f t="shared" si="5"/>
        <v>1</v>
      </c>
    </row>
    <row r="21" spans="2:12" x14ac:dyDescent="0.2">
      <c r="C21" s="296" t="s">
        <v>28</v>
      </c>
      <c r="D21" s="278">
        <v>0</v>
      </c>
      <c r="E21" s="278">
        <f>2916/1.15</f>
        <v>2535.6521739130435</v>
      </c>
      <c r="F21" s="278">
        <v>2535.65</v>
      </c>
      <c r="G21" s="294">
        <f t="shared" si="0"/>
        <v>0</v>
      </c>
      <c r="H21" s="294">
        <f t="shared" si="1"/>
        <v>0</v>
      </c>
      <c r="I21" s="303">
        <f t="shared" si="2"/>
        <v>0.50000042866977767</v>
      </c>
      <c r="J21" s="277">
        <f t="shared" si="3"/>
        <v>0.40000034293582215</v>
      </c>
      <c r="K21" s="277">
        <f t="shared" si="4"/>
        <v>0.10000008573395554</v>
      </c>
      <c r="L21" s="276">
        <f t="shared" si="5"/>
        <v>1.0000008573395553</v>
      </c>
    </row>
    <row r="22" spans="2:12" x14ac:dyDescent="0.2">
      <c r="C22" s="296" t="s">
        <v>29</v>
      </c>
      <c r="D22" s="278">
        <v>0</v>
      </c>
      <c r="E22" s="278">
        <f>3050.14/1.15</f>
        <v>2652.2956521739129</v>
      </c>
      <c r="F22" s="278">
        <v>2652.29</v>
      </c>
      <c r="G22" s="294">
        <f t="shared" si="0"/>
        <v>0</v>
      </c>
      <c r="H22" s="294">
        <f t="shared" si="1"/>
        <v>0</v>
      </c>
      <c r="I22" s="303">
        <f t="shared" si="2"/>
        <v>0.50000106552713186</v>
      </c>
      <c r="J22" s="277">
        <f t="shared" si="3"/>
        <v>0.40000085242170552</v>
      </c>
      <c r="K22" s="277">
        <f t="shared" si="4"/>
        <v>0.10000021310542638</v>
      </c>
      <c r="L22" s="276">
        <f t="shared" si="5"/>
        <v>1.0000021310542637</v>
      </c>
    </row>
    <row r="23" spans="2:12" x14ac:dyDescent="0.2">
      <c r="C23" s="296" t="s">
        <v>30</v>
      </c>
      <c r="D23" s="278">
        <v>0</v>
      </c>
      <c r="E23" s="278">
        <f>4448.84/1.15</f>
        <v>3868.5565217391309</v>
      </c>
      <c r="F23" s="278">
        <v>3868.56</v>
      </c>
      <c r="G23" s="294">
        <f t="shared" si="0"/>
        <v>0</v>
      </c>
      <c r="H23" s="294">
        <f t="shared" si="1"/>
        <v>0</v>
      </c>
      <c r="I23" s="303">
        <f t="shared" si="2"/>
        <v>0.49999955044501454</v>
      </c>
      <c r="J23" s="277">
        <f t="shared" si="3"/>
        <v>0.39999964035601165</v>
      </c>
      <c r="K23" s="277">
        <f t="shared" si="4"/>
        <v>9.9999910089002914E-2</v>
      </c>
      <c r="L23" s="276">
        <f t="shared" si="5"/>
        <v>0.99999910089002908</v>
      </c>
    </row>
    <row r="24" spans="2:12" x14ac:dyDescent="0.2">
      <c r="C24" s="296" t="s">
        <v>31</v>
      </c>
      <c r="D24" s="278">
        <f>1252.42/1.15</f>
        <v>1089.0608695652174</v>
      </c>
      <c r="E24" s="278">
        <f>5410.15/1.15</f>
        <v>4704.478260869565</v>
      </c>
      <c r="F24" s="278">
        <v>5793.54</v>
      </c>
      <c r="G24" s="294">
        <f t="shared" si="0"/>
        <v>1.8797848458200296E-2</v>
      </c>
      <c r="H24" s="294">
        <f t="shared" si="1"/>
        <v>0.16918063612380269</v>
      </c>
      <c r="I24" s="303">
        <f t="shared" si="2"/>
        <v>0.40601068266289392</v>
      </c>
      <c r="J24" s="277">
        <f t="shared" si="3"/>
        <v>0.32480854613031518</v>
      </c>
      <c r="K24" s="277">
        <f t="shared" si="4"/>
        <v>8.1202136532578795E-2</v>
      </c>
      <c r="L24" s="276">
        <f t="shared" si="5"/>
        <v>0.99999984990779089</v>
      </c>
    </row>
    <row r="25" spans="2:12" x14ac:dyDescent="0.2">
      <c r="C25" s="296" t="s">
        <v>32</v>
      </c>
      <c r="D25" s="278">
        <v>0</v>
      </c>
      <c r="E25" s="278">
        <f>2052/1.15</f>
        <v>1784.3478260869567</v>
      </c>
      <c r="F25" s="278">
        <v>1784.35</v>
      </c>
      <c r="G25" s="294">
        <f t="shared" si="0"/>
        <v>0</v>
      </c>
      <c r="H25" s="294">
        <f t="shared" si="1"/>
        <v>0</v>
      </c>
      <c r="I25" s="303">
        <f t="shared" si="2"/>
        <v>0.49999939083894884</v>
      </c>
      <c r="J25" s="277">
        <f t="shared" si="3"/>
        <v>0.39999951267115913</v>
      </c>
      <c r="K25" s="277">
        <f t="shared" si="4"/>
        <v>9.9999878167789782E-2</v>
      </c>
      <c r="L25" s="276">
        <f t="shared" si="5"/>
        <v>0.99999878167789769</v>
      </c>
    </row>
    <row r="26" spans="2:12" x14ac:dyDescent="0.2">
      <c r="C26" s="296" t="s">
        <v>33</v>
      </c>
      <c r="D26" s="278">
        <v>0</v>
      </c>
      <c r="E26" s="278">
        <f>16121.16/1.15</f>
        <v>14018.400000000001</v>
      </c>
      <c r="F26" s="278">
        <v>14018.4</v>
      </c>
      <c r="G26" s="294">
        <f t="shared" si="0"/>
        <v>0</v>
      </c>
      <c r="H26" s="294">
        <f t="shared" si="1"/>
        <v>0</v>
      </c>
      <c r="I26" s="303">
        <f t="shared" si="2"/>
        <v>0.50000000000000011</v>
      </c>
      <c r="J26" s="277">
        <f t="shared" si="3"/>
        <v>0.40000000000000008</v>
      </c>
      <c r="K26" s="277">
        <f t="shared" si="4"/>
        <v>0.10000000000000002</v>
      </c>
      <c r="L26" s="276">
        <f t="shared" si="5"/>
        <v>1.0000000000000002</v>
      </c>
    </row>
    <row r="27" spans="2:12" x14ac:dyDescent="0.2">
      <c r="B27" s="311"/>
      <c r="C27" s="296" t="s">
        <v>34</v>
      </c>
      <c r="D27" s="278">
        <f>2190.0375/1.15</f>
        <v>1904.3804347826087</v>
      </c>
      <c r="E27" s="278">
        <f>3937.5/1.15</f>
        <v>3423.913043478261</v>
      </c>
      <c r="F27" s="278">
        <v>5328.2934779999996</v>
      </c>
      <c r="G27" s="294">
        <f t="shared" si="0"/>
        <v>3.5740907340138239E-2</v>
      </c>
      <c r="H27" s="294">
        <f t="shared" si="1"/>
        <v>0.3216681660612441</v>
      </c>
      <c r="I27" s="303">
        <f t="shared" si="2"/>
        <v>0.32129546332378855</v>
      </c>
      <c r="J27" s="277">
        <f t="shared" si="3"/>
        <v>0.25703637065903084</v>
      </c>
      <c r="K27" s="277">
        <f t="shared" si="4"/>
        <v>6.4259092664757711E-2</v>
      </c>
      <c r="L27" s="276">
        <f t="shared" si="5"/>
        <v>1.0000000000489595</v>
      </c>
    </row>
    <row r="28" spans="2:12" x14ac:dyDescent="0.2">
      <c r="C28" s="297" t="s">
        <v>35</v>
      </c>
      <c r="D28" s="278">
        <v>0</v>
      </c>
      <c r="E28" s="278">
        <f>28959.12/1.15</f>
        <v>25181.843478260871</v>
      </c>
      <c r="F28" s="278">
        <v>25181.84</v>
      </c>
      <c r="G28" s="294">
        <f t="shared" si="0"/>
        <v>0</v>
      </c>
      <c r="H28" s="294">
        <f t="shared" si="1"/>
        <v>0</v>
      </c>
      <c r="I28" s="304">
        <f t="shared" si="2"/>
        <v>0.50000006906288164</v>
      </c>
      <c r="J28" s="277">
        <f t="shared" si="3"/>
        <v>0.4000000552503053</v>
      </c>
      <c r="K28" s="277">
        <f t="shared" si="4"/>
        <v>0.10000001381257632</v>
      </c>
      <c r="L28" s="276">
        <f t="shared" si="5"/>
        <v>1.0000001381257633</v>
      </c>
    </row>
    <row r="29" spans="2:12" x14ac:dyDescent="0.2">
      <c r="C29" s="297" t="s">
        <v>36</v>
      </c>
      <c r="D29" s="278">
        <f>1075/1.15</f>
        <v>934.78260869565224</v>
      </c>
      <c r="E29" s="278">
        <f>2368.7748/1.15</f>
        <v>2059.8041739130435</v>
      </c>
      <c r="F29" s="278">
        <v>2994.59</v>
      </c>
      <c r="G29" s="294">
        <f t="shared" si="0"/>
        <v>3.1215712624955413E-2</v>
      </c>
      <c r="H29" s="294">
        <f t="shared" si="1"/>
        <v>0.28094141362459868</v>
      </c>
      <c r="I29" s="304">
        <f t="shared" si="2"/>
        <v>0.34392089967458706</v>
      </c>
      <c r="J29" s="277">
        <f t="shared" si="3"/>
        <v>0.27513671973966969</v>
      </c>
      <c r="K29" s="277">
        <f t="shared" si="4"/>
        <v>6.8784179934917422E-2</v>
      </c>
      <c r="L29" s="276">
        <f t="shared" si="5"/>
        <v>0.99999892559872816</v>
      </c>
    </row>
    <row r="30" spans="2:12" x14ac:dyDescent="0.2">
      <c r="C30" s="297" t="s">
        <v>37</v>
      </c>
      <c r="D30" s="278">
        <f>540/1.15</f>
        <v>469.56521739130437</v>
      </c>
      <c r="E30" s="278">
        <v>3478.2608</v>
      </c>
      <c r="F30" s="278">
        <f>E30+D30</f>
        <v>3947.8260173913045</v>
      </c>
      <c r="G30" s="294">
        <f t="shared" si="0"/>
        <v>1.1894273337344025E-2</v>
      </c>
      <c r="H30" s="294">
        <f t="shared" si="1"/>
        <v>0.10704846003609621</v>
      </c>
      <c r="I30" s="304">
        <f t="shared" si="2"/>
        <v>0.44052863331327985</v>
      </c>
      <c r="J30" s="277">
        <f t="shared" si="3"/>
        <v>0.35242290665062392</v>
      </c>
      <c r="K30" s="277">
        <f t="shared" si="4"/>
        <v>8.8105726662655981E-2</v>
      </c>
      <c r="L30" s="276">
        <f t="shared" si="5"/>
        <v>1</v>
      </c>
    </row>
    <row r="31" spans="2:12" x14ac:dyDescent="0.2">
      <c r="C31" s="297" t="s">
        <v>38</v>
      </c>
      <c r="D31" s="278">
        <f>550/1.15</f>
        <v>478.26086956521743</v>
      </c>
      <c r="E31" s="278">
        <f>4089.852/1.15</f>
        <v>3556.393043478261</v>
      </c>
      <c r="F31" s="278">
        <v>4034.65</v>
      </c>
      <c r="G31" s="294">
        <f t="shared" si="0"/>
        <v>1.1853837868593743E-2</v>
      </c>
      <c r="H31" s="294">
        <f t="shared" si="1"/>
        <v>0.10668454081734367</v>
      </c>
      <c r="I31" s="304">
        <f t="shared" si="2"/>
        <v>0.44073129558676227</v>
      </c>
      <c r="J31" s="277">
        <f t="shared" si="3"/>
        <v>0.35258503646940986</v>
      </c>
      <c r="K31" s="277">
        <f t="shared" si="4"/>
        <v>8.8146259117352466E-2</v>
      </c>
      <c r="L31" s="276">
        <f t="shared" si="5"/>
        <v>1.0000009698594621</v>
      </c>
    </row>
    <row r="32" spans="2:12" x14ac:dyDescent="0.2">
      <c r="C32" s="297" t="s">
        <v>39</v>
      </c>
      <c r="D32" s="278">
        <v>0</v>
      </c>
      <c r="E32" s="278">
        <f>2916.0216/1.15</f>
        <v>2535.6709565217393</v>
      </c>
      <c r="F32" s="278">
        <v>2535.67</v>
      </c>
      <c r="G32" s="294">
        <f t="shared" si="0"/>
        <v>0</v>
      </c>
      <c r="H32" s="294">
        <f t="shared" si="1"/>
        <v>0</v>
      </c>
      <c r="I32" s="304">
        <f t="shared" si="2"/>
        <v>0.50000018861321449</v>
      </c>
      <c r="J32" s="277">
        <f t="shared" si="3"/>
        <v>0.40000015089057162</v>
      </c>
      <c r="K32" s="277">
        <f t="shared" si="4"/>
        <v>0.1000000377226429</v>
      </c>
      <c r="L32" s="276">
        <f t="shared" si="5"/>
        <v>1.000000377226429</v>
      </c>
    </row>
    <row r="33" spans="3:12" x14ac:dyDescent="0.2">
      <c r="C33" s="297" t="s">
        <v>40</v>
      </c>
      <c r="D33" s="278">
        <v>0</v>
      </c>
      <c r="E33" s="278">
        <f>8694/1.15</f>
        <v>7560.0000000000009</v>
      </c>
      <c r="F33" s="278">
        <v>7560</v>
      </c>
      <c r="G33" s="294">
        <f t="shared" si="0"/>
        <v>0</v>
      </c>
      <c r="H33" s="294">
        <f t="shared" si="1"/>
        <v>0</v>
      </c>
      <c r="I33" s="304">
        <f t="shared" si="2"/>
        <v>0.50000000000000011</v>
      </c>
      <c r="J33" s="277">
        <f t="shared" si="3"/>
        <v>0.40000000000000008</v>
      </c>
      <c r="K33" s="277">
        <f t="shared" si="4"/>
        <v>0.10000000000000002</v>
      </c>
      <c r="L33" s="276">
        <f t="shared" si="5"/>
        <v>1.0000000000000002</v>
      </c>
    </row>
    <row r="34" spans="3:12" x14ac:dyDescent="0.2">
      <c r="C34" s="297" t="s">
        <v>41</v>
      </c>
      <c r="D34" s="278">
        <v>0</v>
      </c>
      <c r="E34" s="278">
        <f>3936.6/1.15</f>
        <v>3423.130434782609</v>
      </c>
      <c r="F34" s="278">
        <v>3423.13</v>
      </c>
      <c r="G34" s="294">
        <f t="shared" si="0"/>
        <v>0</v>
      </c>
      <c r="H34" s="294">
        <f t="shared" si="1"/>
        <v>0</v>
      </c>
      <c r="I34" s="304">
        <f t="shared" si="2"/>
        <v>0.50000006350658732</v>
      </c>
      <c r="J34" s="277">
        <f t="shared" si="3"/>
        <v>0.4000000508052699</v>
      </c>
      <c r="K34" s="277">
        <f t="shared" si="4"/>
        <v>0.10000001270131748</v>
      </c>
      <c r="L34" s="276">
        <f t="shared" si="5"/>
        <v>1.0000001270131746</v>
      </c>
    </row>
    <row r="35" spans="3:12" x14ac:dyDescent="0.2">
      <c r="C35" s="297" t="s">
        <v>42</v>
      </c>
      <c r="D35" s="278">
        <v>0</v>
      </c>
      <c r="E35" s="278">
        <f>4082.4/1.15</f>
        <v>3549.9130434782614</v>
      </c>
      <c r="F35" s="278">
        <v>3549.91</v>
      </c>
      <c r="G35" s="294">
        <f t="shared" si="0"/>
        <v>0</v>
      </c>
      <c r="H35" s="294">
        <f t="shared" si="1"/>
        <v>0</v>
      </c>
      <c r="I35" s="304">
        <f t="shared" si="2"/>
        <v>0.50000042866977779</v>
      </c>
      <c r="J35" s="277">
        <f t="shared" si="3"/>
        <v>0.40000034293582221</v>
      </c>
      <c r="K35" s="277">
        <f t="shared" si="4"/>
        <v>0.10000008573395555</v>
      </c>
      <c r="L35" s="276">
        <f t="shared" si="5"/>
        <v>1.0000008573395556</v>
      </c>
    </row>
    <row r="36" spans="3:12" x14ac:dyDescent="0.2">
      <c r="C36" s="297" t="s">
        <v>43</v>
      </c>
      <c r="D36" s="278">
        <f>1251.936/1.15</f>
        <v>1088.6400000000001</v>
      </c>
      <c r="E36" s="278">
        <f>6095.736/1.15</f>
        <v>5300.64</v>
      </c>
      <c r="F36" s="278">
        <v>6389.28</v>
      </c>
      <c r="G36" s="294">
        <f t="shared" si="0"/>
        <v>1.7038539553752539E-2</v>
      </c>
      <c r="H36" s="294">
        <f t="shared" si="1"/>
        <v>0.15334685598377285</v>
      </c>
      <c r="I36" s="304">
        <f t="shared" si="2"/>
        <v>0.41480730223123735</v>
      </c>
      <c r="J36" s="277">
        <f t="shared" si="3"/>
        <v>0.33184584178498994</v>
      </c>
      <c r="K36" s="277">
        <f t="shared" si="4"/>
        <v>8.2961460446247484E-2</v>
      </c>
      <c r="L36" s="276">
        <f t="shared" si="5"/>
        <v>1.0000000000000002</v>
      </c>
    </row>
    <row r="37" spans="3:12" x14ac:dyDescent="0.2">
      <c r="C37" s="297" t="s">
        <v>44</v>
      </c>
      <c r="D37" s="278">
        <f>700/1.15</f>
        <v>608.69565217391312</v>
      </c>
      <c r="E37" s="278">
        <f>3780/1.15</f>
        <v>3286.9565217391305</v>
      </c>
      <c r="F37" s="278">
        <v>3895.65</v>
      </c>
      <c r="G37" s="294">
        <f t="shared" si="0"/>
        <v>1.5625008719312904E-2</v>
      </c>
      <c r="H37" s="294">
        <f t="shared" si="1"/>
        <v>0.14062507847381614</v>
      </c>
      <c r="I37" s="304">
        <f t="shared" si="2"/>
        <v>0.42187523542144834</v>
      </c>
      <c r="J37" s="277">
        <f t="shared" si="3"/>
        <v>0.33750018833715867</v>
      </c>
      <c r="K37" s="277">
        <f t="shared" si="4"/>
        <v>8.4375047084289667E-2</v>
      </c>
      <c r="L37" s="276">
        <f t="shared" si="5"/>
        <v>1.0000005580360256</v>
      </c>
    </row>
    <row r="38" spans="3:12" x14ac:dyDescent="0.2">
      <c r="C38" s="297" t="s">
        <v>45</v>
      </c>
      <c r="D38" s="278">
        <v>0</v>
      </c>
      <c r="E38" s="278">
        <f>16146/1.15</f>
        <v>14040.000000000002</v>
      </c>
      <c r="F38" s="278">
        <v>14040</v>
      </c>
      <c r="G38" s="294">
        <f t="shared" si="0"/>
        <v>0</v>
      </c>
      <c r="H38" s="294">
        <f t="shared" si="1"/>
        <v>0</v>
      </c>
      <c r="I38" s="304">
        <f t="shared" si="2"/>
        <v>0.50000000000000011</v>
      </c>
      <c r="J38" s="277">
        <f t="shared" si="3"/>
        <v>0.40000000000000008</v>
      </c>
      <c r="K38" s="277">
        <f t="shared" si="4"/>
        <v>0.10000000000000002</v>
      </c>
      <c r="L38" s="276">
        <f t="shared" si="5"/>
        <v>1.0000000000000002</v>
      </c>
    </row>
    <row r="39" spans="3:12" x14ac:dyDescent="0.2">
      <c r="C39" s="297" t="s">
        <v>46</v>
      </c>
      <c r="D39" s="278">
        <v>0</v>
      </c>
      <c r="E39" s="278">
        <f>9315/1.15</f>
        <v>8100.0000000000009</v>
      </c>
      <c r="F39" s="278">
        <v>8100</v>
      </c>
      <c r="G39" s="294">
        <f t="shared" si="0"/>
        <v>0</v>
      </c>
      <c r="H39" s="294">
        <f t="shared" si="1"/>
        <v>0</v>
      </c>
      <c r="I39" s="304">
        <f t="shared" si="2"/>
        <v>0.50000000000000011</v>
      </c>
      <c r="J39" s="277">
        <f t="shared" si="3"/>
        <v>0.40000000000000008</v>
      </c>
      <c r="K39" s="277">
        <f t="shared" si="4"/>
        <v>0.10000000000000002</v>
      </c>
      <c r="L39" s="276">
        <f t="shared" si="5"/>
        <v>1.0000000000000002</v>
      </c>
    </row>
    <row r="40" spans="3:12" x14ac:dyDescent="0.2">
      <c r="C40" s="298" t="s">
        <v>47</v>
      </c>
      <c r="D40" s="278">
        <v>0</v>
      </c>
      <c r="E40" s="278">
        <f>1807.92/1.15</f>
        <v>1572.1043478260872</v>
      </c>
      <c r="F40" s="278">
        <v>1572.1</v>
      </c>
      <c r="G40" s="294">
        <f t="shared" si="0"/>
        <v>0</v>
      </c>
      <c r="H40" s="294">
        <f t="shared" si="1"/>
        <v>0</v>
      </c>
      <c r="I40" s="305">
        <f t="shared" si="2"/>
        <v>0.50000138280837325</v>
      </c>
      <c r="J40" s="277">
        <f t="shared" si="3"/>
        <v>0.40000110624669866</v>
      </c>
      <c r="K40" s="277">
        <f t="shared" si="4"/>
        <v>0.10000027656167466</v>
      </c>
      <c r="L40" s="276">
        <f t="shared" si="5"/>
        <v>1.0000027656167467</v>
      </c>
    </row>
    <row r="41" spans="3:12" x14ac:dyDescent="0.2">
      <c r="C41" s="298" t="s">
        <v>48</v>
      </c>
      <c r="D41" s="278">
        <v>0</v>
      </c>
      <c r="E41" s="278">
        <f>2985.984/1.15</f>
        <v>2596.5078260869568</v>
      </c>
      <c r="F41" s="278">
        <v>2596.5100000000002</v>
      </c>
      <c r="G41" s="294">
        <f t="shared" si="0"/>
        <v>0</v>
      </c>
      <c r="H41" s="294">
        <f t="shared" si="1"/>
        <v>0</v>
      </c>
      <c r="I41" s="305">
        <f t="shared" si="2"/>
        <v>0.49999958137787964</v>
      </c>
      <c r="J41" s="277">
        <f t="shared" si="3"/>
        <v>0.39999966510230373</v>
      </c>
      <c r="K41" s="277">
        <f t="shared" si="4"/>
        <v>9.9999916275575931E-2</v>
      </c>
      <c r="L41" s="276">
        <f t="shared" si="5"/>
        <v>0.99999916275575929</v>
      </c>
    </row>
    <row r="42" spans="3:12" x14ac:dyDescent="0.2">
      <c r="C42" s="298" t="s">
        <v>49</v>
      </c>
      <c r="D42" s="278">
        <v>0</v>
      </c>
      <c r="E42" s="278">
        <f>2332.8/1.15</f>
        <v>2028.5217391304352</v>
      </c>
      <c r="F42" s="278">
        <v>2028.52</v>
      </c>
      <c r="G42" s="294">
        <f t="shared" ref="G42:G71" si="7">(D42*$D$5)/F42</f>
        <v>0</v>
      </c>
      <c r="H42" s="294">
        <f t="shared" ref="H42:H71" si="8">(D42*$E$5)/F42</f>
        <v>0</v>
      </c>
      <c r="I42" s="305">
        <f t="shared" ref="I42:I71" si="9">(E42*$F$4)/F42</f>
        <v>0.50000042866977779</v>
      </c>
      <c r="J42" s="277">
        <f t="shared" ref="J42:J71" si="10">(E42*$E$4)/F42</f>
        <v>0.40000034293582226</v>
      </c>
      <c r="K42" s="277">
        <f t="shared" ref="K42:K71" si="11">(E42*$D$4)/F42</f>
        <v>0.10000008573395557</v>
      </c>
      <c r="L42" s="276">
        <f t="shared" ref="L42:L71" si="12">K42+J42+I42+H42+G42</f>
        <v>1.0000008573395556</v>
      </c>
    </row>
    <row r="43" spans="3:12" x14ac:dyDescent="0.2">
      <c r="C43" s="298" t="s">
        <v>50</v>
      </c>
      <c r="D43" s="278">
        <v>0</v>
      </c>
      <c r="E43" s="278">
        <f>3384.45/1.15</f>
        <v>2943</v>
      </c>
      <c r="F43" s="278">
        <v>2943</v>
      </c>
      <c r="G43" s="294">
        <f t="shared" si="7"/>
        <v>0</v>
      </c>
      <c r="H43" s="294">
        <f t="shared" si="8"/>
        <v>0</v>
      </c>
      <c r="I43" s="305">
        <f t="shared" si="9"/>
        <v>0.5</v>
      </c>
      <c r="J43" s="277">
        <f t="shared" si="10"/>
        <v>0.4</v>
      </c>
      <c r="K43" s="277">
        <f t="shared" si="11"/>
        <v>0.1</v>
      </c>
      <c r="L43" s="276">
        <f t="shared" si="12"/>
        <v>1</v>
      </c>
    </row>
    <row r="44" spans="3:12" x14ac:dyDescent="0.2">
      <c r="C44" s="298" t="s">
        <v>51</v>
      </c>
      <c r="D44" s="278">
        <f>496.8/1.15</f>
        <v>432.00000000000006</v>
      </c>
      <c r="E44" s="278">
        <f>2116.8/1.15</f>
        <v>1840.6956521739132</v>
      </c>
      <c r="F44" s="278">
        <v>2272.6999999999998</v>
      </c>
      <c r="G44" s="294">
        <f t="shared" si="7"/>
        <v>1.9008228098737191E-2</v>
      </c>
      <c r="H44" s="294">
        <f t="shared" si="8"/>
        <v>0.1710740528886347</v>
      </c>
      <c r="I44" s="305">
        <f t="shared" si="9"/>
        <v>0.40495790297309664</v>
      </c>
      <c r="J44" s="277">
        <f t="shared" si="10"/>
        <v>0.32396632237847733</v>
      </c>
      <c r="K44" s="277">
        <f t="shared" si="11"/>
        <v>8.0991580594619333E-2</v>
      </c>
      <c r="L44" s="276">
        <f t="shared" si="12"/>
        <v>0.99999808693356518</v>
      </c>
    </row>
    <row r="45" spans="3:12" x14ac:dyDescent="0.2">
      <c r="C45" s="298" t="s">
        <v>52</v>
      </c>
      <c r="D45" s="278">
        <v>0</v>
      </c>
      <c r="E45" s="278">
        <f>3353.4/1.15</f>
        <v>2916.0000000000005</v>
      </c>
      <c r="F45" s="278">
        <v>2916</v>
      </c>
      <c r="G45" s="294">
        <f t="shared" si="7"/>
        <v>0</v>
      </c>
      <c r="H45" s="294">
        <f t="shared" si="8"/>
        <v>0</v>
      </c>
      <c r="I45" s="305">
        <f t="shared" si="9"/>
        <v>0.50000000000000011</v>
      </c>
      <c r="J45" s="277">
        <f t="shared" si="10"/>
        <v>0.40000000000000013</v>
      </c>
      <c r="K45" s="277">
        <f t="shared" si="11"/>
        <v>0.10000000000000003</v>
      </c>
      <c r="L45" s="276">
        <f t="shared" si="12"/>
        <v>1.0000000000000004</v>
      </c>
    </row>
    <row r="46" spans="3:12" x14ac:dyDescent="0.2">
      <c r="C46" s="298" t="s">
        <v>53</v>
      </c>
      <c r="D46" s="278">
        <v>0</v>
      </c>
      <c r="E46" s="278">
        <f>4471.2/1.15</f>
        <v>3888</v>
      </c>
      <c r="F46" s="278">
        <v>3888</v>
      </c>
      <c r="G46" s="294">
        <f t="shared" si="7"/>
        <v>0</v>
      </c>
      <c r="H46" s="294">
        <f t="shared" si="8"/>
        <v>0</v>
      </c>
      <c r="I46" s="305">
        <f t="shared" si="9"/>
        <v>0.5</v>
      </c>
      <c r="J46" s="277">
        <f t="shared" si="10"/>
        <v>0.4</v>
      </c>
      <c r="K46" s="277">
        <f t="shared" si="11"/>
        <v>0.1</v>
      </c>
      <c r="L46" s="276">
        <f t="shared" si="12"/>
        <v>1</v>
      </c>
    </row>
    <row r="47" spans="3:12" x14ac:dyDescent="0.2">
      <c r="C47" s="298" t="s">
        <v>54</v>
      </c>
      <c r="D47" s="278">
        <v>0</v>
      </c>
      <c r="E47" s="278">
        <f>3353.4/1.15</f>
        <v>2916.0000000000005</v>
      </c>
      <c r="F47" s="278">
        <v>2916</v>
      </c>
      <c r="G47" s="294">
        <f t="shared" si="7"/>
        <v>0</v>
      </c>
      <c r="H47" s="294">
        <f t="shared" si="8"/>
        <v>0</v>
      </c>
      <c r="I47" s="305">
        <f t="shared" si="9"/>
        <v>0.50000000000000011</v>
      </c>
      <c r="J47" s="277">
        <f t="shared" si="10"/>
        <v>0.40000000000000013</v>
      </c>
      <c r="K47" s="277">
        <f t="shared" si="11"/>
        <v>0.10000000000000003</v>
      </c>
      <c r="L47" s="276">
        <f t="shared" si="12"/>
        <v>1.0000000000000004</v>
      </c>
    </row>
    <row r="48" spans="3:12" x14ac:dyDescent="0.2">
      <c r="C48" s="298" t="s">
        <v>55</v>
      </c>
      <c r="D48" s="278">
        <f>460/1.15</f>
        <v>400.00000000000006</v>
      </c>
      <c r="E48" s="278">
        <f>4347/1.15</f>
        <v>3780.0000000000005</v>
      </c>
      <c r="F48" s="278">
        <v>4180</v>
      </c>
      <c r="G48" s="294">
        <f t="shared" si="7"/>
        <v>9.5693779904306234E-3</v>
      </c>
      <c r="H48" s="294">
        <f t="shared" si="8"/>
        <v>8.6124401913875617E-2</v>
      </c>
      <c r="I48" s="305">
        <f t="shared" si="9"/>
        <v>0.45215311004784692</v>
      </c>
      <c r="J48" s="277">
        <f t="shared" si="10"/>
        <v>0.36172248803827756</v>
      </c>
      <c r="K48" s="277">
        <f t="shared" si="11"/>
        <v>9.0430622009569389E-2</v>
      </c>
      <c r="L48" s="276">
        <f t="shared" si="12"/>
        <v>1.0000000000000002</v>
      </c>
    </row>
    <row r="49" spans="3:12" x14ac:dyDescent="0.2">
      <c r="C49" s="298" t="s">
        <v>56</v>
      </c>
      <c r="D49" s="278">
        <v>0</v>
      </c>
      <c r="E49" s="278">
        <f>2173.5/1.15</f>
        <v>1890.0000000000002</v>
      </c>
      <c r="F49" s="278">
        <v>1890</v>
      </c>
      <c r="G49" s="294">
        <f t="shared" si="7"/>
        <v>0</v>
      </c>
      <c r="H49" s="294">
        <f t="shared" si="8"/>
        <v>0</v>
      </c>
      <c r="I49" s="305">
        <f t="shared" si="9"/>
        <v>0.50000000000000011</v>
      </c>
      <c r="J49" s="277">
        <f t="shared" si="10"/>
        <v>0.40000000000000008</v>
      </c>
      <c r="K49" s="277">
        <f t="shared" si="11"/>
        <v>0.10000000000000002</v>
      </c>
      <c r="L49" s="276">
        <f t="shared" si="12"/>
        <v>1.0000000000000002</v>
      </c>
    </row>
    <row r="50" spans="3:12" x14ac:dyDescent="0.2">
      <c r="C50" s="298" t="s">
        <v>57</v>
      </c>
      <c r="D50" s="278">
        <v>0</v>
      </c>
      <c r="E50" s="278">
        <f>2794.5/1.15</f>
        <v>2430</v>
      </c>
      <c r="F50" s="278">
        <v>2430</v>
      </c>
      <c r="G50" s="294">
        <f t="shared" si="7"/>
        <v>0</v>
      </c>
      <c r="H50" s="294">
        <f t="shared" si="8"/>
        <v>0</v>
      </c>
      <c r="I50" s="305">
        <f t="shared" si="9"/>
        <v>0.5</v>
      </c>
      <c r="J50" s="277">
        <f t="shared" si="10"/>
        <v>0.4</v>
      </c>
      <c r="K50" s="277">
        <f t="shared" si="11"/>
        <v>0.1</v>
      </c>
      <c r="L50" s="276">
        <f t="shared" si="12"/>
        <v>1</v>
      </c>
    </row>
    <row r="51" spans="3:12" x14ac:dyDescent="0.2">
      <c r="C51" s="298" t="s">
        <v>58</v>
      </c>
      <c r="D51" s="278">
        <v>0</v>
      </c>
      <c r="E51" s="278">
        <f>6155.352/1.15</f>
        <v>5352.4800000000005</v>
      </c>
      <c r="F51" s="278">
        <v>5352.48</v>
      </c>
      <c r="G51" s="294">
        <f t="shared" si="7"/>
        <v>0</v>
      </c>
      <c r="H51" s="294">
        <f t="shared" si="8"/>
        <v>0</v>
      </c>
      <c r="I51" s="305">
        <f t="shared" si="9"/>
        <v>0.50000000000000011</v>
      </c>
      <c r="J51" s="277">
        <f t="shared" si="10"/>
        <v>0.40000000000000008</v>
      </c>
      <c r="K51" s="277">
        <f t="shared" si="11"/>
        <v>0.10000000000000002</v>
      </c>
      <c r="L51" s="276">
        <f t="shared" si="12"/>
        <v>1.0000000000000002</v>
      </c>
    </row>
    <row r="52" spans="3:12" x14ac:dyDescent="0.2">
      <c r="C52" s="298" t="s">
        <v>59</v>
      </c>
      <c r="D52" s="278">
        <f>439.88/1.15</f>
        <v>382.50434782608698</v>
      </c>
      <c r="E52" s="278">
        <f>2209.15/1.15</f>
        <v>1921.0000000000002</v>
      </c>
      <c r="F52" s="278">
        <v>2303.5043479999999</v>
      </c>
      <c r="G52" s="294">
        <f t="shared" si="7"/>
        <v>1.6605323456766793E-2</v>
      </c>
      <c r="H52" s="294">
        <f t="shared" si="8"/>
        <v>0.14944791111090114</v>
      </c>
      <c r="I52" s="305">
        <f t="shared" si="9"/>
        <v>0.41697338267841644</v>
      </c>
      <c r="J52" s="277">
        <f t="shared" si="10"/>
        <v>0.33357870614273316</v>
      </c>
      <c r="K52" s="277">
        <f t="shared" si="11"/>
        <v>8.339467653568329E-2</v>
      </c>
      <c r="L52" s="276">
        <f t="shared" si="12"/>
        <v>0.99999999992450084</v>
      </c>
    </row>
    <row r="53" spans="3:12" x14ac:dyDescent="0.2">
      <c r="C53" s="299" t="s">
        <v>60</v>
      </c>
      <c r="D53" s="278">
        <v>0</v>
      </c>
      <c r="E53" s="278">
        <f>3722.9004/1.15</f>
        <v>3237.3046956521744</v>
      </c>
      <c r="F53" s="278">
        <v>3237.3</v>
      </c>
      <c r="G53" s="294">
        <f t="shared" si="7"/>
        <v>0</v>
      </c>
      <c r="H53" s="294">
        <f t="shared" si="8"/>
        <v>0</v>
      </c>
      <c r="I53" s="306">
        <f t="shared" si="9"/>
        <v>0.50000072524204953</v>
      </c>
      <c r="J53" s="277">
        <f t="shared" si="10"/>
        <v>0.40000058019363965</v>
      </c>
      <c r="K53" s="277">
        <f t="shared" si="11"/>
        <v>0.10000014504840991</v>
      </c>
      <c r="L53" s="276">
        <f t="shared" si="12"/>
        <v>1.0000014504840991</v>
      </c>
    </row>
    <row r="54" spans="3:12" x14ac:dyDescent="0.2">
      <c r="C54" s="299" t="s">
        <v>61</v>
      </c>
      <c r="D54" s="278">
        <v>0</v>
      </c>
      <c r="E54" s="278">
        <f>2052.2808/1.15</f>
        <v>1784.5920000000001</v>
      </c>
      <c r="F54" s="278">
        <v>1784.59</v>
      </c>
      <c r="G54" s="294">
        <f t="shared" si="7"/>
        <v>0</v>
      </c>
      <c r="H54" s="294">
        <f t="shared" si="8"/>
        <v>0</v>
      </c>
      <c r="I54" s="306">
        <f t="shared" si="9"/>
        <v>0.50000056035279816</v>
      </c>
      <c r="J54" s="277">
        <f t="shared" si="10"/>
        <v>0.40000044828223852</v>
      </c>
      <c r="K54" s="277">
        <f t="shared" si="11"/>
        <v>0.10000011207055963</v>
      </c>
      <c r="L54" s="276">
        <f t="shared" si="12"/>
        <v>1.0000011207055963</v>
      </c>
    </row>
    <row r="55" spans="3:12" x14ac:dyDescent="0.2">
      <c r="C55" s="299" t="s">
        <v>62</v>
      </c>
      <c r="D55" s="278">
        <f>550/1.15</f>
        <v>478.26086956521743</v>
      </c>
      <c r="E55" s="278">
        <f>4158.216/1.15</f>
        <v>3615.8400000000006</v>
      </c>
      <c r="F55" s="278">
        <v>4094.1</v>
      </c>
      <c r="G55" s="294">
        <f t="shared" si="7"/>
        <v>1.1681709522611014E-2</v>
      </c>
      <c r="H55" s="294">
        <f t="shared" si="8"/>
        <v>0.1051353857034991</v>
      </c>
      <c r="I55" s="306">
        <f t="shared" si="9"/>
        <v>0.44159155858430432</v>
      </c>
      <c r="J55" s="277">
        <f t="shared" si="10"/>
        <v>0.35327324686744344</v>
      </c>
      <c r="K55" s="277">
        <f t="shared" si="11"/>
        <v>8.8318311716860859E-2</v>
      </c>
      <c r="L55" s="276">
        <f t="shared" si="12"/>
        <v>1.0000002123947187</v>
      </c>
    </row>
    <row r="56" spans="3:12" x14ac:dyDescent="0.2">
      <c r="C56" s="299" t="s">
        <v>63</v>
      </c>
      <c r="D56" s="278">
        <v>0</v>
      </c>
      <c r="E56" s="278">
        <v>3240</v>
      </c>
      <c r="F56" s="278">
        <v>3240</v>
      </c>
      <c r="G56" s="294">
        <f t="shared" si="7"/>
        <v>0</v>
      </c>
      <c r="H56" s="294">
        <f t="shared" si="8"/>
        <v>0</v>
      </c>
      <c r="I56" s="306">
        <f t="shared" si="9"/>
        <v>0.5</v>
      </c>
      <c r="J56" s="277">
        <f t="shared" si="10"/>
        <v>0.4</v>
      </c>
      <c r="K56" s="277">
        <f t="shared" si="11"/>
        <v>0.1</v>
      </c>
      <c r="L56" s="276">
        <f t="shared" si="12"/>
        <v>1</v>
      </c>
    </row>
    <row r="57" spans="3:12" x14ac:dyDescent="0.2">
      <c r="C57" s="299" t="s">
        <v>64</v>
      </c>
      <c r="D57" s="278">
        <v>0</v>
      </c>
      <c r="E57" s="278">
        <f>1925.1/1.15</f>
        <v>1674</v>
      </c>
      <c r="F57" s="278">
        <v>1674</v>
      </c>
      <c r="G57" s="294">
        <f t="shared" si="7"/>
        <v>0</v>
      </c>
      <c r="H57" s="294">
        <f t="shared" si="8"/>
        <v>0</v>
      </c>
      <c r="I57" s="306">
        <f t="shared" si="9"/>
        <v>0.5</v>
      </c>
      <c r="J57" s="277">
        <f t="shared" si="10"/>
        <v>0.4</v>
      </c>
      <c r="K57" s="277">
        <f t="shared" si="11"/>
        <v>0.1</v>
      </c>
      <c r="L57" s="276">
        <f t="shared" si="12"/>
        <v>1</v>
      </c>
    </row>
    <row r="58" spans="3:12" x14ac:dyDescent="0.2">
      <c r="C58" s="299" t="s">
        <v>65</v>
      </c>
      <c r="D58" s="278">
        <v>0</v>
      </c>
      <c r="E58" s="278">
        <f>3042.9/1.15</f>
        <v>2646.0000000000005</v>
      </c>
      <c r="F58" s="278">
        <v>2646</v>
      </c>
      <c r="G58" s="294">
        <f t="shared" si="7"/>
        <v>0</v>
      </c>
      <c r="H58" s="294">
        <f t="shared" si="8"/>
        <v>0</v>
      </c>
      <c r="I58" s="306">
        <f t="shared" si="9"/>
        <v>0.50000000000000011</v>
      </c>
      <c r="J58" s="277">
        <f t="shared" si="10"/>
        <v>0.40000000000000013</v>
      </c>
      <c r="K58" s="277">
        <f t="shared" si="11"/>
        <v>0.10000000000000003</v>
      </c>
      <c r="L58" s="276">
        <f t="shared" si="12"/>
        <v>1.0000000000000004</v>
      </c>
    </row>
    <row r="59" spans="3:12" x14ac:dyDescent="0.2">
      <c r="C59" s="299" t="s">
        <v>66</v>
      </c>
      <c r="D59" s="278">
        <v>0</v>
      </c>
      <c r="E59" s="278">
        <f>3042.9/1.15</f>
        <v>2646.0000000000005</v>
      </c>
      <c r="F59" s="278">
        <v>2646</v>
      </c>
      <c r="G59" s="294">
        <f t="shared" si="7"/>
        <v>0</v>
      </c>
      <c r="H59" s="294">
        <f t="shared" si="8"/>
        <v>0</v>
      </c>
      <c r="I59" s="306">
        <f t="shared" si="9"/>
        <v>0.50000000000000011</v>
      </c>
      <c r="J59" s="277">
        <f t="shared" si="10"/>
        <v>0.40000000000000013</v>
      </c>
      <c r="K59" s="277">
        <f t="shared" si="11"/>
        <v>0.10000000000000003</v>
      </c>
      <c r="L59" s="276">
        <f t="shared" si="12"/>
        <v>1.0000000000000004</v>
      </c>
    </row>
    <row r="60" spans="3:12" x14ac:dyDescent="0.2">
      <c r="C60" s="300" t="s">
        <v>67</v>
      </c>
      <c r="D60" s="278">
        <v>0</v>
      </c>
      <c r="E60" s="278">
        <f>1229.58/1.15</f>
        <v>1069.2</v>
      </c>
      <c r="F60" s="278">
        <v>1069.2</v>
      </c>
      <c r="G60" s="294">
        <f t="shared" si="7"/>
        <v>0</v>
      </c>
      <c r="H60" s="294">
        <f t="shared" si="8"/>
        <v>0</v>
      </c>
      <c r="I60" s="306">
        <f t="shared" si="9"/>
        <v>0.5</v>
      </c>
      <c r="J60" s="277">
        <f t="shared" si="10"/>
        <v>0.4</v>
      </c>
      <c r="K60" s="277">
        <f t="shared" si="11"/>
        <v>0.1</v>
      </c>
      <c r="L60" s="276">
        <f t="shared" si="12"/>
        <v>1</v>
      </c>
    </row>
    <row r="61" spans="3:12" x14ac:dyDescent="0.2">
      <c r="C61" s="300" t="s">
        <v>68</v>
      </c>
      <c r="D61" s="278">
        <v>0</v>
      </c>
      <c r="E61" s="278">
        <f>1229.58/1.16</f>
        <v>1059.9827586206898</v>
      </c>
      <c r="F61" s="278">
        <f t="shared" si="6"/>
        <v>1059.9827586206898</v>
      </c>
      <c r="G61" s="294">
        <f t="shared" si="7"/>
        <v>0</v>
      </c>
      <c r="H61" s="294">
        <f t="shared" si="8"/>
        <v>0</v>
      </c>
      <c r="I61" s="306">
        <f t="shared" si="9"/>
        <v>0.5</v>
      </c>
      <c r="J61" s="277">
        <f t="shared" si="10"/>
        <v>0.4</v>
      </c>
      <c r="K61" s="277">
        <f t="shared" si="11"/>
        <v>0.1</v>
      </c>
      <c r="L61" s="276">
        <f t="shared" si="12"/>
        <v>1</v>
      </c>
    </row>
    <row r="62" spans="3:12" x14ac:dyDescent="0.2">
      <c r="C62" s="300" t="s">
        <v>69</v>
      </c>
      <c r="D62" s="278">
        <f>496.8/1.15</f>
        <v>432.00000000000006</v>
      </c>
      <c r="E62" s="278">
        <v>0</v>
      </c>
      <c r="F62" s="278">
        <v>432</v>
      </c>
      <c r="G62" s="294">
        <f t="shared" si="7"/>
        <v>0.10000000000000002</v>
      </c>
      <c r="H62" s="294">
        <f t="shared" si="8"/>
        <v>0.90000000000000013</v>
      </c>
      <c r="I62" s="277">
        <f t="shared" si="9"/>
        <v>0</v>
      </c>
      <c r="J62" s="277">
        <f t="shared" si="10"/>
        <v>0</v>
      </c>
      <c r="K62" s="277">
        <f t="shared" si="11"/>
        <v>0</v>
      </c>
      <c r="L62" s="276">
        <f t="shared" si="12"/>
        <v>1.0000000000000002</v>
      </c>
    </row>
    <row r="63" spans="3:12" x14ac:dyDescent="0.2">
      <c r="C63" s="300" t="s">
        <v>70</v>
      </c>
      <c r="D63" s="278">
        <f>2918.7/1.15</f>
        <v>2538</v>
      </c>
      <c r="E63" s="278">
        <v>0</v>
      </c>
      <c r="F63" s="278">
        <v>2538</v>
      </c>
      <c r="G63" s="294">
        <f t="shared" si="7"/>
        <v>0.1</v>
      </c>
      <c r="H63" s="294">
        <f t="shared" si="8"/>
        <v>0.90000000000000013</v>
      </c>
      <c r="I63" s="277">
        <f t="shared" si="9"/>
        <v>0</v>
      </c>
      <c r="J63" s="277">
        <f t="shared" si="10"/>
        <v>0</v>
      </c>
      <c r="K63" s="277">
        <f t="shared" si="11"/>
        <v>0</v>
      </c>
      <c r="L63" s="276">
        <f t="shared" si="12"/>
        <v>1.0000000000000002</v>
      </c>
    </row>
    <row r="64" spans="3:12" x14ac:dyDescent="0.2">
      <c r="C64" s="300" t="s">
        <v>23</v>
      </c>
      <c r="D64" s="278">
        <f>500/1.15</f>
        <v>434.78260869565219</v>
      </c>
      <c r="E64" s="278">
        <f>1851.77/1.15</f>
        <v>1610.2347826086957</v>
      </c>
      <c r="F64" s="278">
        <v>2045.02</v>
      </c>
      <c r="G64" s="294">
        <f t="shared" si="7"/>
        <v>2.1260555334209553E-2</v>
      </c>
      <c r="H64" s="294">
        <f t="shared" si="8"/>
        <v>0.19134499800788599</v>
      </c>
      <c r="I64" s="277">
        <f t="shared" si="9"/>
        <v>0.39369658551229225</v>
      </c>
      <c r="J64" s="277">
        <f t="shared" si="10"/>
        <v>0.31495726840983379</v>
      </c>
      <c r="K64" s="277">
        <f t="shared" si="11"/>
        <v>7.8739317102458448E-2</v>
      </c>
      <c r="L64" s="276">
        <f t="shared" si="12"/>
        <v>0.99999872436668003</v>
      </c>
    </row>
    <row r="65" spans="3:12" x14ac:dyDescent="0.2">
      <c r="C65" s="300" t="s">
        <v>71</v>
      </c>
      <c r="D65" s="278">
        <f>7781.4/1.15</f>
        <v>6766.434782608696</v>
      </c>
      <c r="E65" s="278">
        <v>0</v>
      </c>
      <c r="F65" s="278">
        <v>6766.43</v>
      </c>
      <c r="G65" s="294">
        <f t="shared" si="7"/>
        <v>0.10000007068141836</v>
      </c>
      <c r="H65" s="294">
        <f t="shared" si="8"/>
        <v>0.90000063613276515</v>
      </c>
      <c r="I65" s="277">
        <f t="shared" si="9"/>
        <v>0</v>
      </c>
      <c r="J65" s="277">
        <f t="shared" si="10"/>
        <v>0</v>
      </c>
      <c r="K65" s="277">
        <f t="shared" si="11"/>
        <v>0</v>
      </c>
      <c r="L65" s="276">
        <f t="shared" si="12"/>
        <v>1.0000007068141836</v>
      </c>
    </row>
    <row r="66" spans="3:12" x14ac:dyDescent="0.2">
      <c r="C66" s="300" t="s">
        <v>72</v>
      </c>
      <c r="D66" s="278">
        <f>1944/1.15</f>
        <v>1690.4347826086957</v>
      </c>
      <c r="E66" s="278">
        <f>5151.6/1.15</f>
        <v>4479.652173913044</v>
      </c>
      <c r="F66" s="278">
        <v>6170.09</v>
      </c>
      <c r="G66" s="294">
        <f t="shared" si="7"/>
        <v>2.7397246759912675E-2</v>
      </c>
      <c r="H66" s="294">
        <f t="shared" si="8"/>
        <v>0.24657522083921404</v>
      </c>
      <c r="I66" s="277">
        <f t="shared" si="9"/>
        <v>0.36301351956884292</v>
      </c>
      <c r="J66" s="277">
        <f t="shared" si="10"/>
        <v>0.29041081565507432</v>
      </c>
      <c r="K66" s="277">
        <f t="shared" si="11"/>
        <v>7.2602703913768579E-2</v>
      </c>
      <c r="L66" s="276">
        <f t="shared" si="12"/>
        <v>0.99999950673681237</v>
      </c>
    </row>
    <row r="67" spans="3:12" x14ac:dyDescent="0.2">
      <c r="C67" s="300" t="s">
        <v>73</v>
      </c>
      <c r="D67" s="278">
        <f>819.72/1.15</f>
        <v>712.80000000000007</v>
      </c>
      <c r="E67" s="278">
        <v>0</v>
      </c>
      <c r="F67" s="278">
        <v>712.8</v>
      </c>
      <c r="G67" s="294">
        <f t="shared" si="7"/>
        <v>0.10000000000000003</v>
      </c>
      <c r="H67" s="294">
        <f t="shared" si="8"/>
        <v>0.90000000000000024</v>
      </c>
      <c r="I67" s="277">
        <f t="shared" si="9"/>
        <v>0</v>
      </c>
      <c r="J67" s="277">
        <f t="shared" si="10"/>
        <v>0</v>
      </c>
      <c r="K67" s="277">
        <f t="shared" si="11"/>
        <v>0</v>
      </c>
      <c r="L67" s="276">
        <f t="shared" si="12"/>
        <v>1.0000000000000002</v>
      </c>
    </row>
    <row r="68" spans="3:12" x14ac:dyDescent="0.2">
      <c r="C68" s="300" t="s">
        <v>74</v>
      </c>
      <c r="D68" s="278">
        <f>1026/1.15</f>
        <v>892.17391304347836</v>
      </c>
      <c r="E68" s="278">
        <v>0</v>
      </c>
      <c r="F68" s="278">
        <v>892.17</v>
      </c>
      <c r="G68" s="294">
        <f t="shared" si="7"/>
        <v>0.10000043859841493</v>
      </c>
      <c r="H68" s="294">
        <f t="shared" si="8"/>
        <v>0.9000039473857343</v>
      </c>
      <c r="I68" s="277">
        <f t="shared" si="9"/>
        <v>0</v>
      </c>
      <c r="J68" s="277">
        <f t="shared" si="10"/>
        <v>0</v>
      </c>
      <c r="K68" s="277">
        <f t="shared" si="11"/>
        <v>0</v>
      </c>
      <c r="L68" s="276">
        <f t="shared" si="12"/>
        <v>1.0000043859841492</v>
      </c>
    </row>
    <row r="69" spans="3:12" x14ac:dyDescent="0.2">
      <c r="C69" s="300" t="s">
        <v>75</v>
      </c>
      <c r="D69" s="278">
        <f>1214.4/1.15</f>
        <v>1056.0000000000002</v>
      </c>
      <c r="E69" s="278">
        <v>0</v>
      </c>
      <c r="F69" s="278">
        <v>1056</v>
      </c>
      <c r="G69" s="294">
        <f t="shared" si="7"/>
        <v>0.10000000000000002</v>
      </c>
      <c r="H69" s="294">
        <f t="shared" si="8"/>
        <v>0.90000000000000024</v>
      </c>
      <c r="I69" s="277">
        <f t="shared" si="9"/>
        <v>0</v>
      </c>
      <c r="J69" s="277">
        <f t="shared" si="10"/>
        <v>0</v>
      </c>
      <c r="K69" s="277">
        <f t="shared" si="11"/>
        <v>0</v>
      </c>
      <c r="L69" s="276">
        <f t="shared" si="12"/>
        <v>1.0000000000000002</v>
      </c>
    </row>
    <row r="70" spans="3:12" x14ac:dyDescent="0.2">
      <c r="C70" s="300" t="s">
        <v>76</v>
      </c>
      <c r="D70" s="278">
        <f>540/1.15</f>
        <v>469.56521739130437</v>
      </c>
      <c r="E70" s="278">
        <v>0</v>
      </c>
      <c r="F70" s="278">
        <v>469.57</v>
      </c>
      <c r="G70" s="294">
        <f t="shared" si="7"/>
        <v>9.9998981491855182E-2</v>
      </c>
      <c r="H70" s="294">
        <f t="shared" si="8"/>
        <v>0.89999083342669661</v>
      </c>
      <c r="I70" s="277">
        <f t="shared" si="9"/>
        <v>0</v>
      </c>
      <c r="J70" s="277">
        <f t="shared" si="10"/>
        <v>0</v>
      </c>
      <c r="K70" s="277">
        <f t="shared" si="11"/>
        <v>0</v>
      </c>
      <c r="L70" s="276">
        <f t="shared" si="12"/>
        <v>0.99998981491855177</v>
      </c>
    </row>
    <row r="71" spans="3:12" ht="16.5" x14ac:dyDescent="0.25">
      <c r="C71" s="301" t="s">
        <v>77</v>
      </c>
      <c r="D71" s="278">
        <f>993.6/1.15</f>
        <v>864.00000000000011</v>
      </c>
      <c r="E71" s="278">
        <v>0</v>
      </c>
      <c r="F71" s="278">
        <v>864</v>
      </c>
      <c r="G71" s="294">
        <f t="shared" si="7"/>
        <v>0.10000000000000002</v>
      </c>
      <c r="H71" s="294">
        <f t="shared" si="8"/>
        <v>0.90000000000000013</v>
      </c>
      <c r="I71" s="277">
        <f t="shared" si="9"/>
        <v>0</v>
      </c>
      <c r="J71" s="277">
        <f t="shared" si="10"/>
        <v>0</v>
      </c>
      <c r="K71" s="277">
        <f t="shared" si="11"/>
        <v>0</v>
      </c>
      <c r="L71" s="276">
        <f t="shared" si="12"/>
        <v>1.0000000000000002</v>
      </c>
    </row>
    <row r="72" spans="3:12" s="273" customFormat="1" x14ac:dyDescent="0.2">
      <c r="C72" s="275" t="s">
        <v>78</v>
      </c>
      <c r="D72" s="279">
        <f>SUM(D10:D71)</f>
        <v>35421.420434782609</v>
      </c>
      <c r="E72" s="279">
        <f>SUM(E10:E71)</f>
        <v>256260.45781949034</v>
      </c>
      <c r="F72" s="279">
        <f>SUM(F10:F71)</f>
        <v>291681.85660201201</v>
      </c>
      <c r="G72" s="295"/>
      <c r="H72" s="295"/>
    </row>
    <row r="75" spans="3:12" x14ac:dyDescent="0.2">
      <c r="E75" s="274"/>
    </row>
  </sheetData>
  <autoFilter ref="D9:E72" xr:uid="{F3896397-052B-479A-B121-F28A1AE4BEFC}"/>
  <mergeCells count="1">
    <mergeCell ref="C2:F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E1BF-BD25-4498-ADED-07F4AF026C25}">
  <sheetPr>
    <tabColor theme="8" tint="-0.249977111117893"/>
  </sheetPr>
  <dimension ref="B1:T1530"/>
  <sheetViews>
    <sheetView topLeftCell="A178" workbookViewId="0">
      <selection activeCell="C33" sqref="C33"/>
    </sheetView>
  </sheetViews>
  <sheetFormatPr defaultRowHeight="15" x14ac:dyDescent="0.2"/>
  <cols>
    <col min="2" max="2" width="3.765625" bestFit="1" customWidth="1"/>
    <col min="3" max="3" width="22.59765625" customWidth="1"/>
    <col min="4" max="4" width="11.97265625" customWidth="1"/>
    <col min="5" max="5" width="13.1796875" customWidth="1"/>
    <col min="6" max="6" width="17.62109375" bestFit="1" customWidth="1"/>
    <col min="7" max="7" width="12.375" customWidth="1"/>
    <col min="8" max="8" width="13.5859375" customWidth="1"/>
    <col min="9" max="9" width="15.87109375" customWidth="1"/>
    <col min="10" max="10" width="11.97265625" customWidth="1"/>
    <col min="11" max="11" width="14.125" customWidth="1"/>
    <col min="12" max="12" width="19.50390625" style="118" customWidth="1"/>
  </cols>
  <sheetData>
    <row r="1" spans="2:12" x14ac:dyDescent="0.2">
      <c r="L1"/>
    </row>
    <row r="2" spans="2:12" s="1" customFormat="1" ht="12.75" x14ac:dyDescent="0.15"/>
    <row r="3" spans="2:12" s="1" customFormat="1" ht="22.5" customHeight="1" x14ac:dyDescent="0.15">
      <c r="B3" s="347"/>
      <c r="C3" s="347"/>
      <c r="D3" s="347"/>
      <c r="E3" s="347"/>
      <c r="F3" s="348" t="s">
        <v>79</v>
      </c>
      <c r="G3" s="349"/>
      <c r="H3" s="349"/>
      <c r="I3" s="349"/>
      <c r="J3" s="349"/>
      <c r="K3" s="349"/>
      <c r="L3" s="350"/>
    </row>
    <row r="4" spans="2:12" s="1" customFormat="1" ht="13.35" customHeight="1" x14ac:dyDescent="0.15">
      <c r="B4" s="357"/>
      <c r="C4" s="358"/>
      <c r="D4" s="358"/>
      <c r="E4" s="359"/>
      <c r="F4" s="351"/>
      <c r="G4" s="352"/>
      <c r="H4" s="352"/>
      <c r="I4" s="352"/>
      <c r="J4" s="352"/>
      <c r="K4" s="352"/>
      <c r="L4" s="353"/>
    </row>
    <row r="5" spans="2:12" s="1" customFormat="1" ht="13.35" customHeight="1" x14ac:dyDescent="0.15">
      <c r="B5" s="357"/>
      <c r="C5" s="358"/>
      <c r="D5" s="358"/>
      <c r="E5" s="359"/>
      <c r="F5" s="351"/>
      <c r="G5" s="352"/>
      <c r="H5" s="352"/>
      <c r="I5" s="352"/>
      <c r="J5" s="352"/>
      <c r="K5" s="352"/>
      <c r="L5" s="353"/>
    </row>
    <row r="6" spans="2:12" s="1" customFormat="1" ht="13.35" customHeight="1" x14ac:dyDescent="0.15">
      <c r="B6" s="357"/>
      <c r="C6" s="358"/>
      <c r="D6" s="358"/>
      <c r="E6" s="359"/>
      <c r="F6" s="351"/>
      <c r="G6" s="352"/>
      <c r="H6" s="352"/>
      <c r="I6" s="352"/>
      <c r="J6" s="352"/>
      <c r="K6" s="352"/>
      <c r="L6" s="353"/>
    </row>
    <row r="7" spans="2:12" s="1" customFormat="1" ht="27.75" customHeight="1" x14ac:dyDescent="0.15">
      <c r="B7" s="360"/>
      <c r="C7" s="361"/>
      <c r="D7" s="361"/>
      <c r="E7" s="362"/>
      <c r="F7" s="354"/>
      <c r="G7" s="355"/>
      <c r="H7" s="355"/>
      <c r="I7" s="355"/>
      <c r="J7" s="355"/>
      <c r="K7" s="355"/>
      <c r="L7" s="356"/>
    </row>
    <row r="8" spans="2:12" s="1" customFormat="1" ht="25.5" x14ac:dyDescent="0.15">
      <c r="B8" s="331" t="s">
        <v>80</v>
      </c>
      <c r="C8" s="332"/>
      <c r="D8" s="332"/>
      <c r="E8" s="332"/>
      <c r="F8" s="332"/>
      <c r="G8" s="332"/>
      <c r="H8" s="332"/>
      <c r="I8" s="332"/>
      <c r="J8" s="332"/>
      <c r="K8" s="332"/>
      <c r="L8" s="333"/>
    </row>
    <row r="9" spans="2:12" s="1" customFormat="1" ht="25.5" x14ac:dyDescent="0.15">
      <c r="B9" s="3"/>
      <c r="C9" s="334"/>
      <c r="D9" s="334"/>
      <c r="E9" s="334"/>
      <c r="F9" s="334"/>
      <c r="G9" s="334"/>
      <c r="H9" s="334"/>
      <c r="I9" s="334"/>
      <c r="J9" s="334"/>
      <c r="K9" s="334"/>
      <c r="L9" s="335"/>
    </row>
    <row r="10" spans="2:12" s="4" customFormat="1" ht="25.5" x14ac:dyDescent="0.15">
      <c r="B10" s="3"/>
      <c r="C10" s="336" t="s">
        <v>81</v>
      </c>
      <c r="D10" s="336"/>
      <c r="E10" s="336"/>
      <c r="F10" s="336"/>
      <c r="G10" s="336"/>
      <c r="H10" s="336"/>
      <c r="I10" s="336"/>
      <c r="J10" s="336"/>
      <c r="K10" s="337"/>
      <c r="L10" s="338"/>
    </row>
    <row r="11" spans="2:12" s="5" customFormat="1" ht="16.350000000000001" customHeight="1" x14ac:dyDescent="0.2">
      <c r="B11" s="339" t="s">
        <v>82</v>
      </c>
      <c r="C11" s="340"/>
      <c r="D11" s="340"/>
      <c r="E11" s="340"/>
      <c r="F11" s="341"/>
      <c r="G11" s="342" t="s">
        <v>83</v>
      </c>
      <c r="H11" s="343"/>
      <c r="I11" s="343"/>
      <c r="J11" s="343"/>
      <c r="K11" s="343"/>
      <c r="L11" s="344"/>
    </row>
    <row r="12" spans="2:12" s="5" customFormat="1" ht="16.350000000000001" customHeight="1" x14ac:dyDescent="0.2">
      <c r="B12" s="345" t="s">
        <v>84</v>
      </c>
      <c r="C12" s="345"/>
      <c r="D12" s="345"/>
      <c r="E12" s="345"/>
      <c r="F12" s="345"/>
      <c r="G12" s="346" t="s">
        <v>85</v>
      </c>
      <c r="H12" s="346"/>
      <c r="I12" s="346"/>
      <c r="J12" s="346"/>
      <c r="K12" s="346"/>
      <c r="L12" s="346"/>
    </row>
    <row r="13" spans="2:12" s="5" customFormat="1" ht="16.350000000000001" customHeight="1" x14ac:dyDescent="0.2">
      <c r="B13" s="240"/>
      <c r="C13" s="237"/>
      <c r="D13" s="237"/>
      <c r="E13" s="238"/>
      <c r="F13" s="238"/>
      <c r="G13" s="238"/>
      <c r="H13" s="238"/>
      <c r="I13" s="238"/>
      <c r="J13" s="238"/>
      <c r="L13" s="241"/>
    </row>
    <row r="14" spans="2:12" s="5" customFormat="1" ht="15.4" customHeight="1" x14ac:dyDescent="0.2">
      <c r="B14" s="373" t="s">
        <v>86</v>
      </c>
      <c r="C14" s="373"/>
      <c r="D14" s="374" t="s">
        <v>87</v>
      </c>
      <c r="E14" s="374"/>
      <c r="F14" s="374"/>
      <c r="G14" s="373" t="s">
        <v>88</v>
      </c>
      <c r="H14" s="373"/>
      <c r="I14" s="373"/>
      <c r="J14" s="374" t="s">
        <v>89</v>
      </c>
      <c r="K14" s="374"/>
      <c r="L14" s="374"/>
    </row>
    <row r="15" spans="2:12" s="1" customFormat="1" ht="14.25" customHeight="1" x14ac:dyDescent="0.15">
      <c r="B15" s="236"/>
      <c r="C15" s="375" t="s">
        <v>90</v>
      </c>
      <c r="D15" s="375"/>
      <c r="E15" s="376" t="s">
        <v>91</v>
      </c>
      <c r="F15" s="376"/>
      <c r="G15" s="377" t="s">
        <v>90</v>
      </c>
      <c r="H15" s="377"/>
      <c r="I15" s="377"/>
      <c r="J15" s="377"/>
      <c r="K15" s="378" t="s">
        <v>92</v>
      </c>
      <c r="L15" s="378"/>
    </row>
    <row r="16" spans="2:12" s="1" customFormat="1" ht="13.5" customHeight="1" x14ac:dyDescent="0.15">
      <c r="B16" s="82"/>
      <c r="C16" s="363" t="s">
        <v>93</v>
      </c>
      <c r="D16" s="364"/>
      <c r="E16" s="365">
        <f>85000*12</f>
        <v>1020000</v>
      </c>
      <c r="F16" s="366"/>
      <c r="G16" s="363" t="s">
        <v>94</v>
      </c>
      <c r="H16" s="367"/>
      <c r="I16" s="367"/>
      <c r="J16" s="364"/>
      <c r="K16" s="368">
        <f>E16/C32</f>
        <v>1457.1428571428571</v>
      </c>
      <c r="L16" s="369"/>
    </row>
    <row r="17" spans="2:12" s="1" customFormat="1" ht="13.5" customHeight="1" x14ac:dyDescent="0.15">
      <c r="B17" s="82"/>
      <c r="C17" s="370" t="s">
        <v>95</v>
      </c>
      <c r="D17" s="370"/>
      <c r="E17" s="371">
        <f>+I88+I174+I243+I313+I383+I453+I523+I593+I663+I733+I803+I873</f>
        <v>38502.919749565219</v>
      </c>
      <c r="F17" s="371"/>
      <c r="G17" s="370" t="s">
        <v>96</v>
      </c>
      <c r="H17" s="370"/>
      <c r="I17" s="370"/>
      <c r="J17" s="370"/>
      <c r="K17" s="372">
        <f>+J88+J174+J243+J313+J383+J453+J523+J593+J663+J733+J803+J873</f>
        <v>55.004171070807473</v>
      </c>
      <c r="L17" s="372"/>
    </row>
    <row r="18" spans="2:12" s="1" customFormat="1" ht="12.75" customHeight="1" x14ac:dyDescent="0.15">
      <c r="B18" s="82"/>
      <c r="C18" s="370" t="s">
        <v>97</v>
      </c>
      <c r="D18" s="370"/>
      <c r="E18" s="383">
        <f>E17-E16</f>
        <v>-981497.08025043481</v>
      </c>
      <c r="F18" s="383"/>
      <c r="G18" s="370" t="s">
        <v>97</v>
      </c>
      <c r="H18" s="370"/>
      <c r="I18" s="370"/>
      <c r="J18" s="370"/>
      <c r="K18" s="384">
        <f>K17-K16</f>
        <v>-1402.1386860720497</v>
      </c>
      <c r="L18" s="384"/>
    </row>
    <row r="19" spans="2:12" s="1" customFormat="1" ht="12.75" x14ac:dyDescent="0.15">
      <c r="B19" s="244"/>
      <c r="C19" s="225"/>
      <c r="D19" s="243"/>
      <c r="G19" s="225"/>
      <c r="H19" s="225"/>
      <c r="I19" s="225"/>
      <c r="J19" s="228"/>
      <c r="L19" s="246"/>
    </row>
    <row r="20" spans="2:12" s="1" customFormat="1" ht="14.25" customHeight="1" x14ac:dyDescent="0.15">
      <c r="B20" s="385" t="s">
        <v>98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</row>
    <row r="21" spans="2:12" s="1" customFormat="1" ht="12.75" x14ac:dyDescent="0.15">
      <c r="B21" s="386"/>
      <c r="C21" s="387"/>
      <c r="D21" s="245" t="s">
        <v>99</v>
      </c>
      <c r="E21" s="6">
        <f>J32</f>
        <v>114.01105580124224</v>
      </c>
      <c r="F21" s="234" t="s">
        <v>100</v>
      </c>
      <c r="G21" s="6">
        <f>+J251</f>
        <v>121.60000000000001</v>
      </c>
      <c r="H21" s="234" t="s">
        <v>101</v>
      </c>
      <c r="I21" s="6">
        <f>+J461</f>
        <v>134.4</v>
      </c>
      <c r="J21" s="234" t="s">
        <v>102</v>
      </c>
      <c r="K21" s="6">
        <f>+J671</f>
        <v>147.20000000000002</v>
      </c>
      <c r="L21" s="82"/>
    </row>
    <row r="22" spans="2:12" s="1" customFormat="1" ht="12.75" x14ac:dyDescent="0.15">
      <c r="B22" s="386"/>
      <c r="C22" s="387"/>
      <c r="D22" s="235" t="s">
        <v>103</v>
      </c>
      <c r="E22" s="6">
        <f>+J97</f>
        <v>93.384773127950297</v>
      </c>
      <c r="F22" s="234" t="s">
        <v>104</v>
      </c>
      <c r="G22" s="6">
        <f>+J321</f>
        <v>140.80000000000001</v>
      </c>
      <c r="H22" s="234" t="s">
        <v>105</v>
      </c>
      <c r="I22" s="6">
        <f>J531</f>
        <v>134.4</v>
      </c>
      <c r="J22" s="234" t="s">
        <v>106</v>
      </c>
      <c r="K22" s="6">
        <f>+J741</f>
        <v>128</v>
      </c>
      <c r="L22" s="82"/>
    </row>
    <row r="23" spans="2:12" s="1" customFormat="1" ht="12.75" x14ac:dyDescent="0.15">
      <c r="B23" s="386"/>
      <c r="C23" s="387"/>
      <c r="D23" s="235" t="s">
        <v>107</v>
      </c>
      <c r="E23" s="6">
        <f>+J182</f>
        <v>134.4</v>
      </c>
      <c r="F23" s="234" t="s">
        <v>108</v>
      </c>
      <c r="G23" s="6">
        <f>+J391</f>
        <v>128</v>
      </c>
      <c r="H23" s="234" t="s">
        <v>109</v>
      </c>
      <c r="I23" s="6">
        <f>+J601</f>
        <v>134.4</v>
      </c>
      <c r="J23" s="234" t="s">
        <v>110</v>
      </c>
      <c r="K23" s="6">
        <f>+J811</f>
        <v>128</v>
      </c>
      <c r="L23" s="82"/>
    </row>
    <row r="24" spans="2:12" s="1" customFormat="1" ht="12.75" x14ac:dyDescent="0.15">
      <c r="B24" s="386"/>
      <c r="C24" s="387"/>
      <c r="D24" s="235"/>
      <c r="E24" s="6"/>
      <c r="F24" s="234"/>
      <c r="G24" s="6"/>
      <c r="H24" s="234"/>
      <c r="I24" s="6"/>
      <c r="J24" s="234"/>
      <c r="K24" s="6"/>
      <c r="L24" s="82"/>
    </row>
    <row r="25" spans="2:12" s="1" customFormat="1" ht="13.5" customHeight="1" x14ac:dyDescent="0.15">
      <c r="B25" s="385" t="s">
        <v>111</v>
      </c>
      <c r="C25" s="385"/>
      <c r="D25" s="385"/>
      <c r="E25" s="385"/>
      <c r="F25" s="385"/>
      <c r="G25" s="379">
        <f>SUM(E21:E23)+SUM(G21:G23)+SUM(I21:I23)+SUM(K21:K23)</f>
        <v>1538.5958289291927</v>
      </c>
      <c r="H25" s="379"/>
      <c r="I25" s="379"/>
      <c r="J25" s="379"/>
      <c r="K25" s="379"/>
      <c r="L25" s="379"/>
    </row>
    <row r="26" spans="2:12" s="1" customFormat="1" ht="13.5" customHeight="1" x14ac:dyDescent="0.15">
      <c r="C26" s="225"/>
      <c r="D26" s="226"/>
      <c r="G26" s="227"/>
      <c r="H26" s="227"/>
      <c r="I26" s="227"/>
      <c r="J26" s="228"/>
    </row>
    <row r="27" spans="2:12" s="1" customFormat="1" ht="13.5" customHeight="1" x14ac:dyDescent="0.15">
      <c r="C27" s="225"/>
      <c r="D27" s="226"/>
      <c r="G27" s="227"/>
      <c r="H27" s="227"/>
      <c r="I27" s="227"/>
      <c r="J27" s="228"/>
    </row>
    <row r="28" spans="2:12" s="1" customFormat="1" ht="13.5" customHeight="1" x14ac:dyDescent="0.15">
      <c r="C28" s="225"/>
      <c r="D28" s="226"/>
      <c r="G28" s="227"/>
      <c r="H28" s="227"/>
      <c r="I28" s="227"/>
      <c r="J28" s="228"/>
    </row>
    <row r="29" spans="2:12" s="1" customFormat="1" ht="13.5" customHeight="1" x14ac:dyDescent="0.15">
      <c r="C29" s="225"/>
      <c r="D29" s="226"/>
      <c r="G29" s="227"/>
      <c r="H29" s="227"/>
      <c r="I29" s="227"/>
      <c r="J29" s="228"/>
    </row>
    <row r="30" spans="2:12" s="247" customFormat="1" ht="32.25" x14ac:dyDescent="0.4">
      <c r="B30" s="248"/>
      <c r="C30" s="380" t="s">
        <v>112</v>
      </c>
      <c r="D30" s="380"/>
      <c r="E30" s="381" t="s">
        <v>113</v>
      </c>
      <c r="F30" s="381"/>
      <c r="G30" s="381"/>
      <c r="H30" s="381"/>
      <c r="I30" s="381"/>
      <c r="J30" s="382">
        <v>2026</v>
      </c>
      <c r="K30" s="382"/>
      <c r="L30" s="382"/>
    </row>
    <row r="31" spans="2:12" s="1" customFormat="1" ht="22.5" x14ac:dyDescent="0.15">
      <c r="B31" s="82"/>
      <c r="C31" s="102" t="s">
        <v>114</v>
      </c>
      <c r="D31" s="388" t="s">
        <v>115</v>
      </c>
      <c r="E31" s="388"/>
      <c r="F31" s="102" t="s">
        <v>116</v>
      </c>
      <c r="G31" s="102" t="s">
        <v>117</v>
      </c>
      <c r="H31" s="102" t="s">
        <v>118</v>
      </c>
      <c r="I31" s="102" t="s">
        <v>119</v>
      </c>
      <c r="J31" s="102" t="s">
        <v>120</v>
      </c>
      <c r="K31" s="82"/>
      <c r="L31" s="82"/>
    </row>
    <row r="32" spans="2:12" s="1" customFormat="1" ht="12.75" x14ac:dyDescent="0.15">
      <c r="B32" s="82"/>
      <c r="C32" s="229">
        <v>700</v>
      </c>
      <c r="D32" s="389">
        <v>21</v>
      </c>
      <c r="E32" s="389"/>
      <c r="F32" s="7">
        <v>0.8</v>
      </c>
      <c r="G32" s="8">
        <v>8</v>
      </c>
      <c r="H32" s="142">
        <f>D32*G32*F32</f>
        <v>134.4</v>
      </c>
      <c r="I32" s="66">
        <f>I88</f>
        <v>14272.260939130436</v>
      </c>
      <c r="J32" s="143">
        <f>H32-J88</f>
        <v>114.01105580124224</v>
      </c>
      <c r="K32" s="82"/>
      <c r="L32" s="82"/>
    </row>
    <row r="33" spans="2:12" s="1" customFormat="1" ht="33.75" x14ac:dyDescent="0.15">
      <c r="B33" s="120"/>
      <c r="C33" s="230" t="s">
        <v>121</v>
      </c>
      <c r="D33" s="390" t="s">
        <v>122</v>
      </c>
      <c r="E33" s="390"/>
      <c r="F33" s="231" t="s">
        <v>123</v>
      </c>
      <c r="G33" s="232" t="s">
        <v>124</v>
      </c>
      <c r="H33" s="233" t="s">
        <v>125</v>
      </c>
      <c r="I33" s="233" t="s">
        <v>126</v>
      </c>
      <c r="J33" s="232" t="s">
        <v>127</v>
      </c>
      <c r="K33" s="123" t="s">
        <v>128</v>
      </c>
      <c r="L33" s="114" t="s">
        <v>129</v>
      </c>
    </row>
    <row r="34" spans="2:12" s="1" customFormat="1" ht="12.75" x14ac:dyDescent="0.15">
      <c r="B34" s="82"/>
      <c r="C34" s="89"/>
      <c r="D34" s="391"/>
      <c r="E34" s="391"/>
      <c r="F34" s="184"/>
      <c r="G34" s="92"/>
      <c r="H34" s="92"/>
      <c r="I34" s="93"/>
      <c r="J34" s="94"/>
      <c r="K34" s="82"/>
      <c r="L34" s="82"/>
    </row>
    <row r="35" spans="2:12" s="1" customFormat="1" ht="12.75" x14ac:dyDescent="0.15">
      <c r="B35" s="82"/>
      <c r="C35" s="392" t="s">
        <v>130</v>
      </c>
      <c r="D35" s="392"/>
      <c r="E35" s="392"/>
      <c r="F35" s="184"/>
      <c r="G35" s="92"/>
      <c r="H35" s="92"/>
      <c r="I35" s="93"/>
      <c r="J35" s="94"/>
      <c r="K35" s="82"/>
      <c r="L35" s="82"/>
    </row>
    <row r="36" spans="2:12" s="1" customFormat="1" ht="12.75" x14ac:dyDescent="0.15">
      <c r="B36" s="82"/>
      <c r="C36" s="167" t="s">
        <v>131</v>
      </c>
      <c r="D36" s="167"/>
      <c r="E36" s="167"/>
      <c r="F36" s="184"/>
      <c r="G36" s="92"/>
      <c r="H36" s="92"/>
      <c r="I36" s="93"/>
      <c r="J36" s="94"/>
      <c r="K36" s="82"/>
      <c r="L36" s="82"/>
    </row>
    <row r="37" spans="2:12" s="1" customFormat="1" ht="12.75" customHeight="1" x14ac:dyDescent="0.15">
      <c r="B37" s="82">
        <v>1</v>
      </c>
      <c r="C37" s="203" t="s">
        <v>19</v>
      </c>
      <c r="D37" s="90"/>
      <c r="E37" s="90"/>
      <c r="F37" s="65">
        <f>'Work Component  Split'!F12</f>
        <v>24734.36</v>
      </c>
      <c r="G37" s="92">
        <f>'Work Component  Split'!K12</f>
        <v>9.9999988750027524E-2</v>
      </c>
      <c r="H37" s="92">
        <v>1</v>
      </c>
      <c r="I37" s="218">
        <f t="shared" ref="I37:I73" si="0">J37*$C$32</f>
        <v>2473.4357217391307</v>
      </c>
      <c r="J37" s="271">
        <f t="shared" ref="J37:J73" si="1">(F37*G37*H37)/$C$32</f>
        <v>3.5334796024844723</v>
      </c>
      <c r="K37" s="82"/>
      <c r="L37" s="82"/>
    </row>
    <row r="38" spans="2:12" s="1" customFormat="1" ht="12.75" customHeight="1" x14ac:dyDescent="0.15">
      <c r="B38" s="82">
        <f>B37+1</f>
        <v>2</v>
      </c>
      <c r="C38" s="203" t="s">
        <v>23</v>
      </c>
      <c r="D38" s="90"/>
      <c r="E38" s="90"/>
      <c r="F38" s="65">
        <f>'Work Component  Split'!F16</f>
        <v>2045.02</v>
      </c>
      <c r="G38" s="92">
        <f>'Work Component  Split'!K16</f>
        <v>7.8739317102458448E-2</v>
      </c>
      <c r="H38" s="92">
        <v>1</v>
      </c>
      <c r="I38" s="218">
        <f t="shared" si="0"/>
        <v>161.02347826086958</v>
      </c>
      <c r="J38" s="271">
        <f t="shared" si="1"/>
        <v>0.23003354037267082</v>
      </c>
      <c r="K38" s="82"/>
      <c r="L38" s="82"/>
    </row>
    <row r="39" spans="2:12" s="1" customFormat="1" ht="12.75" customHeight="1" x14ac:dyDescent="0.15">
      <c r="B39" s="82">
        <f t="shared" ref="B39:B73" si="2">B38+1</f>
        <v>3</v>
      </c>
      <c r="C39" s="203" t="s">
        <v>24</v>
      </c>
      <c r="D39" s="90"/>
      <c r="E39" s="90"/>
      <c r="F39" s="65">
        <f>'Work Component  Split'!F17</f>
        <v>8868.51</v>
      </c>
      <c r="G39" s="92">
        <f>'Work Component  Split'!K17</f>
        <v>6.4847420818153215E-2</v>
      </c>
      <c r="H39" s="92">
        <v>1</v>
      </c>
      <c r="I39" s="218">
        <f t="shared" si="0"/>
        <v>575.1</v>
      </c>
      <c r="J39" s="271">
        <f t="shared" si="1"/>
        <v>0.82157142857142862</v>
      </c>
      <c r="K39" s="82"/>
      <c r="L39" s="82"/>
    </row>
    <row r="40" spans="2:12" s="1" customFormat="1" ht="12.75" customHeight="1" x14ac:dyDescent="0.15">
      <c r="B40" s="82">
        <f t="shared" si="2"/>
        <v>4</v>
      </c>
      <c r="C40" s="203" t="s">
        <v>25</v>
      </c>
      <c r="D40" s="90"/>
      <c r="E40" s="90"/>
      <c r="F40" s="65">
        <f>'Work Component  Split'!F18</f>
        <v>3173.06</v>
      </c>
      <c r="G40" s="92">
        <f>'Work Component  Split'!K18</f>
        <v>8.7393899565883337E-2</v>
      </c>
      <c r="H40" s="92">
        <v>1</v>
      </c>
      <c r="I40" s="218">
        <f t="shared" si="0"/>
        <v>277.30608695652177</v>
      </c>
      <c r="J40" s="271">
        <f t="shared" si="1"/>
        <v>0.39615155279503111</v>
      </c>
      <c r="K40" s="82"/>
      <c r="L40" s="82"/>
    </row>
    <row r="41" spans="2:12" s="1" customFormat="1" ht="12.75" customHeight="1" x14ac:dyDescent="0.15">
      <c r="B41" s="82">
        <f t="shared" si="2"/>
        <v>5</v>
      </c>
      <c r="C41" s="203" t="s">
        <v>26</v>
      </c>
      <c r="D41" s="90"/>
      <c r="E41" s="90"/>
      <c r="F41" s="65">
        <f>'Work Component  Split'!F19</f>
        <v>2864.78</v>
      </c>
      <c r="G41" s="92">
        <f>'Work Component  Split'!K19</f>
        <v>8.482326740622316E-2</v>
      </c>
      <c r="H41" s="92">
        <v>1</v>
      </c>
      <c r="I41" s="218">
        <f t="shared" si="0"/>
        <v>243</v>
      </c>
      <c r="J41" s="271">
        <f t="shared" si="1"/>
        <v>0.34714285714285714</v>
      </c>
      <c r="K41" s="82"/>
      <c r="L41" s="82"/>
    </row>
    <row r="42" spans="2:12" s="1" customFormat="1" ht="12.75" customHeight="1" x14ac:dyDescent="0.15">
      <c r="B42" s="82">
        <f t="shared" si="2"/>
        <v>6</v>
      </c>
      <c r="C42" s="203" t="s">
        <v>27</v>
      </c>
      <c r="D42" s="90"/>
      <c r="E42" s="90"/>
      <c r="F42" s="65">
        <f>'Work Component  Split'!F20</f>
        <v>2700</v>
      </c>
      <c r="G42" s="92">
        <f>'Work Component  Split'!K20</f>
        <v>0.1</v>
      </c>
      <c r="H42" s="92">
        <v>1</v>
      </c>
      <c r="I42" s="218">
        <f t="shared" si="0"/>
        <v>270</v>
      </c>
      <c r="J42" s="271">
        <f t="shared" si="1"/>
        <v>0.38571428571428573</v>
      </c>
      <c r="K42" s="82"/>
      <c r="L42" s="82"/>
    </row>
    <row r="43" spans="2:12" s="1" customFormat="1" ht="12.75" customHeight="1" x14ac:dyDescent="0.15">
      <c r="B43" s="82">
        <f t="shared" si="2"/>
        <v>7</v>
      </c>
      <c r="C43" s="203" t="s">
        <v>28</v>
      </c>
      <c r="D43" s="90"/>
      <c r="E43" s="90"/>
      <c r="F43" s="65">
        <f>'Work Component  Split'!F21</f>
        <v>2535.65</v>
      </c>
      <c r="G43" s="92">
        <f>'Work Component  Split'!K21</f>
        <v>0.10000008573395554</v>
      </c>
      <c r="H43" s="92">
        <v>1</v>
      </c>
      <c r="I43" s="218">
        <f t="shared" si="0"/>
        <v>253.56521739130434</v>
      </c>
      <c r="J43" s="271">
        <f t="shared" si="1"/>
        <v>0.36223602484472051</v>
      </c>
      <c r="K43" s="82"/>
      <c r="L43" s="82"/>
    </row>
    <row r="44" spans="2:12" s="1" customFormat="1" ht="12.75" customHeight="1" x14ac:dyDescent="0.15">
      <c r="B44" s="82">
        <f t="shared" si="2"/>
        <v>8</v>
      </c>
      <c r="C44" s="203" t="s">
        <v>29</v>
      </c>
      <c r="D44" s="90"/>
      <c r="E44" s="90"/>
      <c r="F44" s="65">
        <f>'Work Component  Split'!F22</f>
        <v>2652.29</v>
      </c>
      <c r="G44" s="92">
        <f>'Work Component  Split'!K22</f>
        <v>0.10000021310542638</v>
      </c>
      <c r="H44" s="92">
        <v>1</v>
      </c>
      <c r="I44" s="218">
        <f t="shared" si="0"/>
        <v>265.22956521739133</v>
      </c>
      <c r="J44" s="271">
        <f t="shared" si="1"/>
        <v>0.3788993788819876</v>
      </c>
      <c r="K44" s="82"/>
      <c r="L44" s="82"/>
    </row>
    <row r="45" spans="2:12" s="1" customFormat="1" ht="12.75" customHeight="1" x14ac:dyDescent="0.15">
      <c r="B45" s="82">
        <f t="shared" si="2"/>
        <v>9</v>
      </c>
      <c r="C45" s="203" t="s">
        <v>30</v>
      </c>
      <c r="D45" s="90"/>
      <c r="E45" s="90"/>
      <c r="F45" s="65">
        <f>'Work Component  Split'!F23</f>
        <v>3868.56</v>
      </c>
      <c r="G45" s="92">
        <f>'Work Component  Split'!K23</f>
        <v>9.9999910089002914E-2</v>
      </c>
      <c r="H45" s="92">
        <v>1</v>
      </c>
      <c r="I45" s="218">
        <f t="shared" si="0"/>
        <v>386.85565217391309</v>
      </c>
      <c r="J45" s="271">
        <f t="shared" si="1"/>
        <v>0.55265093167701873</v>
      </c>
      <c r="K45" s="82"/>
      <c r="L45" s="82"/>
    </row>
    <row r="46" spans="2:12" s="1" customFormat="1" ht="12.75" customHeight="1" x14ac:dyDescent="0.15">
      <c r="B46" s="82">
        <f t="shared" si="2"/>
        <v>10</v>
      </c>
      <c r="C46" s="203" t="s">
        <v>31</v>
      </c>
      <c r="D46" s="90"/>
      <c r="E46" s="90"/>
      <c r="F46" s="65">
        <f>'Work Component  Split'!F24</f>
        <v>5793.54</v>
      </c>
      <c r="G46" s="92">
        <f>'Work Component  Split'!K24</f>
        <v>8.1202136532578795E-2</v>
      </c>
      <c r="H46" s="92">
        <v>1</v>
      </c>
      <c r="I46" s="218">
        <f t="shared" si="0"/>
        <v>470.44782608695652</v>
      </c>
      <c r="J46" s="271">
        <f t="shared" si="1"/>
        <v>0.67206832298136643</v>
      </c>
      <c r="K46" s="82"/>
      <c r="L46" s="82"/>
    </row>
    <row r="47" spans="2:12" s="1" customFormat="1" ht="12.75" customHeight="1" x14ac:dyDescent="0.15">
      <c r="B47" s="82">
        <f t="shared" si="2"/>
        <v>11</v>
      </c>
      <c r="C47" s="203" t="s">
        <v>32</v>
      </c>
      <c r="D47" s="90"/>
      <c r="E47" s="90"/>
      <c r="F47" s="65">
        <f>'Work Component  Split'!F25</f>
        <v>1784.35</v>
      </c>
      <c r="G47" s="92">
        <f>'Work Component  Split'!K25</f>
        <v>9.9999878167789782E-2</v>
      </c>
      <c r="H47" s="92">
        <v>1</v>
      </c>
      <c r="I47" s="218">
        <f t="shared" si="0"/>
        <v>178.43478260869568</v>
      </c>
      <c r="J47" s="271">
        <f t="shared" si="1"/>
        <v>0.25490683229813671</v>
      </c>
      <c r="K47" s="82"/>
      <c r="L47" s="82"/>
    </row>
    <row r="48" spans="2:12" s="1" customFormat="1" ht="12.75" customHeight="1" x14ac:dyDescent="0.15">
      <c r="B48" s="82">
        <f t="shared" si="2"/>
        <v>12</v>
      </c>
      <c r="C48" s="203" t="s">
        <v>33</v>
      </c>
      <c r="D48" s="90"/>
      <c r="E48" s="90"/>
      <c r="F48" s="65">
        <f>'Work Component  Split'!F26</f>
        <v>14018.4</v>
      </c>
      <c r="G48" s="92">
        <f>'Work Component  Split'!K26</f>
        <v>0.10000000000000002</v>
      </c>
      <c r="H48" s="92">
        <v>1</v>
      </c>
      <c r="I48" s="218">
        <f t="shared" si="0"/>
        <v>1401.8400000000001</v>
      </c>
      <c r="J48" s="271">
        <f t="shared" si="1"/>
        <v>2.0026285714285716</v>
      </c>
      <c r="K48" s="82"/>
      <c r="L48" s="82"/>
    </row>
    <row r="49" spans="2:12" s="1" customFormat="1" ht="12.75" customHeight="1" x14ac:dyDescent="0.15">
      <c r="B49" s="82">
        <f t="shared" si="2"/>
        <v>13</v>
      </c>
      <c r="C49" s="203" t="s">
        <v>34</v>
      </c>
      <c r="D49" s="90"/>
      <c r="E49" s="90"/>
      <c r="F49" s="65">
        <f>'Work Component  Split'!F27</f>
        <v>5328.2934779999996</v>
      </c>
      <c r="G49" s="92">
        <f>'Work Component  Split'!K27</f>
        <v>6.4259092664757711E-2</v>
      </c>
      <c r="H49" s="92">
        <v>1</v>
      </c>
      <c r="I49" s="218">
        <f t="shared" si="0"/>
        <v>342.39130434782612</v>
      </c>
      <c r="J49" s="271">
        <f t="shared" si="1"/>
        <v>0.48913043478260876</v>
      </c>
      <c r="K49" s="82"/>
      <c r="L49" s="82"/>
    </row>
    <row r="50" spans="2:12" s="1" customFormat="1" ht="12.75" customHeight="1" x14ac:dyDescent="0.15">
      <c r="B50" s="82">
        <f t="shared" si="2"/>
        <v>14</v>
      </c>
      <c r="C50" s="203" t="s">
        <v>36</v>
      </c>
      <c r="D50" s="90"/>
      <c r="E50" s="90"/>
      <c r="F50" s="65">
        <f>'Work Component  Split'!F29</f>
        <v>2994.59</v>
      </c>
      <c r="G50" s="92">
        <f>'Work Component  Split'!K29</f>
        <v>6.8784179934917422E-2</v>
      </c>
      <c r="H50" s="92">
        <v>1</v>
      </c>
      <c r="I50" s="218">
        <f t="shared" si="0"/>
        <v>205.98041739130434</v>
      </c>
      <c r="J50" s="271">
        <f t="shared" si="1"/>
        <v>0.29425773913043479</v>
      </c>
      <c r="K50" s="82"/>
      <c r="L50" s="82"/>
    </row>
    <row r="51" spans="2:12" s="1" customFormat="1" ht="12.75" customHeight="1" x14ac:dyDescent="0.15">
      <c r="B51" s="82">
        <f t="shared" si="2"/>
        <v>15</v>
      </c>
      <c r="C51" s="203" t="s">
        <v>39</v>
      </c>
      <c r="D51" s="90"/>
      <c r="E51" s="90"/>
      <c r="F51" s="65">
        <f>'Work Component  Split'!F31</f>
        <v>4034.65</v>
      </c>
      <c r="G51" s="92">
        <f>'Work Component  Split'!K31</f>
        <v>8.8146259117352466E-2</v>
      </c>
      <c r="H51" s="92">
        <v>1</v>
      </c>
      <c r="I51" s="218">
        <f t="shared" si="0"/>
        <v>355.63930434782606</v>
      </c>
      <c r="J51" s="271">
        <f t="shared" si="1"/>
        <v>0.50805614906832297</v>
      </c>
      <c r="K51" s="82"/>
      <c r="L51" s="82"/>
    </row>
    <row r="52" spans="2:12" s="1" customFormat="1" ht="12.75" customHeight="1" x14ac:dyDescent="0.15">
      <c r="B52" s="82">
        <f t="shared" si="2"/>
        <v>16</v>
      </c>
      <c r="C52" s="203" t="s">
        <v>43</v>
      </c>
      <c r="D52" s="90"/>
      <c r="E52" s="90"/>
      <c r="F52" s="65">
        <f>'Work Component  Split'!F35</f>
        <v>3549.91</v>
      </c>
      <c r="G52" s="92">
        <f>'Work Component  Split'!K35</f>
        <v>0.10000008573395555</v>
      </c>
      <c r="H52" s="92">
        <v>1</v>
      </c>
      <c r="I52" s="218">
        <f t="shared" si="0"/>
        <v>354.99130434782614</v>
      </c>
      <c r="J52" s="271">
        <f t="shared" si="1"/>
        <v>0.50713043478260877</v>
      </c>
      <c r="K52" s="82"/>
      <c r="L52" s="82"/>
    </row>
    <row r="53" spans="2:12" s="1" customFormat="1" ht="12.75" customHeight="1" x14ac:dyDescent="0.15">
      <c r="B53" s="82">
        <f t="shared" si="2"/>
        <v>17</v>
      </c>
      <c r="C53" s="203" t="s">
        <v>45</v>
      </c>
      <c r="D53" s="90"/>
      <c r="E53" s="90"/>
      <c r="F53" s="65">
        <f>'Work Component  Split'!F37</f>
        <v>3895.65</v>
      </c>
      <c r="G53" s="92">
        <f>'Work Component  Split'!K37</f>
        <v>8.4375047084289667E-2</v>
      </c>
      <c r="H53" s="92">
        <v>1</v>
      </c>
      <c r="I53" s="218">
        <f t="shared" si="0"/>
        <v>328.69565217391306</v>
      </c>
      <c r="J53" s="271">
        <f t="shared" si="1"/>
        <v>0.46956521739130436</v>
      </c>
      <c r="K53" s="82"/>
      <c r="L53" s="82"/>
    </row>
    <row r="54" spans="2:12" s="1" customFormat="1" ht="12.75" customHeight="1" x14ac:dyDescent="0.15">
      <c r="B54" s="82">
        <f t="shared" si="2"/>
        <v>18</v>
      </c>
      <c r="C54" s="203" t="s">
        <v>47</v>
      </c>
      <c r="D54" s="90"/>
      <c r="E54" s="90"/>
      <c r="F54" s="65">
        <f>'Work Component  Split'!F39</f>
        <v>8100</v>
      </c>
      <c r="G54" s="92">
        <f>'Work Component  Split'!K39</f>
        <v>0.10000000000000002</v>
      </c>
      <c r="H54" s="92">
        <v>1</v>
      </c>
      <c r="I54" s="218">
        <f t="shared" si="0"/>
        <v>810.00000000000011</v>
      </c>
      <c r="J54" s="271">
        <f t="shared" si="1"/>
        <v>1.1571428571428573</v>
      </c>
      <c r="K54" s="82"/>
      <c r="L54" s="82"/>
    </row>
    <row r="55" spans="2:12" s="1" customFormat="1" ht="12.75" customHeight="1" x14ac:dyDescent="0.15">
      <c r="B55" s="82">
        <f t="shared" si="2"/>
        <v>19</v>
      </c>
      <c r="C55" s="203" t="s">
        <v>48</v>
      </c>
      <c r="D55" s="90"/>
      <c r="E55" s="90"/>
      <c r="F55" s="65">
        <f>'Work Component  Split'!F40</f>
        <v>1572.1</v>
      </c>
      <c r="G55" s="92">
        <f>'Work Component  Split'!K40</f>
        <v>0.10000027656167466</v>
      </c>
      <c r="H55" s="92">
        <v>1</v>
      </c>
      <c r="I55" s="218">
        <f t="shared" si="0"/>
        <v>157.21043478260873</v>
      </c>
      <c r="J55" s="271">
        <f t="shared" si="1"/>
        <v>0.22458633540372674</v>
      </c>
      <c r="K55" s="82"/>
      <c r="L55" s="82"/>
    </row>
    <row r="56" spans="2:12" s="1" customFormat="1" ht="12.75" customHeight="1" x14ac:dyDescent="0.15">
      <c r="B56" s="82">
        <f t="shared" si="2"/>
        <v>20</v>
      </c>
      <c r="C56" s="203" t="s">
        <v>49</v>
      </c>
      <c r="D56" s="90"/>
      <c r="E56" s="90"/>
      <c r="F56" s="65">
        <f>'Work Component  Split'!F41</f>
        <v>2596.5100000000002</v>
      </c>
      <c r="G56" s="92">
        <f>'Work Component  Split'!K41</f>
        <v>9.9999916275575931E-2</v>
      </c>
      <c r="H56" s="92">
        <v>1</v>
      </c>
      <c r="I56" s="218">
        <f t="shared" si="0"/>
        <v>259.65078260869569</v>
      </c>
      <c r="J56" s="271">
        <f t="shared" si="1"/>
        <v>0.37092968944099386</v>
      </c>
      <c r="K56" s="82"/>
      <c r="L56" s="82"/>
    </row>
    <row r="57" spans="2:12" s="1" customFormat="1" ht="12.75" customHeight="1" x14ac:dyDescent="0.15">
      <c r="B57" s="82">
        <f t="shared" si="2"/>
        <v>21</v>
      </c>
      <c r="C57" s="203" t="s">
        <v>50</v>
      </c>
      <c r="D57" s="90"/>
      <c r="E57" s="90"/>
      <c r="F57" s="65">
        <f>'Work Component  Split'!F42</f>
        <v>2028.52</v>
      </c>
      <c r="G57" s="92">
        <f>'Work Component  Split'!K42</f>
        <v>0.10000008573395557</v>
      </c>
      <c r="H57" s="92">
        <v>1</v>
      </c>
      <c r="I57" s="218">
        <f t="shared" si="0"/>
        <v>202.85217391304354</v>
      </c>
      <c r="J57" s="271">
        <f t="shared" si="1"/>
        <v>0.28978881987577648</v>
      </c>
      <c r="K57" s="82"/>
      <c r="L57" s="82"/>
    </row>
    <row r="58" spans="2:12" s="1" customFormat="1" ht="12.75" customHeight="1" x14ac:dyDescent="0.15">
      <c r="B58" s="82">
        <f t="shared" si="2"/>
        <v>22</v>
      </c>
      <c r="C58" s="203" t="s">
        <v>51</v>
      </c>
      <c r="D58" s="90"/>
      <c r="E58" s="90"/>
      <c r="F58" s="65">
        <f>'Work Component  Split'!F43</f>
        <v>2943</v>
      </c>
      <c r="G58" s="92">
        <f>'Work Component  Split'!K43</f>
        <v>0.1</v>
      </c>
      <c r="H58" s="92">
        <v>1</v>
      </c>
      <c r="I58" s="218">
        <f t="shared" si="0"/>
        <v>294.3</v>
      </c>
      <c r="J58" s="271">
        <f t="shared" si="1"/>
        <v>0.42042857142857143</v>
      </c>
      <c r="K58" s="82"/>
      <c r="L58" s="82"/>
    </row>
    <row r="59" spans="2:12" s="1" customFormat="1" ht="12.75" customHeight="1" x14ac:dyDescent="0.15">
      <c r="B59" s="82">
        <f t="shared" si="2"/>
        <v>23</v>
      </c>
      <c r="C59" s="203" t="s">
        <v>52</v>
      </c>
      <c r="D59" s="90"/>
      <c r="E59" s="90"/>
      <c r="F59" s="65">
        <f>'Work Component  Split'!F44</f>
        <v>2272.6999999999998</v>
      </c>
      <c r="G59" s="92">
        <f>'Work Component  Split'!K44</f>
        <v>8.0991580594619333E-2</v>
      </c>
      <c r="H59" s="92">
        <v>1</v>
      </c>
      <c r="I59" s="218">
        <f t="shared" si="0"/>
        <v>184.06956521739139</v>
      </c>
      <c r="J59" s="271">
        <f t="shared" si="1"/>
        <v>0.26295652173913053</v>
      </c>
      <c r="K59" s="82"/>
      <c r="L59" s="82"/>
    </row>
    <row r="60" spans="2:12" s="1" customFormat="1" ht="12.75" customHeight="1" x14ac:dyDescent="0.15">
      <c r="B60" s="82">
        <f t="shared" si="2"/>
        <v>24</v>
      </c>
      <c r="C60" s="203" t="s">
        <v>55</v>
      </c>
      <c r="D60" s="90"/>
      <c r="E60" s="90"/>
      <c r="F60" s="65">
        <f>'Work Component  Split'!F47</f>
        <v>2916</v>
      </c>
      <c r="G60" s="92">
        <f>'Work Component  Split'!K47</f>
        <v>0.10000000000000003</v>
      </c>
      <c r="H60" s="92">
        <v>1</v>
      </c>
      <c r="I60" s="218">
        <f t="shared" si="0"/>
        <v>291.60000000000008</v>
      </c>
      <c r="J60" s="271">
        <f t="shared" si="1"/>
        <v>0.4165714285714287</v>
      </c>
      <c r="K60" s="82"/>
      <c r="L60" s="82"/>
    </row>
    <row r="61" spans="2:12" s="1" customFormat="1" ht="12.75" customHeight="1" x14ac:dyDescent="0.15">
      <c r="B61" s="82">
        <f t="shared" si="2"/>
        <v>25</v>
      </c>
      <c r="C61" s="203" t="s">
        <v>56</v>
      </c>
      <c r="D61" s="90"/>
      <c r="E61" s="90"/>
      <c r="F61" s="65">
        <f>'Work Component  Split'!F48</f>
        <v>4180</v>
      </c>
      <c r="G61" s="92">
        <f>'Work Component  Split'!K48</f>
        <v>9.0430622009569389E-2</v>
      </c>
      <c r="H61" s="92">
        <v>1</v>
      </c>
      <c r="I61" s="218">
        <f t="shared" si="0"/>
        <v>378</v>
      </c>
      <c r="J61" s="271">
        <f t="shared" si="1"/>
        <v>0.54</v>
      </c>
      <c r="K61" s="82"/>
      <c r="L61" s="82"/>
    </row>
    <row r="62" spans="2:12" s="1" customFormat="1" ht="12.75" customHeight="1" x14ac:dyDescent="0.15">
      <c r="B62" s="82">
        <f t="shared" si="2"/>
        <v>26</v>
      </c>
      <c r="C62" s="203" t="s">
        <v>57</v>
      </c>
      <c r="D62" s="90"/>
      <c r="E62" s="90"/>
      <c r="F62" s="65">
        <f>'Work Component  Split'!F49</f>
        <v>1890</v>
      </c>
      <c r="G62" s="92">
        <f>'Work Component  Split'!K49</f>
        <v>0.10000000000000002</v>
      </c>
      <c r="H62" s="92">
        <v>1</v>
      </c>
      <c r="I62" s="218">
        <f t="shared" si="0"/>
        <v>189</v>
      </c>
      <c r="J62" s="271">
        <f t="shared" si="1"/>
        <v>0.27</v>
      </c>
      <c r="K62" s="82"/>
      <c r="L62" s="82"/>
    </row>
    <row r="63" spans="2:12" s="1" customFormat="1" ht="12.75" customHeight="1" x14ac:dyDescent="0.15">
      <c r="B63" s="82">
        <f t="shared" si="2"/>
        <v>27</v>
      </c>
      <c r="C63" s="203" t="s">
        <v>58</v>
      </c>
      <c r="D63" s="90"/>
      <c r="E63" s="90"/>
      <c r="F63" s="65">
        <f>'Work Component  Split'!F50</f>
        <v>2430</v>
      </c>
      <c r="G63" s="92">
        <f>'Work Component  Split'!K50</f>
        <v>0.1</v>
      </c>
      <c r="H63" s="92">
        <v>1</v>
      </c>
      <c r="I63" s="218">
        <f t="shared" si="0"/>
        <v>243</v>
      </c>
      <c r="J63" s="271">
        <f t="shared" si="1"/>
        <v>0.34714285714285714</v>
      </c>
      <c r="K63" s="82"/>
      <c r="L63" s="82"/>
    </row>
    <row r="64" spans="2:12" s="1" customFormat="1" ht="12.75" customHeight="1" x14ac:dyDescent="0.15">
      <c r="B64" s="82">
        <f t="shared" si="2"/>
        <v>28</v>
      </c>
      <c r="C64" s="203" t="s">
        <v>59</v>
      </c>
      <c r="D64" s="90"/>
      <c r="E64" s="90"/>
      <c r="F64" s="65">
        <f>'Work Component  Split'!F51</f>
        <v>5352.48</v>
      </c>
      <c r="G64" s="92">
        <f>'Work Component  Split'!K51</f>
        <v>0.10000000000000002</v>
      </c>
      <c r="H64" s="92">
        <v>1</v>
      </c>
      <c r="I64" s="218">
        <f t="shared" si="0"/>
        <v>535.24800000000005</v>
      </c>
      <c r="J64" s="271">
        <f>(F64*G64*H64)/$C$32</f>
        <v>0.7646400000000001</v>
      </c>
      <c r="K64" s="82"/>
      <c r="L64" s="82"/>
    </row>
    <row r="65" spans="2:12" s="1" customFormat="1" ht="12.75" customHeight="1" x14ac:dyDescent="0.15">
      <c r="B65" s="82">
        <f t="shared" si="2"/>
        <v>29</v>
      </c>
      <c r="C65" s="203" t="s">
        <v>60</v>
      </c>
      <c r="D65" s="90"/>
      <c r="E65" s="90"/>
      <c r="F65" s="65">
        <f>'Work Component  Split'!F52</f>
        <v>2303.5043479999999</v>
      </c>
      <c r="G65" s="92">
        <f>'Work Component  Split'!K52</f>
        <v>8.339467653568329E-2</v>
      </c>
      <c r="H65" s="92">
        <v>1</v>
      </c>
      <c r="I65" s="218">
        <f t="shared" si="0"/>
        <v>192.10000000000002</v>
      </c>
      <c r="J65" s="271">
        <f>(F65*G65*H65)/$C$32</f>
        <v>0.27442857142857147</v>
      </c>
      <c r="K65" s="82"/>
      <c r="L65" s="82"/>
    </row>
    <row r="66" spans="2:12" s="1" customFormat="1" ht="12.75" customHeight="1" x14ac:dyDescent="0.15">
      <c r="B66" s="82">
        <f t="shared" si="2"/>
        <v>30</v>
      </c>
      <c r="C66" s="203" t="s">
        <v>61</v>
      </c>
      <c r="D66" s="90"/>
      <c r="E66" s="90"/>
      <c r="F66" s="65">
        <f>'Work Component  Split'!F53</f>
        <v>3237.3</v>
      </c>
      <c r="G66" s="92">
        <f>'Work Component  Split'!K53</f>
        <v>0.10000014504840991</v>
      </c>
      <c r="H66" s="92">
        <v>1</v>
      </c>
      <c r="I66" s="218">
        <f t="shared" si="0"/>
        <v>323.73046956521745</v>
      </c>
      <c r="J66" s="271">
        <f t="shared" si="1"/>
        <v>0.46247209937888206</v>
      </c>
      <c r="K66" s="82"/>
      <c r="L66" s="82"/>
    </row>
    <row r="67" spans="2:12" s="1" customFormat="1" ht="12.75" customHeight="1" x14ac:dyDescent="0.15">
      <c r="B67" s="82">
        <f t="shared" si="2"/>
        <v>31</v>
      </c>
      <c r="C67" s="203" t="s">
        <v>62</v>
      </c>
      <c r="D67" s="90"/>
      <c r="E67" s="90"/>
      <c r="F67" s="65">
        <f>'Work Component  Split'!F54</f>
        <v>1784.59</v>
      </c>
      <c r="G67" s="92">
        <f>'Work Component  Split'!K54</f>
        <v>0.10000011207055963</v>
      </c>
      <c r="H67" s="92">
        <v>1</v>
      </c>
      <c r="I67" s="218">
        <f t="shared" si="0"/>
        <v>178.45920000000004</v>
      </c>
      <c r="J67" s="271">
        <f t="shared" si="1"/>
        <v>0.25494171428571433</v>
      </c>
      <c r="K67" s="82"/>
      <c r="L67" s="82"/>
    </row>
    <row r="68" spans="2:12" s="1" customFormat="1" ht="12.75" customHeight="1" x14ac:dyDescent="0.15">
      <c r="B68" s="82">
        <f t="shared" si="2"/>
        <v>32</v>
      </c>
      <c r="C68" s="203" t="s">
        <v>63</v>
      </c>
      <c r="D68" s="90"/>
      <c r="E68" s="90"/>
      <c r="F68" s="65">
        <f>'Work Component  Split'!F55</f>
        <v>4094.1</v>
      </c>
      <c r="G68" s="92">
        <f>'Work Component  Split'!K55</f>
        <v>8.8318311716860859E-2</v>
      </c>
      <c r="H68" s="92">
        <v>1</v>
      </c>
      <c r="I68" s="218">
        <f t="shared" si="0"/>
        <v>361.584</v>
      </c>
      <c r="J68" s="271">
        <f t="shared" si="1"/>
        <v>0.51654857142857147</v>
      </c>
      <c r="K68" s="82"/>
      <c r="L68" s="82"/>
    </row>
    <row r="69" spans="2:12" s="1" customFormat="1" ht="12.75" customHeight="1" x14ac:dyDescent="0.15">
      <c r="B69" s="82">
        <f t="shared" si="2"/>
        <v>33</v>
      </c>
      <c r="C69" s="203" t="s">
        <v>64</v>
      </c>
      <c r="D69" s="90"/>
      <c r="E69" s="90"/>
      <c r="F69" s="65">
        <f>'Work Component  Split'!F56</f>
        <v>3240</v>
      </c>
      <c r="G69" s="92">
        <f>'Work Component  Split'!K56</f>
        <v>0.1</v>
      </c>
      <c r="H69" s="92">
        <v>1</v>
      </c>
      <c r="I69" s="218">
        <f t="shared" si="0"/>
        <v>324</v>
      </c>
      <c r="J69" s="271">
        <f t="shared" si="1"/>
        <v>0.46285714285714286</v>
      </c>
      <c r="K69" s="82"/>
      <c r="L69" s="82"/>
    </row>
    <row r="70" spans="2:12" s="1" customFormat="1" ht="12.75" customHeight="1" x14ac:dyDescent="0.15">
      <c r="B70" s="82">
        <f t="shared" si="2"/>
        <v>34</v>
      </c>
      <c r="C70" s="203" t="s">
        <v>65</v>
      </c>
      <c r="D70" s="90"/>
      <c r="E70" s="90"/>
      <c r="F70" s="65">
        <f>'Work Component  Split'!F57</f>
        <v>1674</v>
      </c>
      <c r="G70" s="92">
        <f>'Work Component  Split'!K57</f>
        <v>0.1</v>
      </c>
      <c r="H70" s="92">
        <v>1</v>
      </c>
      <c r="I70" s="218">
        <f t="shared" si="0"/>
        <v>167.4</v>
      </c>
      <c r="J70" s="271">
        <f t="shared" si="1"/>
        <v>0.23914285714285716</v>
      </c>
      <c r="K70" s="82"/>
      <c r="L70" s="82"/>
    </row>
    <row r="71" spans="2:12" s="1" customFormat="1" ht="12.75" customHeight="1" x14ac:dyDescent="0.15">
      <c r="B71" s="82">
        <f t="shared" si="2"/>
        <v>35</v>
      </c>
      <c r="C71" s="203" t="s">
        <v>66</v>
      </c>
      <c r="D71" s="90"/>
      <c r="E71" s="90"/>
      <c r="F71" s="65">
        <f>'Work Component  Split'!F58</f>
        <v>2646</v>
      </c>
      <c r="G71" s="92">
        <f>'Work Component  Split'!K58</f>
        <v>0.10000000000000003</v>
      </c>
      <c r="H71" s="92">
        <v>1</v>
      </c>
      <c r="I71" s="218">
        <f t="shared" si="0"/>
        <v>264.60000000000008</v>
      </c>
      <c r="J71" s="271">
        <f t="shared" si="1"/>
        <v>0.37800000000000011</v>
      </c>
      <c r="K71" s="82"/>
      <c r="L71" s="82"/>
    </row>
    <row r="72" spans="2:12" s="1" customFormat="1" ht="12.75" customHeight="1" x14ac:dyDescent="0.15">
      <c r="B72" s="82">
        <f t="shared" si="2"/>
        <v>36</v>
      </c>
      <c r="C72" s="203" t="s">
        <v>67</v>
      </c>
      <c r="D72" s="90"/>
      <c r="E72" s="90"/>
      <c r="F72" s="65">
        <f>'Work Component  Split'!F59</f>
        <v>2646</v>
      </c>
      <c r="G72" s="92">
        <f>'Work Component  Split'!K59</f>
        <v>0.10000000000000003</v>
      </c>
      <c r="H72" s="92">
        <v>1</v>
      </c>
      <c r="I72" s="218">
        <f t="shared" si="0"/>
        <v>264.60000000000008</v>
      </c>
      <c r="J72" s="271">
        <f t="shared" si="1"/>
        <v>0.37800000000000011</v>
      </c>
      <c r="K72" s="82"/>
      <c r="L72" s="82"/>
    </row>
    <row r="73" spans="2:12" s="1" customFormat="1" ht="12.75" customHeight="1" x14ac:dyDescent="0.15">
      <c r="B73" s="82">
        <f t="shared" si="2"/>
        <v>37</v>
      </c>
      <c r="C73" s="203" t="s">
        <v>68</v>
      </c>
      <c r="D73" s="90"/>
      <c r="E73" s="90"/>
      <c r="F73" s="65">
        <f>'Work Component  Split'!F60</f>
        <v>1069.2</v>
      </c>
      <c r="G73" s="92">
        <f>'Work Component  Split'!K60</f>
        <v>0.1</v>
      </c>
      <c r="H73" s="92">
        <v>1</v>
      </c>
      <c r="I73" s="218">
        <f t="shared" si="0"/>
        <v>106.92</v>
      </c>
      <c r="J73" s="271">
        <f t="shared" si="1"/>
        <v>0.15274285714285715</v>
      </c>
      <c r="K73" s="82"/>
      <c r="L73" s="82"/>
    </row>
    <row r="74" spans="2:12" s="1" customFormat="1" ht="12.75" customHeight="1" x14ac:dyDescent="0.15">
      <c r="B74" s="82"/>
      <c r="C74" s="203"/>
      <c r="D74" s="90"/>
      <c r="E74" s="90"/>
      <c r="F74" s="65"/>
      <c r="G74" s="92"/>
      <c r="H74" s="92"/>
      <c r="I74" s="218"/>
      <c r="J74" s="271"/>
      <c r="K74" s="82"/>
      <c r="L74" s="82"/>
    </row>
    <row r="75" spans="2:12" s="1" customFormat="1" ht="12.75" customHeight="1" x14ac:dyDescent="0.15">
      <c r="B75" s="82"/>
      <c r="C75" s="203"/>
      <c r="D75" s="90"/>
      <c r="E75" s="90"/>
      <c r="F75" s="223"/>
      <c r="G75" s="92"/>
      <c r="H75" s="92"/>
      <c r="I75" s="218"/>
      <c r="J75" s="271"/>
      <c r="K75" s="82"/>
      <c r="L75" s="82"/>
    </row>
    <row r="76" spans="2:12" s="118" customFormat="1" x14ac:dyDescent="0.2">
      <c r="C76" s="167" t="s">
        <v>132</v>
      </c>
      <c r="F76" s="223"/>
      <c r="G76" s="92"/>
    </row>
    <row r="77" spans="2:12" s="1" customFormat="1" x14ac:dyDescent="0.2">
      <c r="B77" s="120">
        <v>1</v>
      </c>
      <c r="C77" s="193" t="s">
        <v>133</v>
      </c>
      <c r="D77" s="272" t="s">
        <v>134</v>
      </c>
      <c r="E77" s="272"/>
      <c r="F77" s="118"/>
      <c r="G77" s="118"/>
      <c r="H77" s="195">
        <v>1</v>
      </c>
      <c r="I77" s="287">
        <f t="shared" ref="I77:I86" si="3">J77*$C$32</f>
        <v>0</v>
      </c>
      <c r="J77" s="288">
        <f t="shared" ref="J77:J86" si="4">(F78*G78*H77)/$C$32</f>
        <v>0</v>
      </c>
      <c r="K77" s="120"/>
      <c r="L77" s="289"/>
    </row>
    <row r="78" spans="2:12" s="1" customFormat="1" ht="14.25" x14ac:dyDescent="0.15">
      <c r="B78" s="82">
        <v>2</v>
      </c>
      <c r="C78" s="89" t="s">
        <v>135</v>
      </c>
      <c r="D78" s="90" t="s">
        <v>136</v>
      </c>
      <c r="E78" s="90"/>
      <c r="F78" s="286"/>
      <c r="G78" s="195"/>
      <c r="H78" s="92">
        <v>1</v>
      </c>
      <c r="I78" s="168">
        <f t="shared" si="3"/>
        <v>0</v>
      </c>
      <c r="J78" s="94">
        <f t="shared" si="4"/>
        <v>0</v>
      </c>
      <c r="K78" s="82"/>
      <c r="L78" s="115"/>
    </row>
    <row r="79" spans="2:12" s="1" customFormat="1" ht="14.25" x14ac:dyDescent="0.15">
      <c r="B79" s="82">
        <v>3</v>
      </c>
      <c r="C79" s="89" t="s">
        <v>137</v>
      </c>
      <c r="D79" s="90" t="s">
        <v>138</v>
      </c>
      <c r="E79" s="90"/>
      <c r="F79" s="223"/>
      <c r="G79" s="92"/>
      <c r="H79" s="92">
        <v>1</v>
      </c>
      <c r="I79" s="168">
        <f t="shared" si="3"/>
        <v>0</v>
      </c>
      <c r="J79" s="94">
        <f t="shared" si="4"/>
        <v>0</v>
      </c>
      <c r="K79" s="82"/>
      <c r="L79" s="115"/>
    </row>
    <row r="80" spans="2:12" s="1" customFormat="1" ht="14.25" x14ac:dyDescent="0.15">
      <c r="B80" s="82">
        <v>4</v>
      </c>
      <c r="C80" s="89" t="s">
        <v>139</v>
      </c>
      <c r="D80" s="90" t="s">
        <v>140</v>
      </c>
      <c r="E80" s="90"/>
      <c r="F80" s="223"/>
      <c r="G80" s="92"/>
      <c r="H80" s="92">
        <v>1</v>
      </c>
      <c r="I80" s="168">
        <f t="shared" si="3"/>
        <v>0</v>
      </c>
      <c r="J80" s="94">
        <f t="shared" si="4"/>
        <v>0</v>
      </c>
      <c r="K80" s="82"/>
      <c r="L80" s="115"/>
    </row>
    <row r="81" spans="2:12" s="1" customFormat="1" ht="14.25" x14ac:dyDescent="0.15">
      <c r="B81" s="82">
        <v>5</v>
      </c>
      <c r="C81" s="89" t="s">
        <v>141</v>
      </c>
      <c r="D81" s="169" t="s">
        <v>142</v>
      </c>
      <c r="E81" s="169"/>
      <c r="F81" s="223"/>
      <c r="G81" s="92"/>
      <c r="H81" s="92">
        <v>1</v>
      </c>
      <c r="I81" s="218">
        <f t="shared" si="3"/>
        <v>0</v>
      </c>
      <c r="J81" s="94">
        <f t="shared" si="4"/>
        <v>0</v>
      </c>
      <c r="K81" s="82"/>
      <c r="L81" s="82"/>
    </row>
    <row r="82" spans="2:12" s="1" customFormat="1" ht="14.25" x14ac:dyDescent="0.15">
      <c r="B82" s="82">
        <v>6</v>
      </c>
      <c r="C82" s="89" t="s">
        <v>143</v>
      </c>
      <c r="D82" s="90" t="s">
        <v>144</v>
      </c>
      <c r="E82" s="90"/>
      <c r="F82" s="223"/>
      <c r="G82" s="214"/>
      <c r="H82" s="92">
        <v>1</v>
      </c>
      <c r="I82" s="218">
        <f t="shared" si="3"/>
        <v>0</v>
      </c>
      <c r="J82" s="94">
        <f t="shared" si="4"/>
        <v>0</v>
      </c>
      <c r="K82" s="82"/>
      <c r="L82" s="115"/>
    </row>
    <row r="83" spans="2:12" s="1" customFormat="1" ht="14.25" x14ac:dyDescent="0.15">
      <c r="B83" s="82">
        <v>7</v>
      </c>
      <c r="C83" s="203" t="s">
        <v>145</v>
      </c>
      <c r="D83" s="90" t="s">
        <v>146</v>
      </c>
      <c r="E83" s="90"/>
      <c r="F83" s="223"/>
      <c r="G83" s="214"/>
      <c r="H83" s="92">
        <v>1</v>
      </c>
      <c r="I83" s="218">
        <f t="shared" si="3"/>
        <v>0</v>
      </c>
      <c r="J83" s="94">
        <f t="shared" si="4"/>
        <v>0</v>
      </c>
      <c r="K83" s="82"/>
      <c r="L83" s="115"/>
    </row>
    <row r="84" spans="2:12" s="1" customFormat="1" ht="14.25" x14ac:dyDescent="0.15">
      <c r="B84" s="82">
        <v>8</v>
      </c>
      <c r="C84" s="203"/>
      <c r="D84" s="90"/>
      <c r="E84" s="90"/>
      <c r="F84" s="223"/>
      <c r="G84" s="214"/>
      <c r="H84" s="92">
        <v>1</v>
      </c>
      <c r="I84" s="218">
        <f t="shared" si="3"/>
        <v>0</v>
      </c>
      <c r="J84" s="94">
        <f t="shared" si="4"/>
        <v>0</v>
      </c>
      <c r="K84" s="82"/>
      <c r="L84" s="115"/>
    </row>
    <row r="85" spans="2:12" s="1" customFormat="1" ht="14.25" x14ac:dyDescent="0.15">
      <c r="B85" s="82">
        <v>9</v>
      </c>
      <c r="C85" s="203"/>
      <c r="D85" s="90"/>
      <c r="E85" s="90"/>
      <c r="F85" s="223"/>
      <c r="G85" s="214"/>
      <c r="H85" s="92">
        <v>1</v>
      </c>
      <c r="I85" s="218">
        <f t="shared" si="3"/>
        <v>0</v>
      </c>
      <c r="J85" s="94">
        <f t="shared" si="4"/>
        <v>0</v>
      </c>
      <c r="K85" s="82"/>
      <c r="L85" s="115"/>
    </row>
    <row r="86" spans="2:12" s="1" customFormat="1" ht="14.25" x14ac:dyDescent="0.15">
      <c r="B86" s="82">
        <v>10</v>
      </c>
      <c r="C86" s="203"/>
      <c r="D86" s="90"/>
      <c r="E86" s="90"/>
      <c r="F86" s="223"/>
      <c r="G86" s="214"/>
      <c r="H86" s="92">
        <v>1</v>
      </c>
      <c r="I86" s="218">
        <f t="shared" si="3"/>
        <v>0</v>
      </c>
      <c r="J86" s="94">
        <f t="shared" si="4"/>
        <v>0</v>
      </c>
      <c r="K86" s="82"/>
      <c r="L86" s="115"/>
    </row>
    <row r="87" spans="2:12" s="1" customFormat="1" ht="14.25" x14ac:dyDescent="0.15">
      <c r="B87" s="82"/>
      <c r="C87" s="203"/>
      <c r="D87" s="90"/>
      <c r="E87" s="90"/>
      <c r="F87" s="223"/>
      <c r="G87" s="214"/>
      <c r="H87" s="92"/>
      <c r="I87" s="168"/>
      <c r="J87" s="94"/>
      <c r="K87" s="82"/>
      <c r="L87" s="115"/>
    </row>
    <row r="88" spans="2:12" s="1" customFormat="1" ht="14.25" x14ac:dyDescent="0.15">
      <c r="B88" s="82"/>
      <c r="C88" s="102"/>
      <c r="D88" s="103"/>
      <c r="E88" s="102"/>
      <c r="F88" s="224">
        <f>SUM(F37:F87)</f>
        <v>153817.61782599997</v>
      </c>
      <c r="G88" s="104"/>
      <c r="H88" s="105"/>
      <c r="I88" s="128">
        <f>SUM(I35:I87)</f>
        <v>14272.260939130436</v>
      </c>
      <c r="J88" s="106">
        <f>SUM(J34:J87)</f>
        <v>20.388944198757763</v>
      </c>
      <c r="K88" s="82"/>
      <c r="L88" s="115"/>
    </row>
    <row r="89" spans="2:12" s="1" customFormat="1" ht="14.25" x14ac:dyDescent="0.15">
      <c r="B89" s="82"/>
      <c r="C89" s="102"/>
      <c r="D89" s="103"/>
      <c r="E89" s="102" t="s">
        <v>147</v>
      </c>
      <c r="F89" s="224">
        <f>100/115*F88</f>
        <v>133754.45028347825</v>
      </c>
      <c r="G89" s="104"/>
      <c r="H89" s="105" t="s">
        <v>147</v>
      </c>
      <c r="I89" s="128">
        <f>100/115*I88</f>
        <v>12410.661686200379</v>
      </c>
      <c r="J89" s="257"/>
      <c r="L89" s="222"/>
    </row>
    <row r="90" spans="2:12" s="1" customFormat="1" ht="14.25" x14ac:dyDescent="0.15">
      <c r="B90" s="82"/>
      <c r="C90" s="102"/>
      <c r="D90" s="103"/>
      <c r="E90" s="102"/>
      <c r="F90" s="224"/>
      <c r="G90" s="104"/>
      <c r="H90" s="105"/>
      <c r="I90" s="128"/>
      <c r="J90" s="106"/>
      <c r="L90" s="222"/>
    </row>
    <row r="91" spans="2:12" s="1" customFormat="1" ht="14.25" x14ac:dyDescent="0.15">
      <c r="L91" s="222"/>
    </row>
    <row r="92" spans="2:12" s="1" customFormat="1" ht="14.25" x14ac:dyDescent="0.15">
      <c r="L92" s="222"/>
    </row>
    <row r="93" spans="2:12" s="1" customFormat="1" ht="14.25" x14ac:dyDescent="0.15">
      <c r="L93" s="222"/>
    </row>
    <row r="94" spans="2:12" s="1" customFormat="1" ht="14.25" x14ac:dyDescent="0.15">
      <c r="L94" s="222"/>
    </row>
    <row r="95" spans="2:12" s="247" customFormat="1" ht="31.5" customHeight="1" x14ac:dyDescent="0.4">
      <c r="B95" s="248"/>
      <c r="C95" s="380" t="s">
        <v>112</v>
      </c>
      <c r="D95" s="380"/>
      <c r="E95" s="396" t="s">
        <v>148</v>
      </c>
      <c r="F95" s="397"/>
      <c r="G95" s="397"/>
      <c r="H95" s="397"/>
      <c r="I95" s="398"/>
      <c r="J95" s="382">
        <v>2026</v>
      </c>
      <c r="K95" s="382"/>
      <c r="L95" s="382"/>
    </row>
    <row r="96" spans="2:12" s="1" customFormat="1" ht="22.5" x14ac:dyDescent="0.15">
      <c r="B96" s="82"/>
      <c r="C96" s="102" t="s">
        <v>114</v>
      </c>
      <c r="D96" s="388" t="s">
        <v>115</v>
      </c>
      <c r="E96" s="388"/>
      <c r="F96" s="102" t="s">
        <v>116</v>
      </c>
      <c r="G96" s="102" t="s">
        <v>117</v>
      </c>
      <c r="H96" s="102" t="s">
        <v>118</v>
      </c>
      <c r="I96" s="102" t="s">
        <v>119</v>
      </c>
      <c r="J96" s="102" t="s">
        <v>120</v>
      </c>
      <c r="K96" s="82"/>
      <c r="L96" s="82"/>
    </row>
    <row r="97" spans="2:12" s="1" customFormat="1" ht="12.75" x14ac:dyDescent="0.15">
      <c r="B97" s="82"/>
      <c r="C97" s="66">
        <f>C32</f>
        <v>700</v>
      </c>
      <c r="D97" s="389">
        <v>20</v>
      </c>
      <c r="E97" s="389"/>
      <c r="F97" s="13">
        <f>F32</f>
        <v>0.8</v>
      </c>
      <c r="G97" s="14">
        <f>G32</f>
        <v>8</v>
      </c>
      <c r="H97" s="142">
        <f>D97*G97*F97</f>
        <v>128</v>
      </c>
      <c r="I97" s="66">
        <f>I174</f>
        <v>24230.658810434779</v>
      </c>
      <c r="J97" s="143">
        <f>H97-J174</f>
        <v>93.384773127950297</v>
      </c>
      <c r="K97" s="82"/>
      <c r="L97" s="82"/>
    </row>
    <row r="98" spans="2:12" s="1" customFormat="1" ht="33.75" x14ac:dyDescent="0.15">
      <c r="B98" s="82"/>
      <c r="C98" s="167" t="s">
        <v>121</v>
      </c>
      <c r="D98" s="395" t="s">
        <v>122</v>
      </c>
      <c r="E98" s="395"/>
      <c r="F98" s="177" t="s">
        <v>123</v>
      </c>
      <c r="G98" s="178" t="s">
        <v>124</v>
      </c>
      <c r="H98" s="179" t="s">
        <v>125</v>
      </c>
      <c r="I98" s="180" t="s">
        <v>126</v>
      </c>
      <c r="J98" s="178" t="s">
        <v>127</v>
      </c>
      <c r="K98" s="114" t="s">
        <v>128</v>
      </c>
      <c r="L98" s="114" t="s">
        <v>129</v>
      </c>
    </row>
    <row r="99" spans="2:12" s="1" customFormat="1" ht="12.75" x14ac:dyDescent="0.15">
      <c r="B99" s="82"/>
      <c r="C99" s="89"/>
      <c r="D99" s="391"/>
      <c r="E99" s="391"/>
      <c r="F99" s="184"/>
      <c r="G99" s="92"/>
      <c r="H99" s="92"/>
      <c r="I99" s="168"/>
      <c r="J99" s="317"/>
      <c r="K99" s="82"/>
      <c r="L99" s="82"/>
    </row>
    <row r="100" spans="2:12" s="1" customFormat="1" ht="12.75" x14ac:dyDescent="0.15">
      <c r="B100" s="82"/>
      <c r="C100" s="392" t="s">
        <v>130</v>
      </c>
      <c r="D100" s="392"/>
      <c r="E100" s="392"/>
      <c r="F100" s="184"/>
      <c r="G100" s="92"/>
      <c r="H100" s="92"/>
      <c r="I100" s="168"/>
      <c r="J100" s="317"/>
      <c r="K100" s="82"/>
      <c r="L100" s="82"/>
    </row>
    <row r="101" spans="2:12" s="1" customFormat="1" ht="12.75" x14ac:dyDescent="0.15">
      <c r="B101" s="82"/>
      <c r="C101" s="167" t="s">
        <v>149</v>
      </c>
      <c r="D101" s="167"/>
      <c r="E101" s="167"/>
      <c r="F101" s="168"/>
      <c r="G101" s="92"/>
      <c r="H101" s="92"/>
      <c r="I101" s="168"/>
      <c r="J101" s="317"/>
      <c r="K101" s="82"/>
      <c r="L101" s="82"/>
    </row>
    <row r="102" spans="2:12" s="1" customFormat="1" ht="12.75" customHeight="1" x14ac:dyDescent="0.15">
      <c r="B102" s="82">
        <v>1</v>
      </c>
      <c r="C102" s="203" t="s">
        <v>17</v>
      </c>
      <c r="D102" s="90"/>
      <c r="E102" s="90"/>
      <c r="F102" s="168">
        <v>23085.91</v>
      </c>
      <c r="G102" s="92">
        <v>7.0059672949770072E-2</v>
      </c>
      <c r="H102" s="92">
        <v>1</v>
      </c>
      <c r="I102" s="218">
        <f>J102*$C$32</f>
        <v>1617.3913043478262</v>
      </c>
      <c r="J102" s="318">
        <f t="shared" ref="J102:J132" si="5">(F102*G102*H102)/$C$32</f>
        <v>2.3105590062111805</v>
      </c>
      <c r="K102" s="82"/>
      <c r="L102" s="82"/>
    </row>
    <row r="103" spans="2:12" s="1" customFormat="1" ht="12.75" customHeight="1" x14ac:dyDescent="0.15">
      <c r="B103" s="82">
        <v>2</v>
      </c>
      <c r="C103" s="203" t="s">
        <v>18</v>
      </c>
      <c r="D103" s="90"/>
      <c r="E103" s="90"/>
      <c r="F103" s="168">
        <v>4320</v>
      </c>
      <c r="G103" s="92">
        <v>0.1</v>
      </c>
      <c r="H103" s="92">
        <v>1</v>
      </c>
      <c r="I103" s="218">
        <f>J103*$C$32</f>
        <v>432</v>
      </c>
      <c r="J103" s="318">
        <f t="shared" si="5"/>
        <v>0.6171428571428571</v>
      </c>
      <c r="K103" s="82"/>
      <c r="L103" s="82"/>
    </row>
    <row r="104" spans="2:12" s="1" customFormat="1" ht="12.75" customHeight="1" x14ac:dyDescent="0.15">
      <c r="B104" s="82">
        <v>3</v>
      </c>
      <c r="C104" s="203" t="s">
        <v>19</v>
      </c>
      <c r="D104" s="90"/>
      <c r="E104" s="90"/>
      <c r="F104" s="168">
        <v>24734.36</v>
      </c>
      <c r="G104" s="92">
        <v>9.9999988750027524E-2</v>
      </c>
      <c r="H104" s="92">
        <v>1</v>
      </c>
      <c r="I104" s="218">
        <f t="shared" ref="I104:I132" si="6">J104*$C$32</f>
        <v>2473.4357217391307</v>
      </c>
      <c r="J104" s="318">
        <f t="shared" si="5"/>
        <v>3.5334796024844723</v>
      </c>
      <c r="K104" s="82"/>
      <c r="L104" s="82"/>
    </row>
    <row r="105" spans="2:12" s="1" customFormat="1" ht="12.75" customHeight="1" x14ac:dyDescent="0.15">
      <c r="B105" s="82">
        <v>4</v>
      </c>
      <c r="C105" s="203" t="s">
        <v>20</v>
      </c>
      <c r="D105" s="90"/>
      <c r="E105" s="90"/>
      <c r="F105" s="168">
        <v>12960</v>
      </c>
      <c r="G105" s="92">
        <v>0.10000000000000002</v>
      </c>
      <c r="H105" s="92">
        <v>1</v>
      </c>
      <c r="I105" s="218">
        <f t="shared" si="6"/>
        <v>1296.0000000000002</v>
      </c>
      <c r="J105" s="318">
        <f t="shared" si="5"/>
        <v>1.8514285714285716</v>
      </c>
      <c r="K105" s="82"/>
      <c r="L105" s="82"/>
    </row>
    <row r="106" spans="2:12" s="1" customFormat="1" ht="12.75" customHeight="1" x14ac:dyDescent="0.15">
      <c r="B106" s="82">
        <v>5</v>
      </c>
      <c r="C106" s="203" t="s">
        <v>21</v>
      </c>
      <c r="D106" s="90"/>
      <c r="E106" s="90"/>
      <c r="F106" s="168">
        <v>4610.5200000000004</v>
      </c>
      <c r="G106" s="92">
        <v>0.1</v>
      </c>
      <c r="H106" s="92">
        <v>1</v>
      </c>
      <c r="I106" s="218">
        <f t="shared" si="6"/>
        <v>461.05200000000008</v>
      </c>
      <c r="J106" s="318">
        <f t="shared" si="5"/>
        <v>0.65864571428571439</v>
      </c>
      <c r="K106" s="82"/>
      <c r="L106" s="82"/>
    </row>
    <row r="107" spans="2:12" s="1" customFormat="1" ht="12.75" customHeight="1" x14ac:dyDescent="0.15">
      <c r="B107" s="82">
        <v>6</v>
      </c>
      <c r="C107" s="203" t="s">
        <v>22</v>
      </c>
      <c r="D107" s="90"/>
      <c r="E107" s="90"/>
      <c r="F107" s="168">
        <v>0</v>
      </c>
      <c r="G107" s="92">
        <v>0</v>
      </c>
      <c r="H107" s="92">
        <v>1</v>
      </c>
      <c r="I107" s="218">
        <f t="shared" si="6"/>
        <v>0</v>
      </c>
      <c r="J107" s="318">
        <f t="shared" si="5"/>
        <v>0</v>
      </c>
      <c r="K107" s="82"/>
      <c r="L107" s="82"/>
    </row>
    <row r="108" spans="2:12" s="1" customFormat="1" ht="12.75" customHeight="1" x14ac:dyDescent="0.15">
      <c r="B108" s="82">
        <v>7</v>
      </c>
      <c r="C108" s="203" t="s">
        <v>23</v>
      </c>
      <c r="D108" s="90"/>
      <c r="E108" s="90"/>
      <c r="F108" s="168">
        <v>2045.02</v>
      </c>
      <c r="G108" s="92">
        <v>7.8739317102458448E-2</v>
      </c>
      <c r="H108" s="92">
        <v>1</v>
      </c>
      <c r="I108" s="218">
        <f t="shared" si="6"/>
        <v>161.02347826086958</v>
      </c>
      <c r="J108" s="318">
        <f t="shared" si="5"/>
        <v>0.23003354037267082</v>
      </c>
      <c r="K108" s="82"/>
      <c r="L108" s="82"/>
    </row>
    <row r="109" spans="2:12" s="1" customFormat="1" ht="12.75" customHeight="1" x14ac:dyDescent="0.15">
      <c r="B109" s="82">
        <v>8</v>
      </c>
      <c r="C109" s="203" t="s">
        <v>24</v>
      </c>
      <c r="D109" s="90"/>
      <c r="E109" s="90"/>
      <c r="F109" s="168">
        <v>8868.51</v>
      </c>
      <c r="G109" s="92">
        <v>6.4847420818153215E-2</v>
      </c>
      <c r="H109" s="92">
        <v>1</v>
      </c>
      <c r="I109" s="218">
        <f t="shared" si="6"/>
        <v>575.1</v>
      </c>
      <c r="J109" s="318">
        <f t="shared" si="5"/>
        <v>0.82157142857142862</v>
      </c>
      <c r="K109" s="82"/>
      <c r="L109" s="82"/>
    </row>
    <row r="110" spans="2:12" s="1" customFormat="1" ht="12.75" customHeight="1" x14ac:dyDescent="0.15">
      <c r="B110" s="82">
        <v>9</v>
      </c>
      <c r="C110" s="203" t="s">
        <v>25</v>
      </c>
      <c r="D110" s="90"/>
      <c r="E110" s="90"/>
      <c r="F110" s="168">
        <v>3173.06</v>
      </c>
      <c r="G110" s="92">
        <v>8.7393899565883337E-2</v>
      </c>
      <c r="H110" s="92">
        <v>1</v>
      </c>
      <c r="I110" s="218">
        <f t="shared" si="6"/>
        <v>277.30608695652177</v>
      </c>
      <c r="J110" s="318">
        <f t="shared" si="5"/>
        <v>0.39615155279503111</v>
      </c>
      <c r="K110" s="82"/>
      <c r="L110" s="82"/>
    </row>
    <row r="111" spans="2:12" s="1" customFormat="1" ht="12.75" customHeight="1" x14ac:dyDescent="0.15">
      <c r="B111" s="82">
        <v>10</v>
      </c>
      <c r="C111" s="203" t="s">
        <v>26</v>
      </c>
      <c r="D111" s="90"/>
      <c r="E111" s="90"/>
      <c r="F111" s="168">
        <v>2864.78</v>
      </c>
      <c r="G111" s="92">
        <v>8.482326740622316E-2</v>
      </c>
      <c r="H111" s="92">
        <v>1</v>
      </c>
      <c r="I111" s="218">
        <f t="shared" si="6"/>
        <v>243</v>
      </c>
      <c r="J111" s="318">
        <f t="shared" si="5"/>
        <v>0.34714285714285714</v>
      </c>
      <c r="K111" s="82"/>
      <c r="L111" s="82"/>
    </row>
    <row r="112" spans="2:12" s="1" customFormat="1" ht="12.75" customHeight="1" x14ac:dyDescent="0.15">
      <c r="B112" s="82">
        <v>11</v>
      </c>
      <c r="C112" s="203" t="s">
        <v>27</v>
      </c>
      <c r="D112" s="90"/>
      <c r="E112" s="90"/>
      <c r="F112" s="168">
        <v>2700</v>
      </c>
      <c r="G112" s="92">
        <v>0.1</v>
      </c>
      <c r="H112" s="92">
        <v>1</v>
      </c>
      <c r="I112" s="218">
        <f t="shared" si="6"/>
        <v>270</v>
      </c>
      <c r="J112" s="318">
        <f t="shared" si="5"/>
        <v>0.38571428571428573</v>
      </c>
      <c r="K112" s="82"/>
      <c r="L112" s="82"/>
    </row>
    <row r="113" spans="2:12" s="1" customFormat="1" ht="12.75" customHeight="1" x14ac:dyDescent="0.15">
      <c r="B113" s="82">
        <v>12</v>
      </c>
      <c r="C113" s="203" t="s">
        <v>28</v>
      </c>
      <c r="D113" s="90"/>
      <c r="E113" s="90"/>
      <c r="F113" s="168">
        <v>2535.65</v>
      </c>
      <c r="G113" s="92">
        <v>0.10000008573395554</v>
      </c>
      <c r="H113" s="92">
        <v>1</v>
      </c>
      <c r="I113" s="218">
        <f t="shared" si="6"/>
        <v>253.56521739130434</v>
      </c>
      <c r="J113" s="318">
        <f t="shared" si="5"/>
        <v>0.36223602484472051</v>
      </c>
      <c r="K113" s="82"/>
      <c r="L113" s="82"/>
    </row>
    <row r="114" spans="2:12" s="1" customFormat="1" ht="12.75" customHeight="1" x14ac:dyDescent="0.15">
      <c r="B114" s="82">
        <v>13</v>
      </c>
      <c r="C114" s="203" t="s">
        <v>29</v>
      </c>
      <c r="D114" s="90"/>
      <c r="E114" s="90"/>
      <c r="F114" s="168">
        <v>2652.29</v>
      </c>
      <c r="G114" s="92">
        <v>0.10000021310542638</v>
      </c>
      <c r="H114" s="92">
        <v>1</v>
      </c>
      <c r="I114" s="218">
        <f t="shared" si="6"/>
        <v>265.22956521739133</v>
      </c>
      <c r="J114" s="318">
        <f t="shared" si="5"/>
        <v>0.3788993788819876</v>
      </c>
      <c r="K114" s="82"/>
      <c r="L114" s="82"/>
    </row>
    <row r="115" spans="2:12" s="1" customFormat="1" ht="12.75" customHeight="1" x14ac:dyDescent="0.15">
      <c r="B115" s="82">
        <v>14</v>
      </c>
      <c r="C115" s="203" t="s">
        <v>30</v>
      </c>
      <c r="D115" s="90"/>
      <c r="E115" s="90"/>
      <c r="F115" s="168">
        <v>3868.56</v>
      </c>
      <c r="G115" s="92">
        <v>9.9999910089002914E-2</v>
      </c>
      <c r="H115" s="92">
        <v>1</v>
      </c>
      <c r="I115" s="218">
        <f t="shared" si="6"/>
        <v>386.85565217391309</v>
      </c>
      <c r="J115" s="318">
        <f t="shared" si="5"/>
        <v>0.55265093167701873</v>
      </c>
      <c r="K115" s="82"/>
      <c r="L115" s="82"/>
    </row>
    <row r="116" spans="2:12" s="1" customFormat="1" ht="12.75" customHeight="1" x14ac:dyDescent="0.15">
      <c r="B116" s="82">
        <v>15</v>
      </c>
      <c r="C116" s="203" t="s">
        <v>31</v>
      </c>
      <c r="D116" s="90"/>
      <c r="E116" s="90"/>
      <c r="F116" s="168">
        <v>5793.54</v>
      </c>
      <c r="G116" s="92">
        <v>8.1202136532578795E-2</v>
      </c>
      <c r="H116" s="92">
        <v>1</v>
      </c>
      <c r="I116" s="218">
        <f t="shared" si="6"/>
        <v>470.44782608695652</v>
      </c>
      <c r="J116" s="318">
        <f t="shared" si="5"/>
        <v>0.67206832298136643</v>
      </c>
      <c r="K116" s="82"/>
      <c r="L116" s="82"/>
    </row>
    <row r="117" spans="2:12" s="1" customFormat="1" ht="12.75" customHeight="1" x14ac:dyDescent="0.15">
      <c r="B117" s="82">
        <v>16</v>
      </c>
      <c r="C117" s="203" t="s">
        <v>32</v>
      </c>
      <c r="D117" s="90"/>
      <c r="E117" s="90"/>
      <c r="F117" s="168">
        <v>1784.35</v>
      </c>
      <c r="G117" s="92">
        <v>9.9999878167789782E-2</v>
      </c>
      <c r="H117" s="92">
        <v>1</v>
      </c>
      <c r="I117" s="218">
        <f t="shared" si="6"/>
        <v>178.43478260869568</v>
      </c>
      <c r="J117" s="318">
        <f t="shared" si="5"/>
        <v>0.25490683229813671</v>
      </c>
      <c r="K117" s="82"/>
      <c r="L117" s="82"/>
    </row>
    <row r="118" spans="2:12" s="1" customFormat="1" ht="12.75" customHeight="1" x14ac:dyDescent="0.15">
      <c r="B118" s="82">
        <v>17</v>
      </c>
      <c r="C118" s="203" t="s">
        <v>33</v>
      </c>
      <c r="D118" s="90"/>
      <c r="E118" s="90"/>
      <c r="F118" s="168">
        <v>14018.4</v>
      </c>
      <c r="G118" s="92">
        <v>0.10000000000000002</v>
      </c>
      <c r="H118" s="92">
        <v>1</v>
      </c>
      <c r="I118" s="218">
        <f t="shared" si="6"/>
        <v>1401.8400000000001</v>
      </c>
      <c r="J118" s="318">
        <f t="shared" si="5"/>
        <v>2.0026285714285716</v>
      </c>
      <c r="K118" s="82"/>
      <c r="L118" s="82"/>
    </row>
    <row r="119" spans="2:12" s="1" customFormat="1" ht="12.75" customHeight="1" x14ac:dyDescent="0.15">
      <c r="B119" s="82">
        <v>18</v>
      </c>
      <c r="C119" s="203" t="s">
        <v>34</v>
      </c>
      <c r="D119" s="90"/>
      <c r="E119" s="90"/>
      <c r="F119" s="168">
        <v>5328.2934779999996</v>
      </c>
      <c r="G119" s="92">
        <v>6.4259092664757711E-2</v>
      </c>
      <c r="H119" s="92">
        <v>1</v>
      </c>
      <c r="I119" s="218">
        <f t="shared" si="6"/>
        <v>342.39130434782612</v>
      </c>
      <c r="J119" s="318">
        <f t="shared" si="5"/>
        <v>0.48913043478260876</v>
      </c>
      <c r="K119" s="82"/>
      <c r="L119" s="82"/>
    </row>
    <row r="120" spans="2:12" s="1" customFormat="1" ht="12.75" customHeight="1" x14ac:dyDescent="0.15">
      <c r="B120" s="82">
        <v>19</v>
      </c>
      <c r="C120" s="203" t="s">
        <v>35</v>
      </c>
      <c r="D120" s="90"/>
      <c r="E120" s="90"/>
      <c r="F120" s="168">
        <v>25181.84</v>
      </c>
      <c r="G120" s="92">
        <v>0.10000001381257632</v>
      </c>
      <c r="H120" s="92">
        <v>1</v>
      </c>
      <c r="I120" s="218">
        <f t="shared" si="6"/>
        <v>2518.1843478260871</v>
      </c>
      <c r="J120" s="318">
        <f t="shared" si="5"/>
        <v>3.5974062111801244</v>
      </c>
      <c r="K120" s="82"/>
      <c r="L120" s="82"/>
    </row>
    <row r="121" spans="2:12" s="1" customFormat="1" ht="12.75" customHeight="1" x14ac:dyDescent="0.15">
      <c r="B121" s="82">
        <v>20</v>
      </c>
      <c r="C121" s="203" t="s">
        <v>36</v>
      </c>
      <c r="D121" s="90"/>
      <c r="E121" s="90"/>
      <c r="F121" s="168">
        <v>2994.59</v>
      </c>
      <c r="G121" s="92">
        <v>6.8784179934917422E-2</v>
      </c>
      <c r="H121" s="92">
        <v>1</v>
      </c>
      <c r="I121" s="218">
        <f t="shared" si="6"/>
        <v>205.98041739130434</v>
      </c>
      <c r="J121" s="318">
        <f t="shared" si="5"/>
        <v>0.29425773913043479</v>
      </c>
      <c r="K121" s="82"/>
      <c r="L121" s="82"/>
    </row>
    <row r="122" spans="2:12" s="1" customFormat="1" ht="12.75" customHeight="1" x14ac:dyDescent="0.15">
      <c r="B122" s="82">
        <v>21</v>
      </c>
      <c r="C122" s="203" t="s">
        <v>38</v>
      </c>
      <c r="D122" s="90"/>
      <c r="E122" s="90"/>
      <c r="F122" s="168">
        <v>3947.8260173913045</v>
      </c>
      <c r="G122" s="92">
        <v>8.8105726662655981E-2</v>
      </c>
      <c r="H122" s="92">
        <v>1</v>
      </c>
      <c r="I122" s="218">
        <f t="shared" si="6"/>
        <v>347.82608000000005</v>
      </c>
      <c r="J122" s="318">
        <f t="shared" si="5"/>
        <v>0.49689440000000007</v>
      </c>
      <c r="K122" s="82"/>
      <c r="L122" s="82"/>
    </row>
    <row r="123" spans="2:12" s="1" customFormat="1" ht="12.75" customHeight="1" x14ac:dyDescent="0.15">
      <c r="B123" s="82">
        <v>22</v>
      </c>
      <c r="C123" s="203" t="s">
        <v>39</v>
      </c>
      <c r="D123" s="90"/>
      <c r="E123" s="90"/>
      <c r="F123" s="168">
        <v>4034.65</v>
      </c>
      <c r="G123" s="92">
        <v>8.8146259117352466E-2</v>
      </c>
      <c r="H123" s="92">
        <v>1</v>
      </c>
      <c r="I123" s="218">
        <f t="shared" si="6"/>
        <v>355.63930434782606</v>
      </c>
      <c r="J123" s="318">
        <f t="shared" si="5"/>
        <v>0.50805614906832297</v>
      </c>
      <c r="K123" s="82"/>
      <c r="L123" s="82"/>
    </row>
    <row r="124" spans="2:12" s="1" customFormat="1" ht="12.75" customHeight="1" x14ac:dyDescent="0.15">
      <c r="B124" s="82">
        <v>23</v>
      </c>
      <c r="C124" s="203" t="s">
        <v>40</v>
      </c>
      <c r="D124" s="90"/>
      <c r="E124" s="90"/>
      <c r="F124" s="168">
        <v>2535.67</v>
      </c>
      <c r="G124" s="92">
        <v>0.1000000377226429</v>
      </c>
      <c r="H124" s="92">
        <v>1</v>
      </c>
      <c r="I124" s="218">
        <f t="shared" si="6"/>
        <v>253.56709565217398</v>
      </c>
      <c r="J124" s="318">
        <f t="shared" si="5"/>
        <v>0.36223870807453423</v>
      </c>
      <c r="K124" s="82"/>
      <c r="L124" s="82"/>
    </row>
    <row r="125" spans="2:12" s="1" customFormat="1" ht="12.75" customHeight="1" x14ac:dyDescent="0.15">
      <c r="B125" s="82">
        <v>24</v>
      </c>
      <c r="C125" s="203" t="s">
        <v>41</v>
      </c>
      <c r="D125" s="90"/>
      <c r="E125" s="90"/>
      <c r="F125" s="168">
        <v>7560</v>
      </c>
      <c r="G125" s="92">
        <v>0.10000000000000002</v>
      </c>
      <c r="H125" s="92">
        <v>1</v>
      </c>
      <c r="I125" s="218">
        <f t="shared" si="6"/>
        <v>756</v>
      </c>
      <c r="J125" s="318">
        <f t="shared" si="5"/>
        <v>1.08</v>
      </c>
      <c r="K125" s="82"/>
      <c r="L125" s="82"/>
    </row>
    <row r="126" spans="2:12" s="1" customFormat="1" ht="12.75" customHeight="1" x14ac:dyDescent="0.15">
      <c r="B126" s="82">
        <v>25</v>
      </c>
      <c r="C126" s="203" t="s">
        <v>42</v>
      </c>
      <c r="D126" s="90"/>
      <c r="E126" s="90"/>
      <c r="F126" s="168">
        <v>3423.13</v>
      </c>
      <c r="G126" s="92">
        <v>0.10000001270131748</v>
      </c>
      <c r="H126" s="92">
        <v>1</v>
      </c>
      <c r="I126" s="218">
        <f t="shared" si="6"/>
        <v>342.31304347826091</v>
      </c>
      <c r="J126" s="318">
        <f t="shared" si="5"/>
        <v>0.48901863354037273</v>
      </c>
      <c r="K126" s="82"/>
      <c r="L126" s="82"/>
    </row>
    <row r="127" spans="2:12" s="1" customFormat="1" ht="12.75" customHeight="1" x14ac:dyDescent="0.15">
      <c r="B127" s="82">
        <v>26</v>
      </c>
      <c r="C127" s="203" t="s">
        <v>43</v>
      </c>
      <c r="D127" s="90"/>
      <c r="E127" s="90"/>
      <c r="F127" s="168">
        <v>3549.91</v>
      </c>
      <c r="G127" s="92">
        <v>0.10000008573395555</v>
      </c>
      <c r="H127" s="92">
        <v>1</v>
      </c>
      <c r="I127" s="218">
        <f t="shared" si="6"/>
        <v>354.99130434782614</v>
      </c>
      <c r="J127" s="318">
        <f t="shared" si="5"/>
        <v>0.50713043478260877</v>
      </c>
      <c r="K127" s="82"/>
      <c r="L127" s="82"/>
    </row>
    <row r="128" spans="2:12" s="1" customFormat="1" ht="12.75" customHeight="1" x14ac:dyDescent="0.15">
      <c r="B128" s="82">
        <v>27</v>
      </c>
      <c r="C128" s="203" t="s">
        <v>44</v>
      </c>
      <c r="D128" s="90"/>
      <c r="E128" s="90"/>
      <c r="F128" s="168">
        <v>6389.28</v>
      </c>
      <c r="G128" s="92">
        <v>8.2961460446247484E-2</v>
      </c>
      <c r="H128" s="92">
        <v>1</v>
      </c>
      <c r="I128" s="218">
        <f t="shared" si="6"/>
        <v>530.06400000000008</v>
      </c>
      <c r="J128" s="318">
        <f t="shared" si="5"/>
        <v>0.75723428571428586</v>
      </c>
      <c r="K128" s="82"/>
      <c r="L128" s="82"/>
    </row>
    <row r="129" spans="2:12" s="1" customFormat="1" ht="12.75" customHeight="1" x14ac:dyDescent="0.15">
      <c r="B129" s="82">
        <v>28</v>
      </c>
      <c r="C129" s="203" t="s">
        <v>45</v>
      </c>
      <c r="D129" s="90"/>
      <c r="E129" s="90"/>
      <c r="F129" s="168">
        <v>3895.65</v>
      </c>
      <c r="G129" s="92">
        <v>8.4375047084289667E-2</v>
      </c>
      <c r="H129" s="92">
        <v>1</v>
      </c>
      <c r="I129" s="218">
        <f t="shared" si="6"/>
        <v>328.69565217391306</v>
      </c>
      <c r="J129" s="318">
        <f t="shared" si="5"/>
        <v>0.46956521739130436</v>
      </c>
      <c r="K129" s="82"/>
      <c r="L129" s="82"/>
    </row>
    <row r="130" spans="2:12" s="1" customFormat="1" ht="12.75" customHeight="1" x14ac:dyDescent="0.15">
      <c r="B130" s="82">
        <v>29</v>
      </c>
      <c r="C130" s="203" t="s">
        <v>46</v>
      </c>
      <c r="D130" s="90"/>
      <c r="E130" s="90"/>
      <c r="F130" s="168">
        <v>14040</v>
      </c>
      <c r="G130" s="92">
        <v>0.10000000000000002</v>
      </c>
      <c r="H130" s="92">
        <v>1</v>
      </c>
      <c r="I130" s="218">
        <f t="shared" si="6"/>
        <v>1404.0000000000005</v>
      </c>
      <c r="J130" s="318">
        <f t="shared" si="5"/>
        <v>2.0057142857142862</v>
      </c>
      <c r="K130" s="82"/>
      <c r="L130" s="82"/>
    </row>
    <row r="131" spans="2:12" s="1" customFormat="1" ht="12.75" customHeight="1" x14ac:dyDescent="0.15">
      <c r="B131" s="82">
        <v>30</v>
      </c>
      <c r="C131" s="203" t="s">
        <v>47</v>
      </c>
      <c r="D131" s="90"/>
      <c r="E131" s="90"/>
      <c r="F131" s="168">
        <v>8100</v>
      </c>
      <c r="G131" s="92">
        <v>0.10000000000000002</v>
      </c>
      <c r="H131" s="92">
        <v>1</v>
      </c>
      <c r="I131" s="218">
        <f t="shared" si="6"/>
        <v>810.00000000000011</v>
      </c>
      <c r="J131" s="318">
        <f t="shared" si="5"/>
        <v>1.1571428571428573</v>
      </c>
      <c r="K131" s="82"/>
      <c r="L131" s="82"/>
    </row>
    <row r="132" spans="2:12" s="1" customFormat="1" ht="12.75" customHeight="1" x14ac:dyDescent="0.15">
      <c r="B132" s="82">
        <v>31</v>
      </c>
      <c r="C132" s="203" t="s">
        <v>48</v>
      </c>
      <c r="D132" s="90"/>
      <c r="E132" s="90"/>
      <c r="F132" s="168">
        <v>1572.1</v>
      </c>
      <c r="G132" s="92">
        <v>0.10000027656167466</v>
      </c>
      <c r="H132" s="92">
        <v>1</v>
      </c>
      <c r="I132" s="218">
        <f t="shared" si="6"/>
        <v>157.21043478260873</v>
      </c>
      <c r="J132" s="318">
        <f t="shared" si="5"/>
        <v>0.22458633540372674</v>
      </c>
      <c r="K132" s="82"/>
      <c r="L132" s="82"/>
    </row>
    <row r="133" spans="2:12" s="1" customFormat="1" ht="12.75" x14ac:dyDescent="0.15">
      <c r="B133" s="82">
        <v>32</v>
      </c>
      <c r="C133" s="188" t="s">
        <v>49</v>
      </c>
      <c r="D133" s="204"/>
      <c r="E133" s="204"/>
      <c r="F133" s="218">
        <v>2596.5100000000002</v>
      </c>
      <c r="G133" s="212">
        <v>9.9999916275575931E-2</v>
      </c>
      <c r="H133" s="92">
        <v>1</v>
      </c>
      <c r="I133" s="218">
        <f t="shared" ref="I133:I150" si="7">J133*$C$32</f>
        <v>259.65078260869569</v>
      </c>
      <c r="J133" s="318">
        <f t="shared" ref="J133:J150" si="8">(F133*G133*H133)/$C$32</f>
        <v>0.37092968944099386</v>
      </c>
      <c r="K133" s="82"/>
      <c r="L133" s="82"/>
    </row>
    <row r="134" spans="2:12" s="1" customFormat="1" ht="12.75" x14ac:dyDescent="0.15">
      <c r="B134" s="82">
        <v>33</v>
      </c>
      <c r="C134" s="188" t="s">
        <v>50</v>
      </c>
      <c r="D134" s="204"/>
      <c r="E134" s="204"/>
      <c r="F134" s="218">
        <v>2028.52</v>
      </c>
      <c r="G134" s="212">
        <v>0.10000008573395557</v>
      </c>
      <c r="H134" s="92">
        <v>1</v>
      </c>
      <c r="I134" s="218">
        <f t="shared" si="7"/>
        <v>202.85217391304354</v>
      </c>
      <c r="J134" s="319">
        <f t="shared" si="8"/>
        <v>0.28978881987577648</v>
      </c>
      <c r="K134" s="82"/>
      <c r="L134" s="82"/>
    </row>
    <row r="135" spans="2:12" s="1" customFormat="1" ht="12.75" x14ac:dyDescent="0.15">
      <c r="B135" s="82">
        <v>34</v>
      </c>
      <c r="C135" s="189" t="s">
        <v>51</v>
      </c>
      <c r="D135" s="204"/>
      <c r="E135" s="204"/>
      <c r="F135" s="218">
        <v>2943</v>
      </c>
      <c r="G135" s="212">
        <v>0.1</v>
      </c>
      <c r="H135" s="92">
        <v>1</v>
      </c>
      <c r="I135" s="218">
        <f t="shared" si="7"/>
        <v>294.3</v>
      </c>
      <c r="J135" s="318">
        <f t="shared" si="8"/>
        <v>0.42042857142857143</v>
      </c>
      <c r="K135" s="82"/>
      <c r="L135" s="82"/>
    </row>
    <row r="136" spans="2:12" s="1" customFormat="1" ht="12.75" x14ac:dyDescent="0.15">
      <c r="B136" s="82">
        <v>35</v>
      </c>
      <c r="C136" s="188" t="s">
        <v>52</v>
      </c>
      <c r="D136" s="205"/>
      <c r="E136" s="205"/>
      <c r="F136" s="218">
        <v>2272.6999999999998</v>
      </c>
      <c r="G136" s="212">
        <v>8.0991580594619333E-2</v>
      </c>
      <c r="H136" s="92">
        <v>1</v>
      </c>
      <c r="I136" s="218">
        <f t="shared" si="7"/>
        <v>184.06956521739139</v>
      </c>
      <c r="J136" s="318">
        <f t="shared" si="8"/>
        <v>0.26295652173913053</v>
      </c>
      <c r="K136" s="82"/>
      <c r="L136" s="82"/>
    </row>
    <row r="137" spans="2:12" s="1" customFormat="1" ht="12.75" x14ac:dyDescent="0.15">
      <c r="B137" s="82">
        <v>36</v>
      </c>
      <c r="C137" s="188" t="s">
        <v>55</v>
      </c>
      <c r="D137" s="204"/>
      <c r="E137" s="204"/>
      <c r="F137" s="218">
        <v>2916</v>
      </c>
      <c r="G137" s="212">
        <v>0.10000000000000003</v>
      </c>
      <c r="H137" s="92">
        <v>1</v>
      </c>
      <c r="I137" s="218">
        <f t="shared" si="7"/>
        <v>291.60000000000008</v>
      </c>
      <c r="J137" s="318">
        <f t="shared" si="8"/>
        <v>0.4165714285714287</v>
      </c>
      <c r="K137" s="82"/>
      <c r="L137" s="82"/>
    </row>
    <row r="138" spans="2:12" s="1" customFormat="1" ht="12.75" x14ac:dyDescent="0.15">
      <c r="B138" s="82">
        <v>37</v>
      </c>
      <c r="C138" s="188" t="s">
        <v>56</v>
      </c>
      <c r="D138" s="204"/>
      <c r="E138" s="204"/>
      <c r="F138" s="218">
        <v>4180</v>
      </c>
      <c r="G138" s="212">
        <v>9.0430622009569389E-2</v>
      </c>
      <c r="H138" s="92">
        <v>1</v>
      </c>
      <c r="I138" s="218">
        <f t="shared" si="7"/>
        <v>378</v>
      </c>
      <c r="J138" s="318">
        <f t="shared" si="8"/>
        <v>0.54</v>
      </c>
      <c r="K138" s="82"/>
      <c r="L138" s="82"/>
    </row>
    <row r="139" spans="2:12" s="1" customFormat="1" ht="12.75" x14ac:dyDescent="0.15">
      <c r="B139" s="82">
        <v>38</v>
      </c>
      <c r="C139" s="188" t="s">
        <v>57</v>
      </c>
      <c r="D139" s="206"/>
      <c r="E139" s="206"/>
      <c r="F139" s="218">
        <v>1890</v>
      </c>
      <c r="G139" s="212">
        <v>0.10000000000000002</v>
      </c>
      <c r="H139" s="92">
        <v>1</v>
      </c>
      <c r="I139" s="218">
        <f t="shared" si="7"/>
        <v>189</v>
      </c>
      <c r="J139" s="318">
        <f t="shared" si="8"/>
        <v>0.27</v>
      </c>
      <c r="K139" s="82"/>
      <c r="L139" s="82"/>
    </row>
    <row r="140" spans="2:12" s="1" customFormat="1" ht="12.75" x14ac:dyDescent="0.15">
      <c r="B140" s="82">
        <v>39</v>
      </c>
      <c r="C140" s="113" t="s">
        <v>58</v>
      </c>
      <c r="D140" s="206"/>
      <c r="E140" s="206"/>
      <c r="F140" s="218">
        <v>2430</v>
      </c>
      <c r="G140" s="212">
        <v>0.1</v>
      </c>
      <c r="H140" s="92">
        <v>1</v>
      </c>
      <c r="I140" s="218">
        <f t="shared" si="7"/>
        <v>243</v>
      </c>
      <c r="J140" s="318">
        <f t="shared" si="8"/>
        <v>0.34714285714285714</v>
      </c>
      <c r="K140" s="82"/>
      <c r="L140" s="82"/>
    </row>
    <row r="141" spans="2:12" s="1" customFormat="1" ht="12.75" x14ac:dyDescent="0.15">
      <c r="B141" s="82">
        <v>40</v>
      </c>
      <c r="C141" s="188" t="s">
        <v>59</v>
      </c>
      <c r="D141" s="204"/>
      <c r="E141" s="204"/>
      <c r="F141" s="218">
        <v>5352.48</v>
      </c>
      <c r="G141" s="212">
        <v>0.10000000000000002</v>
      </c>
      <c r="H141" s="92">
        <v>1</v>
      </c>
      <c r="I141" s="218">
        <f t="shared" si="7"/>
        <v>535.24800000000005</v>
      </c>
      <c r="J141" s="318">
        <f t="shared" si="8"/>
        <v>0.7646400000000001</v>
      </c>
      <c r="K141" s="82"/>
      <c r="L141" s="82"/>
    </row>
    <row r="142" spans="2:12" s="1" customFormat="1" ht="12.75" x14ac:dyDescent="0.15">
      <c r="B142" s="82">
        <v>41</v>
      </c>
      <c r="C142" s="188" t="s">
        <v>60</v>
      </c>
      <c r="D142" s="204"/>
      <c r="E142" s="204"/>
      <c r="F142" s="218">
        <v>2303.5043479999999</v>
      </c>
      <c r="G142" s="212">
        <v>8.339467653568329E-2</v>
      </c>
      <c r="H142" s="92">
        <v>1</v>
      </c>
      <c r="I142" s="218">
        <f t="shared" si="7"/>
        <v>192.10000000000002</v>
      </c>
      <c r="J142" s="318">
        <f t="shared" si="8"/>
        <v>0.27442857142857147</v>
      </c>
      <c r="K142" s="82"/>
      <c r="L142" s="82"/>
    </row>
    <row r="143" spans="2:12" s="1" customFormat="1" ht="12.75" x14ac:dyDescent="0.15">
      <c r="B143" s="82">
        <v>42</v>
      </c>
      <c r="C143" s="188" t="s">
        <v>61</v>
      </c>
      <c r="D143" s="204"/>
      <c r="E143" s="204"/>
      <c r="F143" s="218">
        <v>3237.3</v>
      </c>
      <c r="G143" s="212">
        <v>0.10000014504840991</v>
      </c>
      <c r="H143" s="92">
        <v>1</v>
      </c>
      <c r="I143" s="218">
        <f t="shared" si="7"/>
        <v>323.73046956521745</v>
      </c>
      <c r="J143" s="318">
        <f t="shared" si="8"/>
        <v>0.46247209937888206</v>
      </c>
      <c r="K143" s="82"/>
      <c r="L143" s="82"/>
    </row>
    <row r="144" spans="2:12" s="1" customFormat="1" ht="12.75" x14ac:dyDescent="0.15">
      <c r="B144" s="82">
        <v>43</v>
      </c>
      <c r="C144" s="188" t="s">
        <v>62</v>
      </c>
      <c r="D144" s="204"/>
      <c r="E144" s="204"/>
      <c r="F144" s="218">
        <v>1784.59</v>
      </c>
      <c r="G144" s="212">
        <v>0.10000011207055963</v>
      </c>
      <c r="H144" s="92">
        <v>1</v>
      </c>
      <c r="I144" s="218">
        <f t="shared" si="7"/>
        <v>178.45920000000004</v>
      </c>
      <c r="J144" s="318">
        <f t="shared" si="8"/>
        <v>0.25494171428571433</v>
      </c>
      <c r="K144" s="82"/>
      <c r="L144" s="82"/>
    </row>
    <row r="145" spans="2:12" s="1" customFormat="1" ht="14.25" x14ac:dyDescent="0.15">
      <c r="B145" s="82">
        <v>44</v>
      </c>
      <c r="C145" s="188" t="s">
        <v>63</v>
      </c>
      <c r="D145" s="204"/>
      <c r="E145" s="204"/>
      <c r="F145" s="218">
        <v>4094.1</v>
      </c>
      <c r="G145" s="212">
        <v>8.8318311716860859E-2</v>
      </c>
      <c r="H145" s="92">
        <v>1</v>
      </c>
      <c r="I145" s="218">
        <f t="shared" si="7"/>
        <v>361.584</v>
      </c>
      <c r="J145" s="318">
        <f t="shared" si="8"/>
        <v>0.51654857142857147</v>
      </c>
      <c r="K145" s="82"/>
      <c r="L145" s="115"/>
    </row>
    <row r="146" spans="2:12" s="1" customFormat="1" ht="14.25" x14ac:dyDescent="0.15">
      <c r="B146" s="82">
        <v>45</v>
      </c>
      <c r="C146" s="189" t="s">
        <v>64</v>
      </c>
      <c r="D146" s="204"/>
      <c r="E146" s="206"/>
      <c r="F146" s="218">
        <v>3240</v>
      </c>
      <c r="G146" s="212">
        <v>0.1</v>
      </c>
      <c r="H146" s="92">
        <v>1</v>
      </c>
      <c r="I146" s="218">
        <f t="shared" si="7"/>
        <v>324</v>
      </c>
      <c r="J146" s="318">
        <f t="shared" si="8"/>
        <v>0.46285714285714286</v>
      </c>
      <c r="K146" s="82"/>
      <c r="L146" s="115"/>
    </row>
    <row r="147" spans="2:12" s="1" customFormat="1" ht="14.25" x14ac:dyDescent="0.15">
      <c r="B147" s="82">
        <v>46</v>
      </c>
      <c r="C147" s="189" t="s">
        <v>65</v>
      </c>
      <c r="D147" s="206"/>
      <c r="E147" s="206"/>
      <c r="F147" s="218">
        <v>1674</v>
      </c>
      <c r="G147" s="212">
        <v>0.1</v>
      </c>
      <c r="H147" s="92">
        <v>1</v>
      </c>
      <c r="I147" s="218">
        <f t="shared" si="7"/>
        <v>167.4</v>
      </c>
      <c r="J147" s="318">
        <f t="shared" si="8"/>
        <v>0.23914285714285716</v>
      </c>
      <c r="K147" s="82"/>
      <c r="L147" s="115"/>
    </row>
    <row r="148" spans="2:12" s="1" customFormat="1" ht="14.25" x14ac:dyDescent="0.15">
      <c r="B148" s="82">
        <v>47</v>
      </c>
      <c r="C148" s="189" t="s">
        <v>66</v>
      </c>
      <c r="D148" s="206"/>
      <c r="E148" s="206"/>
      <c r="F148" s="221">
        <v>2646</v>
      </c>
      <c r="G148" s="212">
        <v>0.10000000000000003</v>
      </c>
      <c r="H148" s="92">
        <v>1</v>
      </c>
      <c r="I148" s="218">
        <f t="shared" si="7"/>
        <v>264.60000000000008</v>
      </c>
      <c r="J148" s="318">
        <f t="shared" si="8"/>
        <v>0.37800000000000011</v>
      </c>
      <c r="K148" s="82"/>
      <c r="L148" s="115"/>
    </row>
    <row r="149" spans="2:12" s="1" customFormat="1" ht="14.25" x14ac:dyDescent="0.15">
      <c r="B149" s="82">
        <v>48</v>
      </c>
      <c r="C149" s="189" t="s">
        <v>67</v>
      </c>
      <c r="D149" s="206"/>
      <c r="E149" s="206"/>
      <c r="F149" s="218">
        <v>2646</v>
      </c>
      <c r="G149" s="212">
        <v>0.10000000000000003</v>
      </c>
      <c r="H149" s="92">
        <v>1</v>
      </c>
      <c r="I149" s="218">
        <f t="shared" si="7"/>
        <v>264.60000000000008</v>
      </c>
      <c r="J149" s="318">
        <f t="shared" si="8"/>
        <v>0.37800000000000011</v>
      </c>
      <c r="K149" s="82"/>
      <c r="L149" s="115"/>
    </row>
    <row r="150" spans="2:12" s="1" customFormat="1" ht="14.25" x14ac:dyDescent="0.15">
      <c r="B150" s="82">
        <v>49</v>
      </c>
      <c r="C150" s="189" t="s">
        <v>68</v>
      </c>
      <c r="D150" s="206"/>
      <c r="E150" s="206"/>
      <c r="F150" s="218">
        <v>1069.2</v>
      </c>
      <c r="G150" s="212">
        <v>0.1</v>
      </c>
      <c r="H150" s="92">
        <v>1</v>
      </c>
      <c r="I150" s="218">
        <f t="shared" si="7"/>
        <v>106.92</v>
      </c>
      <c r="J150" s="318">
        <f t="shared" si="8"/>
        <v>0.15274285714285715</v>
      </c>
      <c r="K150" s="82"/>
      <c r="L150" s="115"/>
    </row>
    <row r="151" spans="2:12" s="1" customFormat="1" ht="14.25" x14ac:dyDescent="0.15">
      <c r="B151" s="82"/>
      <c r="C151" s="189"/>
      <c r="D151" s="206"/>
      <c r="E151" s="206"/>
      <c r="F151" s="218"/>
      <c r="G151" s="212"/>
      <c r="H151" s="92"/>
      <c r="I151" s="168"/>
      <c r="J151" s="318"/>
      <c r="K151" s="82"/>
      <c r="L151" s="115"/>
    </row>
    <row r="152" spans="2:12" s="1" customFormat="1" ht="14.25" x14ac:dyDescent="0.15">
      <c r="B152" s="82"/>
      <c r="C152" s="188"/>
      <c r="D152" s="206"/>
      <c r="E152" s="206"/>
      <c r="F152" s="218"/>
      <c r="G152" s="212"/>
      <c r="H152" s="92"/>
      <c r="I152" s="168"/>
      <c r="J152" s="318"/>
      <c r="K152" s="82"/>
      <c r="L152" s="115"/>
    </row>
    <row r="153" spans="2:12" s="1" customFormat="1" ht="14.25" x14ac:dyDescent="0.15">
      <c r="B153" s="82"/>
      <c r="C153" s="188"/>
      <c r="D153" s="206"/>
      <c r="E153" s="206"/>
      <c r="F153" s="218"/>
      <c r="G153" s="212"/>
      <c r="H153" s="92"/>
      <c r="I153" s="168"/>
      <c r="J153" s="94"/>
      <c r="K153" s="82"/>
      <c r="L153" s="115"/>
    </row>
    <row r="154" spans="2:12" s="1" customFormat="1" ht="14.25" x14ac:dyDescent="0.15">
      <c r="B154" s="82"/>
      <c r="C154" s="167" t="s">
        <v>150</v>
      </c>
      <c r="D154" s="90"/>
      <c r="E154" s="90"/>
      <c r="F154" s="168"/>
      <c r="G154" s="92"/>
      <c r="H154" s="92"/>
      <c r="I154" s="168"/>
      <c r="J154" s="94"/>
      <c r="K154" s="82"/>
      <c r="L154" s="115"/>
    </row>
    <row r="155" spans="2:12" s="1" customFormat="1" ht="14.25" x14ac:dyDescent="0.15">
      <c r="B155" s="82">
        <v>1</v>
      </c>
      <c r="C155" s="189"/>
      <c r="D155" s="206"/>
      <c r="E155" s="206"/>
      <c r="F155" s="168"/>
      <c r="G155" s="214"/>
      <c r="H155" s="92">
        <v>1</v>
      </c>
      <c r="I155" s="218">
        <f t="shared" ref="I155:I163" si="9">J155*$C$32</f>
        <v>0</v>
      </c>
      <c r="J155" s="94">
        <f t="shared" ref="J155:J163" si="10">(F155*G155*H155)/$C$32</f>
        <v>0</v>
      </c>
      <c r="K155" s="82"/>
      <c r="L155" s="115"/>
    </row>
    <row r="156" spans="2:12" s="1" customFormat="1" ht="12.75" x14ac:dyDescent="0.15">
      <c r="B156" s="82">
        <v>2</v>
      </c>
      <c r="C156" s="189"/>
      <c r="D156" s="393"/>
      <c r="E156" s="393"/>
      <c r="F156" s="168"/>
      <c r="G156" s="92"/>
      <c r="H156" s="92">
        <v>1</v>
      </c>
      <c r="I156" s="168">
        <f t="shared" si="9"/>
        <v>0</v>
      </c>
      <c r="J156" s="185">
        <f t="shared" si="10"/>
        <v>0</v>
      </c>
      <c r="K156" s="82"/>
      <c r="L156" s="82"/>
    </row>
    <row r="157" spans="2:12" s="1" customFormat="1" ht="12.75" x14ac:dyDescent="0.15">
      <c r="B157" s="82">
        <v>3</v>
      </c>
      <c r="C157" s="189"/>
      <c r="D157" s="394"/>
      <c r="E157" s="394"/>
      <c r="F157" s="168"/>
      <c r="G157" s="92"/>
      <c r="H157" s="92">
        <v>1</v>
      </c>
      <c r="I157" s="168">
        <f t="shared" si="9"/>
        <v>0</v>
      </c>
      <c r="J157" s="185">
        <f t="shared" si="10"/>
        <v>0</v>
      </c>
      <c r="K157" s="82"/>
      <c r="L157" s="82"/>
    </row>
    <row r="158" spans="2:12" s="1" customFormat="1" ht="12.75" x14ac:dyDescent="0.15">
      <c r="B158" s="82">
        <v>4</v>
      </c>
      <c r="C158" s="189"/>
      <c r="D158" s="206"/>
      <c r="E158" s="206"/>
      <c r="F158" s="168"/>
      <c r="G158" s="92"/>
      <c r="H158" s="92">
        <v>1</v>
      </c>
      <c r="I158" s="168">
        <f t="shared" si="9"/>
        <v>0</v>
      </c>
      <c r="J158" s="185">
        <f t="shared" si="10"/>
        <v>0</v>
      </c>
      <c r="K158" s="82"/>
      <c r="L158" s="82"/>
    </row>
    <row r="159" spans="2:12" s="1" customFormat="1" ht="12.75" x14ac:dyDescent="0.15">
      <c r="B159" s="82">
        <v>5</v>
      </c>
      <c r="C159" s="189"/>
      <c r="D159" s="206"/>
      <c r="E159" s="206"/>
      <c r="F159" s="168"/>
      <c r="G159" s="92"/>
      <c r="H159" s="92">
        <v>1</v>
      </c>
      <c r="I159" s="168">
        <f t="shared" si="9"/>
        <v>0</v>
      </c>
      <c r="J159" s="185">
        <f t="shared" si="10"/>
        <v>0</v>
      </c>
      <c r="K159" s="82"/>
      <c r="L159" s="82"/>
    </row>
    <row r="160" spans="2:12" s="1" customFormat="1" ht="12.75" x14ac:dyDescent="0.15">
      <c r="B160" s="82">
        <v>7</v>
      </c>
      <c r="C160" s="189"/>
      <c r="D160" s="206"/>
      <c r="E160" s="206"/>
      <c r="F160" s="168"/>
      <c r="G160" s="92"/>
      <c r="H160" s="92">
        <v>1</v>
      </c>
      <c r="I160" s="168">
        <f t="shared" si="9"/>
        <v>0</v>
      </c>
      <c r="J160" s="185">
        <f t="shared" si="10"/>
        <v>0</v>
      </c>
      <c r="K160" s="82"/>
      <c r="L160" s="82"/>
    </row>
    <row r="161" spans="2:12" s="1" customFormat="1" ht="12.75" x14ac:dyDescent="0.15">
      <c r="B161" s="82">
        <v>8</v>
      </c>
      <c r="C161" s="189"/>
      <c r="D161" s="206"/>
      <c r="E161" s="206"/>
      <c r="F161" s="168"/>
      <c r="G161" s="92"/>
      <c r="H161" s="92">
        <v>1</v>
      </c>
      <c r="I161" s="168">
        <f t="shared" si="9"/>
        <v>0</v>
      </c>
      <c r="J161" s="185">
        <f t="shared" si="10"/>
        <v>0</v>
      </c>
      <c r="K161" s="82"/>
      <c r="L161" s="82"/>
    </row>
    <row r="162" spans="2:12" s="1" customFormat="1" ht="12.75" x14ac:dyDescent="0.15">
      <c r="B162" s="82">
        <v>9</v>
      </c>
      <c r="C162" s="189"/>
      <c r="D162" s="206"/>
      <c r="E162" s="206"/>
      <c r="F162" s="168"/>
      <c r="G162" s="92"/>
      <c r="H162" s="92">
        <v>1</v>
      </c>
      <c r="I162" s="168">
        <f t="shared" si="9"/>
        <v>0</v>
      </c>
      <c r="J162" s="185">
        <f t="shared" si="10"/>
        <v>0</v>
      </c>
      <c r="K162" s="82"/>
      <c r="L162" s="82"/>
    </row>
    <row r="163" spans="2:12" s="1" customFormat="1" ht="12.75" x14ac:dyDescent="0.15">
      <c r="B163" s="82">
        <v>10</v>
      </c>
      <c r="C163" s="189"/>
      <c r="D163" s="206"/>
      <c r="E163" s="206"/>
      <c r="F163" s="168"/>
      <c r="G163" s="92"/>
      <c r="H163" s="92">
        <v>1</v>
      </c>
      <c r="I163" s="168">
        <f t="shared" si="9"/>
        <v>0</v>
      </c>
      <c r="J163" s="185">
        <f t="shared" si="10"/>
        <v>0</v>
      </c>
      <c r="K163" s="82"/>
      <c r="L163" s="82"/>
    </row>
    <row r="164" spans="2:12" s="1" customFormat="1" ht="12.75" x14ac:dyDescent="0.15">
      <c r="B164" s="82">
        <v>11</v>
      </c>
      <c r="C164" s="189"/>
      <c r="D164" s="206"/>
      <c r="E164" s="206"/>
      <c r="F164" s="168"/>
      <c r="G164" s="92"/>
      <c r="H164" s="92">
        <v>1</v>
      </c>
      <c r="I164" s="168"/>
      <c r="J164" s="185"/>
      <c r="K164" s="82"/>
      <c r="L164" s="82"/>
    </row>
    <row r="165" spans="2:12" s="1" customFormat="1" ht="12.75" x14ac:dyDescent="0.15">
      <c r="B165" s="82">
        <v>12</v>
      </c>
      <c r="C165" s="189"/>
      <c r="D165" s="206"/>
      <c r="E165" s="206"/>
      <c r="F165" s="168"/>
      <c r="G165" s="92"/>
      <c r="H165" s="92">
        <v>1</v>
      </c>
      <c r="I165" s="168"/>
      <c r="J165" s="185"/>
      <c r="K165" s="82"/>
      <c r="L165" s="82"/>
    </row>
    <row r="166" spans="2:12" s="1" customFormat="1" ht="12.75" x14ac:dyDescent="0.15">
      <c r="B166" s="82">
        <v>14</v>
      </c>
      <c r="C166" s="189"/>
      <c r="D166" s="206"/>
      <c r="E166" s="206"/>
      <c r="F166" s="168"/>
      <c r="G166" s="92"/>
      <c r="H166" s="92">
        <v>1</v>
      </c>
      <c r="I166" s="168">
        <f t="shared" ref="I166:I172" si="11">J166*$C$32</f>
        <v>0</v>
      </c>
      <c r="J166" s="185">
        <f t="shared" ref="J166:J172" si="12">(F166*G166*H166)/$C$32</f>
        <v>0</v>
      </c>
      <c r="K166" s="82"/>
      <c r="L166" s="82"/>
    </row>
    <row r="167" spans="2:12" s="1" customFormat="1" ht="12.75" x14ac:dyDescent="0.15">
      <c r="B167" s="82">
        <v>15</v>
      </c>
      <c r="C167" s="189"/>
      <c r="D167" s="206"/>
      <c r="E167" s="206"/>
      <c r="F167" s="168"/>
      <c r="G167" s="92"/>
      <c r="H167" s="92">
        <v>1</v>
      </c>
      <c r="I167" s="168">
        <f t="shared" si="11"/>
        <v>0</v>
      </c>
      <c r="J167" s="185">
        <f t="shared" si="12"/>
        <v>0</v>
      </c>
      <c r="K167" s="82"/>
      <c r="L167" s="82"/>
    </row>
    <row r="168" spans="2:12" s="1" customFormat="1" ht="12.75" x14ac:dyDescent="0.15">
      <c r="B168" s="82">
        <v>16</v>
      </c>
      <c r="C168" s="189"/>
      <c r="D168" s="206"/>
      <c r="E168" s="206"/>
      <c r="F168" s="168"/>
      <c r="G168" s="92"/>
      <c r="H168" s="92">
        <v>1</v>
      </c>
      <c r="I168" s="168">
        <f t="shared" si="11"/>
        <v>0</v>
      </c>
      <c r="J168" s="185">
        <f t="shared" si="12"/>
        <v>0</v>
      </c>
      <c r="K168" s="82"/>
      <c r="L168" s="82"/>
    </row>
    <row r="169" spans="2:12" s="1" customFormat="1" ht="12.75" x14ac:dyDescent="0.15">
      <c r="B169" s="82">
        <v>17</v>
      </c>
      <c r="C169" s="189"/>
      <c r="D169" s="206"/>
      <c r="E169" s="206"/>
      <c r="F169" s="168"/>
      <c r="G169" s="92"/>
      <c r="H169" s="92">
        <v>1</v>
      </c>
      <c r="I169" s="168">
        <f t="shared" si="11"/>
        <v>0</v>
      </c>
      <c r="J169" s="185">
        <f t="shared" si="12"/>
        <v>0</v>
      </c>
      <c r="K169" s="82"/>
      <c r="L169" s="82"/>
    </row>
    <row r="170" spans="2:12" s="1" customFormat="1" ht="12.75" x14ac:dyDescent="0.15">
      <c r="B170" s="82">
        <v>18</v>
      </c>
      <c r="C170" s="189"/>
      <c r="D170" s="206"/>
      <c r="E170" s="206"/>
      <c r="F170" s="168"/>
      <c r="G170" s="92"/>
      <c r="H170" s="92">
        <v>1</v>
      </c>
      <c r="I170" s="168">
        <f t="shared" si="11"/>
        <v>0</v>
      </c>
      <c r="J170" s="185">
        <f t="shared" si="12"/>
        <v>0</v>
      </c>
      <c r="K170" s="242"/>
      <c r="L170" s="82"/>
    </row>
    <row r="171" spans="2:12" s="1" customFormat="1" ht="12.75" x14ac:dyDescent="0.15">
      <c r="B171" s="82">
        <v>19</v>
      </c>
      <c r="C171" s="189"/>
      <c r="D171" s="206"/>
      <c r="E171" s="206"/>
      <c r="F171" s="168"/>
      <c r="G171" s="92"/>
      <c r="H171" s="92">
        <v>1</v>
      </c>
      <c r="I171" s="168">
        <f t="shared" si="11"/>
        <v>0</v>
      </c>
      <c r="J171" s="185">
        <f t="shared" si="12"/>
        <v>0</v>
      </c>
      <c r="K171" s="215"/>
      <c r="L171" s="82"/>
    </row>
    <row r="172" spans="2:12" s="1" customFormat="1" ht="12.75" x14ac:dyDescent="0.15">
      <c r="B172" s="82">
        <v>20</v>
      </c>
      <c r="C172" s="189"/>
      <c r="D172" s="206"/>
      <c r="E172" s="206"/>
      <c r="F172" s="168"/>
      <c r="G172" s="92"/>
      <c r="H172" s="92">
        <v>1</v>
      </c>
      <c r="I172" s="168">
        <f t="shared" si="11"/>
        <v>0</v>
      </c>
      <c r="J172" s="185">
        <f t="shared" si="12"/>
        <v>0</v>
      </c>
      <c r="K172" s="82"/>
      <c r="L172" s="82"/>
    </row>
    <row r="173" spans="2:12" s="1" customFormat="1" ht="12.75" x14ac:dyDescent="0.15">
      <c r="B173" s="82"/>
      <c r="C173" s="189"/>
      <c r="D173" s="206"/>
      <c r="E173" s="206"/>
      <c r="F173" s="168"/>
      <c r="G173" s="92"/>
      <c r="H173" s="92"/>
      <c r="I173" s="168"/>
      <c r="J173" s="185"/>
      <c r="K173" s="82"/>
      <c r="L173" s="82"/>
    </row>
    <row r="174" spans="2:12" s="1" customFormat="1" ht="12.75" x14ac:dyDescent="0.15">
      <c r="B174" s="82"/>
      <c r="C174" s="102"/>
      <c r="D174" s="103"/>
      <c r="E174" s="102"/>
      <c r="F174" s="128">
        <f>SUM(F100:F173)</f>
        <v>261871.79384339132</v>
      </c>
      <c r="G174" s="104"/>
      <c r="H174" s="105"/>
      <c r="I174" s="128">
        <f>SUM(I102:I173)</f>
        <v>24230.658810434779</v>
      </c>
      <c r="J174" s="257">
        <f>SUM(J99:J173)</f>
        <v>34.61522687204971</v>
      </c>
    </row>
    <row r="175" spans="2:12" s="1" customFormat="1" ht="12.75" x14ac:dyDescent="0.15">
      <c r="B175" s="82"/>
      <c r="C175" s="102"/>
      <c r="D175" s="103"/>
      <c r="E175" s="102" t="s">
        <v>147</v>
      </c>
      <c r="F175" s="128">
        <f>100/115*F174</f>
        <v>227714.60334207941</v>
      </c>
      <c r="G175" s="104"/>
      <c r="H175" s="105" t="s">
        <v>147</v>
      </c>
      <c r="I175" s="128">
        <f>100/115*I174</f>
        <v>21070.138096030241</v>
      </c>
      <c r="J175" s="106"/>
    </row>
    <row r="176" spans="2:12" s="1" customFormat="1" ht="12.75" x14ac:dyDescent="0.15"/>
    <row r="177" spans="2:12" s="1" customFormat="1" ht="12.75" x14ac:dyDescent="0.15"/>
    <row r="178" spans="2:12" s="1" customFormat="1" ht="12.75" x14ac:dyDescent="0.15"/>
    <row r="179" spans="2:12" s="1" customFormat="1" ht="12.75" x14ac:dyDescent="0.15"/>
    <row r="180" spans="2:12" s="247" customFormat="1" ht="32.25" x14ac:dyDescent="0.4">
      <c r="B180" s="248"/>
      <c r="C180" s="380" t="s">
        <v>112</v>
      </c>
      <c r="D180" s="380"/>
      <c r="E180" s="400" t="s">
        <v>151</v>
      </c>
      <c r="F180" s="401"/>
      <c r="G180" s="401"/>
      <c r="H180" s="401"/>
      <c r="I180" s="402"/>
      <c r="J180" s="382">
        <v>2026</v>
      </c>
      <c r="K180" s="382"/>
      <c r="L180" s="382"/>
    </row>
    <row r="181" spans="2:12" s="1" customFormat="1" ht="22.5" x14ac:dyDescent="0.15">
      <c r="B181" s="82"/>
      <c r="C181" s="102" t="s">
        <v>114</v>
      </c>
      <c r="D181" s="388" t="s">
        <v>115</v>
      </c>
      <c r="E181" s="388"/>
      <c r="F181" s="102" t="s">
        <v>116</v>
      </c>
      <c r="G181" s="102" t="s">
        <v>117</v>
      </c>
      <c r="H181" s="102" t="s">
        <v>118</v>
      </c>
      <c r="I181" s="102" t="s">
        <v>119</v>
      </c>
      <c r="J181" s="102" t="s">
        <v>120</v>
      </c>
      <c r="K181" s="82"/>
      <c r="L181" s="82"/>
    </row>
    <row r="182" spans="2:12" s="1" customFormat="1" ht="12.75" x14ac:dyDescent="0.15">
      <c r="B182" s="2"/>
      <c r="C182" s="220">
        <f>C97</f>
        <v>700</v>
      </c>
      <c r="D182" s="399">
        <v>21</v>
      </c>
      <c r="E182" s="399"/>
      <c r="F182" s="208">
        <f>F97</f>
        <v>0.8</v>
      </c>
      <c r="G182" s="209">
        <f>G97</f>
        <v>8</v>
      </c>
      <c r="H182" s="210">
        <f>D182*G182*F182</f>
        <v>134.4</v>
      </c>
      <c r="I182" s="216">
        <f>I243</f>
        <v>0</v>
      </c>
      <c r="J182" s="211">
        <f>H182-J243</f>
        <v>134.4</v>
      </c>
      <c r="K182" s="120"/>
      <c r="L182" s="120"/>
    </row>
    <row r="183" spans="2:12" s="1" customFormat="1" ht="33.75" x14ac:dyDescent="0.15">
      <c r="B183" s="2"/>
      <c r="C183" s="167" t="s">
        <v>121</v>
      </c>
      <c r="D183" s="395" t="s">
        <v>122</v>
      </c>
      <c r="E183" s="395"/>
      <c r="F183" s="177" t="s">
        <v>123</v>
      </c>
      <c r="G183" s="198" t="s">
        <v>124</v>
      </c>
      <c r="H183" s="15" t="s">
        <v>125</v>
      </c>
      <c r="I183" s="217" t="s">
        <v>126</v>
      </c>
      <c r="J183" s="178" t="s">
        <v>127</v>
      </c>
      <c r="K183" s="114" t="s">
        <v>128</v>
      </c>
      <c r="L183" s="114" t="s">
        <v>129</v>
      </c>
    </row>
    <row r="184" spans="2:12" s="1" customFormat="1" ht="12.75" x14ac:dyDescent="0.15">
      <c r="B184" s="2"/>
      <c r="C184" s="89"/>
      <c r="D184" s="391"/>
      <c r="E184" s="391"/>
      <c r="F184" s="91"/>
      <c r="G184" s="199"/>
      <c r="H184" s="9"/>
      <c r="I184" s="218"/>
      <c r="J184" s="94"/>
      <c r="K184" s="82"/>
      <c r="L184" s="82"/>
    </row>
    <row r="185" spans="2:12" s="1" customFormat="1" ht="13.35" customHeight="1" x14ac:dyDescent="0.15">
      <c r="B185" s="2"/>
      <c r="C185" s="392" t="s">
        <v>130</v>
      </c>
      <c r="D185" s="392"/>
      <c r="E185" s="392"/>
      <c r="F185" s="184"/>
      <c r="G185" s="200"/>
      <c r="H185" s="9"/>
      <c r="I185" s="218"/>
      <c r="J185" s="94"/>
      <c r="K185" s="82"/>
      <c r="L185" s="82"/>
    </row>
    <row r="186" spans="2:12" s="1" customFormat="1" ht="13.35" customHeight="1" x14ac:dyDescent="0.15">
      <c r="B186" s="2"/>
      <c r="C186" s="167" t="s">
        <v>152</v>
      </c>
      <c r="D186" s="167"/>
      <c r="E186" s="167"/>
      <c r="F186" s="168"/>
      <c r="G186" s="200"/>
      <c r="H186" s="9"/>
      <c r="I186" s="218"/>
      <c r="J186" s="94"/>
      <c r="K186" s="82"/>
      <c r="L186" s="82"/>
    </row>
    <row r="187" spans="2:12" s="1" customFormat="1" ht="12.75" customHeight="1" x14ac:dyDescent="0.15">
      <c r="B187" s="2">
        <v>1</v>
      </c>
      <c r="C187" s="203"/>
      <c r="D187" s="391"/>
      <c r="E187" s="391"/>
      <c r="F187" s="168"/>
      <c r="G187" s="200"/>
      <c r="H187" s="9">
        <v>1</v>
      </c>
      <c r="I187" s="218">
        <f>J187*$C$32</f>
        <v>0</v>
      </c>
      <c r="J187" s="94">
        <f t="shared" ref="J187:J197" si="13">(F187*G187*H187)/$C$32</f>
        <v>0</v>
      </c>
      <c r="K187" s="82"/>
      <c r="L187" s="82"/>
    </row>
    <row r="188" spans="2:12" s="1" customFormat="1" ht="12.75" customHeight="1" x14ac:dyDescent="0.15">
      <c r="B188" s="2">
        <v>2</v>
      </c>
      <c r="C188" s="203"/>
      <c r="D188" s="391"/>
      <c r="E188" s="391"/>
      <c r="F188" s="168"/>
      <c r="G188" s="200"/>
      <c r="H188" s="9">
        <v>1</v>
      </c>
      <c r="I188" s="218">
        <f>J188*$C$32</f>
        <v>0</v>
      </c>
      <c r="J188" s="94">
        <f t="shared" si="13"/>
        <v>0</v>
      </c>
      <c r="K188" s="82"/>
      <c r="L188" s="82"/>
    </row>
    <row r="189" spans="2:12" s="1" customFormat="1" ht="12.75" customHeight="1" x14ac:dyDescent="0.15">
      <c r="B189" s="2">
        <v>3</v>
      </c>
      <c r="C189" s="203"/>
      <c r="D189" s="90"/>
      <c r="E189" s="90"/>
      <c r="F189" s="168"/>
      <c r="G189" s="200"/>
      <c r="H189" s="9">
        <v>1</v>
      </c>
      <c r="I189" s="218">
        <f t="shared" ref="I189:I241" si="14">J189*$C$32</f>
        <v>0</v>
      </c>
      <c r="J189" s="94">
        <f t="shared" si="13"/>
        <v>0</v>
      </c>
      <c r="K189" s="82"/>
      <c r="L189" s="82"/>
    </row>
    <row r="190" spans="2:12" s="1" customFormat="1" ht="12.75" customHeight="1" x14ac:dyDescent="0.15">
      <c r="B190" s="2">
        <v>4</v>
      </c>
      <c r="C190" s="203"/>
      <c r="D190" s="90"/>
      <c r="E190" s="90"/>
      <c r="F190" s="168"/>
      <c r="G190" s="200"/>
      <c r="H190" s="9">
        <v>1</v>
      </c>
      <c r="I190" s="218">
        <f t="shared" si="14"/>
        <v>0</v>
      </c>
      <c r="J190" s="94">
        <f t="shared" si="13"/>
        <v>0</v>
      </c>
      <c r="K190" s="82"/>
      <c r="L190" s="82"/>
    </row>
    <row r="191" spans="2:12" s="1" customFormat="1" ht="12.75" customHeight="1" x14ac:dyDescent="0.15">
      <c r="B191" s="2">
        <v>5</v>
      </c>
      <c r="C191" s="203"/>
      <c r="D191" s="90"/>
      <c r="E191" s="90"/>
      <c r="F191" s="168"/>
      <c r="G191" s="200"/>
      <c r="H191" s="9">
        <v>1</v>
      </c>
      <c r="I191" s="218">
        <f t="shared" si="14"/>
        <v>0</v>
      </c>
      <c r="J191" s="94">
        <f t="shared" si="13"/>
        <v>0</v>
      </c>
      <c r="K191" s="82"/>
      <c r="L191" s="82"/>
    </row>
    <row r="192" spans="2:12" s="1" customFormat="1" ht="12.75" customHeight="1" x14ac:dyDescent="0.15">
      <c r="B192" s="2">
        <v>6</v>
      </c>
      <c r="C192" s="203"/>
      <c r="D192" s="90"/>
      <c r="E192" s="90"/>
      <c r="F192" s="168"/>
      <c r="G192" s="200"/>
      <c r="H192" s="9">
        <v>1</v>
      </c>
      <c r="I192" s="218">
        <f t="shared" si="14"/>
        <v>0</v>
      </c>
      <c r="J192" s="94">
        <f t="shared" si="13"/>
        <v>0</v>
      </c>
      <c r="K192" s="82"/>
      <c r="L192" s="82"/>
    </row>
    <row r="193" spans="2:12" s="1" customFormat="1" ht="12.75" customHeight="1" x14ac:dyDescent="0.15">
      <c r="B193" s="2">
        <v>7</v>
      </c>
      <c r="C193" s="203"/>
      <c r="D193" s="90"/>
      <c r="E193" s="90"/>
      <c r="F193" s="168"/>
      <c r="G193" s="200"/>
      <c r="H193" s="9">
        <v>1</v>
      </c>
      <c r="I193" s="218">
        <f t="shared" si="14"/>
        <v>0</v>
      </c>
      <c r="J193" s="94">
        <f t="shared" si="13"/>
        <v>0</v>
      </c>
      <c r="K193" s="82"/>
      <c r="L193" s="82"/>
    </row>
    <row r="194" spans="2:12" s="1" customFormat="1" ht="12.75" customHeight="1" x14ac:dyDescent="0.15">
      <c r="B194" s="2">
        <v>8</v>
      </c>
      <c r="C194" s="203"/>
      <c r="D194" s="90"/>
      <c r="E194" s="90"/>
      <c r="F194" s="168"/>
      <c r="G194" s="200"/>
      <c r="H194" s="9">
        <v>1</v>
      </c>
      <c r="I194" s="218">
        <f t="shared" si="14"/>
        <v>0</v>
      </c>
      <c r="J194" s="94">
        <f t="shared" si="13"/>
        <v>0</v>
      </c>
      <c r="K194" s="82"/>
      <c r="L194" s="82"/>
    </row>
    <row r="195" spans="2:12" s="1" customFormat="1" ht="12.75" customHeight="1" x14ac:dyDescent="0.15">
      <c r="B195" s="2">
        <v>9</v>
      </c>
      <c r="C195" s="203"/>
      <c r="D195" s="90"/>
      <c r="E195" s="90"/>
      <c r="F195" s="168"/>
      <c r="G195" s="200"/>
      <c r="H195" s="9">
        <v>1</v>
      </c>
      <c r="I195" s="218">
        <f t="shared" si="14"/>
        <v>0</v>
      </c>
      <c r="J195" s="94">
        <f t="shared" si="13"/>
        <v>0</v>
      </c>
      <c r="K195" s="82"/>
      <c r="L195" s="82"/>
    </row>
    <row r="196" spans="2:12" s="1" customFormat="1" ht="12.75" customHeight="1" x14ac:dyDescent="0.15">
      <c r="B196" s="2">
        <v>10</v>
      </c>
      <c r="C196" s="203"/>
      <c r="D196" s="90"/>
      <c r="E196" s="90"/>
      <c r="F196" s="168"/>
      <c r="G196" s="200"/>
      <c r="H196" s="9">
        <v>1</v>
      </c>
      <c r="I196" s="218">
        <f t="shared" si="14"/>
        <v>0</v>
      </c>
      <c r="J196" s="94">
        <f t="shared" si="13"/>
        <v>0</v>
      </c>
      <c r="K196" s="82"/>
      <c r="L196" s="82"/>
    </row>
    <row r="197" spans="2:12" s="1" customFormat="1" ht="12.75" customHeight="1" x14ac:dyDescent="0.15">
      <c r="B197" s="2"/>
      <c r="C197" s="203"/>
      <c r="D197" s="90"/>
      <c r="E197" s="90"/>
      <c r="F197" s="168"/>
      <c r="G197" s="200"/>
      <c r="H197" s="9">
        <v>1</v>
      </c>
      <c r="I197" s="218">
        <f t="shared" si="14"/>
        <v>0</v>
      </c>
      <c r="J197" s="94">
        <f t="shared" si="13"/>
        <v>0</v>
      </c>
      <c r="K197" s="82"/>
      <c r="L197" s="82"/>
    </row>
    <row r="198" spans="2:12" s="1" customFormat="1" ht="12.75" customHeight="1" x14ac:dyDescent="0.15">
      <c r="B198" s="2"/>
      <c r="C198" s="203"/>
      <c r="D198" s="391"/>
      <c r="E198" s="391"/>
      <c r="F198" s="168"/>
      <c r="G198" s="200"/>
      <c r="H198" s="9"/>
      <c r="I198" s="218"/>
      <c r="J198" s="94"/>
      <c r="K198" s="82"/>
      <c r="L198" s="82"/>
    </row>
    <row r="199" spans="2:12" s="1" customFormat="1" ht="12.75" customHeight="1" x14ac:dyDescent="0.15">
      <c r="B199" s="2"/>
      <c r="C199" s="187" t="s">
        <v>153</v>
      </c>
      <c r="D199" s="391"/>
      <c r="E199" s="391"/>
      <c r="F199" s="168"/>
      <c r="G199" s="200"/>
      <c r="H199" s="9"/>
      <c r="I199" s="218"/>
      <c r="J199" s="94"/>
      <c r="K199" s="82"/>
      <c r="L199" s="82"/>
    </row>
    <row r="200" spans="2:12" s="1" customFormat="1" ht="15" customHeight="1" x14ac:dyDescent="0.15">
      <c r="B200" s="2">
        <v>1</v>
      </c>
      <c r="C200" s="188"/>
      <c r="D200" s="204"/>
      <c r="E200" s="204"/>
      <c r="F200" s="168"/>
      <c r="G200" s="200"/>
      <c r="H200" s="9">
        <v>1</v>
      </c>
      <c r="I200" s="218">
        <f t="shared" si="14"/>
        <v>0</v>
      </c>
      <c r="J200" s="94">
        <f t="shared" ref="J200:J218" si="15">(F200*G200*H200)/$C$32</f>
        <v>0</v>
      </c>
      <c r="K200" s="82"/>
      <c r="L200" s="82"/>
    </row>
    <row r="201" spans="2:12" s="1" customFormat="1" ht="13.35" customHeight="1" x14ac:dyDescent="0.15">
      <c r="B201" s="2">
        <v>2</v>
      </c>
      <c r="C201" s="188"/>
      <c r="D201" s="204"/>
      <c r="E201" s="204"/>
      <c r="F201" s="168"/>
      <c r="G201" s="200"/>
      <c r="H201" s="9">
        <v>1</v>
      </c>
      <c r="I201" s="218">
        <f t="shared" si="14"/>
        <v>0</v>
      </c>
      <c r="J201" s="94">
        <f t="shared" si="15"/>
        <v>0</v>
      </c>
      <c r="K201" s="82"/>
      <c r="L201" s="82"/>
    </row>
    <row r="202" spans="2:12" s="1" customFormat="1" ht="13.35" customHeight="1" x14ac:dyDescent="0.15">
      <c r="B202" s="2">
        <v>3</v>
      </c>
      <c r="C202" s="189"/>
      <c r="D202" s="204"/>
      <c r="E202" s="204"/>
      <c r="F202" s="168"/>
      <c r="G202" s="200"/>
      <c r="H202" s="9">
        <v>1</v>
      </c>
      <c r="I202" s="218">
        <f t="shared" si="14"/>
        <v>0</v>
      </c>
      <c r="J202" s="94">
        <f t="shared" si="15"/>
        <v>0</v>
      </c>
      <c r="K202" s="82"/>
      <c r="L202" s="82"/>
    </row>
    <row r="203" spans="2:12" s="1" customFormat="1" ht="13.35" customHeight="1" x14ac:dyDescent="0.15">
      <c r="B203" s="2">
        <v>5</v>
      </c>
      <c r="C203" s="188"/>
      <c r="D203" s="205"/>
      <c r="E203" s="205"/>
      <c r="F203" s="168"/>
      <c r="G203" s="200"/>
      <c r="H203" s="9">
        <v>1</v>
      </c>
      <c r="I203" s="218">
        <f t="shared" si="14"/>
        <v>0</v>
      </c>
      <c r="J203" s="94">
        <f t="shared" si="15"/>
        <v>0</v>
      </c>
      <c r="K203" s="82"/>
      <c r="L203" s="82"/>
    </row>
    <row r="204" spans="2:12" s="1" customFormat="1" ht="13.35" customHeight="1" x14ac:dyDescent="0.15">
      <c r="B204" s="2">
        <v>6</v>
      </c>
      <c r="C204" s="188"/>
      <c r="D204" s="204"/>
      <c r="E204" s="204"/>
      <c r="F204" s="168"/>
      <c r="G204" s="200"/>
      <c r="H204" s="9">
        <v>1</v>
      </c>
      <c r="I204" s="218">
        <f t="shared" si="14"/>
        <v>0</v>
      </c>
      <c r="J204" s="94">
        <f t="shared" si="15"/>
        <v>0</v>
      </c>
      <c r="K204" s="82"/>
      <c r="L204" s="82"/>
    </row>
    <row r="205" spans="2:12" s="1" customFormat="1" ht="13.35" customHeight="1" x14ac:dyDescent="0.15">
      <c r="B205" s="2">
        <v>7</v>
      </c>
      <c r="C205" s="188"/>
      <c r="D205" s="204"/>
      <c r="E205" s="204"/>
      <c r="F205" s="168"/>
      <c r="G205" s="200"/>
      <c r="H205" s="9">
        <v>1</v>
      </c>
      <c r="I205" s="168">
        <f t="shared" si="14"/>
        <v>0</v>
      </c>
      <c r="J205" s="94">
        <f t="shared" si="15"/>
        <v>0</v>
      </c>
      <c r="K205" s="82"/>
      <c r="L205" s="82"/>
    </row>
    <row r="206" spans="2:12" s="1" customFormat="1" ht="13.35" customHeight="1" x14ac:dyDescent="0.15">
      <c r="B206" s="2">
        <v>8</v>
      </c>
      <c r="C206" s="188"/>
      <c r="D206" s="206"/>
      <c r="E206" s="206"/>
      <c r="F206" s="168"/>
      <c r="G206" s="200"/>
      <c r="H206" s="9">
        <v>1</v>
      </c>
      <c r="I206" s="168">
        <f t="shared" si="14"/>
        <v>0</v>
      </c>
      <c r="J206" s="94">
        <f t="shared" si="15"/>
        <v>0</v>
      </c>
      <c r="K206" s="82"/>
      <c r="L206" s="82"/>
    </row>
    <row r="207" spans="2:12" s="1" customFormat="1" ht="13.35" customHeight="1" x14ac:dyDescent="0.15">
      <c r="B207" s="2">
        <v>9</v>
      </c>
      <c r="C207" s="113"/>
      <c r="D207" s="206"/>
      <c r="E207" s="206"/>
      <c r="F207" s="168"/>
      <c r="G207" s="200"/>
      <c r="H207" s="9">
        <v>1</v>
      </c>
      <c r="I207" s="168">
        <f>J207*$C$32</f>
        <v>0</v>
      </c>
      <c r="J207" s="94">
        <f t="shared" si="15"/>
        <v>0</v>
      </c>
      <c r="K207" s="82"/>
      <c r="L207" s="82"/>
    </row>
    <row r="208" spans="2:12" s="1" customFormat="1" ht="13.35" customHeight="1" x14ac:dyDescent="0.15">
      <c r="B208" s="2">
        <v>10</v>
      </c>
      <c r="C208" s="188"/>
      <c r="D208" s="204"/>
      <c r="E208" s="204"/>
      <c r="F208" s="168"/>
      <c r="G208" s="200"/>
      <c r="H208" s="9">
        <v>1</v>
      </c>
      <c r="I208" s="168">
        <f t="shared" si="14"/>
        <v>0</v>
      </c>
      <c r="J208" s="94">
        <f t="shared" si="15"/>
        <v>0</v>
      </c>
      <c r="K208" s="82"/>
      <c r="L208" s="82"/>
    </row>
    <row r="209" spans="2:12" s="1" customFormat="1" ht="13.35" customHeight="1" x14ac:dyDescent="0.15">
      <c r="B209" s="2">
        <v>11</v>
      </c>
      <c r="C209" s="188"/>
      <c r="D209" s="204"/>
      <c r="E209" s="204"/>
      <c r="F209" s="168"/>
      <c r="G209" s="200"/>
      <c r="H209" s="9">
        <v>1</v>
      </c>
      <c r="I209" s="168">
        <f t="shared" si="14"/>
        <v>0</v>
      </c>
      <c r="J209" s="94">
        <f t="shared" si="15"/>
        <v>0</v>
      </c>
      <c r="K209" s="82"/>
      <c r="L209" s="82"/>
    </row>
    <row r="210" spans="2:12" s="1" customFormat="1" ht="13.35" customHeight="1" x14ac:dyDescent="0.15">
      <c r="B210" s="2">
        <v>12</v>
      </c>
      <c r="C210" s="188"/>
      <c r="D210" s="204"/>
      <c r="E210" s="204"/>
      <c r="F210" s="168"/>
      <c r="G210" s="200"/>
      <c r="H210" s="9">
        <v>1</v>
      </c>
      <c r="I210" s="168">
        <f t="shared" si="14"/>
        <v>0</v>
      </c>
      <c r="J210" s="94">
        <f t="shared" si="15"/>
        <v>0</v>
      </c>
      <c r="K210" s="82"/>
      <c r="L210" s="82"/>
    </row>
    <row r="211" spans="2:12" s="1" customFormat="1" ht="13.35" customHeight="1" x14ac:dyDescent="0.15">
      <c r="B211" s="2">
        <v>13</v>
      </c>
      <c r="C211" s="188"/>
      <c r="D211" s="204"/>
      <c r="E211" s="204"/>
      <c r="F211" s="168"/>
      <c r="G211" s="200"/>
      <c r="H211" s="9">
        <v>1</v>
      </c>
      <c r="I211" s="168">
        <f t="shared" si="14"/>
        <v>0</v>
      </c>
      <c r="J211" s="94">
        <f t="shared" si="15"/>
        <v>0</v>
      </c>
      <c r="K211" s="82"/>
      <c r="L211" s="82"/>
    </row>
    <row r="212" spans="2:12" s="1" customFormat="1" ht="13.35" customHeight="1" x14ac:dyDescent="0.15">
      <c r="B212" s="2">
        <v>14</v>
      </c>
      <c r="C212" s="188"/>
      <c r="D212" s="204"/>
      <c r="E212" s="204"/>
      <c r="F212" s="168"/>
      <c r="G212" s="200"/>
      <c r="H212" s="9">
        <v>1</v>
      </c>
      <c r="I212" s="168">
        <f t="shared" si="14"/>
        <v>0</v>
      </c>
      <c r="J212" s="94">
        <f t="shared" si="15"/>
        <v>0</v>
      </c>
      <c r="K212" s="82"/>
      <c r="L212" s="82"/>
    </row>
    <row r="213" spans="2:12" s="1" customFormat="1" ht="13.35" customHeight="1" x14ac:dyDescent="0.15">
      <c r="B213" s="2">
        <v>15</v>
      </c>
      <c r="C213" s="189"/>
      <c r="D213" s="204"/>
      <c r="E213" s="206"/>
      <c r="F213" s="168"/>
      <c r="G213" s="200"/>
      <c r="H213" s="9">
        <v>1</v>
      </c>
      <c r="I213" s="168">
        <f t="shared" si="14"/>
        <v>0</v>
      </c>
      <c r="J213" s="94">
        <f t="shared" si="15"/>
        <v>0</v>
      </c>
      <c r="K213" s="82"/>
      <c r="L213" s="82"/>
    </row>
    <row r="214" spans="2:12" s="1" customFormat="1" ht="13.35" customHeight="1" x14ac:dyDescent="0.15">
      <c r="B214" s="2">
        <v>16</v>
      </c>
      <c r="C214" s="189"/>
      <c r="D214" s="206"/>
      <c r="E214" s="206"/>
      <c r="F214" s="168"/>
      <c r="G214" s="200"/>
      <c r="H214" s="9">
        <v>1</v>
      </c>
      <c r="I214" s="168">
        <f t="shared" si="14"/>
        <v>0</v>
      </c>
      <c r="J214" s="94">
        <f t="shared" si="15"/>
        <v>0</v>
      </c>
      <c r="K214" s="82"/>
      <c r="L214" s="82"/>
    </row>
    <row r="215" spans="2:12" s="1" customFormat="1" ht="14.45" customHeight="1" x14ac:dyDescent="0.15">
      <c r="B215" s="2">
        <v>17</v>
      </c>
      <c r="C215" s="189"/>
      <c r="D215" s="206"/>
      <c r="E215" s="206"/>
      <c r="F215" s="219"/>
      <c r="G215" s="200"/>
      <c r="H215" s="9">
        <v>1</v>
      </c>
      <c r="I215" s="168">
        <f t="shared" si="14"/>
        <v>0</v>
      </c>
      <c r="J215" s="94">
        <f t="shared" si="15"/>
        <v>0</v>
      </c>
      <c r="K215" s="82"/>
      <c r="L215" s="82"/>
    </row>
    <row r="216" spans="2:12" s="1" customFormat="1" ht="13.35" customHeight="1" x14ac:dyDescent="0.15">
      <c r="B216" s="2">
        <v>18</v>
      </c>
      <c r="C216" s="189"/>
      <c r="D216" s="206"/>
      <c r="E216" s="206"/>
      <c r="F216" s="168"/>
      <c r="G216" s="200"/>
      <c r="H216" s="9">
        <v>1</v>
      </c>
      <c r="I216" s="168">
        <f t="shared" si="14"/>
        <v>0</v>
      </c>
      <c r="J216" s="94">
        <f t="shared" si="15"/>
        <v>0</v>
      </c>
      <c r="K216" s="82"/>
      <c r="L216" s="82"/>
    </row>
    <row r="217" spans="2:12" s="1" customFormat="1" ht="13.35" customHeight="1" x14ac:dyDescent="0.15">
      <c r="B217" s="2">
        <v>19</v>
      </c>
      <c r="C217" s="189"/>
      <c r="D217" s="206"/>
      <c r="E217" s="206"/>
      <c r="F217" s="168"/>
      <c r="G217" s="200"/>
      <c r="H217" s="9">
        <v>1</v>
      </c>
      <c r="I217" s="168">
        <f t="shared" si="14"/>
        <v>0</v>
      </c>
      <c r="J217" s="94">
        <f t="shared" si="15"/>
        <v>0</v>
      </c>
      <c r="K217" s="82"/>
      <c r="L217" s="82"/>
    </row>
    <row r="218" spans="2:12" s="1" customFormat="1" ht="13.35" customHeight="1" x14ac:dyDescent="0.15">
      <c r="B218" s="2">
        <v>20</v>
      </c>
      <c r="C218" s="189"/>
      <c r="D218" s="206"/>
      <c r="E218" s="206"/>
      <c r="F218" s="168"/>
      <c r="G218" s="200"/>
      <c r="H218" s="9">
        <v>1</v>
      </c>
      <c r="I218" s="168">
        <f t="shared" si="14"/>
        <v>0</v>
      </c>
      <c r="J218" s="94">
        <f t="shared" si="15"/>
        <v>0</v>
      </c>
      <c r="K218" s="82"/>
      <c r="L218" s="82"/>
    </row>
    <row r="219" spans="2:12" s="1" customFormat="1" ht="12.75" x14ac:dyDescent="0.15">
      <c r="B219" s="2"/>
      <c r="C219" s="89"/>
      <c r="D219" s="90"/>
      <c r="E219" s="90"/>
      <c r="F219" s="168"/>
      <c r="G219" s="200"/>
      <c r="H219" s="9"/>
      <c r="I219" s="168"/>
      <c r="J219" s="94"/>
      <c r="K219" s="82"/>
      <c r="L219" s="82"/>
    </row>
    <row r="220" spans="2:12" s="1" customFormat="1" ht="12.75" x14ac:dyDescent="0.15">
      <c r="B220" s="2"/>
      <c r="C220" s="203"/>
      <c r="D220" s="169"/>
      <c r="E220" s="169"/>
      <c r="F220" s="168"/>
      <c r="G220" s="200"/>
      <c r="H220" s="9"/>
      <c r="I220" s="168"/>
      <c r="J220" s="94"/>
      <c r="K220" s="82"/>
      <c r="L220" s="82"/>
    </row>
    <row r="221" spans="2:12" s="1" customFormat="1" ht="12.75" x14ac:dyDescent="0.15">
      <c r="B221" s="2"/>
      <c r="C221" s="167" t="s">
        <v>154</v>
      </c>
      <c r="D221" s="391"/>
      <c r="E221" s="391"/>
      <c r="F221" s="168"/>
      <c r="G221" s="200"/>
      <c r="H221" s="9"/>
      <c r="I221" s="168"/>
      <c r="J221" s="94"/>
      <c r="K221" s="82"/>
      <c r="L221" s="82"/>
    </row>
    <row r="222" spans="2:12" s="1" customFormat="1" ht="12.75" x14ac:dyDescent="0.15">
      <c r="B222" s="2">
        <v>1</v>
      </c>
      <c r="C222" s="207"/>
      <c r="D222" s="391"/>
      <c r="E222" s="391"/>
      <c r="F222" s="168"/>
      <c r="G222" s="200"/>
      <c r="H222" s="9">
        <v>1</v>
      </c>
      <c r="I222" s="168">
        <f t="shared" si="14"/>
        <v>0</v>
      </c>
      <c r="J222" s="94">
        <f t="shared" ref="J222:J241" si="16">(F222*G222*H222)/$C$32</f>
        <v>0</v>
      </c>
      <c r="K222" s="82"/>
      <c r="L222" s="82"/>
    </row>
    <row r="223" spans="2:12" s="1" customFormat="1" ht="12.75" x14ac:dyDescent="0.15">
      <c r="B223" s="2">
        <v>2</v>
      </c>
      <c r="C223" s="403"/>
      <c r="D223" s="403"/>
      <c r="E223" s="403"/>
      <c r="F223" s="168"/>
      <c r="G223" s="200"/>
      <c r="H223" s="9">
        <v>1</v>
      </c>
      <c r="I223" s="168">
        <f t="shared" si="14"/>
        <v>0</v>
      </c>
      <c r="J223" s="94">
        <f t="shared" si="16"/>
        <v>0</v>
      </c>
      <c r="K223" s="82"/>
      <c r="L223" s="82"/>
    </row>
    <row r="224" spans="2:12" s="1" customFormat="1" ht="12.75" x14ac:dyDescent="0.15">
      <c r="B224" s="2">
        <f>B223+1</f>
        <v>3</v>
      </c>
      <c r="C224" s="183"/>
      <c r="D224" s="89"/>
      <c r="E224" s="89"/>
      <c r="F224" s="168"/>
      <c r="G224" s="200"/>
      <c r="H224" s="9">
        <v>1</v>
      </c>
      <c r="I224" s="168">
        <f t="shared" si="14"/>
        <v>0</v>
      </c>
      <c r="J224" s="94">
        <f t="shared" si="16"/>
        <v>0</v>
      </c>
      <c r="K224" s="82"/>
      <c r="L224" s="82"/>
    </row>
    <row r="225" spans="2:12" s="1" customFormat="1" ht="12.75" x14ac:dyDescent="0.15">
      <c r="B225" s="2">
        <f>B224+1</f>
        <v>4</v>
      </c>
      <c r="C225" s="89"/>
      <c r="D225" s="89"/>
      <c r="E225" s="89"/>
      <c r="F225" s="168"/>
      <c r="G225" s="200"/>
      <c r="H225" s="9">
        <v>1</v>
      </c>
      <c r="I225" s="168">
        <f t="shared" si="14"/>
        <v>0</v>
      </c>
      <c r="J225" s="94">
        <f t="shared" si="16"/>
        <v>0</v>
      </c>
      <c r="K225" s="82"/>
      <c r="L225" s="82"/>
    </row>
    <row r="226" spans="2:12" s="1" customFormat="1" ht="12.75" x14ac:dyDescent="0.15">
      <c r="B226" s="2">
        <f>B225+1</f>
        <v>5</v>
      </c>
      <c r="C226" s="89"/>
      <c r="D226" s="391"/>
      <c r="E226" s="391"/>
      <c r="F226" s="168"/>
      <c r="G226" s="200"/>
      <c r="H226" s="9">
        <v>1</v>
      </c>
      <c r="I226" s="168">
        <f t="shared" si="14"/>
        <v>0</v>
      </c>
      <c r="J226" s="94">
        <f t="shared" si="16"/>
        <v>0</v>
      </c>
      <c r="K226" s="82"/>
      <c r="L226" s="82"/>
    </row>
    <row r="227" spans="2:12" s="1" customFormat="1" ht="12.75" x14ac:dyDescent="0.15">
      <c r="B227" s="2">
        <f>B226+1</f>
        <v>6</v>
      </c>
      <c r="C227" s="392"/>
      <c r="D227" s="392"/>
      <c r="E227" s="392"/>
      <c r="F227" s="168"/>
      <c r="G227" s="200"/>
      <c r="H227" s="9">
        <v>1</v>
      </c>
      <c r="I227" s="168">
        <f t="shared" si="14"/>
        <v>0</v>
      </c>
      <c r="J227" s="94">
        <f t="shared" si="16"/>
        <v>0</v>
      </c>
      <c r="K227" s="82"/>
      <c r="L227" s="82"/>
    </row>
    <row r="228" spans="2:12" s="1" customFormat="1" ht="12.75" x14ac:dyDescent="0.15">
      <c r="B228" s="2">
        <f t="shared" ref="B228:B230" si="17">B227+1</f>
        <v>7</v>
      </c>
      <c r="C228" s="183"/>
      <c r="D228" s="391"/>
      <c r="E228" s="391"/>
      <c r="F228" s="168"/>
      <c r="G228" s="200"/>
      <c r="H228" s="9">
        <v>1</v>
      </c>
      <c r="I228" s="168">
        <f t="shared" si="14"/>
        <v>0</v>
      </c>
      <c r="J228" s="94">
        <f t="shared" si="16"/>
        <v>0</v>
      </c>
      <c r="K228" s="82"/>
      <c r="L228" s="82"/>
    </row>
    <row r="229" spans="2:12" s="1" customFormat="1" ht="12.75" x14ac:dyDescent="0.15">
      <c r="B229" s="2">
        <f t="shared" si="17"/>
        <v>8</v>
      </c>
      <c r="C229" s="183"/>
      <c r="D229" s="391"/>
      <c r="E229" s="391"/>
      <c r="F229" s="168"/>
      <c r="G229" s="200"/>
      <c r="H229" s="9">
        <v>1</v>
      </c>
      <c r="I229" s="168">
        <f t="shared" si="14"/>
        <v>0</v>
      </c>
      <c r="J229" s="94">
        <f t="shared" si="16"/>
        <v>0</v>
      </c>
      <c r="K229" s="82"/>
      <c r="L229" s="82"/>
    </row>
    <row r="230" spans="2:12" s="1" customFormat="1" ht="12.75" x14ac:dyDescent="0.15">
      <c r="B230" s="2">
        <f t="shared" si="17"/>
        <v>9</v>
      </c>
      <c r="C230" s="183"/>
      <c r="D230" s="391"/>
      <c r="E230" s="391"/>
      <c r="F230" s="168"/>
      <c r="G230" s="200"/>
      <c r="H230" s="9">
        <v>1</v>
      </c>
      <c r="I230" s="168">
        <f t="shared" si="14"/>
        <v>0</v>
      </c>
      <c r="J230" s="94">
        <f t="shared" si="16"/>
        <v>0</v>
      </c>
      <c r="K230" s="82"/>
      <c r="L230" s="82"/>
    </row>
    <row r="231" spans="2:12" s="1" customFormat="1" ht="12.75" x14ac:dyDescent="0.15">
      <c r="B231" s="2">
        <v>10</v>
      </c>
      <c r="C231" s="183"/>
      <c r="D231" s="90"/>
      <c r="E231" s="90"/>
      <c r="F231" s="168"/>
      <c r="G231" s="200"/>
      <c r="H231" s="9">
        <v>1</v>
      </c>
      <c r="I231" s="168">
        <f t="shared" si="14"/>
        <v>0</v>
      </c>
      <c r="J231" s="94">
        <f t="shared" si="16"/>
        <v>0</v>
      </c>
      <c r="K231" s="82"/>
      <c r="L231" s="82"/>
    </row>
    <row r="232" spans="2:12" s="1" customFormat="1" ht="12.75" x14ac:dyDescent="0.15">
      <c r="B232" s="2">
        <v>11</v>
      </c>
      <c r="C232" s="183"/>
      <c r="D232" s="90"/>
      <c r="E232" s="90"/>
      <c r="F232" s="168"/>
      <c r="G232" s="200"/>
      <c r="H232" s="9">
        <v>1</v>
      </c>
      <c r="I232" s="168">
        <f t="shared" si="14"/>
        <v>0</v>
      </c>
      <c r="J232" s="94">
        <f t="shared" si="16"/>
        <v>0</v>
      </c>
      <c r="K232" s="82"/>
      <c r="L232" s="82"/>
    </row>
    <row r="233" spans="2:12" s="1" customFormat="1" ht="12.75" x14ac:dyDescent="0.15">
      <c r="B233" s="2">
        <v>12</v>
      </c>
      <c r="C233" s="183"/>
      <c r="D233" s="90"/>
      <c r="E233" s="90"/>
      <c r="F233" s="168"/>
      <c r="G233" s="200"/>
      <c r="H233" s="9">
        <v>1</v>
      </c>
      <c r="I233" s="168">
        <f t="shared" si="14"/>
        <v>0</v>
      </c>
      <c r="J233" s="94">
        <f t="shared" si="16"/>
        <v>0</v>
      </c>
      <c r="K233" s="82"/>
      <c r="L233" s="82"/>
    </row>
    <row r="234" spans="2:12" s="1" customFormat="1" ht="12.75" x14ac:dyDescent="0.15">
      <c r="B234" s="2">
        <v>13</v>
      </c>
      <c r="C234" s="183"/>
      <c r="D234" s="90"/>
      <c r="E234" s="90"/>
      <c r="F234" s="168"/>
      <c r="G234" s="200"/>
      <c r="H234" s="9">
        <v>1</v>
      </c>
      <c r="I234" s="168">
        <f t="shared" si="14"/>
        <v>0</v>
      </c>
      <c r="J234" s="94">
        <f t="shared" si="16"/>
        <v>0</v>
      </c>
      <c r="K234" s="82"/>
      <c r="L234" s="82"/>
    </row>
    <row r="235" spans="2:12" s="1" customFormat="1" ht="12.75" x14ac:dyDescent="0.15">
      <c r="B235" s="2">
        <v>14</v>
      </c>
      <c r="C235" s="183"/>
      <c r="D235" s="90"/>
      <c r="E235" s="90"/>
      <c r="F235" s="168"/>
      <c r="G235" s="200"/>
      <c r="H235" s="9">
        <v>1</v>
      </c>
      <c r="I235" s="168">
        <f t="shared" si="14"/>
        <v>0</v>
      </c>
      <c r="J235" s="94">
        <f t="shared" si="16"/>
        <v>0</v>
      </c>
      <c r="K235" s="82"/>
      <c r="L235" s="82"/>
    </row>
    <row r="236" spans="2:12" s="1" customFormat="1" ht="12.75" x14ac:dyDescent="0.15">
      <c r="B236" s="2">
        <v>15</v>
      </c>
      <c r="C236" s="183"/>
      <c r="D236" s="90"/>
      <c r="E236" s="90"/>
      <c r="F236" s="168"/>
      <c r="G236" s="200"/>
      <c r="H236" s="9">
        <v>1</v>
      </c>
      <c r="I236" s="168">
        <f t="shared" si="14"/>
        <v>0</v>
      </c>
      <c r="J236" s="94">
        <f t="shared" si="16"/>
        <v>0</v>
      </c>
      <c r="K236" s="82"/>
      <c r="L236" s="82"/>
    </row>
    <row r="237" spans="2:12" s="1" customFormat="1" ht="12.75" x14ac:dyDescent="0.15">
      <c r="B237" s="2">
        <v>16</v>
      </c>
      <c r="C237" s="183"/>
      <c r="D237" s="90"/>
      <c r="E237" s="90"/>
      <c r="F237" s="168"/>
      <c r="G237" s="200"/>
      <c r="H237" s="9">
        <v>1</v>
      </c>
      <c r="I237" s="168">
        <f t="shared" si="14"/>
        <v>0</v>
      </c>
      <c r="J237" s="94">
        <f t="shared" si="16"/>
        <v>0</v>
      </c>
      <c r="K237" s="82"/>
      <c r="L237" s="82"/>
    </row>
    <row r="238" spans="2:12" s="1" customFormat="1" ht="12.75" x14ac:dyDescent="0.15">
      <c r="B238" s="2">
        <v>17</v>
      </c>
      <c r="C238" s="183"/>
      <c r="D238" s="90"/>
      <c r="E238" s="90"/>
      <c r="F238" s="168"/>
      <c r="G238" s="200"/>
      <c r="H238" s="9">
        <v>1</v>
      </c>
      <c r="I238" s="168">
        <f t="shared" si="14"/>
        <v>0</v>
      </c>
      <c r="J238" s="94">
        <f t="shared" si="16"/>
        <v>0</v>
      </c>
      <c r="K238" s="82"/>
      <c r="L238" s="82"/>
    </row>
    <row r="239" spans="2:12" s="1" customFormat="1" ht="12.75" x14ac:dyDescent="0.15">
      <c r="B239" s="2">
        <v>18</v>
      </c>
      <c r="C239" s="183"/>
      <c r="D239" s="90"/>
      <c r="E239" s="90"/>
      <c r="F239" s="168"/>
      <c r="G239" s="200"/>
      <c r="H239" s="9">
        <v>1</v>
      </c>
      <c r="I239" s="168">
        <f t="shared" si="14"/>
        <v>0</v>
      </c>
      <c r="J239" s="94">
        <f t="shared" si="16"/>
        <v>0</v>
      </c>
      <c r="K239" s="82"/>
      <c r="L239" s="82"/>
    </row>
    <row r="240" spans="2:12" s="1" customFormat="1" ht="12.75" x14ac:dyDescent="0.15">
      <c r="B240" s="2">
        <v>19</v>
      </c>
      <c r="C240" s="183"/>
      <c r="D240" s="90"/>
      <c r="E240" s="90"/>
      <c r="F240" s="168"/>
      <c r="G240" s="201"/>
      <c r="H240" s="197">
        <v>1</v>
      </c>
      <c r="I240" s="168">
        <f t="shared" si="14"/>
        <v>0</v>
      </c>
      <c r="J240" s="94">
        <f t="shared" si="16"/>
        <v>0</v>
      </c>
      <c r="K240" s="82"/>
      <c r="L240" s="82"/>
    </row>
    <row r="241" spans="2:12" s="1" customFormat="1" ht="12.75" x14ac:dyDescent="0.15">
      <c r="B241" s="112">
        <v>20</v>
      </c>
      <c r="C241" s="183"/>
      <c r="D241" s="90"/>
      <c r="E241" s="90"/>
      <c r="F241" s="168"/>
      <c r="G241" s="202"/>
      <c r="H241" s="92">
        <v>1</v>
      </c>
      <c r="I241" s="168">
        <f t="shared" si="14"/>
        <v>0</v>
      </c>
      <c r="J241" s="94">
        <f t="shared" si="16"/>
        <v>0</v>
      </c>
      <c r="K241" s="82"/>
      <c r="L241" s="82"/>
    </row>
    <row r="242" spans="2:12" s="1" customFormat="1" ht="12.75" x14ac:dyDescent="0.15">
      <c r="B242" s="82"/>
      <c r="C242" s="183"/>
      <c r="D242" s="90"/>
      <c r="E242" s="90"/>
      <c r="F242" s="168"/>
      <c r="G242" s="92"/>
      <c r="H242" s="92"/>
      <c r="I242" s="168"/>
      <c r="J242" s="94"/>
      <c r="K242" s="82"/>
      <c r="L242" s="82"/>
    </row>
    <row r="243" spans="2:12" s="1" customFormat="1" ht="12.75" x14ac:dyDescent="0.15">
      <c r="B243" s="82"/>
      <c r="C243" s="102"/>
      <c r="D243" s="103"/>
      <c r="E243" s="102"/>
      <c r="F243" s="128">
        <f>SUM(F184:F242)</f>
        <v>0</v>
      </c>
      <c r="G243" s="104"/>
      <c r="H243" s="105"/>
      <c r="I243" s="128">
        <f>SUM(I185:I242)</f>
        <v>0</v>
      </c>
      <c r="J243" s="257">
        <f>SUM(J184:J242)</f>
        <v>0</v>
      </c>
    </row>
    <row r="244" spans="2:12" s="1" customFormat="1" ht="12.75" x14ac:dyDescent="0.15">
      <c r="B244" s="82"/>
      <c r="C244" s="102"/>
      <c r="D244" s="103"/>
      <c r="E244" s="102" t="s">
        <v>147</v>
      </c>
      <c r="F244" s="128">
        <f>100/115*F243</f>
        <v>0</v>
      </c>
      <c r="G244" s="104"/>
      <c r="H244" s="105" t="s">
        <v>147</v>
      </c>
      <c r="I244" s="128">
        <f>100/115*I243</f>
        <v>0</v>
      </c>
      <c r="J244" s="106"/>
    </row>
    <row r="245" spans="2:12" s="1" customFormat="1" ht="12.75" x14ac:dyDescent="0.15"/>
    <row r="246" spans="2:12" s="1" customFormat="1" ht="12.75" x14ac:dyDescent="0.15"/>
    <row r="247" spans="2:12" s="1" customFormat="1" ht="12.75" x14ac:dyDescent="0.15"/>
    <row r="248" spans="2:12" s="1" customFormat="1" ht="12.75" x14ac:dyDescent="0.15"/>
    <row r="249" spans="2:12" s="247" customFormat="1" ht="32.25" x14ac:dyDescent="0.4">
      <c r="B249" s="248"/>
      <c r="C249" s="380" t="s">
        <v>112</v>
      </c>
      <c r="D249" s="380"/>
      <c r="E249" s="400" t="s">
        <v>155</v>
      </c>
      <c r="F249" s="401"/>
      <c r="G249" s="401"/>
      <c r="H249" s="401"/>
      <c r="I249" s="402"/>
      <c r="J249" s="382">
        <v>2026</v>
      </c>
      <c r="K249" s="382"/>
      <c r="L249" s="382"/>
    </row>
    <row r="250" spans="2:12" s="1" customFormat="1" ht="22.5" x14ac:dyDescent="0.15">
      <c r="B250" s="82"/>
      <c r="C250" s="102" t="s">
        <v>114</v>
      </c>
      <c r="D250" s="388" t="s">
        <v>115</v>
      </c>
      <c r="E250" s="388"/>
      <c r="F250" s="102" t="s">
        <v>116</v>
      </c>
      <c r="G250" s="102" t="s">
        <v>117</v>
      </c>
      <c r="H250" s="102" t="s">
        <v>118</v>
      </c>
      <c r="I250" s="102" t="s">
        <v>119</v>
      </c>
      <c r="J250" s="102" t="s">
        <v>120</v>
      </c>
      <c r="K250" s="82"/>
      <c r="L250" s="82"/>
    </row>
    <row r="251" spans="2:12" s="1" customFormat="1" ht="12.75" x14ac:dyDescent="0.15">
      <c r="B251" s="82"/>
      <c r="C251" s="66">
        <f>C182</f>
        <v>700</v>
      </c>
      <c r="D251" s="389">
        <v>19</v>
      </c>
      <c r="E251" s="389"/>
      <c r="F251" s="13">
        <f>F182</f>
        <v>0.8</v>
      </c>
      <c r="G251" s="14">
        <f>G182</f>
        <v>8</v>
      </c>
      <c r="H251" s="142">
        <f>D251*G251*F251</f>
        <v>121.60000000000001</v>
      </c>
      <c r="I251" s="66">
        <f>I313</f>
        <v>0</v>
      </c>
      <c r="J251" s="143">
        <f>H251-J313</f>
        <v>121.60000000000001</v>
      </c>
      <c r="K251" s="82"/>
      <c r="L251" s="82"/>
    </row>
    <row r="252" spans="2:12" s="1" customFormat="1" ht="33.75" x14ac:dyDescent="0.15">
      <c r="B252" s="82"/>
      <c r="C252" s="167" t="s">
        <v>121</v>
      </c>
      <c r="D252" s="395" t="s">
        <v>122</v>
      </c>
      <c r="E252" s="395"/>
      <c r="F252" s="177" t="s">
        <v>123</v>
      </c>
      <c r="G252" s="178" t="s">
        <v>124</v>
      </c>
      <c r="H252" s="179" t="s">
        <v>125</v>
      </c>
      <c r="I252" s="180" t="s">
        <v>126</v>
      </c>
      <c r="J252" s="178" t="s">
        <v>127</v>
      </c>
      <c r="K252" s="114" t="s">
        <v>128</v>
      </c>
      <c r="L252" s="114" t="s">
        <v>129</v>
      </c>
    </row>
    <row r="253" spans="2:12" s="1" customFormat="1" ht="12.75" x14ac:dyDescent="0.15">
      <c r="B253" s="79"/>
      <c r="C253" s="193"/>
      <c r="D253" s="406"/>
      <c r="E253" s="406"/>
      <c r="F253" s="194"/>
      <c r="G253" s="195"/>
      <c r="H253" s="196"/>
      <c r="I253" s="176"/>
      <c r="J253" s="88"/>
      <c r="K253" s="79"/>
      <c r="L253" s="120"/>
    </row>
    <row r="254" spans="2:12" s="1" customFormat="1" ht="12.75" x14ac:dyDescent="0.15">
      <c r="B254" s="80"/>
      <c r="C254" s="392" t="s">
        <v>130</v>
      </c>
      <c r="D254" s="392"/>
      <c r="E254" s="392"/>
      <c r="F254" s="184"/>
      <c r="G254" s="92"/>
      <c r="H254" s="163"/>
      <c r="I254" s="126"/>
      <c r="J254" s="21"/>
      <c r="K254" s="80"/>
      <c r="L254" s="82"/>
    </row>
    <row r="255" spans="2:12" s="1" customFormat="1" ht="12.75" x14ac:dyDescent="0.15">
      <c r="B255" s="80"/>
      <c r="C255" s="167" t="s">
        <v>149</v>
      </c>
      <c r="D255" s="167"/>
      <c r="E255" s="167"/>
      <c r="F255" s="168"/>
      <c r="G255" s="92"/>
      <c r="H255" s="163"/>
      <c r="I255" s="126"/>
      <c r="J255" s="21"/>
      <c r="K255" s="80"/>
      <c r="L255" s="82"/>
    </row>
    <row r="256" spans="2:12" s="1" customFormat="1" ht="12.75" x14ac:dyDescent="0.15">
      <c r="B256" s="80">
        <v>1</v>
      </c>
      <c r="C256" s="89"/>
      <c r="D256" s="167"/>
      <c r="E256" s="167"/>
      <c r="F256" s="168"/>
      <c r="G256" s="92"/>
      <c r="H256" s="163">
        <v>1</v>
      </c>
      <c r="I256" s="126">
        <f>J256*$C$32</f>
        <v>0</v>
      </c>
      <c r="J256" s="21">
        <f t="shared" ref="J256:J265" si="18">(F256*G256*H256)/$C$32</f>
        <v>0</v>
      </c>
      <c r="K256" s="80"/>
      <c r="L256" s="82"/>
    </row>
    <row r="257" spans="2:12" s="1" customFormat="1" ht="12.75" customHeight="1" x14ac:dyDescent="0.15">
      <c r="B257" s="80">
        <v>2</v>
      </c>
      <c r="C257" s="187"/>
      <c r="D257" s="90"/>
      <c r="E257" s="90"/>
      <c r="F257" s="168"/>
      <c r="G257" s="92"/>
      <c r="H257" s="163">
        <v>1</v>
      </c>
      <c r="I257" s="126">
        <f>J257*$C$32</f>
        <v>0</v>
      </c>
      <c r="J257" s="21">
        <f t="shared" si="18"/>
        <v>0</v>
      </c>
      <c r="K257" s="80"/>
      <c r="L257" s="82"/>
    </row>
    <row r="258" spans="2:12" s="1" customFormat="1" ht="12.75" customHeight="1" x14ac:dyDescent="0.15">
      <c r="B258" s="80">
        <v>3</v>
      </c>
      <c r="C258" s="188"/>
      <c r="D258" s="169"/>
      <c r="E258" s="169"/>
      <c r="F258" s="168"/>
      <c r="G258" s="92"/>
      <c r="H258" s="163">
        <v>1</v>
      </c>
      <c r="I258" s="126">
        <f t="shared" ref="I258:I288" si="19">J258*$C$32</f>
        <v>0</v>
      </c>
      <c r="J258" s="21">
        <f t="shared" si="18"/>
        <v>0</v>
      </c>
      <c r="K258" s="80"/>
      <c r="L258" s="82"/>
    </row>
    <row r="259" spans="2:12" s="1" customFormat="1" ht="12.75" customHeight="1" x14ac:dyDescent="0.15">
      <c r="B259" s="80">
        <v>4</v>
      </c>
      <c r="C259" s="188"/>
      <c r="D259" s="169"/>
      <c r="E259" s="169"/>
      <c r="F259" s="168"/>
      <c r="G259" s="92"/>
      <c r="H259" s="163">
        <v>1</v>
      </c>
      <c r="I259" s="126">
        <f t="shared" si="19"/>
        <v>0</v>
      </c>
      <c r="J259" s="21">
        <f t="shared" si="18"/>
        <v>0</v>
      </c>
      <c r="K259" s="80"/>
      <c r="L259" s="82"/>
    </row>
    <row r="260" spans="2:12" s="1" customFormat="1" ht="12.75" customHeight="1" x14ac:dyDescent="0.15">
      <c r="B260" s="80">
        <v>5</v>
      </c>
      <c r="C260" s="189"/>
      <c r="D260" s="169"/>
      <c r="E260" s="169"/>
      <c r="F260" s="168"/>
      <c r="G260" s="92"/>
      <c r="H260" s="163">
        <v>1</v>
      </c>
      <c r="I260" s="126">
        <f t="shared" si="19"/>
        <v>0</v>
      </c>
      <c r="J260" s="21">
        <f t="shared" si="18"/>
        <v>0</v>
      </c>
      <c r="K260" s="80"/>
      <c r="L260" s="82"/>
    </row>
    <row r="261" spans="2:12" s="1" customFormat="1" ht="12.75" customHeight="1" x14ac:dyDescent="0.15">
      <c r="B261" s="80">
        <v>6</v>
      </c>
      <c r="C261" s="188"/>
      <c r="D261" s="190"/>
      <c r="E261" s="190"/>
      <c r="F261" s="168"/>
      <c r="G261" s="92"/>
      <c r="H261" s="163">
        <v>1</v>
      </c>
      <c r="I261" s="126">
        <f t="shared" si="19"/>
        <v>0</v>
      </c>
      <c r="J261" s="21">
        <f t="shared" si="18"/>
        <v>0</v>
      </c>
      <c r="K261" s="80"/>
      <c r="L261" s="82"/>
    </row>
    <row r="262" spans="2:12" s="1" customFormat="1" ht="12.75" customHeight="1" x14ac:dyDescent="0.15">
      <c r="B262" s="80">
        <v>7</v>
      </c>
      <c r="C262" s="188"/>
      <c r="D262" s="169"/>
      <c r="E262" s="169"/>
      <c r="F262" s="168"/>
      <c r="G262" s="92"/>
      <c r="H262" s="163">
        <v>1</v>
      </c>
      <c r="I262" s="126">
        <f t="shared" si="19"/>
        <v>0</v>
      </c>
      <c r="J262" s="21">
        <f t="shared" si="18"/>
        <v>0</v>
      </c>
      <c r="K262" s="80"/>
      <c r="L262" s="82"/>
    </row>
    <row r="263" spans="2:12" s="1" customFormat="1" ht="12.75" customHeight="1" x14ac:dyDescent="0.15">
      <c r="B263" s="80">
        <v>8</v>
      </c>
      <c r="C263" s="188"/>
      <c r="D263" s="169"/>
      <c r="E263" s="169"/>
      <c r="F263" s="168"/>
      <c r="G263" s="92"/>
      <c r="H263" s="163">
        <v>1</v>
      </c>
      <c r="I263" s="192">
        <f t="shared" si="19"/>
        <v>0</v>
      </c>
      <c r="J263" s="21">
        <f t="shared" si="18"/>
        <v>0</v>
      </c>
      <c r="K263" s="80"/>
      <c r="L263" s="82"/>
    </row>
    <row r="264" spans="2:12" s="1" customFormat="1" ht="12.75" customHeight="1" x14ac:dyDescent="0.15">
      <c r="B264" s="80">
        <v>9</v>
      </c>
      <c r="C264" s="188"/>
      <c r="D264" s="90"/>
      <c r="E264" s="90"/>
      <c r="F264" s="168"/>
      <c r="G264" s="92"/>
      <c r="H264" s="163">
        <v>1</v>
      </c>
      <c r="I264" s="192">
        <f t="shared" si="19"/>
        <v>0</v>
      </c>
      <c r="J264" s="21">
        <f t="shared" si="18"/>
        <v>0</v>
      </c>
      <c r="K264" s="80"/>
      <c r="L264" s="82"/>
    </row>
    <row r="265" spans="2:12" s="1" customFormat="1" ht="12.75" x14ac:dyDescent="0.15">
      <c r="B265" s="80">
        <v>10</v>
      </c>
      <c r="C265" s="113"/>
      <c r="D265" s="90"/>
      <c r="E265" s="90"/>
      <c r="F265" s="168"/>
      <c r="G265" s="92"/>
      <c r="H265" s="163">
        <v>1</v>
      </c>
      <c r="I265" s="192">
        <f t="shared" si="19"/>
        <v>0</v>
      </c>
      <c r="J265" s="21">
        <f t="shared" si="18"/>
        <v>0</v>
      </c>
      <c r="K265" s="80"/>
      <c r="L265" s="82"/>
    </row>
    <row r="266" spans="2:12" s="1" customFormat="1" ht="12.75" x14ac:dyDescent="0.15">
      <c r="B266" s="80"/>
      <c r="C266" s="113"/>
      <c r="D266" s="90"/>
      <c r="E266" s="90"/>
      <c r="F266" s="168"/>
      <c r="G266" s="92"/>
      <c r="H266" s="163"/>
      <c r="I266" s="192"/>
      <c r="J266" s="21"/>
      <c r="K266" s="80"/>
      <c r="L266" s="82"/>
    </row>
    <row r="267" spans="2:12" s="1" customFormat="1" ht="12.75" x14ac:dyDescent="0.15">
      <c r="B267" s="80"/>
      <c r="C267" s="113"/>
      <c r="D267" s="90"/>
      <c r="E267" s="90"/>
      <c r="F267" s="168"/>
      <c r="G267" s="92"/>
      <c r="H267" s="163"/>
      <c r="I267" s="192"/>
      <c r="J267" s="21"/>
      <c r="K267" s="80"/>
      <c r="L267" s="82"/>
    </row>
    <row r="268" spans="2:12" s="1" customFormat="1" ht="12.75" x14ac:dyDescent="0.15">
      <c r="B268" s="80"/>
      <c r="C268" s="117" t="s">
        <v>156</v>
      </c>
      <c r="D268" s="90"/>
      <c r="E268" s="90"/>
      <c r="F268" s="168"/>
      <c r="G268" s="92"/>
      <c r="H268" s="163"/>
      <c r="I268" s="192"/>
      <c r="J268" s="21"/>
      <c r="K268" s="80"/>
      <c r="L268" s="82"/>
    </row>
    <row r="269" spans="2:12" s="1" customFormat="1" ht="12.75" x14ac:dyDescent="0.15">
      <c r="B269" s="80">
        <v>1</v>
      </c>
      <c r="C269" s="188"/>
      <c r="D269" s="169"/>
      <c r="E269" s="169"/>
      <c r="F269" s="168"/>
      <c r="G269" s="92"/>
      <c r="H269" s="163">
        <v>1</v>
      </c>
      <c r="I269" s="192">
        <f t="shared" si="19"/>
        <v>0</v>
      </c>
      <c r="J269" s="21">
        <f t="shared" ref="J269:J288" si="20">(F269*G269*H269)/$C$32</f>
        <v>0</v>
      </c>
      <c r="K269" s="80"/>
      <c r="L269" s="82"/>
    </row>
    <row r="270" spans="2:12" s="1" customFormat="1" ht="12.75" x14ac:dyDescent="0.15">
      <c r="B270" s="80">
        <v>2</v>
      </c>
      <c r="C270" s="188"/>
      <c r="D270" s="169"/>
      <c r="E270" s="169"/>
      <c r="F270" s="168"/>
      <c r="G270" s="92"/>
      <c r="H270" s="163">
        <v>1</v>
      </c>
      <c r="I270" s="192">
        <f t="shared" si="19"/>
        <v>0</v>
      </c>
      <c r="J270" s="21">
        <f t="shared" si="20"/>
        <v>0</v>
      </c>
      <c r="K270" s="80"/>
      <c r="L270" s="82"/>
    </row>
    <row r="271" spans="2:12" s="1" customFormat="1" ht="12.75" x14ac:dyDescent="0.15">
      <c r="B271" s="80">
        <v>3</v>
      </c>
      <c r="C271" s="188"/>
      <c r="D271" s="169"/>
      <c r="E271" s="169"/>
      <c r="F271" s="168"/>
      <c r="G271" s="92"/>
      <c r="H271" s="163">
        <v>1</v>
      </c>
      <c r="I271" s="192">
        <f t="shared" si="19"/>
        <v>0</v>
      </c>
      <c r="J271" s="21">
        <f t="shared" si="20"/>
        <v>0</v>
      </c>
      <c r="K271" s="80"/>
      <c r="L271" s="82"/>
    </row>
    <row r="272" spans="2:12" s="1" customFormat="1" ht="13.5" customHeight="1" x14ac:dyDescent="0.15">
      <c r="B272" s="80">
        <v>4</v>
      </c>
      <c r="C272" s="188"/>
      <c r="D272" s="169"/>
      <c r="E272" s="169"/>
      <c r="F272" s="168"/>
      <c r="G272" s="92"/>
      <c r="H272" s="163">
        <v>1</v>
      </c>
      <c r="I272" s="192">
        <f t="shared" si="19"/>
        <v>0</v>
      </c>
      <c r="J272" s="21">
        <f t="shared" si="20"/>
        <v>0</v>
      </c>
      <c r="K272" s="80"/>
      <c r="L272" s="82"/>
    </row>
    <row r="273" spans="2:12" s="1" customFormat="1" ht="13.5" customHeight="1" x14ac:dyDescent="0.15">
      <c r="B273" s="80">
        <v>5</v>
      </c>
      <c r="C273" s="188"/>
      <c r="D273" s="169"/>
      <c r="E273" s="169"/>
      <c r="F273" s="168"/>
      <c r="G273" s="92"/>
      <c r="H273" s="163">
        <v>1</v>
      </c>
      <c r="I273" s="129">
        <f t="shared" si="19"/>
        <v>0</v>
      </c>
      <c r="J273" s="21">
        <f t="shared" si="20"/>
        <v>0</v>
      </c>
      <c r="K273" s="80"/>
      <c r="L273" s="82"/>
    </row>
    <row r="274" spans="2:12" s="1" customFormat="1" ht="13.5" customHeight="1" x14ac:dyDescent="0.15">
      <c r="B274" s="80">
        <v>6</v>
      </c>
      <c r="C274" s="189"/>
      <c r="D274" s="169"/>
      <c r="E274" s="90"/>
      <c r="F274" s="168"/>
      <c r="G274" s="92"/>
      <c r="H274" s="163">
        <v>1</v>
      </c>
      <c r="I274" s="129">
        <f t="shared" si="19"/>
        <v>0</v>
      </c>
      <c r="J274" s="21">
        <f t="shared" si="20"/>
        <v>0</v>
      </c>
      <c r="K274" s="80"/>
      <c r="L274" s="82"/>
    </row>
    <row r="275" spans="2:12" s="1" customFormat="1" ht="13.5" customHeight="1" x14ac:dyDescent="0.15">
      <c r="B275" s="80">
        <v>7</v>
      </c>
      <c r="C275" s="189"/>
      <c r="D275" s="90"/>
      <c r="E275" s="90"/>
      <c r="F275" s="168"/>
      <c r="G275" s="92"/>
      <c r="H275" s="163">
        <v>1</v>
      </c>
      <c r="I275" s="129">
        <f t="shared" si="19"/>
        <v>0</v>
      </c>
      <c r="J275" s="21">
        <f t="shared" si="20"/>
        <v>0</v>
      </c>
      <c r="K275" s="80"/>
      <c r="L275" s="82"/>
    </row>
    <row r="276" spans="2:12" s="1" customFormat="1" ht="13.5" customHeight="1" x14ac:dyDescent="0.15">
      <c r="B276" s="80">
        <v>8</v>
      </c>
      <c r="C276" s="189"/>
      <c r="D276" s="90"/>
      <c r="E276" s="90"/>
      <c r="F276" s="191"/>
      <c r="G276" s="92"/>
      <c r="H276" s="163">
        <v>1</v>
      </c>
      <c r="I276" s="129">
        <f t="shared" si="19"/>
        <v>0</v>
      </c>
      <c r="J276" s="21">
        <f t="shared" si="20"/>
        <v>0</v>
      </c>
      <c r="K276" s="80"/>
      <c r="L276" s="82"/>
    </row>
    <row r="277" spans="2:12" s="1" customFormat="1" ht="13.5" customHeight="1" x14ac:dyDescent="0.15">
      <c r="B277" s="80">
        <v>9</v>
      </c>
      <c r="C277" s="189"/>
      <c r="D277" s="90"/>
      <c r="E277" s="90"/>
      <c r="F277" s="168"/>
      <c r="G277" s="92"/>
      <c r="H277" s="163">
        <v>1</v>
      </c>
      <c r="I277" s="129">
        <f t="shared" si="19"/>
        <v>0</v>
      </c>
      <c r="J277" s="21">
        <f t="shared" si="20"/>
        <v>0</v>
      </c>
      <c r="K277" s="80"/>
      <c r="L277" s="82"/>
    </row>
    <row r="278" spans="2:12" s="1" customFormat="1" ht="13.5" customHeight="1" x14ac:dyDescent="0.15">
      <c r="B278" s="80">
        <v>10</v>
      </c>
      <c r="C278" s="189"/>
      <c r="D278" s="90"/>
      <c r="E278" s="90"/>
      <c r="F278" s="168"/>
      <c r="G278" s="92"/>
      <c r="H278" s="163">
        <v>1</v>
      </c>
      <c r="I278" s="129">
        <f t="shared" si="19"/>
        <v>0</v>
      </c>
      <c r="J278" s="21">
        <f t="shared" si="20"/>
        <v>0</v>
      </c>
      <c r="K278" s="80"/>
      <c r="L278" s="82"/>
    </row>
    <row r="279" spans="2:12" s="1" customFormat="1" ht="12.75" x14ac:dyDescent="0.15">
      <c r="B279" s="80">
        <v>11</v>
      </c>
      <c r="C279" s="189"/>
      <c r="D279" s="90"/>
      <c r="E279" s="90"/>
      <c r="F279" s="168"/>
      <c r="G279" s="92"/>
      <c r="H279" s="163">
        <v>1</v>
      </c>
      <c r="I279" s="129">
        <f t="shared" si="19"/>
        <v>0</v>
      </c>
      <c r="J279" s="21">
        <f t="shared" si="20"/>
        <v>0</v>
      </c>
      <c r="K279" s="80"/>
      <c r="L279" s="82"/>
    </row>
    <row r="280" spans="2:12" s="1" customFormat="1" ht="12.75" x14ac:dyDescent="0.15">
      <c r="B280" s="80">
        <v>12</v>
      </c>
      <c r="C280" s="189"/>
      <c r="D280" s="90"/>
      <c r="E280" s="90"/>
      <c r="F280" s="168"/>
      <c r="G280" s="92"/>
      <c r="H280" s="163">
        <v>1</v>
      </c>
      <c r="I280" s="129">
        <f t="shared" si="19"/>
        <v>0</v>
      </c>
      <c r="J280" s="21">
        <f t="shared" si="20"/>
        <v>0</v>
      </c>
      <c r="K280" s="80"/>
      <c r="L280" s="82"/>
    </row>
    <row r="281" spans="2:12" s="1" customFormat="1" ht="12.75" x14ac:dyDescent="0.15">
      <c r="B281" s="80">
        <v>13</v>
      </c>
      <c r="C281" s="189"/>
      <c r="D281" s="90"/>
      <c r="E281" s="90"/>
      <c r="F281" s="168"/>
      <c r="G281" s="92"/>
      <c r="H281" s="163">
        <v>1</v>
      </c>
      <c r="I281" s="129">
        <f t="shared" si="19"/>
        <v>0</v>
      </c>
      <c r="J281" s="21">
        <f t="shared" si="20"/>
        <v>0</v>
      </c>
      <c r="K281" s="80"/>
      <c r="L281" s="82"/>
    </row>
    <row r="282" spans="2:12" s="1" customFormat="1" ht="12.75" x14ac:dyDescent="0.15">
      <c r="B282" s="80">
        <v>14</v>
      </c>
      <c r="C282" s="189"/>
      <c r="D282" s="90"/>
      <c r="E282" s="90"/>
      <c r="F282" s="168"/>
      <c r="G282" s="92"/>
      <c r="H282" s="163">
        <v>1</v>
      </c>
      <c r="I282" s="129">
        <f t="shared" si="19"/>
        <v>0</v>
      </c>
      <c r="J282" s="21">
        <f t="shared" si="20"/>
        <v>0</v>
      </c>
      <c r="K282" s="80"/>
      <c r="L282" s="82"/>
    </row>
    <row r="283" spans="2:12" s="1" customFormat="1" ht="12.75" x14ac:dyDescent="0.15">
      <c r="B283" s="80">
        <v>15</v>
      </c>
      <c r="C283" s="189"/>
      <c r="D283" s="90"/>
      <c r="E283" s="90"/>
      <c r="F283" s="168"/>
      <c r="G283" s="92"/>
      <c r="H283" s="163">
        <v>1</v>
      </c>
      <c r="I283" s="129">
        <f t="shared" si="19"/>
        <v>0</v>
      </c>
      <c r="J283" s="21">
        <f t="shared" si="20"/>
        <v>0</v>
      </c>
      <c r="K283" s="80"/>
      <c r="L283" s="82"/>
    </row>
    <row r="284" spans="2:12" s="1" customFormat="1" ht="12.75" x14ac:dyDescent="0.15">
      <c r="B284" s="80">
        <v>16</v>
      </c>
      <c r="C284" s="189"/>
      <c r="D284" s="90"/>
      <c r="E284" s="90"/>
      <c r="F284" s="168"/>
      <c r="G284" s="92"/>
      <c r="H284" s="163">
        <v>1</v>
      </c>
      <c r="I284" s="129">
        <f t="shared" si="19"/>
        <v>0</v>
      </c>
      <c r="J284" s="21">
        <f t="shared" si="20"/>
        <v>0</v>
      </c>
      <c r="K284" s="80"/>
      <c r="L284" s="82"/>
    </row>
    <row r="285" spans="2:12" s="1" customFormat="1" ht="12.75" x14ac:dyDescent="0.15">
      <c r="B285" s="80">
        <v>17</v>
      </c>
      <c r="C285" s="189"/>
      <c r="D285" s="90"/>
      <c r="E285" s="90"/>
      <c r="F285" s="168"/>
      <c r="G285" s="92"/>
      <c r="H285" s="163">
        <v>1</v>
      </c>
      <c r="I285" s="129">
        <f t="shared" si="19"/>
        <v>0</v>
      </c>
      <c r="J285" s="21">
        <f t="shared" si="20"/>
        <v>0</v>
      </c>
      <c r="K285" s="80"/>
      <c r="L285" s="82"/>
    </row>
    <row r="286" spans="2:12" s="1" customFormat="1" ht="12.75" x14ac:dyDescent="0.15">
      <c r="B286" s="80">
        <v>18</v>
      </c>
      <c r="C286" s="189"/>
      <c r="D286" s="90"/>
      <c r="E286" s="90"/>
      <c r="F286" s="168"/>
      <c r="G286" s="92"/>
      <c r="H286" s="163">
        <v>1</v>
      </c>
      <c r="I286" s="129">
        <f t="shared" si="19"/>
        <v>0</v>
      </c>
      <c r="J286" s="21">
        <f t="shared" si="20"/>
        <v>0</v>
      </c>
      <c r="K286" s="80"/>
      <c r="L286" s="82"/>
    </row>
    <row r="287" spans="2:12" s="1" customFormat="1" ht="12.75" x14ac:dyDescent="0.15">
      <c r="B287" s="80">
        <v>19</v>
      </c>
      <c r="C287" s="188"/>
      <c r="D287" s="89"/>
      <c r="E287" s="89"/>
      <c r="F287" s="168"/>
      <c r="G287" s="92"/>
      <c r="H287" s="163">
        <v>1</v>
      </c>
      <c r="I287" s="129">
        <f t="shared" si="19"/>
        <v>0</v>
      </c>
      <c r="J287" s="21">
        <f t="shared" si="20"/>
        <v>0</v>
      </c>
      <c r="K287" s="80"/>
      <c r="L287" s="82"/>
    </row>
    <row r="288" spans="2:12" s="1" customFormat="1" ht="12.75" x14ac:dyDescent="0.15">
      <c r="B288" s="80">
        <v>20</v>
      </c>
      <c r="C288" s="188"/>
      <c r="D288" s="90"/>
      <c r="E288" s="90"/>
      <c r="F288" s="168"/>
      <c r="G288" s="92"/>
      <c r="H288" s="163">
        <v>1</v>
      </c>
      <c r="I288" s="129">
        <f t="shared" si="19"/>
        <v>0</v>
      </c>
      <c r="J288" s="21">
        <f t="shared" si="20"/>
        <v>0</v>
      </c>
      <c r="K288" s="80"/>
      <c r="L288" s="82"/>
    </row>
    <row r="289" spans="2:12" s="1" customFormat="1" ht="12.75" x14ac:dyDescent="0.15">
      <c r="B289" s="80"/>
      <c r="C289" s="188"/>
      <c r="D289" s="90"/>
      <c r="E289" s="90"/>
      <c r="F289" s="168"/>
      <c r="G289" s="92"/>
      <c r="H289" s="163"/>
      <c r="I289" s="129"/>
      <c r="J289" s="21"/>
      <c r="K289" s="80"/>
      <c r="L289" s="82"/>
    </row>
    <row r="290" spans="2:12" s="1" customFormat="1" ht="12.75" x14ac:dyDescent="0.15">
      <c r="B290" s="80"/>
      <c r="C290" s="188"/>
      <c r="D290" s="90"/>
      <c r="E290" s="90"/>
      <c r="F290" s="168"/>
      <c r="G290" s="92"/>
      <c r="H290" s="163"/>
      <c r="I290" s="129"/>
      <c r="J290" s="21"/>
      <c r="K290" s="80"/>
      <c r="L290" s="82"/>
    </row>
    <row r="291" spans="2:12" s="1" customFormat="1" ht="12.75" x14ac:dyDescent="0.15">
      <c r="B291" s="80"/>
      <c r="C291" s="167" t="s">
        <v>157</v>
      </c>
      <c r="D291" s="90"/>
      <c r="E291" s="90"/>
      <c r="F291" s="168"/>
      <c r="G291" s="92"/>
      <c r="H291" s="163"/>
      <c r="I291" s="129"/>
      <c r="J291" s="27"/>
      <c r="K291" s="80"/>
      <c r="L291" s="82"/>
    </row>
    <row r="292" spans="2:12" s="1" customFormat="1" ht="12.75" x14ac:dyDescent="0.15">
      <c r="B292" s="80">
        <v>1</v>
      </c>
      <c r="C292" s="89"/>
      <c r="D292" s="90"/>
      <c r="E292" s="90"/>
      <c r="F292" s="168"/>
      <c r="G292" s="92"/>
      <c r="H292" s="163">
        <v>1</v>
      </c>
      <c r="I292" s="129">
        <f t="shared" ref="I292:I311" si="21">J292*$C$32</f>
        <v>0</v>
      </c>
      <c r="J292" s="27">
        <f t="shared" ref="J292:J311" si="22">(F292*G292*H292)/$C$32</f>
        <v>0</v>
      </c>
      <c r="K292" s="80"/>
      <c r="L292" s="82"/>
    </row>
    <row r="293" spans="2:12" s="1" customFormat="1" ht="12.75" x14ac:dyDescent="0.15">
      <c r="B293" s="80">
        <v>2</v>
      </c>
      <c r="C293" s="183"/>
      <c r="D293" s="90"/>
      <c r="E293" s="90"/>
      <c r="F293" s="168"/>
      <c r="G293" s="92"/>
      <c r="H293" s="163">
        <v>1</v>
      </c>
      <c r="I293" s="129">
        <f t="shared" si="21"/>
        <v>0</v>
      </c>
      <c r="J293" s="27">
        <f t="shared" si="22"/>
        <v>0</v>
      </c>
      <c r="K293" s="80"/>
      <c r="L293" s="82"/>
    </row>
    <row r="294" spans="2:12" s="1" customFormat="1" ht="12.75" x14ac:dyDescent="0.15">
      <c r="B294" s="80">
        <v>3</v>
      </c>
      <c r="C294" s="89"/>
      <c r="D294" s="90"/>
      <c r="E294" s="90"/>
      <c r="F294" s="168"/>
      <c r="G294" s="92"/>
      <c r="H294" s="163">
        <v>1</v>
      </c>
      <c r="I294" s="129">
        <f t="shared" si="21"/>
        <v>0</v>
      </c>
      <c r="J294" s="27">
        <f t="shared" si="22"/>
        <v>0</v>
      </c>
      <c r="K294" s="80"/>
      <c r="L294" s="82"/>
    </row>
    <row r="295" spans="2:12" s="1" customFormat="1" ht="12.75" x14ac:dyDescent="0.15">
      <c r="B295" s="80">
        <v>4</v>
      </c>
      <c r="C295" s="169"/>
      <c r="D295" s="90"/>
      <c r="E295" s="90"/>
      <c r="F295" s="168"/>
      <c r="G295" s="92"/>
      <c r="H295" s="163">
        <v>1</v>
      </c>
      <c r="I295" s="129">
        <f t="shared" si="21"/>
        <v>0</v>
      </c>
      <c r="J295" s="27">
        <f t="shared" si="22"/>
        <v>0</v>
      </c>
      <c r="K295" s="80"/>
      <c r="L295" s="82"/>
    </row>
    <row r="296" spans="2:12" s="1" customFormat="1" ht="12.75" x14ac:dyDescent="0.15">
      <c r="B296" s="80">
        <v>5</v>
      </c>
      <c r="C296" s="183"/>
      <c r="D296" s="90"/>
      <c r="E296" s="90"/>
      <c r="F296" s="168"/>
      <c r="G296" s="92"/>
      <c r="H296" s="163">
        <v>1</v>
      </c>
      <c r="I296" s="129">
        <f t="shared" si="21"/>
        <v>0</v>
      </c>
      <c r="J296" s="27">
        <f t="shared" si="22"/>
        <v>0</v>
      </c>
      <c r="K296" s="80"/>
      <c r="L296" s="82"/>
    </row>
    <row r="297" spans="2:12" s="1" customFormat="1" ht="12.75" x14ac:dyDescent="0.15">
      <c r="B297" s="80">
        <v>6</v>
      </c>
      <c r="C297" s="89"/>
      <c r="D297" s="90"/>
      <c r="E297" s="90"/>
      <c r="F297" s="168"/>
      <c r="G297" s="92"/>
      <c r="H297" s="163">
        <v>1</v>
      </c>
      <c r="I297" s="129">
        <f t="shared" si="21"/>
        <v>0</v>
      </c>
      <c r="J297" s="27">
        <f t="shared" si="22"/>
        <v>0</v>
      </c>
      <c r="K297" s="80"/>
      <c r="L297" s="82"/>
    </row>
    <row r="298" spans="2:12" s="1" customFormat="1" ht="12.75" x14ac:dyDescent="0.15">
      <c r="B298" s="80">
        <v>7</v>
      </c>
      <c r="C298" s="183"/>
      <c r="D298" s="90"/>
      <c r="E298" s="90"/>
      <c r="F298" s="168"/>
      <c r="G298" s="92"/>
      <c r="H298" s="163">
        <v>1</v>
      </c>
      <c r="I298" s="129">
        <f t="shared" si="21"/>
        <v>0</v>
      </c>
      <c r="J298" s="27">
        <f t="shared" si="22"/>
        <v>0</v>
      </c>
      <c r="K298" s="80"/>
      <c r="L298" s="82"/>
    </row>
    <row r="299" spans="2:12" s="1" customFormat="1" ht="12.75" x14ac:dyDescent="0.15">
      <c r="B299" s="80">
        <v>8</v>
      </c>
      <c r="C299" s="183"/>
      <c r="D299" s="90"/>
      <c r="E299" s="90"/>
      <c r="F299" s="168"/>
      <c r="G299" s="92"/>
      <c r="H299" s="163">
        <v>1</v>
      </c>
      <c r="I299" s="129">
        <f t="shared" si="21"/>
        <v>0</v>
      </c>
      <c r="J299" s="27">
        <f t="shared" si="22"/>
        <v>0</v>
      </c>
      <c r="K299" s="80"/>
      <c r="L299" s="82"/>
    </row>
    <row r="300" spans="2:12" s="1" customFormat="1" ht="12.75" x14ac:dyDescent="0.15">
      <c r="B300" s="80">
        <v>9</v>
      </c>
      <c r="C300" s="183"/>
      <c r="D300" s="90"/>
      <c r="E300" s="90"/>
      <c r="F300" s="168"/>
      <c r="G300" s="92"/>
      <c r="H300" s="163">
        <v>1</v>
      </c>
      <c r="I300" s="129">
        <f t="shared" si="21"/>
        <v>0</v>
      </c>
      <c r="J300" s="27">
        <f t="shared" si="22"/>
        <v>0</v>
      </c>
      <c r="K300" s="80"/>
      <c r="L300" s="82"/>
    </row>
    <row r="301" spans="2:12" s="1" customFormat="1" ht="12.75" x14ac:dyDescent="0.15">
      <c r="B301" s="80">
        <v>10</v>
      </c>
      <c r="C301" s="183"/>
      <c r="D301" s="90"/>
      <c r="E301" s="90"/>
      <c r="F301" s="168"/>
      <c r="G301" s="92"/>
      <c r="H301" s="163">
        <v>1</v>
      </c>
      <c r="I301" s="129">
        <f t="shared" si="21"/>
        <v>0</v>
      </c>
      <c r="J301" s="27">
        <f t="shared" si="22"/>
        <v>0</v>
      </c>
      <c r="K301" s="80"/>
      <c r="L301" s="82"/>
    </row>
    <row r="302" spans="2:12" s="1" customFormat="1" ht="12.75" x14ac:dyDescent="0.15">
      <c r="B302" s="80">
        <v>11</v>
      </c>
      <c r="C302" s="183"/>
      <c r="D302" s="90"/>
      <c r="E302" s="90"/>
      <c r="F302" s="168"/>
      <c r="G302" s="92"/>
      <c r="H302" s="163">
        <v>1</v>
      </c>
      <c r="I302" s="129">
        <f t="shared" si="21"/>
        <v>0</v>
      </c>
      <c r="J302" s="27">
        <f t="shared" si="22"/>
        <v>0</v>
      </c>
      <c r="K302" s="80"/>
      <c r="L302" s="82"/>
    </row>
    <row r="303" spans="2:12" s="1" customFormat="1" ht="12.75" x14ac:dyDescent="0.15">
      <c r="B303" s="80">
        <v>12</v>
      </c>
      <c r="C303" s="183"/>
      <c r="D303" s="90"/>
      <c r="E303" s="90"/>
      <c r="F303" s="168"/>
      <c r="G303" s="92"/>
      <c r="H303" s="163">
        <v>1</v>
      </c>
      <c r="I303" s="129">
        <f t="shared" si="21"/>
        <v>0</v>
      </c>
      <c r="J303" s="27">
        <f t="shared" si="22"/>
        <v>0</v>
      </c>
      <c r="K303" s="80"/>
      <c r="L303" s="82"/>
    </row>
    <row r="304" spans="2:12" s="1" customFormat="1" ht="12.75" x14ac:dyDescent="0.15">
      <c r="B304" s="80">
        <v>13</v>
      </c>
      <c r="C304" s="183"/>
      <c r="D304" s="90"/>
      <c r="E304" s="90"/>
      <c r="F304" s="168"/>
      <c r="G304" s="92"/>
      <c r="H304" s="163">
        <v>1</v>
      </c>
      <c r="I304" s="129">
        <f t="shared" si="21"/>
        <v>0</v>
      </c>
      <c r="J304" s="27">
        <f t="shared" si="22"/>
        <v>0</v>
      </c>
      <c r="K304" s="80"/>
      <c r="L304" s="82"/>
    </row>
    <row r="305" spans="2:12" s="1" customFormat="1" ht="12.75" x14ac:dyDescent="0.15">
      <c r="B305" s="80">
        <v>14</v>
      </c>
      <c r="C305" s="183"/>
      <c r="D305" s="90"/>
      <c r="E305" s="90"/>
      <c r="F305" s="168"/>
      <c r="G305" s="92"/>
      <c r="H305" s="163">
        <v>1</v>
      </c>
      <c r="I305" s="129">
        <f t="shared" si="21"/>
        <v>0</v>
      </c>
      <c r="J305" s="27">
        <f t="shared" si="22"/>
        <v>0</v>
      </c>
      <c r="K305" s="80"/>
      <c r="L305" s="82"/>
    </row>
    <row r="306" spans="2:12" s="1" customFormat="1" ht="12.75" x14ac:dyDescent="0.15">
      <c r="B306" s="80">
        <v>15</v>
      </c>
      <c r="C306" s="183"/>
      <c r="D306" s="90"/>
      <c r="E306" s="90"/>
      <c r="F306" s="168"/>
      <c r="G306" s="92"/>
      <c r="H306" s="163">
        <v>1</v>
      </c>
      <c r="I306" s="129">
        <f t="shared" si="21"/>
        <v>0</v>
      </c>
      <c r="J306" s="27">
        <f t="shared" si="22"/>
        <v>0</v>
      </c>
      <c r="K306" s="80"/>
      <c r="L306" s="82"/>
    </row>
    <row r="307" spans="2:12" s="1" customFormat="1" ht="12.75" x14ac:dyDescent="0.15">
      <c r="B307" s="80">
        <v>16</v>
      </c>
      <c r="C307" s="183"/>
      <c r="D307" s="90"/>
      <c r="E307" s="90"/>
      <c r="F307" s="168"/>
      <c r="G307" s="92"/>
      <c r="H307" s="163">
        <v>1</v>
      </c>
      <c r="I307" s="129">
        <f t="shared" si="21"/>
        <v>0</v>
      </c>
      <c r="J307" s="27">
        <f t="shared" si="22"/>
        <v>0</v>
      </c>
      <c r="K307" s="80"/>
      <c r="L307" s="82"/>
    </row>
    <row r="308" spans="2:12" s="1" customFormat="1" ht="12.75" x14ac:dyDescent="0.15">
      <c r="B308" s="80">
        <v>17</v>
      </c>
      <c r="C308" s="183"/>
      <c r="D308" s="90"/>
      <c r="E308" s="90"/>
      <c r="F308" s="168"/>
      <c r="G308" s="92"/>
      <c r="H308" s="163">
        <v>1</v>
      </c>
      <c r="I308" s="129">
        <f t="shared" si="21"/>
        <v>0</v>
      </c>
      <c r="J308" s="27">
        <f t="shared" si="22"/>
        <v>0</v>
      </c>
      <c r="K308" s="80"/>
      <c r="L308" s="82"/>
    </row>
    <row r="309" spans="2:12" s="1" customFormat="1" ht="12.75" x14ac:dyDescent="0.15">
      <c r="B309" s="80">
        <v>18</v>
      </c>
      <c r="C309" s="183"/>
      <c r="D309" s="90"/>
      <c r="E309" s="90"/>
      <c r="F309" s="168"/>
      <c r="G309" s="92"/>
      <c r="H309" s="163">
        <v>1</v>
      </c>
      <c r="I309" s="132">
        <f t="shared" si="21"/>
        <v>0</v>
      </c>
      <c r="J309" s="182">
        <f t="shared" si="22"/>
        <v>0</v>
      </c>
      <c r="K309" s="111"/>
      <c r="L309" s="119"/>
    </row>
    <row r="310" spans="2:12" s="1" customFormat="1" ht="12.75" x14ac:dyDescent="0.15">
      <c r="B310" s="16">
        <v>19</v>
      </c>
      <c r="C310" s="186"/>
      <c r="D310" s="85"/>
      <c r="E310" s="85"/>
      <c r="F310" s="166"/>
      <c r="G310" s="87"/>
      <c r="H310" s="267">
        <v>1</v>
      </c>
      <c r="I310" s="168">
        <f t="shared" si="21"/>
        <v>0</v>
      </c>
      <c r="J310" s="185">
        <f t="shared" si="22"/>
        <v>0</v>
      </c>
      <c r="K310" s="82"/>
      <c r="L310" s="82"/>
    </row>
    <row r="311" spans="2:12" s="1" customFormat="1" ht="12.75" x14ac:dyDescent="0.15">
      <c r="B311" s="83">
        <v>20</v>
      </c>
      <c r="C311" s="181"/>
      <c r="D311" s="75"/>
      <c r="E311" s="75"/>
      <c r="F311" s="132"/>
      <c r="G311" s="77"/>
      <c r="H311" s="268">
        <v>1</v>
      </c>
      <c r="I311" s="168">
        <f t="shared" si="21"/>
        <v>0</v>
      </c>
      <c r="J311" s="185">
        <f t="shared" si="22"/>
        <v>0</v>
      </c>
      <c r="K311" s="82"/>
      <c r="L311" s="82"/>
    </row>
    <row r="312" spans="2:12" s="1" customFormat="1" ht="12.75" x14ac:dyDescent="0.15">
      <c r="B312" s="82"/>
      <c r="C312" s="183"/>
      <c r="D312" s="90"/>
      <c r="E312" s="90"/>
      <c r="F312" s="168"/>
      <c r="G312" s="92"/>
      <c r="H312" s="269"/>
      <c r="I312" s="168"/>
      <c r="J312" s="185"/>
      <c r="K312" s="82"/>
      <c r="L312" s="82"/>
    </row>
    <row r="313" spans="2:12" s="1" customFormat="1" ht="12.75" x14ac:dyDescent="0.15">
      <c r="B313" s="82"/>
      <c r="C313" s="102"/>
      <c r="D313" s="103"/>
      <c r="E313" s="102"/>
      <c r="F313" s="128">
        <f>SUM(F253:F312)</f>
        <v>0</v>
      </c>
      <c r="G313" s="104"/>
      <c r="H313" s="253"/>
      <c r="I313" s="128">
        <f>SUM(I254:I312)</f>
        <v>0</v>
      </c>
      <c r="J313" s="257">
        <f>SUM(J257:J298)</f>
        <v>0</v>
      </c>
    </row>
    <row r="314" spans="2:12" s="67" customFormat="1" ht="12.75" x14ac:dyDescent="0.15">
      <c r="B314" s="116"/>
      <c r="C314" s="114"/>
      <c r="D314" s="114"/>
      <c r="E314" s="114" t="s">
        <v>147</v>
      </c>
      <c r="F314" s="162">
        <f>100/115*F313</f>
        <v>0</v>
      </c>
      <c r="G314" s="161"/>
      <c r="H314" s="270" t="s">
        <v>147</v>
      </c>
      <c r="I314" s="162">
        <f>100/115*I313</f>
        <v>0</v>
      </c>
      <c r="J314" s="114"/>
    </row>
    <row r="315" spans="2:12" s="1" customFormat="1" ht="12.75" x14ac:dyDescent="0.15"/>
    <row r="316" spans="2:12" s="1" customFormat="1" ht="12.75" x14ac:dyDescent="0.15"/>
    <row r="317" spans="2:12" s="1" customFormat="1" ht="12.75" x14ac:dyDescent="0.15"/>
    <row r="318" spans="2:12" s="1" customFormat="1" ht="12.75" x14ac:dyDescent="0.15"/>
    <row r="319" spans="2:12" s="247" customFormat="1" ht="32.25" x14ac:dyDescent="0.4">
      <c r="B319" s="248"/>
      <c r="C319" s="380" t="s">
        <v>112</v>
      </c>
      <c r="D319" s="380"/>
      <c r="E319" s="400" t="s">
        <v>104</v>
      </c>
      <c r="F319" s="401"/>
      <c r="G319" s="401"/>
      <c r="H319" s="401"/>
      <c r="I319" s="402"/>
      <c r="J319" s="382">
        <v>2026</v>
      </c>
      <c r="K319" s="382"/>
      <c r="L319" s="382"/>
    </row>
    <row r="320" spans="2:12" s="1" customFormat="1" ht="22.5" x14ac:dyDescent="0.15">
      <c r="B320" s="82"/>
      <c r="C320" s="102" t="s">
        <v>114</v>
      </c>
      <c r="D320" s="388" t="s">
        <v>115</v>
      </c>
      <c r="E320" s="388"/>
      <c r="F320" s="102" t="s">
        <v>116</v>
      </c>
      <c r="G320" s="102" t="s">
        <v>117</v>
      </c>
      <c r="H320" s="102" t="s">
        <v>118</v>
      </c>
      <c r="I320" s="102" t="s">
        <v>119</v>
      </c>
      <c r="J320" s="102" t="s">
        <v>120</v>
      </c>
      <c r="K320" s="82"/>
      <c r="L320" s="82"/>
    </row>
    <row r="321" spans="2:14" s="1" customFormat="1" ht="12.75" x14ac:dyDescent="0.15">
      <c r="B321" s="82"/>
      <c r="C321" s="66">
        <f>C251</f>
        <v>700</v>
      </c>
      <c r="D321" s="389">
        <v>22</v>
      </c>
      <c r="E321" s="389"/>
      <c r="F321" s="13">
        <f>F251</f>
        <v>0.8</v>
      </c>
      <c r="G321" s="14">
        <f>G251</f>
        <v>8</v>
      </c>
      <c r="H321" s="142">
        <f>D321*G321*F321</f>
        <v>140.80000000000001</v>
      </c>
      <c r="I321" s="66">
        <f>I383</f>
        <v>0</v>
      </c>
      <c r="J321" s="143">
        <f>H321-J383</f>
        <v>140.80000000000001</v>
      </c>
      <c r="K321" s="82"/>
      <c r="L321" s="82"/>
    </row>
    <row r="322" spans="2:14" s="1" customFormat="1" ht="33.75" x14ac:dyDescent="0.15">
      <c r="B322" s="82"/>
      <c r="C322" s="167" t="s">
        <v>121</v>
      </c>
      <c r="D322" s="395" t="s">
        <v>122</v>
      </c>
      <c r="E322" s="395"/>
      <c r="F322" s="177" t="s">
        <v>123</v>
      </c>
      <c r="G322" s="178" t="s">
        <v>124</v>
      </c>
      <c r="H322" s="179" t="s">
        <v>125</v>
      </c>
      <c r="I322" s="180" t="s">
        <v>126</v>
      </c>
      <c r="J322" s="178" t="s">
        <v>127</v>
      </c>
      <c r="K322" s="114" t="s">
        <v>128</v>
      </c>
      <c r="L322" s="114" t="s">
        <v>129</v>
      </c>
    </row>
    <row r="323" spans="2:14" s="1" customFormat="1" ht="12.75" x14ac:dyDescent="0.15">
      <c r="B323" s="84"/>
      <c r="C323" s="81"/>
      <c r="D323" s="404"/>
      <c r="E323" s="404"/>
      <c r="F323" s="86"/>
      <c r="G323" s="87"/>
      <c r="H323" s="87"/>
      <c r="I323" s="176"/>
      <c r="J323" s="88"/>
      <c r="K323" s="79"/>
      <c r="L323" s="120"/>
    </row>
    <row r="324" spans="2:14" s="1" customFormat="1" ht="13.35" customHeight="1" x14ac:dyDescent="0.15">
      <c r="B324" s="16"/>
      <c r="C324" s="37" t="s">
        <v>158</v>
      </c>
      <c r="D324" s="24"/>
      <c r="E324" s="24"/>
      <c r="F324" s="129"/>
      <c r="G324" s="20"/>
      <c r="H324" s="20"/>
      <c r="I324" s="126"/>
      <c r="J324" s="38"/>
      <c r="K324" s="80"/>
      <c r="L324" s="82"/>
    </row>
    <row r="325" spans="2:14" s="1" customFormat="1" ht="13.35" customHeight="1" x14ac:dyDescent="0.15">
      <c r="B325" s="16"/>
      <c r="C325" s="37" t="s">
        <v>149</v>
      </c>
      <c r="D325" s="24"/>
      <c r="E325" s="24"/>
      <c r="F325" s="129"/>
      <c r="G325" s="20"/>
      <c r="H325" s="20"/>
      <c r="I325" s="126"/>
      <c r="J325" s="38"/>
      <c r="K325" s="80"/>
      <c r="L325" s="82"/>
    </row>
    <row r="326" spans="2:14" s="1" customFormat="1" ht="13.35" customHeight="1" x14ac:dyDescent="0.15">
      <c r="B326" s="16">
        <v>1</v>
      </c>
      <c r="C326" s="23"/>
      <c r="D326" s="24"/>
      <c r="E326" s="24"/>
      <c r="F326" s="129"/>
      <c r="G326" s="20"/>
      <c r="H326" s="20">
        <v>1</v>
      </c>
      <c r="I326" s="126">
        <f t="shared" ref="I326:I381" si="23">J326*$C$32</f>
        <v>0</v>
      </c>
      <c r="J326" s="38">
        <f t="shared" ref="J326:J335" si="24">(F326*G326*H326)/$C$32</f>
        <v>0</v>
      </c>
      <c r="K326" s="80"/>
      <c r="L326" s="82"/>
    </row>
    <row r="327" spans="2:14" s="1" customFormat="1" ht="13.35" customHeight="1" x14ac:dyDescent="0.15">
      <c r="B327" s="16">
        <v>2</v>
      </c>
      <c r="C327" s="23"/>
      <c r="D327" s="24"/>
      <c r="E327" s="24"/>
      <c r="F327" s="126"/>
      <c r="G327" s="20"/>
      <c r="H327" s="20">
        <v>1</v>
      </c>
      <c r="I327" s="126">
        <f t="shared" si="23"/>
        <v>0</v>
      </c>
      <c r="J327" s="38">
        <f t="shared" si="24"/>
        <v>0</v>
      </c>
      <c r="K327" s="80"/>
      <c r="L327" s="82"/>
    </row>
    <row r="328" spans="2:14" s="1" customFormat="1" ht="13.35" customHeight="1" x14ac:dyDescent="0.15">
      <c r="B328" s="16">
        <v>3</v>
      </c>
      <c r="C328" s="23"/>
      <c r="D328" s="25"/>
      <c r="E328" s="25"/>
      <c r="F328" s="129"/>
      <c r="G328" s="20"/>
      <c r="H328" s="20">
        <v>1</v>
      </c>
      <c r="I328" s="126">
        <f t="shared" si="23"/>
        <v>0</v>
      </c>
      <c r="J328" s="38">
        <f t="shared" si="24"/>
        <v>0</v>
      </c>
      <c r="K328" s="80"/>
      <c r="L328" s="82"/>
    </row>
    <row r="329" spans="2:14" s="1" customFormat="1" ht="13.35" customHeight="1" x14ac:dyDescent="0.15">
      <c r="B329" s="16">
        <v>4</v>
      </c>
      <c r="C329" s="23"/>
      <c r="D329" s="24"/>
      <c r="E329" s="24"/>
      <c r="F329" s="129"/>
      <c r="G329" s="20"/>
      <c r="H329" s="20">
        <v>1</v>
      </c>
      <c r="I329" s="126">
        <f t="shared" si="23"/>
        <v>0</v>
      </c>
      <c r="J329" s="38">
        <f t="shared" si="24"/>
        <v>0</v>
      </c>
      <c r="K329" s="80"/>
      <c r="L329" s="82"/>
    </row>
    <row r="330" spans="2:14" s="1" customFormat="1" ht="13.35" customHeight="1" x14ac:dyDescent="0.15">
      <c r="B330" s="16">
        <v>5</v>
      </c>
      <c r="C330" s="16"/>
      <c r="D330" s="18"/>
      <c r="E330" s="18"/>
      <c r="F330" s="129"/>
      <c r="G330" s="20"/>
      <c r="H330" s="20">
        <v>1</v>
      </c>
      <c r="I330" s="126">
        <f t="shared" si="23"/>
        <v>0</v>
      </c>
      <c r="J330" s="38">
        <f t="shared" si="24"/>
        <v>0</v>
      </c>
      <c r="K330" s="80"/>
      <c r="L330" s="82"/>
    </row>
    <row r="331" spans="2:14" s="1" customFormat="1" ht="13.35" customHeight="1" x14ac:dyDescent="0.15">
      <c r="B331" s="16">
        <v>6</v>
      </c>
      <c r="C331" s="17"/>
      <c r="D331" s="24"/>
      <c r="E331" s="24"/>
      <c r="F331" s="129"/>
      <c r="G331" s="20"/>
      <c r="H331" s="20">
        <v>1</v>
      </c>
      <c r="I331" s="126">
        <f t="shared" si="23"/>
        <v>0</v>
      </c>
      <c r="J331" s="38">
        <f t="shared" si="24"/>
        <v>0</v>
      </c>
      <c r="K331" s="80"/>
      <c r="L331" s="82"/>
    </row>
    <row r="332" spans="2:14" s="1" customFormat="1" ht="13.35" customHeight="1" x14ac:dyDescent="0.15">
      <c r="B332" s="16">
        <v>7</v>
      </c>
      <c r="C332" s="17"/>
      <c r="D332" s="24"/>
      <c r="E332" s="24"/>
      <c r="F332" s="129"/>
      <c r="G332" s="20"/>
      <c r="H332" s="20">
        <v>1</v>
      </c>
      <c r="I332" s="126">
        <f t="shared" si="23"/>
        <v>0</v>
      </c>
      <c r="J332" s="38">
        <f t="shared" si="24"/>
        <v>0</v>
      </c>
      <c r="K332" s="80"/>
      <c r="L332" s="82"/>
    </row>
    <row r="333" spans="2:14" s="1" customFormat="1" ht="13.35" customHeight="1" x14ac:dyDescent="0.15">
      <c r="B333" s="16">
        <v>8</v>
      </c>
      <c r="C333" s="17"/>
      <c r="D333" s="24"/>
      <c r="E333" s="24"/>
      <c r="F333" s="129"/>
      <c r="G333" s="20"/>
      <c r="H333" s="20">
        <v>1</v>
      </c>
      <c r="I333" s="126">
        <f t="shared" si="23"/>
        <v>0</v>
      </c>
      <c r="J333" s="38">
        <f t="shared" si="24"/>
        <v>0</v>
      </c>
      <c r="K333" s="80"/>
      <c r="L333" s="82"/>
    </row>
    <row r="334" spans="2:14" s="1" customFormat="1" ht="13.35" customHeight="1" x14ac:dyDescent="0.15">
      <c r="B334" s="16">
        <v>9</v>
      </c>
      <c r="C334" s="17"/>
      <c r="D334" s="24"/>
      <c r="E334" s="24"/>
      <c r="F334" s="129"/>
      <c r="G334" s="20"/>
      <c r="H334" s="20">
        <v>1</v>
      </c>
      <c r="I334" s="126">
        <f t="shared" si="23"/>
        <v>0</v>
      </c>
      <c r="J334" s="38">
        <f t="shared" si="24"/>
        <v>0</v>
      </c>
      <c r="K334" s="80"/>
      <c r="L334" s="82"/>
    </row>
    <row r="335" spans="2:14" s="1" customFormat="1" ht="13.35" customHeight="1" x14ac:dyDescent="0.15">
      <c r="B335" s="16">
        <v>10</v>
      </c>
      <c r="C335" s="17"/>
      <c r="D335" s="24"/>
      <c r="E335" s="24"/>
      <c r="F335" s="129"/>
      <c r="G335" s="20"/>
      <c r="H335" s="20">
        <v>1</v>
      </c>
      <c r="I335" s="126">
        <f t="shared" si="23"/>
        <v>0</v>
      </c>
      <c r="J335" s="38">
        <f t="shared" si="24"/>
        <v>0</v>
      </c>
      <c r="K335" s="80"/>
      <c r="L335" s="82"/>
    </row>
    <row r="336" spans="2:14" s="1" customFormat="1" ht="13.35" customHeight="1" x14ac:dyDescent="0.15">
      <c r="B336" s="16"/>
      <c r="C336" s="17"/>
      <c r="D336" s="24"/>
      <c r="E336" s="24"/>
      <c r="F336" s="129"/>
      <c r="G336" s="20"/>
      <c r="H336" s="20"/>
      <c r="I336" s="126"/>
      <c r="J336" s="38"/>
      <c r="K336" s="80"/>
      <c r="L336" s="82"/>
      <c r="N336" s="41"/>
    </row>
    <row r="337" spans="2:20" s="1" customFormat="1" ht="13.35" customHeight="1" x14ac:dyDescent="0.15">
      <c r="B337" s="16"/>
      <c r="C337" s="17"/>
      <c r="D337" s="24"/>
      <c r="E337" s="24"/>
      <c r="F337" s="129"/>
      <c r="G337" s="20"/>
      <c r="H337" s="20"/>
      <c r="I337" s="126"/>
      <c r="J337" s="21"/>
      <c r="K337" s="80"/>
      <c r="L337" s="82"/>
    </row>
    <row r="338" spans="2:20" s="1" customFormat="1" ht="13.35" customHeight="1" x14ac:dyDescent="0.15">
      <c r="B338" s="16"/>
      <c r="C338" s="22" t="s">
        <v>156</v>
      </c>
      <c r="D338" s="24"/>
      <c r="E338" s="24"/>
      <c r="F338" s="129"/>
      <c r="G338" s="20"/>
      <c r="H338" s="20"/>
      <c r="I338" s="126"/>
      <c r="J338" s="21"/>
      <c r="K338" s="80"/>
      <c r="L338" s="82"/>
    </row>
    <row r="339" spans="2:20" s="1" customFormat="1" ht="16.5" x14ac:dyDescent="0.15">
      <c r="B339" s="16">
        <v>1</v>
      </c>
      <c r="C339" s="44"/>
      <c r="D339" s="18"/>
      <c r="E339" s="18"/>
      <c r="F339" s="129"/>
      <c r="G339" s="20"/>
      <c r="H339" s="20">
        <v>1</v>
      </c>
      <c r="I339" s="126">
        <f t="shared" si="23"/>
        <v>0</v>
      </c>
      <c r="J339" s="38">
        <f>(F339*G339*H339)/$C$32</f>
        <v>0</v>
      </c>
      <c r="K339" s="80"/>
      <c r="L339" s="82"/>
      <c r="M339" s="10"/>
      <c r="N339" s="42"/>
      <c r="O339" s="10"/>
      <c r="P339" s="10"/>
      <c r="Q339" s="43"/>
      <c r="R339" s="10"/>
      <c r="T339" s="10"/>
    </row>
    <row r="340" spans="2:20" s="1" customFormat="1" ht="16.5" x14ac:dyDescent="0.15">
      <c r="B340" s="16">
        <v>2</v>
      </c>
      <c r="C340" s="45"/>
      <c r="D340" s="18"/>
      <c r="E340" s="18"/>
      <c r="F340" s="129"/>
      <c r="G340" s="20"/>
      <c r="H340" s="20">
        <v>1</v>
      </c>
      <c r="I340" s="126">
        <f>J340*$C$32</f>
        <v>0</v>
      </c>
      <c r="J340" s="38">
        <f>(F340*G340*H340)/$C$32</f>
        <v>0</v>
      </c>
      <c r="K340" s="80"/>
      <c r="L340" s="82"/>
      <c r="M340" s="10"/>
      <c r="N340" s="42"/>
      <c r="O340" s="10"/>
      <c r="P340" s="10"/>
      <c r="Q340" s="43"/>
      <c r="R340" s="10"/>
      <c r="T340" s="10"/>
    </row>
    <row r="341" spans="2:20" s="1" customFormat="1" ht="12.95" customHeight="1" x14ac:dyDescent="0.15">
      <c r="B341" s="16">
        <v>3</v>
      </c>
      <c r="C341" s="44"/>
      <c r="D341" s="18"/>
      <c r="E341" s="18"/>
      <c r="F341" s="129"/>
      <c r="G341" s="20"/>
      <c r="H341" s="20">
        <v>1</v>
      </c>
      <c r="I341" s="126">
        <f t="shared" si="23"/>
        <v>0</v>
      </c>
      <c r="J341" s="21">
        <f>(F341*G341*H341)/$C$32</f>
        <v>0</v>
      </c>
      <c r="K341" s="80"/>
      <c r="L341" s="82"/>
      <c r="M341" s="10"/>
      <c r="N341" s="42"/>
      <c r="O341" s="10"/>
      <c r="P341" s="10"/>
      <c r="Q341" s="43"/>
      <c r="R341" s="10"/>
      <c r="T341" s="10"/>
    </row>
    <row r="342" spans="2:20" s="1" customFormat="1" ht="14.25" x14ac:dyDescent="0.15">
      <c r="B342" s="16">
        <v>4</v>
      </c>
      <c r="C342" s="46"/>
      <c r="D342" s="405"/>
      <c r="E342" s="405"/>
      <c r="F342" s="129"/>
      <c r="G342" s="20"/>
      <c r="H342" s="20">
        <v>1</v>
      </c>
      <c r="I342" s="126">
        <f t="shared" si="23"/>
        <v>0</v>
      </c>
      <c r="J342" s="38">
        <f>(F343*G342*H342)/$C$32</f>
        <v>0</v>
      </c>
      <c r="K342" s="80"/>
      <c r="L342" s="82"/>
      <c r="M342" s="10"/>
      <c r="N342" s="42"/>
      <c r="O342" s="10"/>
      <c r="P342" s="10"/>
      <c r="Q342" s="43"/>
      <c r="R342" s="10"/>
      <c r="T342" s="10"/>
    </row>
    <row r="343" spans="2:20" s="1" customFormat="1" ht="14.25" x14ac:dyDescent="0.15">
      <c r="B343" s="16">
        <v>5</v>
      </c>
      <c r="C343" s="11"/>
      <c r="D343" s="18"/>
      <c r="E343" s="18"/>
      <c r="F343" s="129"/>
      <c r="G343" s="20"/>
      <c r="H343" s="20">
        <v>1</v>
      </c>
      <c r="I343" s="126">
        <f t="shared" si="23"/>
        <v>0</v>
      </c>
      <c r="J343" s="38">
        <f t="shared" ref="J343:J348" si="25">(F345*G343*H343)/$C$32</f>
        <v>0</v>
      </c>
      <c r="K343" s="80"/>
      <c r="L343" s="82"/>
      <c r="M343" s="10"/>
      <c r="N343" s="42"/>
      <c r="O343" s="10"/>
      <c r="P343" s="10"/>
      <c r="Q343" s="43"/>
      <c r="R343" s="10"/>
      <c r="T343" s="10"/>
    </row>
    <row r="344" spans="2:20" s="1" customFormat="1" ht="14.25" x14ac:dyDescent="0.15">
      <c r="B344" s="16">
        <v>6</v>
      </c>
      <c r="C344" s="11"/>
      <c r="D344" s="18"/>
      <c r="E344" s="18"/>
      <c r="F344" s="129"/>
      <c r="G344" s="20"/>
      <c r="H344" s="20">
        <v>1</v>
      </c>
      <c r="I344" s="126">
        <f t="shared" si="23"/>
        <v>0</v>
      </c>
      <c r="J344" s="38">
        <f t="shared" si="25"/>
        <v>0</v>
      </c>
      <c r="K344" s="80"/>
      <c r="L344" s="82"/>
      <c r="M344" s="10"/>
      <c r="N344" s="42"/>
      <c r="O344" s="10"/>
      <c r="P344" s="10"/>
      <c r="Q344" s="43"/>
      <c r="R344" s="10"/>
      <c r="T344" s="10"/>
    </row>
    <row r="345" spans="2:20" s="1" customFormat="1" ht="16.5" x14ac:dyDescent="0.2">
      <c r="B345" s="16">
        <v>7</v>
      </c>
      <c r="C345" s="47"/>
      <c r="D345" s="18"/>
      <c r="E345" s="18"/>
      <c r="F345" s="129"/>
      <c r="G345" s="20"/>
      <c r="H345" s="20">
        <v>1</v>
      </c>
      <c r="I345" s="126">
        <f t="shared" si="23"/>
        <v>0</v>
      </c>
      <c r="J345" s="38">
        <f t="shared" si="25"/>
        <v>0</v>
      </c>
      <c r="K345" s="80"/>
      <c r="L345" s="82"/>
      <c r="M345" s="10"/>
      <c r="N345" s="42"/>
      <c r="O345" s="10"/>
      <c r="P345" s="10"/>
      <c r="Q345" s="43"/>
      <c r="R345" s="10"/>
      <c r="T345" s="10"/>
    </row>
    <row r="346" spans="2:20" s="1" customFormat="1" ht="14.25" x14ac:dyDescent="0.15">
      <c r="B346" s="16">
        <v>8</v>
      </c>
      <c r="C346" s="11"/>
      <c r="D346" s="18"/>
      <c r="E346" s="18"/>
      <c r="F346" s="129"/>
      <c r="G346" s="20"/>
      <c r="H346" s="20">
        <v>1</v>
      </c>
      <c r="I346" s="126">
        <f t="shared" si="23"/>
        <v>0</v>
      </c>
      <c r="J346" s="21">
        <f t="shared" si="25"/>
        <v>0</v>
      </c>
      <c r="K346" s="80"/>
      <c r="L346" s="82"/>
      <c r="M346" s="10"/>
      <c r="N346" s="42"/>
      <c r="O346" s="10"/>
      <c r="P346" s="10"/>
      <c r="Q346" s="43"/>
      <c r="R346" s="10"/>
      <c r="T346" s="10"/>
    </row>
    <row r="347" spans="2:20" s="1" customFormat="1" ht="14.25" x14ac:dyDescent="0.15">
      <c r="B347" s="16">
        <v>9</v>
      </c>
      <c r="C347" s="11"/>
      <c r="D347" s="18"/>
      <c r="E347" s="18"/>
      <c r="F347" s="129"/>
      <c r="G347" s="20"/>
      <c r="H347" s="20">
        <v>1</v>
      </c>
      <c r="I347" s="126">
        <f t="shared" si="23"/>
        <v>0</v>
      </c>
      <c r="J347" s="38">
        <f t="shared" si="25"/>
        <v>0</v>
      </c>
      <c r="K347" s="80"/>
      <c r="L347" s="82"/>
      <c r="M347" s="10"/>
      <c r="N347" s="42"/>
      <c r="O347" s="10"/>
      <c r="P347" s="10"/>
      <c r="Q347" s="43"/>
      <c r="R347" s="10"/>
      <c r="T347" s="10"/>
    </row>
    <row r="348" spans="2:20" s="1" customFormat="1" ht="14.25" x14ac:dyDescent="0.15">
      <c r="B348" s="16">
        <v>10</v>
      </c>
      <c r="C348" s="11"/>
      <c r="D348" s="18"/>
      <c r="E348" s="18"/>
      <c r="F348" s="129"/>
      <c r="G348" s="20"/>
      <c r="H348" s="20">
        <v>1</v>
      </c>
      <c r="I348" s="126">
        <f t="shared" si="23"/>
        <v>0</v>
      </c>
      <c r="J348" s="38">
        <f t="shared" si="25"/>
        <v>0</v>
      </c>
      <c r="K348" s="80"/>
      <c r="L348" s="82"/>
      <c r="M348" s="10"/>
      <c r="N348" s="42"/>
      <c r="O348" s="10"/>
      <c r="P348" s="10"/>
      <c r="Q348" s="43"/>
      <c r="R348" s="10"/>
      <c r="T348" s="10"/>
    </row>
    <row r="349" spans="2:20" s="1" customFormat="1" ht="14.25" x14ac:dyDescent="0.15">
      <c r="B349" s="16">
        <v>11</v>
      </c>
      <c r="C349" s="11"/>
      <c r="D349" s="18"/>
      <c r="E349" s="18"/>
      <c r="F349" s="129"/>
      <c r="G349" s="20"/>
      <c r="H349" s="20">
        <v>1</v>
      </c>
      <c r="I349" s="126">
        <f t="shared" si="23"/>
        <v>0</v>
      </c>
      <c r="J349" s="38">
        <f t="shared" ref="J349:J358" si="26">(F349*G349*H349)/$C$32</f>
        <v>0</v>
      </c>
      <c r="K349" s="80"/>
      <c r="L349" s="82"/>
      <c r="M349" s="10"/>
      <c r="N349" s="42"/>
      <c r="O349" s="10"/>
      <c r="P349" s="10"/>
      <c r="Q349" s="43"/>
      <c r="R349" s="10"/>
      <c r="T349" s="10"/>
    </row>
    <row r="350" spans="2:20" s="1" customFormat="1" ht="14.25" x14ac:dyDescent="0.15">
      <c r="B350" s="16">
        <v>12</v>
      </c>
      <c r="C350" s="11"/>
      <c r="D350" s="18"/>
      <c r="E350" s="18"/>
      <c r="F350" s="129"/>
      <c r="G350" s="20"/>
      <c r="H350" s="20">
        <v>1</v>
      </c>
      <c r="I350" s="126">
        <f t="shared" si="23"/>
        <v>0</v>
      </c>
      <c r="J350" s="21">
        <f t="shared" si="26"/>
        <v>0</v>
      </c>
      <c r="K350" s="80"/>
      <c r="L350" s="82"/>
      <c r="M350" s="10"/>
      <c r="N350" s="42"/>
      <c r="O350" s="10"/>
      <c r="P350" s="10"/>
      <c r="Q350" s="43"/>
      <c r="R350" s="10"/>
      <c r="T350" s="10"/>
    </row>
    <row r="351" spans="2:20" s="1" customFormat="1" ht="14.25" x14ac:dyDescent="0.15">
      <c r="B351" s="16">
        <v>13</v>
      </c>
      <c r="C351" s="11"/>
      <c r="D351" s="18"/>
      <c r="E351" s="18"/>
      <c r="F351" s="129"/>
      <c r="G351" s="20"/>
      <c r="H351" s="20">
        <v>1</v>
      </c>
      <c r="I351" s="126">
        <f t="shared" si="23"/>
        <v>0</v>
      </c>
      <c r="J351" s="38">
        <f t="shared" si="26"/>
        <v>0</v>
      </c>
      <c r="K351" s="80"/>
      <c r="L351" s="82"/>
      <c r="M351" s="10"/>
      <c r="N351" s="42"/>
      <c r="O351" s="10"/>
      <c r="P351" s="10"/>
      <c r="Q351" s="43"/>
      <c r="R351" s="10"/>
      <c r="T351" s="10"/>
    </row>
    <row r="352" spans="2:20" s="1" customFormat="1" ht="14.25" x14ac:dyDescent="0.15">
      <c r="B352" s="16">
        <v>14</v>
      </c>
      <c r="C352" s="11"/>
      <c r="D352" s="18"/>
      <c r="E352" s="18"/>
      <c r="F352" s="129"/>
      <c r="G352" s="20"/>
      <c r="H352" s="20">
        <v>1</v>
      </c>
      <c r="I352" s="126">
        <f t="shared" si="23"/>
        <v>0</v>
      </c>
      <c r="J352" s="38">
        <f t="shared" si="26"/>
        <v>0</v>
      </c>
      <c r="K352" s="80"/>
      <c r="L352" s="82"/>
      <c r="M352" s="10"/>
      <c r="N352" s="42"/>
      <c r="O352" s="10"/>
      <c r="P352" s="10"/>
      <c r="Q352" s="43"/>
      <c r="R352" s="10"/>
      <c r="T352" s="10"/>
    </row>
    <row r="353" spans="2:20" s="1" customFormat="1" ht="14.25" x14ac:dyDescent="0.15">
      <c r="B353" s="16">
        <v>15</v>
      </c>
      <c r="C353" s="11"/>
      <c r="D353" s="18"/>
      <c r="E353" s="18"/>
      <c r="F353" s="129"/>
      <c r="G353" s="20"/>
      <c r="H353" s="20">
        <v>1</v>
      </c>
      <c r="I353" s="126">
        <f t="shared" si="23"/>
        <v>0</v>
      </c>
      <c r="J353" s="38">
        <f t="shared" si="26"/>
        <v>0</v>
      </c>
      <c r="K353" s="80"/>
      <c r="L353" s="82"/>
      <c r="M353" s="10"/>
      <c r="N353" s="42"/>
      <c r="O353" s="10"/>
      <c r="P353" s="10"/>
      <c r="Q353" s="43"/>
      <c r="R353" s="10"/>
      <c r="T353" s="10"/>
    </row>
    <row r="354" spans="2:20" s="1" customFormat="1" ht="14.25" x14ac:dyDescent="0.15">
      <c r="B354" s="16">
        <v>16</v>
      </c>
      <c r="C354" s="11"/>
      <c r="D354" s="18"/>
      <c r="E354" s="18"/>
      <c r="F354" s="129"/>
      <c r="G354" s="20"/>
      <c r="H354" s="20">
        <v>1</v>
      </c>
      <c r="I354" s="126">
        <f t="shared" si="23"/>
        <v>0</v>
      </c>
      <c r="J354" s="21">
        <f t="shared" si="26"/>
        <v>0</v>
      </c>
      <c r="K354" s="80"/>
      <c r="L354" s="82"/>
      <c r="M354" s="10"/>
      <c r="N354" s="42"/>
      <c r="O354" s="10"/>
      <c r="P354" s="10"/>
      <c r="Q354" s="43"/>
      <c r="R354" s="10"/>
      <c r="T354" s="10"/>
    </row>
    <row r="355" spans="2:20" s="1" customFormat="1" ht="14.25" x14ac:dyDescent="0.15">
      <c r="B355" s="16">
        <v>17</v>
      </c>
      <c r="C355" s="11"/>
      <c r="D355" s="18"/>
      <c r="E355" s="18"/>
      <c r="F355" s="129"/>
      <c r="G355" s="20"/>
      <c r="H355" s="20">
        <v>1</v>
      </c>
      <c r="I355" s="126">
        <f t="shared" si="23"/>
        <v>0</v>
      </c>
      <c r="J355" s="38">
        <f t="shared" si="26"/>
        <v>0</v>
      </c>
      <c r="K355" s="80"/>
      <c r="L355" s="82"/>
      <c r="M355" s="10"/>
      <c r="N355" s="42"/>
      <c r="O355" s="10"/>
      <c r="P355" s="10"/>
      <c r="Q355" s="43"/>
      <c r="R355" s="10"/>
      <c r="T355" s="10"/>
    </row>
    <row r="356" spans="2:20" s="1" customFormat="1" ht="14.25" x14ac:dyDescent="0.15">
      <c r="B356" s="16">
        <v>18</v>
      </c>
      <c r="C356" s="11"/>
      <c r="D356" s="18"/>
      <c r="E356" s="18"/>
      <c r="F356" s="129"/>
      <c r="G356" s="20"/>
      <c r="H356" s="20">
        <v>1</v>
      </c>
      <c r="I356" s="126">
        <f t="shared" si="23"/>
        <v>0</v>
      </c>
      <c r="J356" s="38">
        <f t="shared" si="26"/>
        <v>0</v>
      </c>
      <c r="K356" s="80"/>
      <c r="L356" s="82"/>
      <c r="M356" s="10"/>
      <c r="N356" s="42"/>
      <c r="O356" s="10"/>
      <c r="P356" s="10"/>
      <c r="Q356" s="43"/>
      <c r="R356" s="10"/>
      <c r="T356" s="10"/>
    </row>
    <row r="357" spans="2:20" s="1" customFormat="1" ht="14.25" x14ac:dyDescent="0.15">
      <c r="B357" s="16">
        <v>19</v>
      </c>
      <c r="C357" s="11"/>
      <c r="D357" s="18"/>
      <c r="E357" s="18"/>
      <c r="F357" s="129"/>
      <c r="G357" s="20"/>
      <c r="H357" s="20">
        <v>1</v>
      </c>
      <c r="I357" s="126">
        <f t="shared" si="23"/>
        <v>0</v>
      </c>
      <c r="J357" s="38">
        <f t="shared" si="26"/>
        <v>0</v>
      </c>
      <c r="K357" s="80"/>
      <c r="L357" s="82"/>
      <c r="M357" s="10"/>
      <c r="N357" s="42"/>
      <c r="O357" s="10"/>
      <c r="P357" s="10"/>
      <c r="Q357" s="43"/>
      <c r="R357" s="10"/>
      <c r="T357" s="10"/>
    </row>
    <row r="358" spans="2:20" s="1" customFormat="1" ht="14.25" x14ac:dyDescent="0.15">
      <c r="B358" s="16">
        <v>20</v>
      </c>
      <c r="C358" s="11"/>
      <c r="D358" s="18"/>
      <c r="E358" s="18"/>
      <c r="F358" s="129"/>
      <c r="G358" s="20"/>
      <c r="H358" s="20">
        <v>1</v>
      </c>
      <c r="I358" s="126">
        <f t="shared" si="23"/>
        <v>0</v>
      </c>
      <c r="J358" s="21">
        <f t="shared" si="26"/>
        <v>0</v>
      </c>
      <c r="K358" s="80"/>
      <c r="L358" s="82"/>
      <c r="M358" s="10"/>
      <c r="N358" s="42"/>
      <c r="O358" s="10"/>
      <c r="P358" s="10"/>
      <c r="Q358" s="43"/>
      <c r="R358" s="10"/>
      <c r="T358" s="10"/>
    </row>
    <row r="359" spans="2:20" s="1" customFormat="1" ht="14.25" x14ac:dyDescent="0.15">
      <c r="B359" s="16"/>
      <c r="C359" s="11"/>
      <c r="D359" s="18"/>
      <c r="E359" s="18"/>
      <c r="F359" s="129"/>
      <c r="G359" s="20"/>
      <c r="H359" s="20"/>
      <c r="I359" s="126"/>
      <c r="J359" s="21"/>
      <c r="K359" s="80"/>
      <c r="L359" s="82"/>
      <c r="M359" s="10"/>
      <c r="N359" s="42"/>
      <c r="O359" s="10"/>
      <c r="P359" s="10"/>
      <c r="Q359" s="43"/>
      <c r="R359" s="10"/>
      <c r="T359" s="10"/>
    </row>
    <row r="360" spans="2:20" s="1" customFormat="1" ht="14.25" x14ac:dyDescent="0.15">
      <c r="B360" s="16"/>
      <c r="C360" s="11"/>
      <c r="D360" s="18"/>
      <c r="E360" s="18"/>
      <c r="F360" s="129"/>
      <c r="G360" s="20"/>
      <c r="H360" s="20"/>
      <c r="I360" s="126"/>
      <c r="J360" s="21"/>
      <c r="K360" s="80"/>
      <c r="L360" s="82"/>
      <c r="M360" s="10"/>
      <c r="N360" s="42"/>
      <c r="O360" s="10"/>
      <c r="P360" s="10"/>
      <c r="Q360" s="43"/>
      <c r="R360" s="10"/>
      <c r="T360" s="10"/>
    </row>
    <row r="361" spans="2:20" s="1" customFormat="1" ht="14.25" x14ac:dyDescent="0.15">
      <c r="B361" s="16"/>
      <c r="C361" s="46" t="s">
        <v>159</v>
      </c>
      <c r="D361" s="18"/>
      <c r="E361" s="18"/>
      <c r="F361" s="129"/>
      <c r="G361" s="20"/>
      <c r="H361" s="20"/>
      <c r="I361" s="126"/>
      <c r="J361" s="21"/>
      <c r="K361" s="80"/>
      <c r="L361" s="82"/>
      <c r="M361" s="10"/>
      <c r="N361" s="10"/>
      <c r="O361" s="10"/>
      <c r="P361" s="10"/>
      <c r="Q361" s="43"/>
      <c r="R361" s="10"/>
      <c r="T361" s="10"/>
    </row>
    <row r="362" spans="2:20" s="1" customFormat="1" ht="14.25" x14ac:dyDescent="0.15">
      <c r="B362" s="16">
        <v>1</v>
      </c>
      <c r="C362" s="11"/>
      <c r="D362" s="18"/>
      <c r="E362" s="18"/>
      <c r="F362" s="129"/>
      <c r="G362" s="20"/>
      <c r="H362" s="20">
        <v>1</v>
      </c>
      <c r="I362" s="126">
        <f t="shared" si="23"/>
        <v>0</v>
      </c>
      <c r="J362" s="21">
        <f t="shared" ref="J362:J381" si="27">(F362*G362*H362)/$C$32</f>
        <v>0</v>
      </c>
      <c r="K362" s="80"/>
      <c r="L362" s="82"/>
      <c r="M362" s="10"/>
      <c r="N362" s="10"/>
      <c r="O362" s="10"/>
      <c r="P362" s="10"/>
      <c r="Q362" s="43"/>
      <c r="R362" s="10"/>
      <c r="T362" s="10"/>
    </row>
    <row r="363" spans="2:20" s="1" customFormat="1" ht="14.25" x14ac:dyDescent="0.15">
      <c r="B363" s="16">
        <v>2</v>
      </c>
      <c r="C363" s="11"/>
      <c r="D363" s="18"/>
      <c r="E363" s="18"/>
      <c r="F363" s="129"/>
      <c r="G363" s="20"/>
      <c r="H363" s="20">
        <v>1</v>
      </c>
      <c r="I363" s="126">
        <f t="shared" si="23"/>
        <v>0</v>
      </c>
      <c r="J363" s="21">
        <f t="shared" si="27"/>
        <v>0</v>
      </c>
      <c r="K363" s="80"/>
      <c r="L363" s="82"/>
      <c r="M363" s="10"/>
      <c r="N363" s="10"/>
      <c r="O363" s="10"/>
      <c r="P363" s="10"/>
      <c r="Q363" s="43"/>
      <c r="R363" s="10"/>
      <c r="T363" s="10"/>
    </row>
    <row r="364" spans="2:20" s="1" customFormat="1" ht="14.25" x14ac:dyDescent="0.15">
      <c r="B364" s="16">
        <v>3</v>
      </c>
      <c r="C364" s="11"/>
      <c r="D364" s="18"/>
      <c r="E364" s="18"/>
      <c r="F364" s="129"/>
      <c r="G364" s="20"/>
      <c r="H364" s="20">
        <v>1</v>
      </c>
      <c r="I364" s="126">
        <f t="shared" si="23"/>
        <v>0</v>
      </c>
      <c r="J364" s="21">
        <f t="shared" si="27"/>
        <v>0</v>
      </c>
      <c r="K364" s="80"/>
      <c r="L364" s="82"/>
      <c r="M364" s="10"/>
      <c r="N364" s="10"/>
      <c r="O364" s="10"/>
      <c r="P364" s="10"/>
      <c r="Q364" s="43"/>
      <c r="R364" s="10"/>
      <c r="T364" s="10"/>
    </row>
    <row r="365" spans="2:20" s="1" customFormat="1" ht="14.25" x14ac:dyDescent="0.15">
      <c r="B365" s="16">
        <v>4</v>
      </c>
      <c r="C365" s="11"/>
      <c r="D365" s="18"/>
      <c r="E365" s="18"/>
      <c r="F365" s="129"/>
      <c r="G365" s="20"/>
      <c r="H365" s="20">
        <v>1</v>
      </c>
      <c r="I365" s="126">
        <f t="shared" si="23"/>
        <v>0</v>
      </c>
      <c r="J365" s="21">
        <f t="shared" si="27"/>
        <v>0</v>
      </c>
      <c r="K365" s="80"/>
      <c r="L365" s="82"/>
      <c r="M365" s="10"/>
      <c r="N365" s="10"/>
      <c r="O365" s="10"/>
      <c r="P365" s="10"/>
      <c r="Q365" s="43"/>
      <c r="R365" s="10"/>
      <c r="T365" s="10"/>
    </row>
    <row r="366" spans="2:20" s="1" customFormat="1" ht="14.25" x14ac:dyDescent="0.15">
      <c r="B366" s="16">
        <v>5</v>
      </c>
      <c r="C366" s="11"/>
      <c r="D366" s="18"/>
      <c r="E366" s="18"/>
      <c r="F366" s="129"/>
      <c r="G366" s="20"/>
      <c r="H366" s="20">
        <v>1</v>
      </c>
      <c r="I366" s="126">
        <f t="shared" si="23"/>
        <v>0</v>
      </c>
      <c r="J366" s="21">
        <f t="shared" si="27"/>
        <v>0</v>
      </c>
      <c r="K366" s="80"/>
      <c r="L366" s="82"/>
      <c r="M366" s="10"/>
      <c r="N366" s="10"/>
      <c r="O366" s="10"/>
      <c r="P366" s="10"/>
      <c r="Q366" s="43"/>
      <c r="R366" s="10"/>
      <c r="T366" s="10"/>
    </row>
    <row r="367" spans="2:20" s="1" customFormat="1" ht="14.25" x14ac:dyDescent="0.15">
      <c r="B367" s="16">
        <v>6</v>
      </c>
      <c r="C367" s="11"/>
      <c r="D367" s="18"/>
      <c r="E367" s="18"/>
      <c r="F367" s="129"/>
      <c r="G367" s="20"/>
      <c r="H367" s="20">
        <v>1</v>
      </c>
      <c r="I367" s="126">
        <f t="shared" si="23"/>
        <v>0</v>
      </c>
      <c r="J367" s="21">
        <f t="shared" si="27"/>
        <v>0</v>
      </c>
      <c r="K367" s="80"/>
      <c r="L367" s="82"/>
      <c r="M367" s="10"/>
      <c r="N367" s="10"/>
      <c r="O367" s="10"/>
      <c r="P367" s="10"/>
      <c r="Q367" s="43"/>
      <c r="R367" s="10"/>
      <c r="T367" s="10"/>
    </row>
    <row r="368" spans="2:20" s="1" customFormat="1" ht="14.25" x14ac:dyDescent="0.15">
      <c r="B368" s="16">
        <v>7</v>
      </c>
      <c r="C368" s="11"/>
      <c r="D368" s="18"/>
      <c r="E368" s="18"/>
      <c r="F368" s="129"/>
      <c r="G368" s="20"/>
      <c r="H368" s="20">
        <v>1</v>
      </c>
      <c r="I368" s="126">
        <f t="shared" si="23"/>
        <v>0</v>
      </c>
      <c r="J368" s="21">
        <f t="shared" si="27"/>
        <v>0</v>
      </c>
      <c r="K368" s="80"/>
      <c r="L368" s="82"/>
      <c r="M368" s="10"/>
      <c r="N368" s="10"/>
      <c r="O368" s="10"/>
      <c r="P368" s="10"/>
      <c r="Q368" s="43"/>
      <c r="R368" s="10"/>
      <c r="T368" s="10"/>
    </row>
    <row r="369" spans="2:20" s="1" customFormat="1" ht="14.25" x14ac:dyDescent="0.15">
      <c r="B369" s="16">
        <v>8</v>
      </c>
      <c r="C369" s="11"/>
      <c r="D369" s="18"/>
      <c r="E369" s="18"/>
      <c r="F369" s="129"/>
      <c r="G369" s="20"/>
      <c r="H369" s="20">
        <v>1</v>
      </c>
      <c r="I369" s="126">
        <f t="shared" si="23"/>
        <v>0</v>
      </c>
      <c r="J369" s="21">
        <f t="shared" si="27"/>
        <v>0</v>
      </c>
      <c r="K369" s="80"/>
      <c r="L369" s="82"/>
      <c r="M369" s="10"/>
      <c r="N369" s="10"/>
      <c r="O369" s="10"/>
      <c r="P369" s="10"/>
      <c r="Q369" s="43"/>
      <c r="R369" s="10"/>
      <c r="T369" s="10"/>
    </row>
    <row r="370" spans="2:20" s="1" customFormat="1" ht="14.25" x14ac:dyDescent="0.15">
      <c r="B370" s="16">
        <v>9</v>
      </c>
      <c r="C370" s="11"/>
      <c r="D370" s="18"/>
      <c r="E370" s="18"/>
      <c r="F370" s="129"/>
      <c r="G370" s="20"/>
      <c r="H370" s="20">
        <v>1</v>
      </c>
      <c r="I370" s="126">
        <f t="shared" si="23"/>
        <v>0</v>
      </c>
      <c r="J370" s="21">
        <f t="shared" si="27"/>
        <v>0</v>
      </c>
      <c r="K370" s="80"/>
      <c r="L370" s="82"/>
      <c r="M370" s="10"/>
      <c r="N370" s="10"/>
      <c r="O370" s="10"/>
      <c r="P370" s="10"/>
      <c r="Q370" s="43"/>
      <c r="R370" s="10"/>
      <c r="T370" s="10"/>
    </row>
    <row r="371" spans="2:20" s="1" customFormat="1" ht="14.25" x14ac:dyDescent="0.15">
      <c r="B371" s="16">
        <v>10</v>
      </c>
      <c r="C371" s="11"/>
      <c r="D371" s="18"/>
      <c r="E371" s="18"/>
      <c r="F371" s="129"/>
      <c r="G371" s="20"/>
      <c r="H371" s="20">
        <v>1</v>
      </c>
      <c r="I371" s="126">
        <f t="shared" si="23"/>
        <v>0</v>
      </c>
      <c r="J371" s="21">
        <f t="shared" si="27"/>
        <v>0</v>
      </c>
      <c r="K371" s="80"/>
      <c r="L371" s="82"/>
      <c r="M371" s="10"/>
      <c r="N371" s="10"/>
      <c r="O371" s="10"/>
      <c r="P371" s="10"/>
      <c r="Q371" s="43"/>
      <c r="R371" s="10"/>
      <c r="T371" s="10"/>
    </row>
    <row r="372" spans="2:20" s="1" customFormat="1" ht="14.25" x14ac:dyDescent="0.15">
      <c r="B372" s="16">
        <v>11</v>
      </c>
      <c r="C372" s="11"/>
      <c r="D372" s="18"/>
      <c r="E372" s="18"/>
      <c r="F372" s="129"/>
      <c r="G372" s="20"/>
      <c r="H372" s="20">
        <v>1</v>
      </c>
      <c r="I372" s="126">
        <f t="shared" si="23"/>
        <v>0</v>
      </c>
      <c r="J372" s="21">
        <f t="shared" si="27"/>
        <v>0</v>
      </c>
      <c r="K372" s="80"/>
      <c r="L372" s="82"/>
      <c r="M372" s="10"/>
      <c r="N372" s="10"/>
      <c r="O372" s="10"/>
      <c r="P372" s="10"/>
      <c r="Q372" s="43"/>
      <c r="R372" s="10"/>
      <c r="T372" s="10"/>
    </row>
    <row r="373" spans="2:20" s="1" customFormat="1" ht="14.25" x14ac:dyDescent="0.15">
      <c r="B373" s="16">
        <v>12</v>
      </c>
      <c r="C373" s="11"/>
      <c r="D373" s="18"/>
      <c r="E373" s="18"/>
      <c r="F373" s="129"/>
      <c r="G373" s="20"/>
      <c r="H373" s="20">
        <v>1</v>
      </c>
      <c r="I373" s="126">
        <f t="shared" si="23"/>
        <v>0</v>
      </c>
      <c r="J373" s="21">
        <f t="shared" si="27"/>
        <v>0</v>
      </c>
      <c r="K373" s="80"/>
      <c r="L373" s="82"/>
      <c r="M373" s="10"/>
      <c r="N373" s="10"/>
      <c r="O373" s="10"/>
      <c r="P373" s="10"/>
      <c r="Q373" s="43"/>
      <c r="R373" s="10"/>
      <c r="T373" s="10"/>
    </row>
    <row r="374" spans="2:20" s="1" customFormat="1" ht="14.25" x14ac:dyDescent="0.15">
      <c r="B374" s="16">
        <v>13</v>
      </c>
      <c r="C374" s="11"/>
      <c r="D374" s="18"/>
      <c r="E374" s="18"/>
      <c r="F374" s="129"/>
      <c r="G374" s="20"/>
      <c r="H374" s="20">
        <v>1</v>
      </c>
      <c r="I374" s="126">
        <f t="shared" si="23"/>
        <v>0</v>
      </c>
      <c r="J374" s="21">
        <f t="shared" si="27"/>
        <v>0</v>
      </c>
      <c r="K374" s="80"/>
      <c r="L374" s="82"/>
      <c r="M374" s="10"/>
      <c r="N374" s="10"/>
      <c r="O374" s="10"/>
      <c r="P374" s="10"/>
      <c r="Q374" s="43"/>
      <c r="R374" s="10"/>
      <c r="T374" s="10"/>
    </row>
    <row r="375" spans="2:20" s="1" customFormat="1" ht="14.25" x14ac:dyDescent="0.15">
      <c r="B375" s="16">
        <v>14</v>
      </c>
      <c r="C375" s="11"/>
      <c r="D375" s="18"/>
      <c r="E375" s="18"/>
      <c r="F375" s="129"/>
      <c r="G375" s="20"/>
      <c r="H375" s="20">
        <v>1</v>
      </c>
      <c r="I375" s="126">
        <f t="shared" si="23"/>
        <v>0</v>
      </c>
      <c r="J375" s="21">
        <f t="shared" si="27"/>
        <v>0</v>
      </c>
      <c r="K375" s="80"/>
      <c r="L375" s="82"/>
      <c r="M375" s="10"/>
      <c r="N375" s="10"/>
      <c r="O375" s="10"/>
      <c r="P375" s="10"/>
      <c r="Q375" s="43"/>
      <c r="R375" s="10"/>
      <c r="T375" s="10"/>
    </row>
    <row r="376" spans="2:20" s="1" customFormat="1" ht="14.25" x14ac:dyDescent="0.15">
      <c r="B376" s="16">
        <v>15</v>
      </c>
      <c r="C376" s="11"/>
      <c r="D376" s="18"/>
      <c r="E376" s="18"/>
      <c r="F376" s="129"/>
      <c r="G376" s="20"/>
      <c r="H376" s="20">
        <v>1</v>
      </c>
      <c r="I376" s="126">
        <f t="shared" si="23"/>
        <v>0</v>
      </c>
      <c r="J376" s="21">
        <f t="shared" si="27"/>
        <v>0</v>
      </c>
      <c r="K376" s="80"/>
      <c r="L376" s="82"/>
      <c r="M376" s="10"/>
      <c r="N376" s="10"/>
      <c r="O376" s="10"/>
      <c r="P376" s="10"/>
      <c r="Q376" s="43"/>
      <c r="R376" s="10"/>
      <c r="T376" s="10"/>
    </row>
    <row r="377" spans="2:20" s="1" customFormat="1" ht="14.25" x14ac:dyDescent="0.15">
      <c r="B377" s="16">
        <v>16</v>
      </c>
      <c r="C377" s="11"/>
      <c r="D377" s="18"/>
      <c r="E377" s="18"/>
      <c r="F377" s="129"/>
      <c r="G377" s="20"/>
      <c r="H377" s="20">
        <v>1</v>
      </c>
      <c r="I377" s="126">
        <f t="shared" si="23"/>
        <v>0</v>
      </c>
      <c r="J377" s="21">
        <f t="shared" si="27"/>
        <v>0</v>
      </c>
      <c r="K377" s="80"/>
      <c r="L377" s="82"/>
      <c r="M377" s="10"/>
      <c r="N377" s="10"/>
      <c r="O377" s="10"/>
      <c r="P377" s="10"/>
      <c r="Q377" s="43"/>
      <c r="R377" s="10"/>
      <c r="T377" s="10"/>
    </row>
    <row r="378" spans="2:20" s="1" customFormat="1" ht="14.25" x14ac:dyDescent="0.15">
      <c r="B378" s="16">
        <v>17</v>
      </c>
      <c r="C378" s="11"/>
      <c r="D378" s="18"/>
      <c r="E378" s="18"/>
      <c r="F378" s="129"/>
      <c r="G378" s="20"/>
      <c r="H378" s="20">
        <v>1</v>
      </c>
      <c r="I378" s="126">
        <f t="shared" si="23"/>
        <v>0</v>
      </c>
      <c r="J378" s="21">
        <f t="shared" si="27"/>
        <v>0</v>
      </c>
      <c r="K378" s="80"/>
      <c r="L378" s="82"/>
      <c r="M378" s="10"/>
      <c r="N378" s="10"/>
      <c r="O378" s="10"/>
      <c r="P378" s="10"/>
      <c r="Q378" s="43"/>
      <c r="R378" s="10"/>
      <c r="T378" s="10"/>
    </row>
    <row r="379" spans="2:20" s="1" customFormat="1" ht="14.25" x14ac:dyDescent="0.15">
      <c r="B379" s="16">
        <v>18</v>
      </c>
      <c r="C379" s="11"/>
      <c r="D379" s="18"/>
      <c r="E379" s="18"/>
      <c r="F379" s="129"/>
      <c r="G379" s="20"/>
      <c r="H379" s="20">
        <v>1</v>
      </c>
      <c r="I379" s="126">
        <f t="shared" si="23"/>
        <v>0</v>
      </c>
      <c r="J379" s="78">
        <f t="shared" si="27"/>
        <v>0</v>
      </c>
      <c r="K379" s="111"/>
      <c r="L379" s="119"/>
      <c r="M379" s="10"/>
      <c r="N379" s="10"/>
      <c r="O379" s="10"/>
      <c r="P379" s="10"/>
      <c r="Q379" s="43"/>
      <c r="R379" s="10"/>
      <c r="T379" s="10"/>
    </row>
    <row r="380" spans="2:20" s="1" customFormat="1" ht="14.25" x14ac:dyDescent="0.15">
      <c r="B380" s="16">
        <v>19</v>
      </c>
      <c r="C380" s="11"/>
      <c r="D380" s="18"/>
      <c r="E380" s="18"/>
      <c r="F380" s="129"/>
      <c r="G380" s="20"/>
      <c r="H380" s="20">
        <v>1</v>
      </c>
      <c r="I380" s="254">
        <f t="shared" si="23"/>
        <v>0</v>
      </c>
      <c r="J380" s="94">
        <f t="shared" si="27"/>
        <v>0</v>
      </c>
      <c r="K380" s="82"/>
      <c r="L380" s="82"/>
      <c r="M380" s="10"/>
      <c r="N380" s="10"/>
      <c r="O380" s="10"/>
      <c r="P380" s="10"/>
      <c r="Q380" s="43"/>
      <c r="R380" s="10"/>
      <c r="T380" s="10"/>
    </row>
    <row r="381" spans="2:20" s="1" customFormat="1" ht="14.25" x14ac:dyDescent="0.15">
      <c r="B381" s="16">
        <v>20</v>
      </c>
      <c r="C381" s="11"/>
      <c r="D381" s="18"/>
      <c r="E381" s="18"/>
      <c r="F381" s="129"/>
      <c r="G381" s="20"/>
      <c r="H381" s="20">
        <v>1</v>
      </c>
      <c r="I381" s="254">
        <f t="shared" si="23"/>
        <v>0</v>
      </c>
      <c r="J381" s="94">
        <f t="shared" si="27"/>
        <v>0</v>
      </c>
      <c r="K381" s="82"/>
      <c r="L381" s="82"/>
      <c r="M381" s="10"/>
      <c r="N381" s="10"/>
      <c r="O381" s="10"/>
      <c r="P381" s="10"/>
      <c r="Q381" s="43"/>
      <c r="R381" s="10"/>
      <c r="T381" s="10"/>
    </row>
    <row r="382" spans="2:20" s="1" customFormat="1" ht="14.25" x14ac:dyDescent="0.15">
      <c r="B382" s="83"/>
      <c r="C382" s="160"/>
      <c r="D382" s="75"/>
      <c r="E382" s="75"/>
      <c r="F382" s="132"/>
      <c r="G382" s="77"/>
      <c r="H382" s="77"/>
      <c r="I382" s="255"/>
      <c r="J382" s="94"/>
      <c r="K382" s="82"/>
      <c r="L382" s="82"/>
      <c r="M382" s="10"/>
      <c r="N382" s="10"/>
      <c r="O382" s="10"/>
      <c r="P382" s="10"/>
      <c r="Q382" s="43"/>
      <c r="R382" s="10"/>
      <c r="T382" s="10"/>
    </row>
    <row r="383" spans="2:20" s="1" customFormat="1" ht="14.25" x14ac:dyDescent="0.15">
      <c r="B383" s="82"/>
      <c r="C383" s="102"/>
      <c r="D383" s="103"/>
      <c r="E383" s="102"/>
      <c r="F383" s="128">
        <f>SUM(F323:F382)</f>
        <v>0</v>
      </c>
      <c r="G383" s="104"/>
      <c r="H383" s="105"/>
      <c r="I383" s="256">
        <f>SUM(I324:I382)</f>
        <v>0</v>
      </c>
      <c r="J383" s="257">
        <f>SUM(J323:J342)</f>
        <v>0</v>
      </c>
      <c r="M383" s="10"/>
      <c r="N383" s="10"/>
      <c r="O383" s="10"/>
      <c r="P383" s="10"/>
      <c r="Q383" s="43"/>
      <c r="R383" s="10"/>
      <c r="T383" s="10"/>
    </row>
    <row r="384" spans="2:20" s="67" customFormat="1" ht="14.25" x14ac:dyDescent="0.15">
      <c r="B384" s="116"/>
      <c r="C384" s="114"/>
      <c r="D384" s="114"/>
      <c r="E384" s="114" t="s">
        <v>147</v>
      </c>
      <c r="F384" s="162">
        <f>100/115*F383</f>
        <v>0</v>
      </c>
      <c r="G384" s="161"/>
      <c r="H384" s="161" t="s">
        <v>147</v>
      </c>
      <c r="I384" s="264">
        <f>100/115*I383</f>
        <v>0</v>
      </c>
      <c r="J384" s="114"/>
      <c r="M384" s="68"/>
      <c r="N384" s="68"/>
      <c r="O384" s="68"/>
      <c r="P384" s="68"/>
      <c r="Q384" s="69"/>
      <c r="R384" s="68"/>
      <c r="T384" s="68"/>
    </row>
    <row r="385" spans="2:20" s="1" customFormat="1" ht="14.25" x14ac:dyDescent="0.15">
      <c r="M385" s="10"/>
      <c r="N385" s="10"/>
      <c r="O385" s="10"/>
      <c r="P385" s="10"/>
      <c r="Q385" s="43"/>
      <c r="R385" s="10"/>
      <c r="T385" s="10"/>
    </row>
    <row r="386" spans="2:20" s="1" customFormat="1" ht="14.25" x14ac:dyDescent="0.15">
      <c r="M386" s="10"/>
      <c r="N386" s="10"/>
      <c r="O386" s="10"/>
      <c r="P386" s="10"/>
      <c r="Q386" s="43"/>
      <c r="R386" s="10"/>
      <c r="T386" s="10"/>
    </row>
    <row r="387" spans="2:20" s="1" customFormat="1" ht="14.25" x14ac:dyDescent="0.15">
      <c r="M387" s="10"/>
      <c r="N387" s="10"/>
      <c r="O387" s="10"/>
      <c r="P387" s="10"/>
      <c r="Q387" s="43"/>
      <c r="R387" s="10"/>
      <c r="T387" s="10"/>
    </row>
    <row r="388" spans="2:20" s="1" customFormat="1" ht="14.25" x14ac:dyDescent="0.15">
      <c r="M388" s="10"/>
      <c r="N388" s="10"/>
      <c r="O388" s="10"/>
      <c r="P388" s="10"/>
      <c r="Q388" s="43"/>
      <c r="R388" s="10"/>
      <c r="T388" s="10"/>
    </row>
    <row r="389" spans="2:20" s="247" customFormat="1" ht="32.25" x14ac:dyDescent="0.4">
      <c r="B389" s="248"/>
      <c r="C389" s="380" t="s">
        <v>112</v>
      </c>
      <c r="D389" s="380"/>
      <c r="E389" s="400" t="s">
        <v>108</v>
      </c>
      <c r="F389" s="401"/>
      <c r="G389" s="401"/>
      <c r="H389" s="401"/>
      <c r="I389" s="402"/>
      <c r="J389" s="382">
        <v>2026</v>
      </c>
      <c r="K389" s="382"/>
      <c r="L389" s="382"/>
      <c r="M389" s="249"/>
      <c r="N389" s="249"/>
      <c r="O389" s="249"/>
      <c r="P389" s="249"/>
      <c r="Q389" s="250"/>
      <c r="R389" s="249"/>
      <c r="T389" s="249"/>
    </row>
    <row r="390" spans="2:20" s="1" customFormat="1" ht="22.5" x14ac:dyDescent="0.15">
      <c r="B390" s="82"/>
      <c r="C390" s="102" t="s">
        <v>114</v>
      </c>
      <c r="D390" s="388" t="s">
        <v>115</v>
      </c>
      <c r="E390" s="388"/>
      <c r="F390" s="102" t="s">
        <v>116</v>
      </c>
      <c r="G390" s="102" t="s">
        <v>117</v>
      </c>
      <c r="H390" s="102" t="s">
        <v>118</v>
      </c>
      <c r="I390" s="102" t="s">
        <v>119</v>
      </c>
      <c r="J390" s="102" t="s">
        <v>120</v>
      </c>
      <c r="K390" s="82"/>
      <c r="L390" s="82"/>
      <c r="M390" s="10"/>
      <c r="N390" s="10"/>
      <c r="O390" s="10"/>
      <c r="P390" s="10"/>
      <c r="Q390" s="43"/>
      <c r="R390" s="10"/>
      <c r="T390" s="10"/>
    </row>
    <row r="391" spans="2:20" s="1" customFormat="1" ht="14.25" x14ac:dyDescent="0.15">
      <c r="B391" s="82"/>
      <c r="C391" s="66">
        <f>C321</f>
        <v>700</v>
      </c>
      <c r="D391" s="389">
        <v>20</v>
      </c>
      <c r="E391" s="389"/>
      <c r="F391" s="13">
        <f>F321</f>
        <v>0.8</v>
      </c>
      <c r="G391" s="14">
        <f>G321</f>
        <v>8</v>
      </c>
      <c r="H391" s="142">
        <f>D391*G391*F391</f>
        <v>128</v>
      </c>
      <c r="I391" s="66">
        <f>I453</f>
        <v>0</v>
      </c>
      <c r="J391" s="143">
        <f>H391-J453</f>
        <v>128</v>
      </c>
      <c r="K391" s="82"/>
      <c r="L391" s="82"/>
      <c r="M391" s="10"/>
      <c r="N391" s="10"/>
      <c r="O391" s="10"/>
      <c r="P391" s="10"/>
      <c r="Q391" s="43"/>
      <c r="R391" s="10"/>
      <c r="T391" s="10"/>
    </row>
    <row r="392" spans="2:20" s="1" customFormat="1" ht="33.75" x14ac:dyDescent="0.15">
      <c r="B392" s="82"/>
      <c r="C392" s="167" t="s">
        <v>121</v>
      </c>
      <c r="D392" s="395" t="s">
        <v>122</v>
      </c>
      <c r="E392" s="395"/>
      <c r="F392" s="177" t="s">
        <v>123</v>
      </c>
      <c r="G392" s="178" t="s">
        <v>124</v>
      </c>
      <c r="H392" s="179" t="s">
        <v>125</v>
      </c>
      <c r="I392" s="180" t="s">
        <v>126</v>
      </c>
      <c r="J392" s="178" t="s">
        <v>127</v>
      </c>
      <c r="K392" s="114" t="s">
        <v>128</v>
      </c>
      <c r="L392" s="114" t="s">
        <v>129</v>
      </c>
      <c r="M392" s="10"/>
      <c r="N392" s="10"/>
      <c r="O392" s="10"/>
      <c r="P392" s="10"/>
      <c r="Q392" s="43"/>
      <c r="R392" s="10"/>
      <c r="T392" s="10"/>
    </row>
    <row r="393" spans="2:20" s="1" customFormat="1" ht="14.25" x14ac:dyDescent="0.15">
      <c r="B393" s="84"/>
      <c r="C393" s="81"/>
      <c r="D393" s="404"/>
      <c r="E393" s="404"/>
      <c r="F393" s="175"/>
      <c r="G393" s="87"/>
      <c r="H393" s="87"/>
      <c r="I393" s="176"/>
      <c r="J393" s="88"/>
      <c r="K393" s="79"/>
      <c r="L393" s="120"/>
      <c r="M393" s="10"/>
      <c r="N393" s="10"/>
      <c r="O393" s="10"/>
      <c r="P393" s="10"/>
      <c r="Q393" s="43"/>
      <c r="R393" s="10"/>
      <c r="T393" s="10"/>
    </row>
    <row r="394" spans="2:20" s="1" customFormat="1" ht="12.95" customHeight="1" x14ac:dyDescent="0.15">
      <c r="B394" s="16"/>
      <c r="C394" s="411" t="s">
        <v>130</v>
      </c>
      <c r="D394" s="411"/>
      <c r="E394" s="411"/>
      <c r="F394" s="129"/>
      <c r="G394" s="20"/>
      <c r="H394" s="20"/>
      <c r="I394" s="126"/>
      <c r="J394" s="21"/>
      <c r="K394" s="80"/>
      <c r="L394" s="82"/>
      <c r="M394" s="10"/>
      <c r="N394" s="10"/>
      <c r="O394" s="10"/>
      <c r="P394" s="10"/>
      <c r="Q394" s="43"/>
      <c r="R394" s="10"/>
      <c r="T394" s="10"/>
    </row>
    <row r="395" spans="2:20" s="1" customFormat="1" ht="12.95" customHeight="1" x14ac:dyDescent="0.15">
      <c r="B395" s="16"/>
      <c r="C395" s="37" t="s">
        <v>149</v>
      </c>
      <c r="D395" s="24"/>
      <c r="E395" s="24"/>
      <c r="F395" s="129"/>
      <c r="G395" s="20"/>
      <c r="H395" s="20">
        <v>1</v>
      </c>
      <c r="I395" s="126">
        <f>J395*$C$32</f>
        <v>0</v>
      </c>
      <c r="J395" s="38">
        <f t="shared" ref="J395:J405" si="28">(F395*G395*H395)/$C$32</f>
        <v>0</v>
      </c>
      <c r="K395" s="80"/>
      <c r="L395" s="82"/>
    </row>
    <row r="396" spans="2:20" s="1" customFormat="1" ht="12.95" customHeight="1" x14ac:dyDescent="0.15">
      <c r="B396" s="16">
        <v>1</v>
      </c>
      <c r="C396" s="23"/>
      <c r="D396" s="24"/>
      <c r="E396" s="24"/>
      <c r="F396" s="129"/>
      <c r="G396" s="20"/>
      <c r="H396" s="20">
        <v>1</v>
      </c>
      <c r="I396" s="126">
        <f t="shared" ref="I396:I425" si="29">J396*$C$32</f>
        <v>0</v>
      </c>
      <c r="J396" s="38">
        <f t="shared" si="28"/>
        <v>0</v>
      </c>
      <c r="K396" s="80"/>
      <c r="L396" s="82"/>
    </row>
    <row r="397" spans="2:20" s="1" customFormat="1" ht="12.95" customHeight="1" x14ac:dyDescent="0.15">
      <c r="B397" s="16">
        <v>2</v>
      </c>
      <c r="C397" s="23"/>
      <c r="D397" s="24"/>
      <c r="E397" s="24"/>
      <c r="F397" s="126"/>
      <c r="G397" s="20"/>
      <c r="H397" s="20">
        <v>1</v>
      </c>
      <c r="I397" s="126">
        <f t="shared" si="29"/>
        <v>0</v>
      </c>
      <c r="J397" s="38">
        <f t="shared" si="28"/>
        <v>0</v>
      </c>
      <c r="K397" s="80"/>
      <c r="L397" s="82"/>
    </row>
    <row r="398" spans="2:20" s="1" customFormat="1" ht="12.95" customHeight="1" x14ac:dyDescent="0.15">
      <c r="B398" s="16">
        <v>3</v>
      </c>
      <c r="C398" s="23"/>
      <c r="D398" s="25"/>
      <c r="E398" s="25"/>
      <c r="F398" s="129"/>
      <c r="G398" s="20"/>
      <c r="H398" s="20">
        <v>1</v>
      </c>
      <c r="I398" s="126">
        <f t="shared" si="29"/>
        <v>0</v>
      </c>
      <c r="J398" s="38">
        <f t="shared" si="28"/>
        <v>0</v>
      </c>
      <c r="K398" s="80"/>
      <c r="L398" s="82"/>
    </row>
    <row r="399" spans="2:20" s="1" customFormat="1" ht="12.95" customHeight="1" x14ac:dyDescent="0.15">
      <c r="B399" s="16">
        <v>4</v>
      </c>
      <c r="C399" s="23"/>
      <c r="D399" s="24"/>
      <c r="E399" s="24"/>
      <c r="F399" s="129"/>
      <c r="G399" s="20"/>
      <c r="H399" s="20">
        <v>1</v>
      </c>
      <c r="I399" s="126">
        <f t="shared" si="29"/>
        <v>0</v>
      </c>
      <c r="J399" s="38">
        <f t="shared" si="28"/>
        <v>0</v>
      </c>
      <c r="K399" s="80"/>
      <c r="L399" s="82"/>
    </row>
    <row r="400" spans="2:20" s="1" customFormat="1" ht="12.95" customHeight="1" x14ac:dyDescent="0.15">
      <c r="B400" s="16">
        <v>5</v>
      </c>
      <c r="C400" s="16"/>
      <c r="D400" s="18"/>
      <c r="E400" s="18"/>
      <c r="F400" s="129"/>
      <c r="G400" s="20"/>
      <c r="H400" s="20">
        <v>1</v>
      </c>
      <c r="I400" s="126">
        <f t="shared" si="29"/>
        <v>0</v>
      </c>
      <c r="J400" s="38">
        <f t="shared" si="28"/>
        <v>0</v>
      </c>
      <c r="K400" s="80"/>
      <c r="L400" s="82"/>
    </row>
    <row r="401" spans="2:15" s="1" customFormat="1" ht="12.95" customHeight="1" x14ac:dyDescent="0.15">
      <c r="B401" s="16">
        <v>6</v>
      </c>
      <c r="C401" s="17"/>
      <c r="D401" s="24"/>
      <c r="E401" s="24"/>
      <c r="F401" s="129"/>
      <c r="G401" s="20"/>
      <c r="H401" s="20">
        <v>1</v>
      </c>
      <c r="I401" s="126">
        <f t="shared" si="29"/>
        <v>0</v>
      </c>
      <c r="J401" s="38">
        <f t="shared" si="28"/>
        <v>0</v>
      </c>
      <c r="K401" s="80"/>
      <c r="L401" s="82"/>
    </row>
    <row r="402" spans="2:15" s="1" customFormat="1" ht="12.95" customHeight="1" x14ac:dyDescent="0.15">
      <c r="B402" s="16">
        <v>7</v>
      </c>
      <c r="C402" s="17"/>
      <c r="D402" s="24"/>
      <c r="E402" s="24"/>
      <c r="F402" s="129"/>
      <c r="G402" s="20"/>
      <c r="H402" s="20">
        <v>1</v>
      </c>
      <c r="I402" s="126">
        <f t="shared" si="29"/>
        <v>0</v>
      </c>
      <c r="J402" s="38">
        <f t="shared" si="28"/>
        <v>0</v>
      </c>
      <c r="K402" s="80"/>
      <c r="L402" s="82"/>
    </row>
    <row r="403" spans="2:15" s="1" customFormat="1" ht="12.95" customHeight="1" x14ac:dyDescent="0.15">
      <c r="B403" s="16">
        <v>8</v>
      </c>
      <c r="C403" s="23"/>
      <c r="D403" s="48"/>
      <c r="E403" s="48"/>
      <c r="F403" s="129"/>
      <c r="G403" s="20"/>
      <c r="H403" s="20">
        <v>1</v>
      </c>
      <c r="I403" s="126">
        <f t="shared" si="29"/>
        <v>0</v>
      </c>
      <c r="J403" s="38">
        <f t="shared" si="28"/>
        <v>0</v>
      </c>
      <c r="K403" s="80"/>
      <c r="L403" s="82"/>
    </row>
    <row r="404" spans="2:15" s="1" customFormat="1" ht="12.95" customHeight="1" x14ac:dyDescent="0.15">
      <c r="B404" s="16">
        <v>9</v>
      </c>
      <c r="C404" s="23"/>
      <c r="D404" s="48"/>
      <c r="E404" s="48"/>
      <c r="F404" s="129"/>
      <c r="G404" s="20"/>
      <c r="H404" s="20">
        <v>1</v>
      </c>
      <c r="I404" s="126">
        <f t="shared" si="29"/>
        <v>0</v>
      </c>
      <c r="J404" s="38">
        <f t="shared" si="28"/>
        <v>0</v>
      </c>
      <c r="K404" s="80"/>
      <c r="L404" s="82"/>
    </row>
    <row r="405" spans="2:15" s="1" customFormat="1" ht="12.95" customHeight="1" x14ac:dyDescent="0.15">
      <c r="B405" s="16">
        <v>10</v>
      </c>
      <c r="C405" s="23"/>
      <c r="D405" s="48"/>
      <c r="E405" s="48"/>
      <c r="F405" s="129"/>
      <c r="G405" s="20"/>
      <c r="H405" s="20">
        <v>1</v>
      </c>
      <c r="I405" s="126">
        <f t="shared" si="29"/>
        <v>0</v>
      </c>
      <c r="J405" s="38">
        <f t="shared" si="28"/>
        <v>0</v>
      </c>
      <c r="K405" s="80"/>
      <c r="L405" s="82"/>
    </row>
    <row r="406" spans="2:15" s="1" customFormat="1" ht="12.95" customHeight="1" x14ac:dyDescent="0.15">
      <c r="B406" s="16"/>
      <c r="C406" s="23"/>
      <c r="D406" s="49"/>
      <c r="E406" s="48"/>
      <c r="F406" s="129"/>
      <c r="G406" s="20"/>
      <c r="H406" s="20"/>
      <c r="I406" s="126"/>
      <c r="J406" s="38"/>
      <c r="K406" s="80"/>
      <c r="L406" s="82"/>
    </row>
    <row r="407" spans="2:15" s="1" customFormat="1" ht="12.95" customHeight="1" x14ac:dyDescent="0.15">
      <c r="B407" s="16"/>
      <c r="C407" s="23"/>
      <c r="D407" s="49"/>
      <c r="E407" s="48"/>
      <c r="F407" s="129"/>
      <c r="G407" s="20"/>
      <c r="H407" s="20"/>
      <c r="I407" s="126"/>
      <c r="J407" s="38"/>
      <c r="K407" s="80"/>
      <c r="L407" s="82"/>
    </row>
    <row r="408" spans="2:15" s="1" customFormat="1" ht="12.95" customHeight="1" x14ac:dyDescent="0.15">
      <c r="B408" s="16"/>
      <c r="C408" s="72" t="s">
        <v>153</v>
      </c>
      <c r="D408" s="48"/>
      <c r="E408" s="49"/>
      <c r="F408" s="129"/>
      <c r="G408" s="20"/>
      <c r="H408" s="20"/>
      <c r="I408" s="126"/>
      <c r="J408" s="38"/>
      <c r="K408" s="80"/>
      <c r="L408" s="82"/>
    </row>
    <row r="409" spans="2:15" s="1" customFormat="1" ht="12.95" customHeight="1" x14ac:dyDescent="0.15">
      <c r="B409" s="16">
        <v>1</v>
      </c>
      <c r="C409" s="23"/>
      <c r="D409" s="48"/>
      <c r="E409" s="49"/>
      <c r="F409" s="129"/>
      <c r="G409" s="20"/>
      <c r="H409" s="20">
        <v>1</v>
      </c>
      <c r="I409" s="126">
        <f t="shared" si="29"/>
        <v>0</v>
      </c>
      <c r="J409" s="38">
        <f t="shared" ref="J409:J428" si="30">(F409*G409*H409)/$C$32</f>
        <v>0</v>
      </c>
      <c r="K409" s="80"/>
      <c r="L409" s="82"/>
    </row>
    <row r="410" spans="2:15" s="1" customFormat="1" ht="14.85" customHeight="1" x14ac:dyDescent="0.15">
      <c r="B410" s="16">
        <v>2</v>
      </c>
      <c r="C410" s="23"/>
      <c r="D410" s="48"/>
      <c r="E410" s="49"/>
      <c r="F410" s="129"/>
      <c r="G410" s="20"/>
      <c r="H410" s="20">
        <v>1</v>
      </c>
      <c r="I410" s="126">
        <f t="shared" si="29"/>
        <v>0</v>
      </c>
      <c r="J410" s="38">
        <f t="shared" si="30"/>
        <v>0</v>
      </c>
      <c r="K410" s="80"/>
      <c r="L410" s="82"/>
    </row>
    <row r="411" spans="2:15" s="1" customFormat="1" ht="12.95" customHeight="1" x14ac:dyDescent="0.15">
      <c r="B411" s="16">
        <v>3</v>
      </c>
      <c r="C411" s="23"/>
      <c r="D411" s="48"/>
      <c r="E411" s="49"/>
      <c r="F411" s="129"/>
      <c r="G411" s="20"/>
      <c r="H411" s="20">
        <v>1</v>
      </c>
      <c r="I411" s="126">
        <f t="shared" si="29"/>
        <v>0</v>
      </c>
      <c r="J411" s="38">
        <f t="shared" si="30"/>
        <v>0</v>
      </c>
      <c r="K411" s="80"/>
      <c r="L411" s="82"/>
    </row>
    <row r="412" spans="2:15" s="1" customFormat="1" ht="12.95" customHeight="1" x14ac:dyDescent="0.15">
      <c r="B412" s="16">
        <v>4</v>
      </c>
      <c r="C412" s="23"/>
      <c r="D412" s="48"/>
      <c r="E412" s="49"/>
      <c r="F412" s="129"/>
      <c r="G412" s="20"/>
      <c r="H412" s="20">
        <v>1</v>
      </c>
      <c r="I412" s="126">
        <f t="shared" si="29"/>
        <v>0</v>
      </c>
      <c r="J412" s="38">
        <f t="shared" si="30"/>
        <v>0</v>
      </c>
      <c r="K412" s="80"/>
      <c r="L412" s="82"/>
    </row>
    <row r="413" spans="2:15" s="1" customFormat="1" ht="12.95" customHeight="1" x14ac:dyDescent="0.15">
      <c r="B413" s="16">
        <v>5</v>
      </c>
      <c r="C413" s="23"/>
      <c r="D413" s="48"/>
      <c r="E413" s="48"/>
      <c r="F413" s="129"/>
      <c r="G413" s="20"/>
      <c r="H413" s="20">
        <v>1</v>
      </c>
      <c r="I413" s="126">
        <f t="shared" si="29"/>
        <v>0</v>
      </c>
      <c r="J413" s="38">
        <f t="shared" si="30"/>
        <v>0</v>
      </c>
      <c r="K413" s="80"/>
      <c r="L413" s="82"/>
    </row>
    <row r="414" spans="2:15" s="1" customFormat="1" ht="12.95" customHeight="1" x14ac:dyDescent="0.15">
      <c r="B414" s="16">
        <v>6</v>
      </c>
      <c r="C414" s="23"/>
      <c r="D414" s="48"/>
      <c r="E414" s="48"/>
      <c r="F414" s="129"/>
      <c r="G414" s="20"/>
      <c r="H414" s="20">
        <v>1</v>
      </c>
      <c r="I414" s="126">
        <f t="shared" si="29"/>
        <v>0</v>
      </c>
      <c r="J414" s="38">
        <f t="shared" si="30"/>
        <v>0</v>
      </c>
      <c r="K414" s="80"/>
      <c r="L414" s="82"/>
    </row>
    <row r="415" spans="2:15" s="1" customFormat="1" ht="12.95" customHeight="1" x14ac:dyDescent="0.15">
      <c r="B415" s="16">
        <v>7</v>
      </c>
      <c r="C415" s="23"/>
      <c r="D415" s="48"/>
      <c r="E415" s="48"/>
      <c r="F415" s="129"/>
      <c r="G415" s="20"/>
      <c r="H415" s="20">
        <v>1</v>
      </c>
      <c r="I415" s="126">
        <f t="shared" si="29"/>
        <v>0</v>
      </c>
      <c r="J415" s="38">
        <f t="shared" si="30"/>
        <v>0</v>
      </c>
      <c r="K415" s="80"/>
      <c r="L415" s="82"/>
    </row>
    <row r="416" spans="2:15" s="1" customFormat="1" ht="12.95" customHeight="1" x14ac:dyDescent="0.15">
      <c r="B416" s="16">
        <v>8</v>
      </c>
      <c r="C416" s="23"/>
      <c r="D416" s="48"/>
      <c r="E416" s="48"/>
      <c r="F416" s="129"/>
      <c r="G416" s="20"/>
      <c r="H416" s="20">
        <v>1</v>
      </c>
      <c r="I416" s="126">
        <f t="shared" si="29"/>
        <v>0</v>
      </c>
      <c r="J416" s="38">
        <f t="shared" si="30"/>
        <v>0</v>
      </c>
      <c r="K416" s="80"/>
      <c r="L416" s="82"/>
      <c r="M416" s="39"/>
      <c r="N416" s="40"/>
      <c r="O416" s="40"/>
    </row>
    <row r="417" spans="2:20" s="1" customFormat="1" ht="12.95" customHeight="1" x14ac:dyDescent="0.15">
      <c r="B417" s="16">
        <v>9</v>
      </c>
      <c r="C417" s="23"/>
      <c r="D417" s="48"/>
      <c r="E417" s="48"/>
      <c r="F417" s="129"/>
      <c r="G417" s="20"/>
      <c r="H417" s="20">
        <v>1</v>
      </c>
      <c r="I417" s="126">
        <f t="shared" si="29"/>
        <v>0</v>
      </c>
      <c r="J417" s="38">
        <f t="shared" si="30"/>
        <v>0</v>
      </c>
      <c r="K417" s="80"/>
      <c r="L417" s="82"/>
    </row>
    <row r="418" spans="2:20" s="1" customFormat="1" ht="12.95" customHeight="1" x14ac:dyDescent="0.15">
      <c r="B418" s="16">
        <v>10</v>
      </c>
      <c r="C418" s="23"/>
      <c r="D418" s="48"/>
      <c r="E418" s="48"/>
      <c r="F418" s="129"/>
      <c r="G418" s="20"/>
      <c r="H418" s="20">
        <v>1</v>
      </c>
      <c r="I418" s="126">
        <f t="shared" si="29"/>
        <v>0</v>
      </c>
      <c r="J418" s="38">
        <f t="shared" si="30"/>
        <v>0</v>
      </c>
      <c r="K418" s="80"/>
      <c r="L418" s="82"/>
    </row>
    <row r="419" spans="2:20" s="1" customFormat="1" ht="12.95" customHeight="1" x14ac:dyDescent="0.15">
      <c r="B419" s="16">
        <v>11</v>
      </c>
      <c r="C419" s="23"/>
      <c r="D419" s="48"/>
      <c r="E419" s="48"/>
      <c r="F419" s="130"/>
      <c r="G419" s="20"/>
      <c r="H419" s="20">
        <v>1</v>
      </c>
      <c r="I419" s="126">
        <f t="shared" si="29"/>
        <v>0</v>
      </c>
      <c r="J419" s="38">
        <f t="shared" si="30"/>
        <v>0</v>
      </c>
      <c r="K419" s="80"/>
      <c r="L419" s="82"/>
    </row>
    <row r="420" spans="2:20" s="1" customFormat="1" ht="12.95" customHeight="1" x14ac:dyDescent="0.15">
      <c r="B420" s="16">
        <v>12</v>
      </c>
      <c r="C420" s="23"/>
      <c r="D420" s="48"/>
      <c r="E420" s="48"/>
      <c r="F420" s="129"/>
      <c r="G420" s="20"/>
      <c r="H420" s="20">
        <v>1</v>
      </c>
      <c r="I420" s="126">
        <f t="shared" si="29"/>
        <v>0</v>
      </c>
      <c r="J420" s="38">
        <f t="shared" si="30"/>
        <v>0</v>
      </c>
      <c r="K420" s="80"/>
      <c r="L420" s="82"/>
    </row>
    <row r="421" spans="2:20" s="1" customFormat="1" ht="12.95" customHeight="1" x14ac:dyDescent="0.15">
      <c r="B421" s="16">
        <v>13</v>
      </c>
      <c r="C421" s="23"/>
      <c r="D421" s="48"/>
      <c r="E421" s="48"/>
      <c r="F421" s="129"/>
      <c r="G421" s="20"/>
      <c r="H421" s="20">
        <v>1</v>
      </c>
      <c r="I421" s="126">
        <f t="shared" si="29"/>
        <v>0</v>
      </c>
      <c r="J421" s="38">
        <f t="shared" si="30"/>
        <v>0</v>
      </c>
      <c r="K421" s="80"/>
      <c r="L421" s="82"/>
    </row>
    <row r="422" spans="2:20" s="1" customFormat="1" ht="12.95" customHeight="1" x14ac:dyDescent="0.15">
      <c r="B422" s="16">
        <v>14</v>
      </c>
      <c r="C422" s="23"/>
      <c r="D422" s="48"/>
      <c r="E422" s="48"/>
      <c r="F422" s="129"/>
      <c r="G422" s="20"/>
      <c r="H422" s="20">
        <v>1</v>
      </c>
      <c r="I422" s="126">
        <f t="shared" si="29"/>
        <v>0</v>
      </c>
      <c r="J422" s="38">
        <f t="shared" si="30"/>
        <v>0</v>
      </c>
      <c r="K422" s="80"/>
      <c r="L422" s="82"/>
    </row>
    <row r="423" spans="2:20" s="1" customFormat="1" ht="12.95" customHeight="1" x14ac:dyDescent="0.15">
      <c r="B423" s="16">
        <v>15</v>
      </c>
      <c r="C423" s="23"/>
      <c r="D423" s="48"/>
      <c r="E423" s="48"/>
      <c r="F423" s="129"/>
      <c r="G423" s="20"/>
      <c r="H423" s="20">
        <v>1</v>
      </c>
      <c r="I423" s="126">
        <f t="shared" si="29"/>
        <v>0</v>
      </c>
      <c r="J423" s="38">
        <f t="shared" si="30"/>
        <v>0</v>
      </c>
      <c r="K423" s="80"/>
      <c r="L423" s="82"/>
    </row>
    <row r="424" spans="2:20" s="1" customFormat="1" ht="12.95" customHeight="1" x14ac:dyDescent="0.15">
      <c r="B424" s="16">
        <v>16</v>
      </c>
      <c r="C424" s="23"/>
      <c r="D424" s="48"/>
      <c r="E424" s="48"/>
      <c r="F424" s="129"/>
      <c r="G424" s="20"/>
      <c r="H424" s="20">
        <v>1</v>
      </c>
      <c r="I424" s="126">
        <f t="shared" si="29"/>
        <v>0</v>
      </c>
      <c r="J424" s="38">
        <f t="shared" si="30"/>
        <v>0</v>
      </c>
      <c r="K424" s="80"/>
      <c r="L424" s="82"/>
    </row>
    <row r="425" spans="2:20" s="1" customFormat="1" ht="12.95" customHeight="1" x14ac:dyDescent="0.2">
      <c r="B425" s="16">
        <v>17</v>
      </c>
      <c r="C425" s="410"/>
      <c r="D425" s="410"/>
      <c r="E425" s="410"/>
      <c r="F425" s="129"/>
      <c r="G425" s="20"/>
      <c r="H425" s="20">
        <v>1</v>
      </c>
      <c r="I425" s="126">
        <f t="shared" si="29"/>
        <v>0</v>
      </c>
      <c r="J425" s="21">
        <f t="shared" si="30"/>
        <v>0</v>
      </c>
      <c r="K425" s="80"/>
      <c r="L425" s="82"/>
      <c r="M425" s="10"/>
      <c r="N425" s="10"/>
      <c r="O425" s="10"/>
      <c r="P425" s="10"/>
      <c r="Q425" s="43"/>
      <c r="R425" s="10"/>
      <c r="T425" s="10"/>
    </row>
    <row r="426" spans="2:20" s="1" customFormat="1" ht="12.95" customHeight="1" x14ac:dyDescent="0.15">
      <c r="B426" s="16">
        <v>18</v>
      </c>
      <c r="C426" s="60"/>
      <c r="D426" s="49"/>
      <c r="E426" s="49"/>
      <c r="F426" s="129"/>
      <c r="G426" s="20"/>
      <c r="H426" s="20">
        <v>1</v>
      </c>
      <c r="I426" s="126">
        <f>J426*$C$32</f>
        <v>0</v>
      </c>
      <c r="J426" s="21">
        <f t="shared" si="30"/>
        <v>0</v>
      </c>
      <c r="K426" s="80"/>
      <c r="L426" s="82"/>
      <c r="M426" s="10"/>
      <c r="N426" s="10"/>
      <c r="O426" s="10"/>
      <c r="P426" s="10"/>
      <c r="Q426" s="43"/>
      <c r="R426" s="10"/>
      <c r="T426" s="10"/>
    </row>
    <row r="427" spans="2:20" s="1" customFormat="1" ht="12.95" customHeight="1" x14ac:dyDescent="0.15">
      <c r="B427" s="16">
        <v>19</v>
      </c>
      <c r="C427" s="59"/>
      <c r="D427" s="49"/>
      <c r="E427" s="49"/>
      <c r="F427" s="129"/>
      <c r="G427" s="20"/>
      <c r="H427" s="20">
        <v>1</v>
      </c>
      <c r="I427" s="126">
        <f t="shared" ref="I427:I441" si="31">J427*$C$32</f>
        <v>0</v>
      </c>
      <c r="J427" s="21">
        <f t="shared" si="30"/>
        <v>0</v>
      </c>
      <c r="K427" s="80"/>
      <c r="L427" s="82"/>
      <c r="M427" s="10"/>
      <c r="N427" s="10"/>
      <c r="O427" s="10"/>
      <c r="P427" s="10"/>
      <c r="Q427" s="43"/>
      <c r="R427" s="10"/>
      <c r="T427" s="10"/>
    </row>
    <row r="428" spans="2:20" s="1" customFormat="1" ht="12.95" customHeight="1" x14ac:dyDescent="0.15">
      <c r="B428" s="16">
        <v>20</v>
      </c>
      <c r="C428" s="70"/>
      <c r="D428" s="49"/>
      <c r="E428" s="49"/>
      <c r="F428" s="129"/>
      <c r="G428" s="20"/>
      <c r="H428" s="20">
        <v>1</v>
      </c>
      <c r="I428" s="126">
        <f t="shared" si="31"/>
        <v>0</v>
      </c>
      <c r="J428" s="21">
        <f t="shared" si="30"/>
        <v>0</v>
      </c>
      <c r="K428" s="80"/>
      <c r="L428" s="82"/>
      <c r="M428" s="10"/>
      <c r="N428" s="10"/>
      <c r="O428" s="10"/>
      <c r="P428" s="10"/>
      <c r="Q428" s="43"/>
      <c r="R428" s="10"/>
      <c r="T428" s="10"/>
    </row>
    <row r="429" spans="2:20" s="1" customFormat="1" ht="12.95" customHeight="1" x14ac:dyDescent="0.15">
      <c r="B429" s="16"/>
      <c r="C429" s="70"/>
      <c r="D429" s="49"/>
      <c r="E429" s="49"/>
      <c r="F429" s="129"/>
      <c r="G429" s="20"/>
      <c r="H429" s="20"/>
      <c r="I429" s="126"/>
      <c r="J429" s="21"/>
      <c r="K429" s="80"/>
      <c r="L429" s="82"/>
      <c r="M429" s="10"/>
      <c r="N429" s="10"/>
      <c r="O429" s="10"/>
      <c r="P429" s="10"/>
      <c r="Q429" s="43"/>
      <c r="R429" s="10"/>
      <c r="T429" s="10"/>
    </row>
    <row r="430" spans="2:20" s="1" customFormat="1" ht="12.95" customHeight="1" x14ac:dyDescent="0.15">
      <c r="B430" s="16"/>
      <c r="C430" s="70"/>
      <c r="D430" s="49"/>
      <c r="E430" s="49"/>
      <c r="F430" s="129"/>
      <c r="G430" s="20"/>
      <c r="H430" s="20"/>
      <c r="I430" s="126"/>
      <c r="J430" s="21"/>
      <c r="K430" s="80"/>
      <c r="L430" s="82"/>
      <c r="M430" s="10"/>
      <c r="N430" s="10"/>
      <c r="O430" s="10"/>
      <c r="P430" s="10"/>
      <c r="Q430" s="43"/>
      <c r="R430" s="10"/>
      <c r="T430" s="10"/>
    </row>
    <row r="431" spans="2:20" s="1" customFormat="1" ht="12.95" customHeight="1" x14ac:dyDescent="0.15">
      <c r="B431" s="16"/>
      <c r="C431" s="70" t="s">
        <v>159</v>
      </c>
      <c r="D431" s="49"/>
      <c r="E431" s="49"/>
      <c r="F431" s="129"/>
      <c r="G431" s="20"/>
      <c r="H431" s="20"/>
      <c r="I431" s="126"/>
      <c r="J431" s="21"/>
      <c r="K431" s="80"/>
      <c r="L431" s="82"/>
      <c r="M431" s="10"/>
      <c r="N431" s="10"/>
      <c r="O431" s="10"/>
      <c r="P431" s="10"/>
      <c r="Q431" s="43"/>
      <c r="R431" s="10"/>
      <c r="T431" s="10"/>
    </row>
    <row r="432" spans="2:20" s="1" customFormat="1" ht="12.95" customHeight="1" x14ac:dyDescent="0.15">
      <c r="B432" s="16">
        <v>1</v>
      </c>
      <c r="C432" s="61"/>
      <c r="D432" s="49"/>
      <c r="E432" s="49"/>
      <c r="F432" s="129"/>
      <c r="G432" s="20"/>
      <c r="H432" s="20">
        <v>1</v>
      </c>
      <c r="I432" s="126">
        <f t="shared" si="31"/>
        <v>0</v>
      </c>
      <c r="J432" s="21">
        <f t="shared" ref="J432:J451" si="32">(F432*G432*H432)/$C$32</f>
        <v>0</v>
      </c>
      <c r="K432" s="80"/>
      <c r="L432" s="82"/>
      <c r="M432" s="10"/>
      <c r="N432" s="10"/>
      <c r="O432" s="10"/>
      <c r="P432" s="10"/>
      <c r="Q432" s="43"/>
      <c r="R432" s="10"/>
      <c r="T432" s="10"/>
    </row>
    <row r="433" spans="2:12" s="1" customFormat="1" ht="14.25" x14ac:dyDescent="0.15">
      <c r="B433" s="16">
        <v>2</v>
      </c>
      <c r="C433" s="61"/>
      <c r="D433" s="49"/>
      <c r="E433" s="49"/>
      <c r="F433" s="129"/>
      <c r="G433" s="20"/>
      <c r="H433" s="20">
        <v>1</v>
      </c>
      <c r="I433" s="126">
        <f t="shared" si="31"/>
        <v>0</v>
      </c>
      <c r="J433" s="21">
        <f t="shared" si="32"/>
        <v>0</v>
      </c>
      <c r="K433" s="80"/>
      <c r="L433" s="82"/>
    </row>
    <row r="434" spans="2:12" s="1" customFormat="1" ht="14.25" x14ac:dyDescent="0.15">
      <c r="B434" s="16">
        <v>3</v>
      </c>
      <c r="C434" s="61"/>
      <c r="D434" s="49"/>
      <c r="E434" s="49"/>
      <c r="F434" s="129"/>
      <c r="G434" s="20"/>
      <c r="H434" s="20">
        <v>1</v>
      </c>
      <c r="I434" s="126">
        <f t="shared" si="31"/>
        <v>0</v>
      </c>
      <c r="J434" s="21">
        <f t="shared" si="32"/>
        <v>0</v>
      </c>
      <c r="K434" s="80"/>
      <c r="L434" s="82"/>
    </row>
    <row r="435" spans="2:12" s="1" customFormat="1" ht="14.25" x14ac:dyDescent="0.15">
      <c r="B435" s="16">
        <v>4</v>
      </c>
      <c r="C435" s="61"/>
      <c r="D435" s="49"/>
      <c r="E435" s="49"/>
      <c r="F435" s="129"/>
      <c r="G435" s="20"/>
      <c r="H435" s="20">
        <v>1</v>
      </c>
      <c r="I435" s="126">
        <f t="shared" si="31"/>
        <v>0</v>
      </c>
      <c r="J435" s="21">
        <f t="shared" si="32"/>
        <v>0</v>
      </c>
      <c r="K435" s="80"/>
      <c r="L435" s="82"/>
    </row>
    <row r="436" spans="2:12" s="1" customFormat="1" ht="16.5" x14ac:dyDescent="0.2">
      <c r="B436" s="16">
        <v>5</v>
      </c>
      <c r="C436" s="71"/>
      <c r="D436" s="49"/>
      <c r="E436" s="49"/>
      <c r="F436" s="129"/>
      <c r="G436" s="20"/>
      <c r="H436" s="20">
        <v>1</v>
      </c>
      <c r="I436" s="126">
        <f t="shared" si="31"/>
        <v>0</v>
      </c>
      <c r="J436" s="21">
        <f t="shared" si="32"/>
        <v>0</v>
      </c>
      <c r="K436" s="80"/>
      <c r="L436" s="82"/>
    </row>
    <row r="437" spans="2:12" s="1" customFormat="1" ht="14.25" x14ac:dyDescent="0.15">
      <c r="B437" s="16">
        <v>6</v>
      </c>
      <c r="C437" s="61"/>
      <c r="D437" s="49"/>
      <c r="E437" s="49"/>
      <c r="F437" s="129"/>
      <c r="G437" s="20"/>
      <c r="H437" s="20">
        <v>1</v>
      </c>
      <c r="I437" s="126">
        <f t="shared" si="31"/>
        <v>0</v>
      </c>
      <c r="J437" s="21">
        <f t="shared" si="32"/>
        <v>0</v>
      </c>
      <c r="K437" s="80"/>
      <c r="L437" s="82"/>
    </row>
    <row r="438" spans="2:12" s="1" customFormat="1" ht="14.25" x14ac:dyDescent="0.15">
      <c r="B438" s="16">
        <v>7</v>
      </c>
      <c r="C438" s="61"/>
      <c r="D438" s="49"/>
      <c r="E438" s="49"/>
      <c r="F438" s="129"/>
      <c r="G438" s="20"/>
      <c r="H438" s="20">
        <v>1</v>
      </c>
      <c r="I438" s="126">
        <f t="shared" si="31"/>
        <v>0</v>
      </c>
      <c r="J438" s="21">
        <f t="shared" si="32"/>
        <v>0</v>
      </c>
      <c r="K438" s="80"/>
      <c r="L438" s="82"/>
    </row>
    <row r="439" spans="2:12" s="1" customFormat="1" ht="14.25" x14ac:dyDescent="0.15">
      <c r="B439" s="16">
        <v>8</v>
      </c>
      <c r="C439" s="61"/>
      <c r="D439" s="49"/>
      <c r="E439" s="49"/>
      <c r="F439" s="129"/>
      <c r="G439" s="20"/>
      <c r="H439" s="20">
        <v>1</v>
      </c>
      <c r="I439" s="126">
        <f t="shared" si="31"/>
        <v>0</v>
      </c>
      <c r="J439" s="21">
        <f t="shared" si="32"/>
        <v>0</v>
      </c>
      <c r="K439" s="80"/>
      <c r="L439" s="82"/>
    </row>
    <row r="440" spans="2:12" s="1" customFormat="1" ht="14.25" x14ac:dyDescent="0.15">
      <c r="B440" s="16">
        <v>9</v>
      </c>
      <c r="C440" s="61"/>
      <c r="D440" s="49"/>
      <c r="E440" s="49"/>
      <c r="F440" s="129"/>
      <c r="G440" s="20"/>
      <c r="H440" s="20">
        <v>1</v>
      </c>
      <c r="I440" s="126">
        <f t="shared" si="31"/>
        <v>0</v>
      </c>
      <c r="J440" s="21">
        <f t="shared" si="32"/>
        <v>0</v>
      </c>
      <c r="K440" s="80"/>
      <c r="L440" s="82"/>
    </row>
    <row r="441" spans="2:12" s="1" customFormat="1" ht="14.25" x14ac:dyDescent="0.15">
      <c r="B441" s="16">
        <v>10</v>
      </c>
      <c r="C441" s="61"/>
      <c r="D441" s="49"/>
      <c r="E441" s="49"/>
      <c r="F441" s="129"/>
      <c r="G441" s="20"/>
      <c r="H441" s="20">
        <v>1</v>
      </c>
      <c r="I441" s="126">
        <f t="shared" si="31"/>
        <v>0</v>
      </c>
      <c r="J441" s="21">
        <f t="shared" si="32"/>
        <v>0</v>
      </c>
      <c r="K441" s="80"/>
      <c r="L441" s="82"/>
    </row>
    <row r="442" spans="2:12" s="1" customFormat="1" ht="14.25" x14ac:dyDescent="0.15">
      <c r="B442" s="16">
        <v>11</v>
      </c>
      <c r="C442" s="61"/>
      <c r="D442" s="49"/>
      <c r="E442" s="49"/>
      <c r="F442" s="129"/>
      <c r="G442" s="20"/>
      <c r="H442" s="20">
        <v>1</v>
      </c>
      <c r="I442" s="126">
        <f>J442*$C$32</f>
        <v>0</v>
      </c>
      <c r="J442" s="21">
        <f t="shared" si="32"/>
        <v>0</v>
      </c>
      <c r="K442" s="80"/>
      <c r="L442" s="82"/>
    </row>
    <row r="443" spans="2:12" s="1" customFormat="1" ht="14.25" x14ac:dyDescent="0.15">
      <c r="B443" s="16">
        <v>12</v>
      </c>
      <c r="C443" s="46"/>
      <c r="D443" s="18"/>
      <c r="E443" s="18"/>
      <c r="F443" s="129"/>
      <c r="G443" s="20"/>
      <c r="H443" s="20">
        <v>1</v>
      </c>
      <c r="I443" s="126">
        <f t="shared" ref="I443:I451" si="33">J443*$C$32</f>
        <v>0</v>
      </c>
      <c r="J443" s="21">
        <f t="shared" si="32"/>
        <v>0</v>
      </c>
      <c r="K443" s="80"/>
      <c r="L443" s="82"/>
    </row>
    <row r="444" spans="2:12" s="1" customFormat="1" ht="14.25" x14ac:dyDescent="0.15">
      <c r="B444" s="16">
        <v>13</v>
      </c>
      <c r="C444" s="46"/>
      <c r="D444" s="18"/>
      <c r="E444" s="18"/>
      <c r="F444" s="129"/>
      <c r="G444" s="20"/>
      <c r="H444" s="20">
        <v>1</v>
      </c>
      <c r="I444" s="126">
        <f t="shared" si="33"/>
        <v>0</v>
      </c>
      <c r="J444" s="21">
        <f t="shared" si="32"/>
        <v>0</v>
      </c>
      <c r="K444" s="80"/>
      <c r="L444" s="82"/>
    </row>
    <row r="445" spans="2:12" s="1" customFormat="1" ht="14.25" x14ac:dyDescent="0.15">
      <c r="B445" s="16">
        <v>14</v>
      </c>
      <c r="C445" s="46"/>
      <c r="D445" s="18"/>
      <c r="E445" s="18"/>
      <c r="F445" s="129"/>
      <c r="G445" s="20"/>
      <c r="H445" s="20">
        <v>1</v>
      </c>
      <c r="I445" s="126">
        <f t="shared" si="33"/>
        <v>0</v>
      </c>
      <c r="J445" s="21">
        <f t="shared" si="32"/>
        <v>0</v>
      </c>
      <c r="K445" s="80"/>
      <c r="L445" s="82"/>
    </row>
    <row r="446" spans="2:12" s="1" customFormat="1" ht="14.25" x14ac:dyDescent="0.15">
      <c r="B446" s="16">
        <v>15</v>
      </c>
      <c r="C446" s="46"/>
      <c r="D446" s="18"/>
      <c r="E446" s="18"/>
      <c r="F446" s="129"/>
      <c r="G446" s="20"/>
      <c r="H446" s="20">
        <v>1</v>
      </c>
      <c r="I446" s="126">
        <f t="shared" si="33"/>
        <v>0</v>
      </c>
      <c r="J446" s="21">
        <f t="shared" si="32"/>
        <v>0</v>
      </c>
      <c r="K446" s="80"/>
      <c r="L446" s="82"/>
    </row>
    <row r="447" spans="2:12" s="1" customFormat="1" ht="14.25" x14ac:dyDescent="0.15">
      <c r="B447" s="16">
        <v>16</v>
      </c>
      <c r="C447" s="46"/>
      <c r="D447" s="18"/>
      <c r="E447" s="18"/>
      <c r="F447" s="129"/>
      <c r="G447" s="20"/>
      <c r="H447" s="20">
        <v>1</v>
      </c>
      <c r="I447" s="126">
        <f t="shared" si="33"/>
        <v>0</v>
      </c>
      <c r="J447" s="21">
        <f t="shared" si="32"/>
        <v>0</v>
      </c>
      <c r="K447" s="80"/>
      <c r="L447" s="82"/>
    </row>
    <row r="448" spans="2:12" s="1" customFormat="1" ht="14.25" x14ac:dyDescent="0.15">
      <c r="B448" s="16">
        <v>17</v>
      </c>
      <c r="C448" s="46"/>
      <c r="D448" s="18"/>
      <c r="E448" s="18"/>
      <c r="F448" s="129"/>
      <c r="G448" s="20"/>
      <c r="H448" s="20">
        <v>1</v>
      </c>
      <c r="I448" s="126">
        <f t="shared" si="33"/>
        <v>0</v>
      </c>
      <c r="J448" s="78">
        <f t="shared" si="32"/>
        <v>0</v>
      </c>
      <c r="K448" s="111"/>
      <c r="L448" s="119"/>
    </row>
    <row r="449" spans="2:12" s="1" customFormat="1" ht="14.25" x14ac:dyDescent="0.15">
      <c r="B449" s="16">
        <v>18</v>
      </c>
      <c r="C449" s="46"/>
      <c r="D449" s="18"/>
      <c r="E449" s="18"/>
      <c r="F449" s="129"/>
      <c r="G449" s="20"/>
      <c r="H449" s="20">
        <v>1</v>
      </c>
      <c r="I449" s="254">
        <f t="shared" si="33"/>
        <v>0</v>
      </c>
      <c r="J449" s="94">
        <f t="shared" si="32"/>
        <v>0</v>
      </c>
      <c r="K449" s="82"/>
      <c r="L449" s="82"/>
    </row>
    <row r="450" spans="2:12" s="1" customFormat="1" ht="14.25" x14ac:dyDescent="0.15">
      <c r="B450" s="16">
        <v>19</v>
      </c>
      <c r="C450" s="46"/>
      <c r="D450" s="18"/>
      <c r="E450" s="18"/>
      <c r="F450" s="129"/>
      <c r="G450" s="20"/>
      <c r="H450" s="20">
        <v>1</v>
      </c>
      <c r="I450" s="254">
        <f t="shared" si="33"/>
        <v>0</v>
      </c>
      <c r="J450" s="94">
        <f t="shared" si="32"/>
        <v>0</v>
      </c>
      <c r="K450" s="82"/>
      <c r="L450" s="82"/>
    </row>
    <row r="451" spans="2:12" s="1" customFormat="1" ht="14.25" x14ac:dyDescent="0.15">
      <c r="B451" s="16">
        <v>20</v>
      </c>
      <c r="C451" s="46"/>
      <c r="D451" s="18"/>
      <c r="E451" s="18"/>
      <c r="F451" s="129"/>
      <c r="G451" s="20"/>
      <c r="H451" s="20">
        <v>1</v>
      </c>
      <c r="I451" s="254">
        <f t="shared" si="33"/>
        <v>0</v>
      </c>
      <c r="J451" s="94">
        <f t="shared" si="32"/>
        <v>0</v>
      </c>
      <c r="K451" s="82"/>
      <c r="L451" s="82"/>
    </row>
    <row r="452" spans="2:12" s="1" customFormat="1" ht="14.25" x14ac:dyDescent="0.15">
      <c r="B452" s="83"/>
      <c r="C452" s="174"/>
      <c r="D452" s="75"/>
      <c r="E452" s="75"/>
      <c r="F452" s="132"/>
      <c r="G452" s="77"/>
      <c r="H452" s="77"/>
      <c r="I452" s="255"/>
      <c r="J452" s="94"/>
      <c r="K452" s="82"/>
      <c r="L452" s="82"/>
    </row>
    <row r="453" spans="2:12" s="1" customFormat="1" ht="12.75" x14ac:dyDescent="0.15">
      <c r="B453" s="82"/>
      <c r="C453" s="102"/>
      <c r="D453" s="103"/>
      <c r="E453" s="102"/>
      <c r="F453" s="128">
        <f>SUM(F393:F452)</f>
        <v>0</v>
      </c>
      <c r="G453" s="104"/>
      <c r="H453" s="105"/>
      <c r="I453" s="256">
        <f>SUM(I394:I452)</f>
        <v>0</v>
      </c>
      <c r="J453" s="257">
        <f>SUM(J393:J452)</f>
        <v>0</v>
      </c>
    </row>
    <row r="454" spans="2:12" s="67" customFormat="1" ht="12.75" x14ac:dyDescent="0.15">
      <c r="B454" s="116"/>
      <c r="C454" s="114"/>
      <c r="D454" s="114"/>
      <c r="E454" s="114" t="s">
        <v>147</v>
      </c>
      <c r="F454" s="162">
        <f>100/115*F453</f>
        <v>0</v>
      </c>
      <c r="G454" s="114"/>
      <c r="H454" s="114" t="s">
        <v>147</v>
      </c>
      <c r="I454" s="264">
        <f>100/115*I453</f>
        <v>0</v>
      </c>
      <c r="J454" s="114"/>
    </row>
    <row r="455" spans="2:12" s="1" customFormat="1" ht="12.75" x14ac:dyDescent="0.15"/>
    <row r="456" spans="2:12" s="1" customFormat="1" ht="12.75" x14ac:dyDescent="0.15"/>
    <row r="457" spans="2:12" s="1" customFormat="1" ht="12.75" x14ac:dyDescent="0.15"/>
    <row r="458" spans="2:12" s="1" customFormat="1" ht="12.75" x14ac:dyDescent="0.15"/>
    <row r="459" spans="2:12" s="247" customFormat="1" ht="32.25" x14ac:dyDescent="0.4">
      <c r="B459" s="248"/>
      <c r="C459" s="380" t="s">
        <v>112</v>
      </c>
      <c r="D459" s="380"/>
      <c r="E459" s="400" t="s">
        <v>101</v>
      </c>
      <c r="F459" s="401"/>
      <c r="G459" s="401"/>
      <c r="H459" s="401"/>
      <c r="I459" s="402"/>
      <c r="J459" s="382">
        <v>2026</v>
      </c>
      <c r="K459" s="382"/>
      <c r="L459" s="382"/>
    </row>
    <row r="460" spans="2:12" s="1" customFormat="1" ht="22.5" x14ac:dyDescent="0.15">
      <c r="B460" s="82"/>
      <c r="C460" s="102" t="s">
        <v>114</v>
      </c>
      <c r="D460" s="388" t="s">
        <v>115</v>
      </c>
      <c r="E460" s="388"/>
      <c r="F460" s="102" t="s">
        <v>116</v>
      </c>
      <c r="G460" s="102" t="s">
        <v>117</v>
      </c>
      <c r="H460" s="102" t="s">
        <v>118</v>
      </c>
      <c r="I460" s="102" t="s">
        <v>119</v>
      </c>
      <c r="J460" s="102" t="s">
        <v>120</v>
      </c>
      <c r="K460" s="82"/>
      <c r="L460" s="82"/>
    </row>
    <row r="461" spans="2:12" s="1" customFormat="1" ht="12.75" x14ac:dyDescent="0.15">
      <c r="B461" s="82"/>
      <c r="C461" s="66">
        <f>C391</f>
        <v>700</v>
      </c>
      <c r="D461" s="389">
        <v>21</v>
      </c>
      <c r="E461" s="389"/>
      <c r="F461" s="13">
        <f>F391</f>
        <v>0.8</v>
      </c>
      <c r="G461" s="14">
        <f>G391</f>
        <v>8</v>
      </c>
      <c r="H461" s="142">
        <f>D461*G461*F461</f>
        <v>134.4</v>
      </c>
      <c r="I461" s="66">
        <f>I523</f>
        <v>0</v>
      </c>
      <c r="J461" s="143">
        <f>H461-J523</f>
        <v>134.4</v>
      </c>
      <c r="K461" s="82"/>
      <c r="L461" s="82"/>
    </row>
    <row r="462" spans="2:12" s="1" customFormat="1" ht="33.75" x14ac:dyDescent="0.15">
      <c r="B462" s="84"/>
      <c r="C462" s="136" t="s">
        <v>121</v>
      </c>
      <c r="D462" s="414" t="s">
        <v>122</v>
      </c>
      <c r="E462" s="414"/>
      <c r="F462" s="137" t="s">
        <v>123</v>
      </c>
      <c r="G462" s="138" t="s">
        <v>124</v>
      </c>
      <c r="H462" s="139" t="s">
        <v>125</v>
      </c>
      <c r="I462" s="140" t="s">
        <v>126</v>
      </c>
      <c r="J462" s="138" t="s">
        <v>127</v>
      </c>
      <c r="K462" s="122" t="s">
        <v>128</v>
      </c>
      <c r="L462" s="123" t="s">
        <v>129</v>
      </c>
    </row>
    <row r="463" spans="2:12" s="1" customFormat="1" ht="12.75" x14ac:dyDescent="0.15">
      <c r="B463" s="16"/>
      <c r="C463" s="17"/>
      <c r="D463" s="405"/>
      <c r="E463" s="405"/>
      <c r="F463" s="36"/>
      <c r="G463" s="20"/>
      <c r="H463" s="20"/>
      <c r="I463" s="126"/>
      <c r="J463" s="21"/>
      <c r="K463" s="80"/>
      <c r="L463" s="82"/>
    </row>
    <row r="464" spans="2:12" s="1" customFormat="1" ht="12.95" customHeight="1" x14ac:dyDescent="0.15">
      <c r="B464" s="16"/>
      <c r="C464" s="411" t="s">
        <v>130</v>
      </c>
      <c r="D464" s="411"/>
      <c r="E464" s="411"/>
      <c r="F464" s="129"/>
      <c r="G464" s="20"/>
      <c r="H464" s="20"/>
      <c r="I464" s="126"/>
      <c r="J464" s="21"/>
      <c r="K464" s="80"/>
      <c r="L464" s="82"/>
    </row>
    <row r="465" spans="2:12" s="1" customFormat="1" ht="12.75" customHeight="1" x14ac:dyDescent="0.15">
      <c r="B465" s="16"/>
      <c r="C465" s="37" t="s">
        <v>149</v>
      </c>
      <c r="D465" s="24"/>
      <c r="E465" s="24"/>
      <c r="F465" s="129"/>
      <c r="G465" s="20"/>
      <c r="H465" s="20"/>
      <c r="I465" s="126"/>
      <c r="J465" s="38"/>
      <c r="K465" s="80"/>
      <c r="L465" s="82"/>
    </row>
    <row r="466" spans="2:12" s="1" customFormat="1" ht="12.75" x14ac:dyDescent="0.15">
      <c r="B466" s="16">
        <v>1</v>
      </c>
      <c r="C466" s="23"/>
      <c r="D466" s="24"/>
      <c r="E466" s="24"/>
      <c r="F466" s="129"/>
      <c r="G466" s="20"/>
      <c r="H466" s="20">
        <v>1</v>
      </c>
      <c r="I466" s="126">
        <f t="shared" ref="I466:I521" si="34">J466*$C$32</f>
        <v>0</v>
      </c>
      <c r="J466" s="38">
        <f t="shared" ref="J466:J475" si="35">(F466*G466*H466)/$C$32</f>
        <v>0</v>
      </c>
      <c r="K466" s="80"/>
      <c r="L466" s="82"/>
    </row>
    <row r="467" spans="2:12" s="1" customFormat="1" ht="12.75" customHeight="1" x14ac:dyDescent="0.15">
      <c r="B467" s="16">
        <v>2</v>
      </c>
      <c r="C467" s="23"/>
      <c r="D467" s="24"/>
      <c r="E467" s="24"/>
      <c r="F467" s="126"/>
      <c r="G467" s="20"/>
      <c r="H467" s="20">
        <v>1</v>
      </c>
      <c r="I467" s="126">
        <f t="shared" si="34"/>
        <v>0</v>
      </c>
      <c r="J467" s="38">
        <f t="shared" si="35"/>
        <v>0</v>
      </c>
      <c r="K467" s="80"/>
      <c r="L467" s="82"/>
    </row>
    <row r="468" spans="2:12" s="1" customFormat="1" ht="12.95" customHeight="1" x14ac:dyDescent="0.15">
      <c r="B468" s="16">
        <v>3</v>
      </c>
      <c r="C468" s="23"/>
      <c r="D468" s="25"/>
      <c r="E468" s="25"/>
      <c r="F468" s="129"/>
      <c r="G468" s="20"/>
      <c r="H468" s="20">
        <v>1</v>
      </c>
      <c r="I468" s="126">
        <f t="shared" si="34"/>
        <v>0</v>
      </c>
      <c r="J468" s="38">
        <f t="shared" si="35"/>
        <v>0</v>
      </c>
      <c r="K468" s="80"/>
      <c r="L468" s="82"/>
    </row>
    <row r="469" spans="2:12" s="1" customFormat="1" ht="12.95" customHeight="1" x14ac:dyDescent="0.15">
      <c r="B469" s="16">
        <v>4</v>
      </c>
      <c r="C469" s="23"/>
      <c r="D469" s="24"/>
      <c r="E469" s="24"/>
      <c r="F469" s="129"/>
      <c r="G469" s="20"/>
      <c r="H469" s="20">
        <v>1</v>
      </c>
      <c r="I469" s="126">
        <f t="shared" si="34"/>
        <v>0</v>
      </c>
      <c r="J469" s="38">
        <f t="shared" si="35"/>
        <v>0</v>
      </c>
      <c r="K469" s="80"/>
      <c r="L469" s="82"/>
    </row>
    <row r="470" spans="2:12" s="1" customFormat="1" ht="12.95" customHeight="1" x14ac:dyDescent="0.15">
      <c r="B470" s="16">
        <v>5</v>
      </c>
      <c r="C470" s="16"/>
      <c r="D470" s="18"/>
      <c r="E470" s="18"/>
      <c r="F470" s="129"/>
      <c r="G470" s="20"/>
      <c r="H470" s="20">
        <v>1</v>
      </c>
      <c r="I470" s="126">
        <f t="shared" si="34"/>
        <v>0</v>
      </c>
      <c r="J470" s="38">
        <f t="shared" si="35"/>
        <v>0</v>
      </c>
      <c r="K470" s="80"/>
      <c r="L470" s="82"/>
    </row>
    <row r="471" spans="2:12" s="1" customFormat="1" ht="12.95" customHeight="1" x14ac:dyDescent="0.15">
      <c r="B471" s="16">
        <v>6</v>
      </c>
      <c r="C471" s="17"/>
      <c r="D471" s="24"/>
      <c r="E471" s="24"/>
      <c r="F471" s="129"/>
      <c r="G471" s="20"/>
      <c r="H471" s="20">
        <v>1</v>
      </c>
      <c r="I471" s="126">
        <f t="shared" si="34"/>
        <v>0</v>
      </c>
      <c r="J471" s="38">
        <f t="shared" si="35"/>
        <v>0</v>
      </c>
      <c r="K471" s="80"/>
      <c r="L471" s="82"/>
    </row>
    <row r="472" spans="2:12" s="1" customFormat="1" ht="12.95" customHeight="1" x14ac:dyDescent="0.15">
      <c r="B472" s="16">
        <v>7</v>
      </c>
      <c r="C472" s="17"/>
      <c r="D472" s="24"/>
      <c r="E472" s="24"/>
      <c r="F472" s="129"/>
      <c r="G472" s="20"/>
      <c r="H472" s="20">
        <v>1</v>
      </c>
      <c r="I472" s="126">
        <f t="shared" si="34"/>
        <v>0</v>
      </c>
      <c r="J472" s="38">
        <f t="shared" si="35"/>
        <v>0</v>
      </c>
      <c r="K472" s="80"/>
      <c r="L472" s="82"/>
    </row>
    <row r="473" spans="2:12" s="1" customFormat="1" ht="12.95" customHeight="1" x14ac:dyDescent="0.15">
      <c r="B473" s="16">
        <v>8</v>
      </c>
      <c r="C473" s="17"/>
      <c r="D473" s="24"/>
      <c r="E473" s="24"/>
      <c r="F473" s="129"/>
      <c r="G473" s="20"/>
      <c r="H473" s="20">
        <v>1</v>
      </c>
      <c r="I473" s="126">
        <f t="shared" si="34"/>
        <v>0</v>
      </c>
      <c r="J473" s="38">
        <f t="shared" si="35"/>
        <v>0</v>
      </c>
      <c r="K473" s="80"/>
      <c r="L473" s="82"/>
    </row>
    <row r="474" spans="2:12" s="1" customFormat="1" ht="12.95" customHeight="1" x14ac:dyDescent="0.15">
      <c r="B474" s="16">
        <v>9</v>
      </c>
      <c r="C474" s="17"/>
      <c r="D474" s="24"/>
      <c r="E474" s="24"/>
      <c r="F474" s="129"/>
      <c r="G474" s="20"/>
      <c r="H474" s="20">
        <v>1</v>
      </c>
      <c r="I474" s="126">
        <f t="shared" si="34"/>
        <v>0</v>
      </c>
      <c r="J474" s="38">
        <f t="shared" si="35"/>
        <v>0</v>
      </c>
      <c r="K474" s="80"/>
      <c r="L474" s="82"/>
    </row>
    <row r="475" spans="2:12" s="1" customFormat="1" ht="12.95" customHeight="1" x14ac:dyDescent="0.15">
      <c r="B475" s="16">
        <v>10</v>
      </c>
      <c r="C475" s="17"/>
      <c r="D475" s="24"/>
      <c r="E475" s="24"/>
      <c r="F475" s="129"/>
      <c r="G475" s="20"/>
      <c r="H475" s="20">
        <v>1</v>
      </c>
      <c r="I475" s="126">
        <f t="shared" si="34"/>
        <v>0</v>
      </c>
      <c r="J475" s="38">
        <f t="shared" si="35"/>
        <v>0</v>
      </c>
      <c r="K475" s="80"/>
      <c r="L475" s="82"/>
    </row>
    <row r="476" spans="2:12" s="1" customFormat="1" ht="12.95" customHeight="1" x14ac:dyDescent="0.15">
      <c r="B476" s="16"/>
      <c r="C476" s="17"/>
      <c r="D476" s="24"/>
      <c r="E476" s="24"/>
      <c r="F476" s="129"/>
      <c r="G476" s="20"/>
      <c r="H476" s="20"/>
      <c r="I476" s="126"/>
      <c r="J476" s="38"/>
      <c r="K476" s="80"/>
      <c r="L476" s="82"/>
    </row>
    <row r="477" spans="2:12" s="1" customFormat="1" ht="12.95" customHeight="1" x14ac:dyDescent="0.15">
      <c r="B477" s="16"/>
      <c r="C477" s="17"/>
      <c r="D477" s="24"/>
      <c r="E477" s="24"/>
      <c r="F477" s="129"/>
      <c r="G477" s="20"/>
      <c r="H477" s="20"/>
      <c r="I477" s="126"/>
      <c r="J477" s="38"/>
      <c r="K477" s="80"/>
      <c r="L477" s="82"/>
    </row>
    <row r="478" spans="2:12" s="1" customFormat="1" ht="12.95" customHeight="1" x14ac:dyDescent="0.15">
      <c r="B478" s="16"/>
      <c r="C478" s="22" t="s">
        <v>153</v>
      </c>
      <c r="D478" s="24"/>
      <c r="E478" s="24"/>
      <c r="F478" s="129"/>
      <c r="G478" s="20"/>
      <c r="H478" s="20"/>
      <c r="I478" s="126"/>
      <c r="J478" s="38"/>
      <c r="K478" s="80"/>
      <c r="L478" s="82"/>
    </row>
    <row r="479" spans="2:12" s="1" customFormat="1" ht="12.95" customHeight="1" x14ac:dyDescent="0.15">
      <c r="B479" s="16">
        <v>1</v>
      </c>
      <c r="C479" s="17"/>
      <c r="D479" s="18"/>
      <c r="E479" s="24"/>
      <c r="F479" s="129"/>
      <c r="G479" s="20"/>
      <c r="H479" s="20">
        <v>1</v>
      </c>
      <c r="I479" s="126">
        <f t="shared" si="34"/>
        <v>0</v>
      </c>
      <c r="J479" s="38">
        <f t="shared" ref="J479:J498" si="36">(F479*G479*H479)/$C$32</f>
        <v>0</v>
      </c>
      <c r="K479" s="80"/>
      <c r="L479" s="82"/>
    </row>
    <row r="480" spans="2:12" s="1" customFormat="1" ht="12.95" customHeight="1" x14ac:dyDescent="0.15">
      <c r="B480" s="16">
        <v>2</v>
      </c>
      <c r="C480" s="17"/>
      <c r="D480" s="18"/>
      <c r="E480" s="24"/>
      <c r="F480" s="129"/>
      <c r="G480" s="20"/>
      <c r="H480" s="20">
        <v>1</v>
      </c>
      <c r="I480" s="126">
        <f t="shared" si="34"/>
        <v>0</v>
      </c>
      <c r="J480" s="38">
        <f t="shared" si="36"/>
        <v>0</v>
      </c>
      <c r="K480" s="80"/>
      <c r="L480" s="82"/>
    </row>
    <row r="481" spans="2:15" s="1" customFormat="1" ht="12.95" customHeight="1" x14ac:dyDescent="0.15">
      <c r="B481" s="16">
        <v>3</v>
      </c>
      <c r="C481" s="17"/>
      <c r="D481" s="24"/>
      <c r="E481" s="18"/>
      <c r="F481" s="129"/>
      <c r="G481" s="20"/>
      <c r="H481" s="20">
        <v>1</v>
      </c>
      <c r="I481" s="126">
        <f t="shared" si="34"/>
        <v>0</v>
      </c>
      <c r="J481" s="38">
        <f t="shared" si="36"/>
        <v>0</v>
      </c>
      <c r="K481" s="80"/>
      <c r="L481" s="82"/>
    </row>
    <row r="482" spans="2:15" s="4" customFormat="1" ht="12.95" customHeight="1" x14ac:dyDescent="0.15">
      <c r="B482" s="26">
        <v>4</v>
      </c>
      <c r="C482" s="23"/>
      <c r="D482" s="48"/>
      <c r="E482" s="49"/>
      <c r="F482" s="126"/>
      <c r="G482" s="50"/>
      <c r="H482" s="50">
        <v>1</v>
      </c>
      <c r="I482" s="126">
        <f t="shared" si="34"/>
        <v>0</v>
      </c>
      <c r="J482" s="38">
        <f t="shared" si="36"/>
        <v>0</v>
      </c>
      <c r="K482" s="108"/>
      <c r="L482" s="113"/>
    </row>
    <row r="483" spans="2:15" s="1" customFormat="1" ht="12.95" customHeight="1" x14ac:dyDescent="0.15">
      <c r="B483" s="16">
        <v>5</v>
      </c>
      <c r="C483" s="17"/>
      <c r="D483" s="24"/>
      <c r="E483" s="18"/>
      <c r="F483" s="129"/>
      <c r="G483" s="20"/>
      <c r="H483" s="20">
        <v>1</v>
      </c>
      <c r="I483" s="126">
        <f t="shared" si="34"/>
        <v>0</v>
      </c>
      <c r="J483" s="38">
        <f t="shared" si="36"/>
        <v>0</v>
      </c>
      <c r="K483" s="80"/>
      <c r="L483" s="82"/>
    </row>
    <row r="484" spans="2:15" s="1" customFormat="1" ht="12.95" customHeight="1" x14ac:dyDescent="0.15">
      <c r="B484" s="16">
        <v>6</v>
      </c>
      <c r="C484" s="17"/>
      <c r="D484" s="24"/>
      <c r="E484" s="18"/>
      <c r="F484" s="129"/>
      <c r="G484" s="20"/>
      <c r="H484" s="20">
        <v>1</v>
      </c>
      <c r="I484" s="126">
        <f t="shared" si="34"/>
        <v>0</v>
      </c>
      <c r="J484" s="38">
        <f t="shared" si="36"/>
        <v>0</v>
      </c>
      <c r="K484" s="80"/>
      <c r="L484" s="82"/>
    </row>
    <row r="485" spans="2:15" s="1" customFormat="1" ht="12.95" customHeight="1" x14ac:dyDescent="0.15">
      <c r="B485" s="16">
        <v>7</v>
      </c>
      <c r="C485" s="17"/>
      <c r="D485" s="24"/>
      <c r="E485" s="24"/>
      <c r="F485" s="129"/>
      <c r="G485" s="20"/>
      <c r="H485" s="20">
        <v>1</v>
      </c>
      <c r="I485" s="126">
        <f t="shared" si="34"/>
        <v>0</v>
      </c>
      <c r="J485" s="38">
        <f t="shared" si="36"/>
        <v>0</v>
      </c>
      <c r="K485" s="80"/>
      <c r="L485" s="82"/>
    </row>
    <row r="486" spans="2:15" s="1" customFormat="1" ht="12.95" customHeight="1" x14ac:dyDescent="0.15">
      <c r="B486" s="16">
        <v>8</v>
      </c>
      <c r="C486" s="17"/>
      <c r="D486" s="24"/>
      <c r="E486" s="24"/>
      <c r="F486" s="129"/>
      <c r="G486" s="20"/>
      <c r="H486" s="20">
        <v>1</v>
      </c>
      <c r="I486" s="126">
        <f t="shared" si="34"/>
        <v>0</v>
      </c>
      <c r="J486" s="38">
        <f t="shared" si="36"/>
        <v>0</v>
      </c>
      <c r="K486" s="80"/>
      <c r="L486" s="82"/>
    </row>
    <row r="487" spans="2:15" s="1" customFormat="1" ht="14.85" customHeight="1" x14ac:dyDescent="0.15">
      <c r="B487" s="16">
        <v>9</v>
      </c>
      <c r="C487" s="17"/>
      <c r="D487" s="24"/>
      <c r="E487" s="24"/>
      <c r="F487" s="129"/>
      <c r="G487" s="20"/>
      <c r="H487" s="20">
        <v>1</v>
      </c>
      <c r="I487" s="126">
        <f t="shared" si="34"/>
        <v>0</v>
      </c>
      <c r="J487" s="38">
        <f t="shared" si="36"/>
        <v>0</v>
      </c>
      <c r="K487" s="80"/>
      <c r="L487" s="82"/>
    </row>
    <row r="488" spans="2:15" s="1" customFormat="1" ht="12.95" customHeight="1" x14ac:dyDescent="0.15">
      <c r="B488" s="16">
        <v>10</v>
      </c>
      <c r="C488" s="17"/>
      <c r="D488" s="24"/>
      <c r="E488" s="24"/>
      <c r="F488" s="129"/>
      <c r="G488" s="20"/>
      <c r="H488" s="20">
        <v>1</v>
      </c>
      <c r="I488" s="126">
        <f t="shared" si="34"/>
        <v>0</v>
      </c>
      <c r="J488" s="38">
        <f t="shared" si="36"/>
        <v>0</v>
      </c>
      <c r="K488" s="80"/>
      <c r="L488" s="82"/>
      <c r="M488" s="39"/>
      <c r="N488" s="40"/>
      <c r="O488" s="40"/>
    </row>
    <row r="489" spans="2:15" s="1" customFormat="1" ht="12.95" customHeight="1" x14ac:dyDescent="0.15">
      <c r="B489" s="16">
        <v>11</v>
      </c>
      <c r="C489" s="17"/>
      <c r="D489" s="24"/>
      <c r="E489" s="24"/>
      <c r="F489" s="129"/>
      <c r="G489" s="20"/>
      <c r="H489" s="20">
        <v>1</v>
      </c>
      <c r="I489" s="126">
        <f t="shared" si="34"/>
        <v>0</v>
      </c>
      <c r="J489" s="38">
        <f t="shared" si="36"/>
        <v>0</v>
      </c>
      <c r="K489" s="80"/>
      <c r="L489" s="82"/>
    </row>
    <row r="490" spans="2:15" s="1" customFormat="1" ht="12.95" customHeight="1" x14ac:dyDescent="0.15">
      <c r="B490" s="16">
        <v>12</v>
      </c>
      <c r="C490" s="17"/>
      <c r="D490" s="24"/>
      <c r="E490" s="24"/>
      <c r="F490" s="129"/>
      <c r="G490" s="20"/>
      <c r="H490" s="20">
        <v>1</v>
      </c>
      <c r="I490" s="126">
        <f t="shared" si="34"/>
        <v>0</v>
      </c>
      <c r="J490" s="38">
        <f t="shared" si="36"/>
        <v>0</v>
      </c>
      <c r="K490" s="80"/>
      <c r="L490" s="82"/>
    </row>
    <row r="491" spans="2:15" s="1" customFormat="1" ht="12.95" customHeight="1" x14ac:dyDescent="0.15">
      <c r="B491" s="16">
        <v>13</v>
      </c>
      <c r="C491" s="17"/>
      <c r="D491" s="24"/>
      <c r="E491" s="24"/>
      <c r="F491" s="130"/>
      <c r="G491" s="20"/>
      <c r="H491" s="20">
        <v>1</v>
      </c>
      <c r="I491" s="126">
        <f t="shared" si="34"/>
        <v>0</v>
      </c>
      <c r="J491" s="38">
        <f t="shared" si="36"/>
        <v>0</v>
      </c>
      <c r="K491" s="80"/>
      <c r="L491" s="82"/>
    </row>
    <row r="492" spans="2:15" s="1" customFormat="1" ht="12.95" customHeight="1" x14ac:dyDescent="0.15">
      <c r="B492" s="16">
        <v>14</v>
      </c>
      <c r="C492" s="17"/>
      <c r="D492" s="24"/>
      <c r="E492" s="24"/>
      <c r="F492" s="129"/>
      <c r="G492" s="20"/>
      <c r="H492" s="20">
        <v>1</v>
      </c>
      <c r="I492" s="126">
        <f t="shared" si="34"/>
        <v>0</v>
      </c>
      <c r="J492" s="38">
        <f t="shared" si="36"/>
        <v>0</v>
      </c>
      <c r="K492" s="80"/>
      <c r="L492" s="82"/>
    </row>
    <row r="493" spans="2:15" s="1" customFormat="1" ht="12.95" customHeight="1" x14ac:dyDescent="0.15">
      <c r="B493" s="16">
        <v>15</v>
      </c>
      <c r="C493" s="17"/>
      <c r="D493" s="24"/>
      <c r="E493" s="24"/>
      <c r="F493" s="129"/>
      <c r="G493" s="20"/>
      <c r="H493" s="20">
        <v>1</v>
      </c>
      <c r="I493" s="126">
        <f t="shared" si="34"/>
        <v>0</v>
      </c>
      <c r="J493" s="38">
        <f t="shared" si="36"/>
        <v>0</v>
      </c>
      <c r="K493" s="80"/>
      <c r="L493" s="82"/>
    </row>
    <row r="494" spans="2:15" s="1" customFormat="1" ht="12.95" customHeight="1" x14ac:dyDescent="0.15">
      <c r="B494" s="16">
        <v>16</v>
      </c>
      <c r="C494" s="17"/>
      <c r="D494" s="24"/>
      <c r="E494" s="24"/>
      <c r="F494" s="129"/>
      <c r="G494" s="20"/>
      <c r="H494" s="20">
        <v>1</v>
      </c>
      <c r="I494" s="126">
        <f t="shared" si="34"/>
        <v>0</v>
      </c>
      <c r="J494" s="38">
        <f t="shared" si="36"/>
        <v>0</v>
      </c>
      <c r="K494" s="80"/>
      <c r="L494" s="82"/>
    </row>
    <row r="495" spans="2:15" s="1" customFormat="1" ht="12.95" customHeight="1" x14ac:dyDescent="0.15">
      <c r="B495" s="16">
        <v>17</v>
      </c>
      <c r="C495" s="17"/>
      <c r="D495" s="24"/>
      <c r="E495" s="24"/>
      <c r="F495" s="129"/>
      <c r="G495" s="20"/>
      <c r="H495" s="20">
        <v>1</v>
      </c>
      <c r="I495" s="126">
        <f t="shared" si="34"/>
        <v>0</v>
      </c>
      <c r="J495" s="38">
        <f t="shared" si="36"/>
        <v>0</v>
      </c>
      <c r="K495" s="80"/>
      <c r="L495" s="82"/>
    </row>
    <row r="496" spans="2:15" s="1" customFormat="1" ht="12.95" customHeight="1" x14ac:dyDescent="0.15">
      <c r="B496" s="16">
        <v>18</v>
      </c>
      <c r="C496" s="17"/>
      <c r="D496" s="24"/>
      <c r="E496" s="24"/>
      <c r="F496" s="129"/>
      <c r="G496" s="20"/>
      <c r="H496" s="20">
        <v>1</v>
      </c>
      <c r="I496" s="126">
        <f t="shared" si="34"/>
        <v>0</v>
      </c>
      <c r="J496" s="38">
        <f t="shared" si="36"/>
        <v>0</v>
      </c>
      <c r="K496" s="80"/>
      <c r="L496" s="82"/>
    </row>
    <row r="497" spans="2:20" s="1" customFormat="1" ht="12.95" customHeight="1" x14ac:dyDescent="0.15">
      <c r="B497" s="16">
        <v>19</v>
      </c>
      <c r="C497" s="17"/>
      <c r="D497" s="18"/>
      <c r="E497" s="18"/>
      <c r="F497" s="129"/>
      <c r="G497" s="20"/>
      <c r="H497" s="20">
        <v>1</v>
      </c>
      <c r="I497" s="126">
        <f t="shared" si="34"/>
        <v>0</v>
      </c>
      <c r="J497" s="21">
        <f t="shared" si="36"/>
        <v>0</v>
      </c>
      <c r="K497" s="80"/>
      <c r="L497" s="82"/>
      <c r="M497" s="10"/>
      <c r="N497" s="10"/>
      <c r="O497" s="10"/>
      <c r="P497" s="10"/>
      <c r="Q497" s="43"/>
      <c r="R497" s="10"/>
      <c r="T497" s="10"/>
    </row>
    <row r="498" spans="2:20" s="1" customFormat="1" ht="12.95" customHeight="1" x14ac:dyDescent="0.15">
      <c r="B498" s="16">
        <v>20</v>
      </c>
      <c r="C498" s="17"/>
      <c r="D498" s="18"/>
      <c r="E498" s="18"/>
      <c r="F498" s="129"/>
      <c r="G498" s="20"/>
      <c r="H498" s="20">
        <v>1</v>
      </c>
      <c r="I498" s="126">
        <f t="shared" si="34"/>
        <v>0</v>
      </c>
      <c r="J498" s="21">
        <f t="shared" si="36"/>
        <v>0</v>
      </c>
      <c r="K498" s="80"/>
      <c r="L498" s="82"/>
      <c r="M498" s="10"/>
      <c r="N498" s="10"/>
      <c r="O498" s="10"/>
      <c r="P498" s="10"/>
      <c r="Q498" s="43"/>
      <c r="R498" s="10"/>
      <c r="T498" s="10"/>
    </row>
    <row r="499" spans="2:20" s="1" customFormat="1" ht="12.95" customHeight="1" x14ac:dyDescent="0.15">
      <c r="B499" s="16"/>
      <c r="C499" s="17"/>
      <c r="D499" s="18"/>
      <c r="E499" s="18"/>
      <c r="F499" s="129"/>
      <c r="G499" s="20"/>
      <c r="H499" s="20"/>
      <c r="I499" s="126"/>
      <c r="J499" s="21"/>
      <c r="K499" s="80"/>
      <c r="L499" s="82"/>
      <c r="M499" s="10"/>
      <c r="N499" s="10"/>
      <c r="O499" s="10"/>
      <c r="P499" s="10"/>
      <c r="Q499" s="43"/>
      <c r="R499" s="10"/>
      <c r="T499" s="10"/>
    </row>
    <row r="500" spans="2:20" s="1" customFormat="1" ht="12.95" customHeight="1" x14ac:dyDescent="0.15">
      <c r="B500" s="16"/>
      <c r="C500" s="17"/>
      <c r="D500" s="18"/>
      <c r="E500" s="18"/>
      <c r="F500" s="129"/>
      <c r="G500" s="20"/>
      <c r="H500" s="20"/>
      <c r="I500" s="126"/>
      <c r="J500" s="21"/>
      <c r="K500" s="80"/>
      <c r="L500" s="82"/>
      <c r="M500" s="10"/>
      <c r="N500" s="10"/>
      <c r="O500" s="10"/>
      <c r="P500" s="10"/>
      <c r="Q500" s="43"/>
      <c r="R500" s="10"/>
      <c r="T500" s="10"/>
    </row>
    <row r="501" spans="2:20" s="1" customFormat="1" ht="12.95" customHeight="1" x14ac:dyDescent="0.15">
      <c r="B501" s="16"/>
      <c r="C501" s="22" t="s">
        <v>160</v>
      </c>
      <c r="D501" s="18"/>
      <c r="E501" s="18"/>
      <c r="F501" s="129"/>
      <c r="G501" s="20"/>
      <c r="H501" s="20"/>
      <c r="I501" s="126"/>
      <c r="J501" s="21"/>
      <c r="K501" s="80"/>
      <c r="L501" s="82"/>
      <c r="M501" s="10"/>
      <c r="N501" s="10"/>
      <c r="O501" s="10"/>
      <c r="P501" s="10"/>
      <c r="Q501" s="43"/>
      <c r="R501" s="10"/>
      <c r="T501" s="10"/>
    </row>
    <row r="502" spans="2:20" s="1" customFormat="1" ht="12.95" customHeight="1" x14ac:dyDescent="0.15">
      <c r="B502" s="16">
        <v>1</v>
      </c>
      <c r="C502" s="22"/>
      <c r="D502" s="18"/>
      <c r="E502" s="18"/>
      <c r="F502" s="129"/>
      <c r="G502" s="20"/>
      <c r="H502" s="20">
        <v>1</v>
      </c>
      <c r="I502" s="126">
        <f t="shared" si="34"/>
        <v>0</v>
      </c>
      <c r="J502" s="21">
        <f t="shared" ref="J502:J521" si="37">(F502*G502*H502)/$C$32</f>
        <v>0</v>
      </c>
      <c r="K502" s="80"/>
      <c r="L502" s="82"/>
      <c r="M502" s="10"/>
      <c r="N502" s="10"/>
      <c r="O502" s="10"/>
      <c r="P502" s="10"/>
      <c r="Q502" s="43"/>
      <c r="R502" s="10"/>
      <c r="T502" s="10"/>
    </row>
    <row r="503" spans="2:20" s="1" customFormat="1" ht="12.95" customHeight="1" x14ac:dyDescent="0.15">
      <c r="B503" s="16">
        <v>2</v>
      </c>
      <c r="C503" s="22"/>
      <c r="D503" s="18"/>
      <c r="E503" s="18"/>
      <c r="F503" s="129"/>
      <c r="G503" s="20"/>
      <c r="H503" s="20">
        <v>1</v>
      </c>
      <c r="I503" s="126">
        <f t="shared" si="34"/>
        <v>0</v>
      </c>
      <c r="J503" s="21">
        <f t="shared" si="37"/>
        <v>0</v>
      </c>
      <c r="K503" s="80"/>
      <c r="L503" s="82"/>
      <c r="M503" s="10"/>
      <c r="N503" s="10"/>
      <c r="O503" s="10"/>
      <c r="P503" s="10"/>
      <c r="Q503" s="43"/>
      <c r="R503" s="10"/>
      <c r="T503" s="10"/>
    </row>
    <row r="504" spans="2:20" s="1" customFormat="1" ht="12.95" customHeight="1" x14ac:dyDescent="0.15">
      <c r="B504" s="16">
        <v>3</v>
      </c>
      <c r="C504" s="22"/>
      <c r="D504" s="18"/>
      <c r="E504" s="18"/>
      <c r="F504" s="129"/>
      <c r="G504" s="20"/>
      <c r="H504" s="20">
        <v>1</v>
      </c>
      <c r="I504" s="126">
        <f t="shared" si="34"/>
        <v>0</v>
      </c>
      <c r="J504" s="21">
        <f t="shared" si="37"/>
        <v>0</v>
      </c>
      <c r="K504" s="80"/>
      <c r="L504" s="82"/>
      <c r="M504" s="10"/>
      <c r="N504" s="10"/>
      <c r="O504" s="10"/>
      <c r="P504" s="10"/>
      <c r="Q504" s="43"/>
      <c r="R504" s="10"/>
      <c r="T504" s="10"/>
    </row>
    <row r="505" spans="2:20" s="1" customFormat="1" ht="12.95" customHeight="1" x14ac:dyDescent="0.15">
      <c r="B505" s="16">
        <v>4</v>
      </c>
      <c r="C505" s="22"/>
      <c r="D505" s="18"/>
      <c r="E505" s="18"/>
      <c r="F505" s="129"/>
      <c r="G505" s="20"/>
      <c r="H505" s="20">
        <v>1</v>
      </c>
      <c r="I505" s="126">
        <f t="shared" si="34"/>
        <v>0</v>
      </c>
      <c r="J505" s="21">
        <f t="shared" si="37"/>
        <v>0</v>
      </c>
      <c r="K505" s="80"/>
      <c r="L505" s="82"/>
      <c r="M505" s="10"/>
      <c r="N505" s="10"/>
      <c r="O505" s="10"/>
      <c r="P505" s="10"/>
      <c r="Q505" s="43"/>
      <c r="R505" s="10"/>
      <c r="T505" s="10"/>
    </row>
    <row r="506" spans="2:20" s="1" customFormat="1" ht="12.95" customHeight="1" x14ac:dyDescent="0.15">
      <c r="B506" s="16">
        <v>5</v>
      </c>
      <c r="C506" s="22"/>
      <c r="D506" s="18"/>
      <c r="E506" s="18"/>
      <c r="F506" s="129"/>
      <c r="G506" s="20"/>
      <c r="H506" s="20">
        <v>1</v>
      </c>
      <c r="I506" s="126">
        <f t="shared" si="34"/>
        <v>0</v>
      </c>
      <c r="J506" s="21">
        <f t="shared" si="37"/>
        <v>0</v>
      </c>
      <c r="K506" s="80"/>
      <c r="L506" s="82"/>
      <c r="M506" s="10"/>
      <c r="N506" s="10"/>
      <c r="O506" s="10"/>
      <c r="P506" s="10"/>
      <c r="Q506" s="43"/>
      <c r="R506" s="10"/>
      <c r="T506" s="10"/>
    </row>
    <row r="507" spans="2:20" s="1" customFormat="1" ht="12.95" customHeight="1" x14ac:dyDescent="0.15">
      <c r="B507" s="16">
        <v>6</v>
      </c>
      <c r="C507" s="22"/>
      <c r="D507" s="18"/>
      <c r="E507" s="18"/>
      <c r="F507" s="129"/>
      <c r="G507" s="20"/>
      <c r="H507" s="20">
        <v>1</v>
      </c>
      <c r="I507" s="126">
        <f t="shared" si="34"/>
        <v>0</v>
      </c>
      <c r="J507" s="21">
        <f t="shared" si="37"/>
        <v>0</v>
      </c>
      <c r="K507" s="80"/>
      <c r="L507" s="82"/>
      <c r="M507" s="10"/>
      <c r="N507" s="10"/>
      <c r="O507" s="10"/>
      <c r="P507" s="10"/>
      <c r="Q507" s="43"/>
      <c r="R507" s="10"/>
      <c r="T507" s="10"/>
    </row>
    <row r="508" spans="2:20" s="1" customFormat="1" ht="12.95" customHeight="1" x14ac:dyDescent="0.15">
      <c r="B508" s="16">
        <v>7</v>
      </c>
      <c r="C508" s="22"/>
      <c r="D508" s="18"/>
      <c r="E508" s="18"/>
      <c r="F508" s="129"/>
      <c r="G508" s="20"/>
      <c r="H508" s="20">
        <v>1</v>
      </c>
      <c r="I508" s="126">
        <f t="shared" si="34"/>
        <v>0</v>
      </c>
      <c r="J508" s="21">
        <f t="shared" si="37"/>
        <v>0</v>
      </c>
      <c r="K508" s="80"/>
      <c r="L508" s="82"/>
      <c r="M508" s="10"/>
      <c r="N508" s="10"/>
      <c r="O508" s="10"/>
      <c r="P508" s="10"/>
      <c r="Q508" s="43"/>
      <c r="R508" s="10"/>
      <c r="T508" s="10"/>
    </row>
    <row r="509" spans="2:20" s="1" customFormat="1" ht="12.95" customHeight="1" x14ac:dyDescent="0.15">
      <c r="B509" s="16">
        <v>8</v>
      </c>
      <c r="C509" s="22"/>
      <c r="D509" s="18"/>
      <c r="E509" s="18"/>
      <c r="F509" s="129"/>
      <c r="G509" s="20"/>
      <c r="H509" s="20">
        <v>1</v>
      </c>
      <c r="I509" s="126">
        <f t="shared" si="34"/>
        <v>0</v>
      </c>
      <c r="J509" s="21">
        <f t="shared" si="37"/>
        <v>0</v>
      </c>
      <c r="K509" s="80"/>
      <c r="L509" s="82"/>
      <c r="M509" s="10"/>
      <c r="N509" s="10"/>
      <c r="O509" s="10"/>
      <c r="P509" s="10"/>
      <c r="Q509" s="43"/>
      <c r="R509" s="10"/>
      <c r="T509" s="10"/>
    </row>
    <row r="510" spans="2:20" s="1" customFormat="1" ht="12.95" customHeight="1" x14ac:dyDescent="0.15">
      <c r="B510" s="16">
        <v>9</v>
      </c>
      <c r="C510" s="22"/>
      <c r="D510" s="18"/>
      <c r="E510" s="18"/>
      <c r="F510" s="129"/>
      <c r="G510" s="20"/>
      <c r="H510" s="20">
        <v>1</v>
      </c>
      <c r="I510" s="126">
        <f t="shared" si="34"/>
        <v>0</v>
      </c>
      <c r="J510" s="21">
        <f t="shared" si="37"/>
        <v>0</v>
      </c>
      <c r="K510" s="80"/>
      <c r="L510" s="82"/>
      <c r="M510" s="10"/>
      <c r="N510" s="10"/>
      <c r="O510" s="10"/>
      <c r="P510" s="10"/>
      <c r="Q510" s="43"/>
      <c r="R510" s="10"/>
      <c r="T510" s="10"/>
    </row>
    <row r="511" spans="2:20" s="1" customFormat="1" ht="12.95" customHeight="1" x14ac:dyDescent="0.15">
      <c r="B511" s="16">
        <v>10</v>
      </c>
      <c r="C511" s="22"/>
      <c r="D511" s="18"/>
      <c r="E511" s="18"/>
      <c r="F511" s="129"/>
      <c r="G511" s="20"/>
      <c r="H511" s="20">
        <v>1</v>
      </c>
      <c r="I511" s="126">
        <f t="shared" si="34"/>
        <v>0</v>
      </c>
      <c r="J511" s="21">
        <f t="shared" si="37"/>
        <v>0</v>
      </c>
      <c r="K511" s="80"/>
      <c r="L511" s="82"/>
      <c r="M511" s="10"/>
      <c r="N511" s="10"/>
      <c r="O511" s="10"/>
      <c r="P511" s="10"/>
      <c r="Q511" s="43"/>
      <c r="R511" s="10"/>
      <c r="T511" s="10"/>
    </row>
    <row r="512" spans="2:20" s="1" customFormat="1" ht="12.95" customHeight="1" x14ac:dyDescent="0.15">
      <c r="B512" s="16">
        <v>11</v>
      </c>
      <c r="C512" s="22"/>
      <c r="D512" s="18"/>
      <c r="E512" s="18"/>
      <c r="F512" s="129"/>
      <c r="G512" s="20"/>
      <c r="H512" s="20">
        <v>1</v>
      </c>
      <c r="I512" s="126">
        <f t="shared" si="34"/>
        <v>0</v>
      </c>
      <c r="J512" s="21">
        <f t="shared" si="37"/>
        <v>0</v>
      </c>
      <c r="K512" s="80"/>
      <c r="L512" s="82"/>
      <c r="M512" s="10"/>
      <c r="N512" s="10"/>
      <c r="O512" s="10"/>
      <c r="P512" s="10"/>
      <c r="Q512" s="43"/>
      <c r="R512" s="10"/>
      <c r="T512" s="10"/>
    </row>
    <row r="513" spans="2:20" s="1" customFormat="1" ht="12.95" customHeight="1" x14ac:dyDescent="0.2">
      <c r="B513" s="16">
        <v>12</v>
      </c>
      <c r="C513" s="45"/>
      <c r="D513" s="18"/>
      <c r="E513" s="18"/>
      <c r="F513" s="51"/>
      <c r="G513" s="20"/>
      <c r="H513" s="20">
        <v>1</v>
      </c>
      <c r="I513" s="126">
        <f t="shared" si="34"/>
        <v>0</v>
      </c>
      <c r="J513" s="21">
        <f t="shared" si="37"/>
        <v>0</v>
      </c>
      <c r="K513" s="80"/>
      <c r="L513" s="82"/>
      <c r="N513" s="10"/>
      <c r="O513" s="10"/>
      <c r="P513" s="10"/>
      <c r="Q513" s="43"/>
      <c r="R513" s="10"/>
      <c r="T513" s="10"/>
    </row>
    <row r="514" spans="2:20" s="1" customFormat="1" ht="12.95" customHeight="1" x14ac:dyDescent="0.2">
      <c r="B514" s="16">
        <v>13</v>
      </c>
      <c r="C514" s="45"/>
      <c r="D514" s="18"/>
      <c r="E514" s="18"/>
      <c r="F514" s="51"/>
      <c r="G514" s="20"/>
      <c r="H514" s="20">
        <v>1</v>
      </c>
      <c r="I514" s="126">
        <f t="shared" si="34"/>
        <v>0</v>
      </c>
      <c r="J514" s="21">
        <f t="shared" si="37"/>
        <v>0</v>
      </c>
      <c r="K514" s="80"/>
      <c r="L514" s="82"/>
      <c r="N514" s="10"/>
      <c r="O514" s="10"/>
      <c r="P514" s="10"/>
      <c r="Q514" s="43"/>
      <c r="R514" s="10"/>
      <c r="T514" s="10"/>
    </row>
    <row r="515" spans="2:20" s="1" customFormat="1" ht="12.95" customHeight="1" x14ac:dyDescent="0.2">
      <c r="B515" s="16">
        <v>14</v>
      </c>
      <c r="C515" s="45"/>
      <c r="D515" s="18"/>
      <c r="E515" s="18"/>
      <c r="F515" s="51"/>
      <c r="G515" s="20"/>
      <c r="H515" s="20">
        <v>1</v>
      </c>
      <c r="I515" s="126">
        <f t="shared" si="34"/>
        <v>0</v>
      </c>
      <c r="J515" s="21">
        <f t="shared" si="37"/>
        <v>0</v>
      </c>
      <c r="K515" s="80"/>
      <c r="L515" s="82"/>
      <c r="N515" s="10"/>
      <c r="O515" s="10"/>
      <c r="P515" s="10"/>
      <c r="Q515" s="43"/>
      <c r="R515" s="10"/>
      <c r="T515" s="10"/>
    </row>
    <row r="516" spans="2:20" s="1" customFormat="1" ht="12.95" customHeight="1" x14ac:dyDescent="0.2">
      <c r="B516" s="16">
        <v>15</v>
      </c>
      <c r="C516" s="45"/>
      <c r="D516" s="18"/>
      <c r="E516" s="18"/>
      <c r="F516" s="51"/>
      <c r="G516" s="20"/>
      <c r="H516" s="20">
        <v>1</v>
      </c>
      <c r="I516" s="126">
        <f t="shared" si="34"/>
        <v>0</v>
      </c>
      <c r="J516" s="21">
        <f t="shared" si="37"/>
        <v>0</v>
      </c>
      <c r="K516" s="80"/>
      <c r="L516" s="82"/>
      <c r="N516" s="10"/>
      <c r="O516" s="10"/>
      <c r="P516" s="10"/>
      <c r="Q516" s="43"/>
      <c r="R516" s="10"/>
      <c r="T516" s="10"/>
    </row>
    <row r="517" spans="2:20" s="1" customFormat="1" ht="12.95" customHeight="1" x14ac:dyDescent="0.2">
      <c r="B517" s="16">
        <v>16</v>
      </c>
      <c r="C517" s="45"/>
      <c r="D517" s="18"/>
      <c r="E517" s="18"/>
      <c r="F517" s="51"/>
      <c r="G517" s="20"/>
      <c r="H517" s="20">
        <v>1</v>
      </c>
      <c r="I517" s="126">
        <f t="shared" si="34"/>
        <v>0</v>
      </c>
      <c r="J517" s="21">
        <f t="shared" si="37"/>
        <v>0</v>
      </c>
      <c r="K517" s="80"/>
      <c r="L517" s="82"/>
      <c r="N517" s="10"/>
      <c r="O517" s="10"/>
      <c r="P517" s="10"/>
      <c r="Q517" s="43"/>
      <c r="R517" s="10"/>
      <c r="T517" s="10"/>
    </row>
    <row r="518" spans="2:20" s="1" customFormat="1" ht="12.95" customHeight="1" x14ac:dyDescent="0.2">
      <c r="B518" s="16">
        <v>17</v>
      </c>
      <c r="C518" s="45"/>
      <c r="D518" s="18"/>
      <c r="E518" s="18"/>
      <c r="F518" s="51"/>
      <c r="G518" s="20"/>
      <c r="H518" s="20">
        <v>1</v>
      </c>
      <c r="I518" s="126">
        <f t="shared" si="34"/>
        <v>0</v>
      </c>
      <c r="J518" s="21">
        <f t="shared" si="37"/>
        <v>0</v>
      </c>
      <c r="K518" s="80"/>
      <c r="L518" s="82"/>
      <c r="N518" s="10"/>
      <c r="O518" s="10"/>
      <c r="P518" s="10"/>
      <c r="Q518" s="43"/>
      <c r="R518" s="10"/>
      <c r="T518" s="10"/>
    </row>
    <row r="519" spans="2:20" s="1" customFormat="1" ht="12.95" customHeight="1" x14ac:dyDescent="0.2">
      <c r="B519" s="16">
        <v>18</v>
      </c>
      <c r="C519" s="45"/>
      <c r="D519" s="18"/>
      <c r="E519" s="18"/>
      <c r="F519" s="51"/>
      <c r="G519" s="20"/>
      <c r="H519" s="20">
        <v>1</v>
      </c>
      <c r="I519" s="126">
        <f t="shared" si="34"/>
        <v>0</v>
      </c>
      <c r="J519" s="21">
        <f t="shared" si="37"/>
        <v>0</v>
      </c>
      <c r="K519" s="80"/>
      <c r="L519" s="82"/>
      <c r="N519" s="10"/>
      <c r="O519" s="10"/>
      <c r="P519" s="10"/>
      <c r="Q519" s="43"/>
      <c r="R519" s="10"/>
      <c r="T519" s="10"/>
    </row>
    <row r="520" spans="2:20" s="1" customFormat="1" ht="12.95" customHeight="1" x14ac:dyDescent="0.2">
      <c r="B520" s="16">
        <v>19</v>
      </c>
      <c r="C520" s="45"/>
      <c r="D520" s="18"/>
      <c r="E520" s="18"/>
      <c r="F520" s="51"/>
      <c r="G520" s="20"/>
      <c r="H520" s="20">
        <v>1</v>
      </c>
      <c r="I520" s="126">
        <f t="shared" si="34"/>
        <v>0</v>
      </c>
      <c r="J520" s="78">
        <f t="shared" si="37"/>
        <v>0</v>
      </c>
      <c r="K520" s="111"/>
      <c r="L520" s="119"/>
      <c r="N520" s="10"/>
      <c r="O520" s="10"/>
      <c r="P520" s="10"/>
      <c r="Q520" s="43"/>
      <c r="R520" s="10"/>
      <c r="T520" s="10"/>
    </row>
    <row r="521" spans="2:20" s="1" customFormat="1" ht="12.95" customHeight="1" x14ac:dyDescent="0.2">
      <c r="B521" s="16">
        <v>20</v>
      </c>
      <c r="C521" s="45"/>
      <c r="D521" s="18"/>
      <c r="E521" s="18"/>
      <c r="F521" s="51"/>
      <c r="G521" s="20"/>
      <c r="H521" s="20">
        <v>1</v>
      </c>
      <c r="I521" s="254">
        <f t="shared" si="34"/>
        <v>0</v>
      </c>
      <c r="J521" s="94">
        <f t="shared" si="37"/>
        <v>0</v>
      </c>
      <c r="K521" s="82"/>
      <c r="L521" s="82"/>
      <c r="N521" s="10"/>
      <c r="O521" s="10"/>
      <c r="P521" s="10"/>
      <c r="Q521" s="43"/>
      <c r="R521" s="10"/>
      <c r="T521" s="10"/>
    </row>
    <row r="522" spans="2:20" s="1" customFormat="1" ht="12.95" customHeight="1" x14ac:dyDescent="0.2">
      <c r="B522" s="83"/>
      <c r="C522" s="171"/>
      <c r="D522" s="75"/>
      <c r="E522" s="75"/>
      <c r="F522" s="172"/>
      <c r="G522" s="77"/>
      <c r="H522" s="77"/>
      <c r="I522" s="255"/>
      <c r="J522" s="94"/>
      <c r="K522" s="82"/>
      <c r="L522" s="82"/>
      <c r="N522" s="10"/>
      <c r="O522" s="10"/>
      <c r="P522" s="10"/>
      <c r="Q522" s="43"/>
      <c r="R522" s="10"/>
      <c r="T522" s="10"/>
    </row>
    <row r="523" spans="2:20" s="1" customFormat="1" ht="12.95" customHeight="1" x14ac:dyDescent="0.15">
      <c r="B523" s="82"/>
      <c r="C523" s="102"/>
      <c r="D523" s="103"/>
      <c r="E523" s="102"/>
      <c r="F523" s="128">
        <f>SUM(F463:F522)</f>
        <v>0</v>
      </c>
      <c r="G523" s="104"/>
      <c r="H523" s="105"/>
      <c r="I523" s="256">
        <f>SUM(I464:I522)</f>
        <v>0</v>
      </c>
      <c r="J523" s="257">
        <f>SUM(J463:J522)</f>
        <v>0</v>
      </c>
    </row>
    <row r="524" spans="2:20" s="67" customFormat="1" ht="12.95" customHeight="1" x14ac:dyDescent="0.15">
      <c r="B524" s="116"/>
      <c r="C524" s="114"/>
      <c r="D524" s="114"/>
      <c r="E524" s="114" t="s">
        <v>147</v>
      </c>
      <c r="F524" s="162">
        <f>100/115*F523</f>
        <v>0</v>
      </c>
      <c r="G524" s="114"/>
      <c r="H524" s="114" t="s">
        <v>147</v>
      </c>
      <c r="I524" s="264">
        <f>100/115*I523</f>
        <v>0</v>
      </c>
      <c r="J524" s="114"/>
    </row>
    <row r="525" spans="2:20" s="1" customFormat="1" ht="12.95" customHeight="1" x14ac:dyDescent="0.15"/>
    <row r="526" spans="2:20" s="1" customFormat="1" ht="12.95" customHeight="1" x14ac:dyDescent="0.15"/>
    <row r="527" spans="2:20" s="1" customFormat="1" ht="12.95" customHeight="1" x14ac:dyDescent="0.15"/>
    <row r="528" spans="2:20" s="1" customFormat="1" ht="12.95" customHeight="1" x14ac:dyDescent="0.15"/>
    <row r="529" spans="2:12" s="247" customFormat="1" ht="32.25" x14ac:dyDescent="0.4">
      <c r="B529" s="248"/>
      <c r="C529" s="380" t="s">
        <v>112</v>
      </c>
      <c r="D529" s="380"/>
      <c r="E529" s="400" t="s">
        <v>161</v>
      </c>
      <c r="F529" s="401"/>
      <c r="G529" s="401"/>
      <c r="H529" s="401"/>
      <c r="I529" s="402"/>
      <c r="J529" s="407">
        <v>2026</v>
      </c>
      <c r="K529" s="408"/>
      <c r="L529" s="409"/>
    </row>
    <row r="530" spans="2:12" s="1" customFormat="1" ht="42" customHeight="1" x14ac:dyDescent="0.15">
      <c r="B530" s="82"/>
      <c r="C530" s="102" t="s">
        <v>114</v>
      </c>
      <c r="D530" s="388" t="s">
        <v>115</v>
      </c>
      <c r="E530" s="388"/>
      <c r="F530" s="102" t="s">
        <v>116</v>
      </c>
      <c r="G530" s="102" t="s">
        <v>117</v>
      </c>
      <c r="H530" s="102" t="s">
        <v>118</v>
      </c>
      <c r="I530" s="173" t="s">
        <v>119</v>
      </c>
      <c r="J530" s="102" t="s">
        <v>120</v>
      </c>
      <c r="K530" s="82"/>
      <c r="L530" s="82"/>
    </row>
    <row r="531" spans="2:12" s="1" customFormat="1" ht="12.95" customHeight="1" x14ac:dyDescent="0.15">
      <c r="B531" s="84"/>
      <c r="C531" s="149">
        <f>C461</f>
        <v>700</v>
      </c>
      <c r="D531" s="412">
        <v>21</v>
      </c>
      <c r="E531" s="412"/>
      <c r="F531" s="146">
        <f>F461</f>
        <v>0.8</v>
      </c>
      <c r="G531" s="147">
        <f>G461</f>
        <v>8</v>
      </c>
      <c r="H531" s="148">
        <f>D531*G531*F531</f>
        <v>134.4</v>
      </c>
      <c r="I531" s="149">
        <f>I593</f>
        <v>0</v>
      </c>
      <c r="J531" s="150">
        <f>H531-J593</f>
        <v>134.4</v>
      </c>
      <c r="K531" s="79"/>
      <c r="L531" s="120"/>
    </row>
    <row r="532" spans="2:12" s="1" customFormat="1" ht="69.95" customHeight="1" x14ac:dyDescent="0.15">
      <c r="B532" s="16"/>
      <c r="C532" s="22" t="s">
        <v>121</v>
      </c>
      <c r="D532" s="413" t="s">
        <v>122</v>
      </c>
      <c r="E532" s="413"/>
      <c r="F532" s="33" t="s">
        <v>123</v>
      </c>
      <c r="G532" s="34" t="s">
        <v>124</v>
      </c>
      <c r="H532" s="35" t="s">
        <v>125</v>
      </c>
      <c r="I532" s="125" t="s">
        <v>126</v>
      </c>
      <c r="J532" s="34" t="s">
        <v>127</v>
      </c>
      <c r="K532" s="107" t="s">
        <v>128</v>
      </c>
      <c r="L532" s="123" t="s">
        <v>129</v>
      </c>
    </row>
    <row r="533" spans="2:12" s="1" customFormat="1" ht="12.75" customHeight="1" x14ac:dyDescent="0.15">
      <c r="B533" s="83"/>
      <c r="C533" s="159"/>
      <c r="D533" s="164"/>
      <c r="E533" s="164"/>
      <c r="F533" s="76"/>
      <c r="G533" s="20"/>
      <c r="H533" s="20"/>
      <c r="I533" s="126"/>
      <c r="J533" s="38"/>
      <c r="K533" s="80"/>
      <c r="L533" s="82"/>
    </row>
    <row r="534" spans="2:12" s="1" customFormat="1" ht="12.75" x14ac:dyDescent="0.15">
      <c r="B534" s="82"/>
      <c r="C534" s="392" t="s">
        <v>130</v>
      </c>
      <c r="D534" s="392"/>
      <c r="E534" s="392"/>
      <c r="F534" s="168"/>
      <c r="G534" s="163"/>
      <c r="H534" s="20"/>
      <c r="I534" s="126"/>
      <c r="J534" s="21"/>
      <c r="K534" s="80"/>
      <c r="L534" s="82"/>
    </row>
    <row r="535" spans="2:12" s="1" customFormat="1" ht="12.95" customHeight="1" x14ac:dyDescent="0.15">
      <c r="B535" s="82"/>
      <c r="C535" s="116" t="s">
        <v>149</v>
      </c>
      <c r="D535" s="169"/>
      <c r="E535" s="169"/>
      <c r="F535" s="168"/>
      <c r="G535" s="163"/>
      <c r="H535" s="20"/>
      <c r="I535" s="126"/>
      <c r="J535" s="38"/>
      <c r="K535" s="80"/>
      <c r="L535" s="82"/>
    </row>
    <row r="536" spans="2:12" s="1" customFormat="1" ht="12.95" customHeight="1" x14ac:dyDescent="0.15">
      <c r="B536" s="82">
        <v>1</v>
      </c>
      <c r="C536" s="89"/>
      <c r="D536" s="169"/>
      <c r="E536" s="169"/>
      <c r="F536" s="168"/>
      <c r="G536" s="163"/>
      <c r="H536" s="20">
        <v>1</v>
      </c>
      <c r="I536" s="129">
        <f t="shared" ref="I536:I568" si="38">J536*$C$32</f>
        <v>0</v>
      </c>
      <c r="J536" s="52">
        <f t="shared" ref="J536:J545" si="39">(F536*G536*H536)/$C$32</f>
        <v>0</v>
      </c>
      <c r="K536" s="80"/>
      <c r="L536" s="82"/>
    </row>
    <row r="537" spans="2:12" s="1" customFormat="1" ht="12.95" customHeight="1" x14ac:dyDescent="0.15">
      <c r="B537" s="82">
        <v>2</v>
      </c>
      <c r="C537" s="89"/>
      <c r="D537" s="169"/>
      <c r="E537" s="169"/>
      <c r="F537" s="168"/>
      <c r="G537" s="163"/>
      <c r="H537" s="20">
        <v>1</v>
      </c>
      <c r="I537" s="129">
        <f t="shared" si="38"/>
        <v>0</v>
      </c>
      <c r="J537" s="52">
        <f t="shared" si="39"/>
        <v>0</v>
      </c>
      <c r="K537" s="80"/>
      <c r="L537" s="82"/>
    </row>
    <row r="538" spans="2:12" s="1" customFormat="1" ht="12.95" customHeight="1" x14ac:dyDescent="0.15">
      <c r="B538" s="82">
        <v>3</v>
      </c>
      <c r="C538" s="89"/>
      <c r="D538" s="169"/>
      <c r="E538" s="169"/>
      <c r="F538" s="168"/>
      <c r="G538" s="163"/>
      <c r="H538" s="20">
        <v>1</v>
      </c>
      <c r="I538" s="129">
        <f t="shared" si="38"/>
        <v>0</v>
      </c>
      <c r="J538" s="52">
        <f t="shared" si="39"/>
        <v>0</v>
      </c>
      <c r="K538" s="80"/>
      <c r="L538" s="82"/>
    </row>
    <row r="539" spans="2:12" s="1" customFormat="1" ht="12.95" customHeight="1" x14ac:dyDescent="0.15">
      <c r="B539" s="82">
        <v>4</v>
      </c>
      <c r="C539" s="82"/>
      <c r="D539" s="90"/>
      <c r="E539" s="90"/>
      <c r="F539" s="168"/>
      <c r="G539" s="163"/>
      <c r="H539" s="20">
        <v>1</v>
      </c>
      <c r="I539" s="129">
        <f t="shared" si="38"/>
        <v>0</v>
      </c>
      <c r="J539" s="52">
        <f t="shared" si="39"/>
        <v>0</v>
      </c>
      <c r="K539" s="80"/>
      <c r="L539" s="82"/>
    </row>
    <row r="540" spans="2:12" s="1" customFormat="1" ht="12.95" customHeight="1" x14ac:dyDescent="0.15">
      <c r="B540" s="82">
        <v>5</v>
      </c>
      <c r="C540" s="89"/>
      <c r="D540" s="170"/>
      <c r="E540" s="170"/>
      <c r="F540" s="168"/>
      <c r="G540" s="163"/>
      <c r="H540" s="20">
        <v>1</v>
      </c>
      <c r="I540" s="129">
        <f t="shared" si="38"/>
        <v>0</v>
      </c>
      <c r="J540" s="27">
        <f t="shared" si="39"/>
        <v>0</v>
      </c>
      <c r="K540" s="80"/>
      <c r="L540" s="82"/>
    </row>
    <row r="541" spans="2:12" s="1" customFormat="1" ht="12.95" customHeight="1" x14ac:dyDescent="0.15">
      <c r="B541" s="82">
        <v>6</v>
      </c>
      <c r="C541" s="89"/>
      <c r="D541" s="169"/>
      <c r="E541" s="169"/>
      <c r="F541" s="168"/>
      <c r="G541" s="163"/>
      <c r="H541" s="20">
        <v>1</v>
      </c>
      <c r="I541" s="129">
        <f t="shared" si="38"/>
        <v>0</v>
      </c>
      <c r="J541" s="52">
        <f t="shared" si="39"/>
        <v>0</v>
      </c>
      <c r="K541" s="80"/>
      <c r="L541" s="82"/>
    </row>
    <row r="542" spans="2:12" s="1" customFormat="1" ht="12.95" customHeight="1" x14ac:dyDescent="0.15">
      <c r="B542" s="82">
        <v>7</v>
      </c>
      <c r="C542" s="89"/>
      <c r="D542" s="167"/>
      <c r="E542" s="167"/>
      <c r="F542" s="168"/>
      <c r="G542" s="163"/>
      <c r="H542" s="20">
        <v>1</v>
      </c>
      <c r="I542" s="129">
        <f t="shared" si="38"/>
        <v>0</v>
      </c>
      <c r="J542" s="27">
        <f t="shared" si="39"/>
        <v>0</v>
      </c>
      <c r="K542" s="80"/>
      <c r="L542" s="82"/>
    </row>
    <row r="543" spans="2:12" s="1" customFormat="1" ht="12.95" customHeight="1" x14ac:dyDescent="0.15">
      <c r="B543" s="84">
        <v>8</v>
      </c>
      <c r="C543" s="81"/>
      <c r="D543" s="85"/>
      <c r="E543" s="165"/>
      <c r="F543" s="166"/>
      <c r="G543" s="20"/>
      <c r="H543" s="20">
        <v>1</v>
      </c>
      <c r="I543" s="129">
        <f t="shared" si="38"/>
        <v>0</v>
      </c>
      <c r="J543" s="52">
        <f t="shared" si="39"/>
        <v>0</v>
      </c>
      <c r="K543" s="80"/>
      <c r="L543" s="82"/>
    </row>
    <row r="544" spans="2:12" s="1" customFormat="1" ht="12.95" customHeight="1" x14ac:dyDescent="0.15">
      <c r="B544" s="16">
        <v>9</v>
      </c>
      <c r="C544" s="17"/>
      <c r="D544" s="18"/>
      <c r="E544" s="24"/>
      <c r="F544" s="129"/>
      <c r="G544" s="20"/>
      <c r="H544" s="20">
        <v>1</v>
      </c>
      <c r="I544" s="129">
        <f t="shared" si="38"/>
        <v>0</v>
      </c>
      <c r="J544" s="52">
        <f t="shared" si="39"/>
        <v>0</v>
      </c>
      <c r="K544" s="80"/>
      <c r="L544" s="82"/>
    </row>
    <row r="545" spans="2:20" s="1" customFormat="1" ht="12.95" customHeight="1" x14ac:dyDescent="0.15">
      <c r="B545" s="16">
        <v>10</v>
      </c>
      <c r="C545" s="17"/>
      <c r="D545" s="24"/>
      <c r="E545" s="18"/>
      <c r="F545" s="129"/>
      <c r="G545" s="20"/>
      <c r="H545" s="20">
        <v>1</v>
      </c>
      <c r="I545" s="129">
        <f t="shared" si="38"/>
        <v>0</v>
      </c>
      <c r="J545" s="52">
        <f t="shared" si="39"/>
        <v>0</v>
      </c>
      <c r="K545" s="80"/>
      <c r="L545" s="82"/>
    </row>
    <row r="546" spans="2:20" s="1" customFormat="1" ht="12.95" customHeight="1" x14ac:dyDescent="0.15">
      <c r="B546" s="16"/>
      <c r="C546" s="17"/>
      <c r="D546" s="24"/>
      <c r="E546" s="18"/>
      <c r="F546" s="129"/>
      <c r="G546" s="20"/>
      <c r="H546" s="20"/>
      <c r="I546" s="129"/>
      <c r="J546" s="52"/>
      <c r="K546" s="80"/>
      <c r="L546" s="82"/>
    </row>
    <row r="547" spans="2:20" s="1" customFormat="1" ht="12.95" customHeight="1" x14ac:dyDescent="0.15">
      <c r="B547" s="16"/>
      <c r="C547" s="17"/>
      <c r="D547" s="24"/>
      <c r="E547" s="18"/>
      <c r="F547" s="129"/>
      <c r="G547" s="20"/>
      <c r="H547" s="20"/>
      <c r="I547" s="129"/>
      <c r="J547" s="52"/>
      <c r="K547" s="80"/>
      <c r="L547" s="82"/>
    </row>
    <row r="548" spans="2:20" s="1" customFormat="1" ht="12.95" customHeight="1" x14ac:dyDescent="0.15">
      <c r="B548" s="16"/>
      <c r="C548" s="22" t="s">
        <v>153</v>
      </c>
      <c r="D548" s="24"/>
      <c r="E548" s="18"/>
      <c r="F548" s="129"/>
      <c r="G548" s="20"/>
      <c r="H548" s="20"/>
      <c r="I548" s="129"/>
      <c r="J548" s="52"/>
      <c r="K548" s="80"/>
      <c r="L548" s="82"/>
    </row>
    <row r="549" spans="2:20" s="1" customFormat="1" ht="12.95" customHeight="1" x14ac:dyDescent="0.15">
      <c r="B549" s="16">
        <v>1</v>
      </c>
      <c r="C549" s="17"/>
      <c r="D549" s="24"/>
      <c r="E549" s="24"/>
      <c r="F549" s="129"/>
      <c r="G549" s="20"/>
      <c r="H549" s="20">
        <v>1</v>
      </c>
      <c r="I549" s="129">
        <f t="shared" si="38"/>
        <v>0</v>
      </c>
      <c r="J549" s="52">
        <f t="shared" ref="J549:J568" si="40">(F549*G549*H549)/$C$32</f>
        <v>0</v>
      </c>
      <c r="K549" s="80"/>
      <c r="L549" s="82"/>
    </row>
    <row r="550" spans="2:20" s="1" customFormat="1" ht="12.95" customHeight="1" x14ac:dyDescent="0.15">
      <c r="B550" s="16">
        <v>2</v>
      </c>
      <c r="C550" s="17"/>
      <c r="D550" s="24"/>
      <c r="E550" s="24"/>
      <c r="F550" s="129"/>
      <c r="G550" s="20"/>
      <c r="H550" s="20">
        <v>1</v>
      </c>
      <c r="I550" s="129">
        <f t="shared" si="38"/>
        <v>0</v>
      </c>
      <c r="J550" s="52">
        <f t="shared" si="40"/>
        <v>0</v>
      </c>
      <c r="K550" s="80"/>
      <c r="L550" s="82"/>
    </row>
    <row r="551" spans="2:20" s="1" customFormat="1" ht="12.95" customHeight="1" x14ac:dyDescent="0.15">
      <c r="B551" s="16">
        <v>3</v>
      </c>
      <c r="C551" s="24"/>
      <c r="D551" s="24"/>
      <c r="E551" s="24"/>
      <c r="F551" s="129"/>
      <c r="G551" s="20"/>
      <c r="H551" s="20">
        <v>1</v>
      </c>
      <c r="I551" s="129">
        <f t="shared" si="38"/>
        <v>0</v>
      </c>
      <c r="J551" s="52">
        <f t="shared" si="40"/>
        <v>0</v>
      </c>
      <c r="K551" s="80"/>
      <c r="L551" s="82"/>
    </row>
    <row r="552" spans="2:20" s="1" customFormat="1" ht="12.95" customHeight="1" x14ac:dyDescent="0.15">
      <c r="B552" s="16">
        <v>4</v>
      </c>
      <c r="C552" s="24"/>
      <c r="D552" s="18"/>
      <c r="E552" s="18"/>
      <c r="F552" s="129"/>
      <c r="G552" s="20"/>
      <c r="H552" s="20">
        <v>1</v>
      </c>
      <c r="I552" s="129">
        <f t="shared" si="38"/>
        <v>0</v>
      </c>
      <c r="J552" s="27">
        <f t="shared" si="40"/>
        <v>0</v>
      </c>
      <c r="K552" s="80"/>
      <c r="L552" s="82"/>
      <c r="M552" s="10"/>
      <c r="N552" s="10"/>
      <c r="O552" s="10"/>
      <c r="P552" s="10"/>
      <c r="Q552" s="43"/>
      <c r="R552" s="10"/>
      <c r="T552" s="10"/>
    </row>
    <row r="553" spans="2:20" s="1" customFormat="1" ht="12.95" customHeight="1" x14ac:dyDescent="0.15">
      <c r="B553" s="16">
        <v>5</v>
      </c>
      <c r="C553" s="24"/>
      <c r="D553" s="24"/>
      <c r="E553" s="24"/>
      <c r="F553" s="129"/>
      <c r="G553" s="20"/>
      <c r="H553" s="20">
        <v>1</v>
      </c>
      <c r="I553" s="129">
        <f t="shared" si="38"/>
        <v>0</v>
      </c>
      <c r="J553" s="52">
        <f t="shared" si="40"/>
        <v>0</v>
      </c>
      <c r="K553" s="80"/>
      <c r="L553" s="82"/>
      <c r="M553" s="39"/>
      <c r="N553" s="40"/>
      <c r="O553" s="40"/>
    </row>
    <row r="554" spans="2:20" s="1" customFormat="1" ht="12.95" customHeight="1" x14ac:dyDescent="0.15">
      <c r="B554" s="16">
        <v>6</v>
      </c>
      <c r="C554" s="17"/>
      <c r="D554" s="18"/>
      <c r="E554" s="18"/>
      <c r="F554" s="129"/>
      <c r="G554" s="20"/>
      <c r="H554" s="20">
        <v>1</v>
      </c>
      <c r="I554" s="129">
        <f>J554*$C$32</f>
        <v>0</v>
      </c>
      <c r="J554" s="27">
        <f t="shared" si="40"/>
        <v>0</v>
      </c>
      <c r="K554" s="80"/>
      <c r="L554" s="82"/>
      <c r="N554" s="10"/>
      <c r="O554" s="10"/>
      <c r="P554" s="10"/>
      <c r="Q554" s="43"/>
      <c r="R554" s="10"/>
      <c r="T554" s="10"/>
    </row>
    <row r="555" spans="2:20" s="1" customFormat="1" ht="12.95" customHeight="1" x14ac:dyDescent="0.15">
      <c r="B555" s="16">
        <v>7</v>
      </c>
      <c r="C555" s="17"/>
      <c r="D555" s="24"/>
      <c r="E555" s="24"/>
      <c r="F555" s="129"/>
      <c r="G555" s="20"/>
      <c r="H555" s="20">
        <v>1</v>
      </c>
      <c r="I555" s="129">
        <f t="shared" si="38"/>
        <v>0</v>
      </c>
      <c r="J555" s="54">
        <f t="shared" si="40"/>
        <v>0</v>
      </c>
      <c r="K555" s="80"/>
      <c r="L555" s="82"/>
    </row>
    <row r="556" spans="2:20" s="1" customFormat="1" ht="12.95" customHeight="1" x14ac:dyDescent="0.15">
      <c r="B556" s="16">
        <v>8</v>
      </c>
      <c r="C556" s="17"/>
      <c r="D556" s="24"/>
      <c r="E556" s="24"/>
      <c r="F556" s="129"/>
      <c r="G556" s="20"/>
      <c r="H556" s="20">
        <v>1</v>
      </c>
      <c r="I556" s="129">
        <f>J556*$C$32</f>
        <v>0</v>
      </c>
      <c r="J556" s="54">
        <f t="shared" si="40"/>
        <v>0</v>
      </c>
      <c r="K556" s="80"/>
      <c r="L556" s="82"/>
    </row>
    <row r="557" spans="2:20" s="1" customFormat="1" ht="12.95" customHeight="1" x14ac:dyDescent="0.15">
      <c r="B557" s="16">
        <v>9</v>
      </c>
      <c r="C557" s="17"/>
      <c r="D557" s="24"/>
      <c r="E557" s="24"/>
      <c r="F557" s="129"/>
      <c r="G557" s="20"/>
      <c r="H557" s="20">
        <v>1</v>
      </c>
      <c r="I557" s="129">
        <f t="shared" si="38"/>
        <v>0</v>
      </c>
      <c r="J557" s="52">
        <f t="shared" si="40"/>
        <v>0</v>
      </c>
      <c r="K557" s="80"/>
      <c r="L557" s="82"/>
    </row>
    <row r="558" spans="2:20" s="1" customFormat="1" ht="12.95" customHeight="1" x14ac:dyDescent="0.15">
      <c r="B558" s="16">
        <v>10</v>
      </c>
      <c r="C558" s="17"/>
      <c r="D558" s="24"/>
      <c r="E558" s="24"/>
      <c r="F558" s="129"/>
      <c r="G558" s="20"/>
      <c r="H558" s="20">
        <v>1</v>
      </c>
      <c r="I558" s="129">
        <f t="shared" si="38"/>
        <v>0</v>
      </c>
      <c r="J558" s="52">
        <f t="shared" si="40"/>
        <v>0</v>
      </c>
      <c r="K558" s="80"/>
      <c r="L558" s="82"/>
    </row>
    <row r="559" spans="2:20" s="1" customFormat="1" ht="12" customHeight="1" x14ac:dyDescent="0.15">
      <c r="B559" s="16">
        <v>11</v>
      </c>
      <c r="C559" s="17"/>
      <c r="D559" s="24"/>
      <c r="E559" s="24"/>
      <c r="F559" s="129"/>
      <c r="G559" s="20"/>
      <c r="H559" s="20">
        <v>1</v>
      </c>
      <c r="I559" s="129">
        <f t="shared" si="38"/>
        <v>0</v>
      </c>
      <c r="J559" s="52">
        <f t="shared" si="40"/>
        <v>0</v>
      </c>
      <c r="K559" s="80"/>
      <c r="L559" s="82"/>
    </row>
    <row r="560" spans="2:20" s="1" customFormat="1" ht="12.95" customHeight="1" x14ac:dyDescent="0.15">
      <c r="B560" s="16">
        <v>12</v>
      </c>
      <c r="C560" s="17"/>
      <c r="D560" s="24"/>
      <c r="E560" s="24"/>
      <c r="F560" s="129"/>
      <c r="G560" s="20"/>
      <c r="H560" s="20">
        <v>1</v>
      </c>
      <c r="I560" s="129">
        <f t="shared" si="38"/>
        <v>0</v>
      </c>
      <c r="J560" s="52">
        <f t="shared" si="40"/>
        <v>0</v>
      </c>
      <c r="K560" s="80"/>
      <c r="L560" s="82"/>
    </row>
    <row r="561" spans="2:20" s="1" customFormat="1" ht="12.95" customHeight="1" x14ac:dyDescent="0.15">
      <c r="B561" s="16">
        <v>13</v>
      </c>
      <c r="C561" s="17"/>
      <c r="D561" s="18"/>
      <c r="E561" s="18"/>
      <c r="F561" s="129"/>
      <c r="G561" s="20"/>
      <c r="H561" s="20">
        <v>1</v>
      </c>
      <c r="I561" s="129">
        <f t="shared" si="38"/>
        <v>0</v>
      </c>
      <c r="J561" s="52">
        <f t="shared" si="40"/>
        <v>0</v>
      </c>
      <c r="K561" s="80"/>
      <c r="L561" s="82"/>
      <c r="M561" s="10"/>
      <c r="N561" s="10"/>
      <c r="O561" s="10"/>
      <c r="P561" s="10"/>
      <c r="Q561" s="43"/>
      <c r="R561" s="10"/>
      <c r="T561" s="10"/>
    </row>
    <row r="562" spans="2:20" s="1" customFormat="1" ht="12.95" customHeight="1" x14ac:dyDescent="0.15">
      <c r="B562" s="16">
        <v>14</v>
      </c>
      <c r="C562" s="17"/>
      <c r="D562" s="18"/>
      <c r="E562" s="18"/>
      <c r="F562" s="129"/>
      <c r="G562" s="20"/>
      <c r="H562" s="20">
        <v>1</v>
      </c>
      <c r="I562" s="129">
        <f t="shared" si="38"/>
        <v>0</v>
      </c>
      <c r="J562" s="52">
        <f t="shared" si="40"/>
        <v>0</v>
      </c>
      <c r="K562" s="80"/>
      <c r="L562" s="82"/>
      <c r="M562" s="10"/>
      <c r="N562" s="10"/>
      <c r="O562" s="10"/>
      <c r="P562" s="10"/>
      <c r="Q562" s="43"/>
      <c r="R562" s="10"/>
      <c r="T562" s="10"/>
    </row>
    <row r="563" spans="2:20" s="1" customFormat="1" ht="12.95" customHeight="1" x14ac:dyDescent="0.15">
      <c r="B563" s="16">
        <v>15</v>
      </c>
      <c r="C563" s="17"/>
      <c r="D563" s="18"/>
      <c r="E563" s="18"/>
      <c r="F563" s="129"/>
      <c r="G563" s="20"/>
      <c r="H563" s="20">
        <v>1</v>
      </c>
      <c r="I563" s="129">
        <f t="shared" si="38"/>
        <v>0</v>
      </c>
      <c r="J563" s="52">
        <f t="shared" si="40"/>
        <v>0</v>
      </c>
      <c r="K563" s="80"/>
      <c r="L563" s="82"/>
      <c r="M563" s="10"/>
      <c r="N563" s="10"/>
      <c r="O563" s="10"/>
      <c r="P563" s="10"/>
      <c r="Q563" s="43"/>
      <c r="R563" s="10"/>
      <c r="T563" s="10"/>
    </row>
    <row r="564" spans="2:20" s="1" customFormat="1" ht="12.95" customHeight="1" x14ac:dyDescent="0.15">
      <c r="B564" s="16">
        <v>16</v>
      </c>
      <c r="C564" s="17"/>
      <c r="D564" s="18"/>
      <c r="E564" s="18"/>
      <c r="F564" s="129"/>
      <c r="G564" s="20"/>
      <c r="H564" s="20">
        <v>1</v>
      </c>
      <c r="I564" s="129">
        <f t="shared" si="38"/>
        <v>0</v>
      </c>
      <c r="J564" s="52">
        <f t="shared" si="40"/>
        <v>0</v>
      </c>
      <c r="K564" s="80"/>
      <c r="L564" s="82"/>
      <c r="M564" s="10"/>
      <c r="N564" s="10"/>
      <c r="O564" s="10"/>
      <c r="P564" s="10"/>
      <c r="Q564" s="43"/>
      <c r="R564" s="10"/>
      <c r="T564" s="10"/>
    </row>
    <row r="565" spans="2:20" s="1" customFormat="1" ht="12.95" customHeight="1" x14ac:dyDescent="0.15">
      <c r="B565" s="16">
        <v>17</v>
      </c>
      <c r="C565" s="17"/>
      <c r="D565" s="18"/>
      <c r="E565" s="18"/>
      <c r="F565" s="129"/>
      <c r="G565" s="20"/>
      <c r="H565" s="20">
        <v>1</v>
      </c>
      <c r="I565" s="129">
        <f t="shared" si="38"/>
        <v>0</v>
      </c>
      <c r="J565" s="52">
        <f t="shared" si="40"/>
        <v>0</v>
      </c>
      <c r="K565" s="80"/>
      <c r="L565" s="82"/>
      <c r="M565" s="10"/>
      <c r="N565" s="10"/>
      <c r="O565" s="10"/>
      <c r="P565" s="10"/>
      <c r="Q565" s="43"/>
      <c r="R565" s="10"/>
      <c r="T565" s="10"/>
    </row>
    <row r="566" spans="2:20" s="1" customFormat="1" ht="12.95" customHeight="1" x14ac:dyDescent="0.15">
      <c r="B566" s="16">
        <v>18</v>
      </c>
      <c r="C566" s="17"/>
      <c r="D566" s="18"/>
      <c r="E566" s="18"/>
      <c r="F566" s="129"/>
      <c r="G566" s="20"/>
      <c r="H566" s="20">
        <v>1</v>
      </c>
      <c r="I566" s="129">
        <f t="shared" si="38"/>
        <v>0</v>
      </c>
      <c r="J566" s="52">
        <f t="shared" si="40"/>
        <v>0</v>
      </c>
      <c r="K566" s="80"/>
      <c r="L566" s="82"/>
      <c r="M566" s="10"/>
      <c r="N566" s="10"/>
      <c r="O566" s="10"/>
      <c r="P566" s="10"/>
      <c r="Q566" s="43"/>
      <c r="R566" s="10"/>
      <c r="T566" s="10"/>
    </row>
    <row r="567" spans="2:20" s="1" customFormat="1" ht="12.95" customHeight="1" x14ac:dyDescent="0.15">
      <c r="B567" s="16">
        <v>19</v>
      </c>
      <c r="C567" s="17"/>
      <c r="D567" s="18"/>
      <c r="E567" s="18"/>
      <c r="F567" s="129"/>
      <c r="G567" s="20"/>
      <c r="H567" s="20">
        <v>1</v>
      </c>
      <c r="I567" s="129">
        <f t="shared" si="38"/>
        <v>0</v>
      </c>
      <c r="J567" s="52">
        <f t="shared" si="40"/>
        <v>0</v>
      </c>
      <c r="K567" s="80"/>
      <c r="L567" s="82"/>
      <c r="M567" s="10"/>
      <c r="N567" s="10"/>
      <c r="O567" s="10"/>
      <c r="P567" s="10"/>
      <c r="Q567" s="43"/>
      <c r="R567" s="10"/>
      <c r="T567" s="10"/>
    </row>
    <row r="568" spans="2:20" s="1" customFormat="1" ht="12.95" customHeight="1" x14ac:dyDescent="0.15">
      <c r="B568" s="16">
        <v>20</v>
      </c>
      <c r="C568" s="17"/>
      <c r="D568" s="18"/>
      <c r="E568" s="18"/>
      <c r="F568" s="129"/>
      <c r="G568" s="20"/>
      <c r="H568" s="20">
        <v>1</v>
      </c>
      <c r="I568" s="129">
        <f t="shared" si="38"/>
        <v>0</v>
      </c>
      <c r="J568" s="52">
        <f t="shared" si="40"/>
        <v>0</v>
      </c>
      <c r="K568" s="80"/>
      <c r="L568" s="82"/>
      <c r="M568" s="10"/>
      <c r="N568" s="10"/>
      <c r="O568" s="10"/>
      <c r="P568" s="10"/>
      <c r="Q568" s="43"/>
      <c r="R568" s="10"/>
      <c r="T568" s="10"/>
    </row>
    <row r="569" spans="2:20" s="1" customFormat="1" ht="12.95" customHeight="1" x14ac:dyDescent="0.15">
      <c r="B569" s="16"/>
      <c r="C569" s="17"/>
      <c r="D569" s="18"/>
      <c r="E569" s="18"/>
      <c r="F569" s="129"/>
      <c r="G569" s="20"/>
      <c r="H569" s="20"/>
      <c r="I569" s="129"/>
      <c r="J569" s="52"/>
      <c r="K569" s="80"/>
      <c r="L569" s="82"/>
      <c r="M569" s="10"/>
      <c r="N569" s="10"/>
      <c r="O569" s="10"/>
      <c r="P569" s="10"/>
      <c r="Q569" s="43"/>
      <c r="R569" s="10"/>
      <c r="T569" s="10"/>
    </row>
    <row r="570" spans="2:20" s="1" customFormat="1" ht="12.95" customHeight="1" x14ac:dyDescent="0.15">
      <c r="B570" s="16"/>
      <c r="C570" s="17"/>
      <c r="D570" s="18"/>
      <c r="E570" s="18"/>
      <c r="F570" s="129"/>
      <c r="G570" s="20"/>
      <c r="H570" s="20"/>
      <c r="I570" s="129"/>
      <c r="J570" s="52"/>
      <c r="K570" s="80"/>
      <c r="L570" s="82"/>
      <c r="M570" s="10"/>
      <c r="N570" s="10"/>
      <c r="O570" s="10"/>
      <c r="P570" s="10"/>
      <c r="Q570" s="43"/>
      <c r="R570" s="10"/>
      <c r="T570" s="10"/>
    </row>
    <row r="571" spans="2:20" s="1" customFormat="1" ht="12.95" customHeight="1" x14ac:dyDescent="0.15">
      <c r="B571" s="16"/>
      <c r="C571" s="73" t="s">
        <v>132</v>
      </c>
      <c r="D571" s="18"/>
      <c r="E571" s="18"/>
      <c r="F571" s="129"/>
      <c r="G571" s="55"/>
      <c r="H571" s="20"/>
      <c r="I571" s="129"/>
      <c r="J571" s="52"/>
      <c r="K571" s="80"/>
      <c r="L571" s="82"/>
      <c r="N571" s="10"/>
      <c r="O571" s="10"/>
      <c r="P571" s="10"/>
      <c r="Q571" s="43"/>
      <c r="R571" s="10"/>
      <c r="T571" s="10"/>
    </row>
    <row r="572" spans="2:20" s="1" customFormat="1" ht="12.95" customHeight="1" x14ac:dyDescent="0.15">
      <c r="B572" s="16">
        <v>1</v>
      </c>
      <c r="C572" s="45"/>
      <c r="D572" s="18"/>
      <c r="E572" s="18"/>
      <c r="F572" s="129"/>
      <c r="G572" s="20"/>
      <c r="H572" s="20">
        <v>1</v>
      </c>
      <c r="I572" s="129">
        <f>J572*$C$32</f>
        <v>0</v>
      </c>
      <c r="J572" s="52">
        <f t="shared" ref="J572:J591" si="41">(F572*G572*H572)/$C$32</f>
        <v>0</v>
      </c>
      <c r="K572" s="80"/>
      <c r="L572" s="82"/>
      <c r="N572" s="10"/>
      <c r="O572" s="10"/>
      <c r="P572" s="10"/>
      <c r="Q572" s="43"/>
      <c r="R572" s="10"/>
      <c r="T572" s="10"/>
    </row>
    <row r="573" spans="2:20" s="1" customFormat="1" ht="12.95" customHeight="1" x14ac:dyDescent="0.15">
      <c r="B573" s="16">
        <v>2</v>
      </c>
      <c r="C573" s="44"/>
      <c r="D573" s="18"/>
      <c r="E573" s="18"/>
      <c r="F573" s="129"/>
      <c r="G573" s="20"/>
      <c r="H573" s="20">
        <v>1</v>
      </c>
      <c r="I573" s="129">
        <f>J573*$C$32</f>
        <v>0</v>
      </c>
      <c r="J573" s="52">
        <f t="shared" si="41"/>
        <v>0</v>
      </c>
      <c r="K573" s="80"/>
      <c r="L573" s="82"/>
      <c r="N573" s="10"/>
      <c r="O573" s="10"/>
      <c r="P573" s="10"/>
      <c r="Q573" s="43"/>
      <c r="R573" s="10"/>
      <c r="T573" s="10"/>
    </row>
    <row r="574" spans="2:20" s="1" customFormat="1" ht="12.95" customHeight="1" x14ac:dyDescent="0.15">
      <c r="B574" s="16">
        <v>3</v>
      </c>
      <c r="C574" s="11"/>
      <c r="D574" s="18"/>
      <c r="E574" s="18"/>
      <c r="F574" s="129"/>
      <c r="G574" s="20"/>
      <c r="H574" s="20">
        <v>1</v>
      </c>
      <c r="I574" s="129">
        <f t="shared" ref="I574:I591" si="42">J574*$C$32</f>
        <v>0</v>
      </c>
      <c r="J574" s="52">
        <f t="shared" si="41"/>
        <v>0</v>
      </c>
      <c r="K574" s="80"/>
      <c r="L574" s="82"/>
      <c r="N574" s="10"/>
      <c r="O574" s="10"/>
      <c r="P574" s="10"/>
      <c r="Q574" s="43"/>
      <c r="R574" s="10"/>
      <c r="T574" s="10"/>
    </row>
    <row r="575" spans="2:20" s="1" customFormat="1" ht="12.95" customHeight="1" x14ac:dyDescent="0.2">
      <c r="B575" s="16">
        <v>4</v>
      </c>
      <c r="C575" s="56"/>
      <c r="D575" s="17"/>
      <c r="E575" s="17"/>
      <c r="F575" s="129"/>
      <c r="G575" s="20"/>
      <c r="H575" s="20">
        <v>1</v>
      </c>
      <c r="I575" s="129">
        <f t="shared" si="42"/>
        <v>0</v>
      </c>
      <c r="J575" s="52">
        <f t="shared" si="41"/>
        <v>0</v>
      </c>
      <c r="K575" s="80"/>
      <c r="L575" s="82"/>
      <c r="M575" s="10"/>
      <c r="N575" s="10"/>
      <c r="O575" s="10"/>
      <c r="P575" s="10"/>
      <c r="Q575" s="43"/>
      <c r="R575" s="10"/>
      <c r="T575" s="10"/>
    </row>
    <row r="576" spans="2:20" s="1" customFormat="1" ht="12.95" customHeight="1" x14ac:dyDescent="0.15">
      <c r="B576" s="16">
        <v>5</v>
      </c>
      <c r="C576" s="17"/>
      <c r="D576" s="17"/>
      <c r="E576" s="17"/>
      <c r="F576" s="129"/>
      <c r="G576" s="20"/>
      <c r="H576" s="20">
        <v>1</v>
      </c>
      <c r="I576" s="129">
        <f t="shared" si="42"/>
        <v>0</v>
      </c>
      <c r="J576" s="52">
        <f t="shared" si="41"/>
        <v>0</v>
      </c>
      <c r="K576" s="80"/>
      <c r="L576" s="82"/>
      <c r="M576" s="10"/>
      <c r="N576" s="10"/>
      <c r="O576" s="10"/>
      <c r="P576" s="10"/>
      <c r="Q576" s="43"/>
      <c r="R576" s="10"/>
      <c r="T576" s="10"/>
    </row>
    <row r="577" spans="2:20" s="1" customFormat="1" ht="12.95" customHeight="1" x14ac:dyDescent="0.15">
      <c r="B577" s="16">
        <v>6</v>
      </c>
      <c r="C577" s="17"/>
      <c r="D577" s="17"/>
      <c r="E577" s="17"/>
      <c r="F577" s="129"/>
      <c r="G577" s="20"/>
      <c r="H577" s="20">
        <v>1</v>
      </c>
      <c r="I577" s="129">
        <f t="shared" si="42"/>
        <v>0</v>
      </c>
      <c r="J577" s="52">
        <f t="shared" si="41"/>
        <v>0</v>
      </c>
      <c r="K577" s="80"/>
      <c r="L577" s="82"/>
      <c r="M577" s="10"/>
      <c r="N577" s="10"/>
      <c r="O577" s="10"/>
      <c r="P577" s="10"/>
      <c r="Q577" s="43"/>
      <c r="R577" s="10"/>
      <c r="T577" s="10"/>
    </row>
    <row r="578" spans="2:20" s="1" customFormat="1" ht="12.95" customHeight="1" x14ac:dyDescent="0.15">
      <c r="B578" s="16">
        <v>7</v>
      </c>
      <c r="C578" s="17"/>
      <c r="D578" s="17"/>
      <c r="E578" s="17"/>
      <c r="F578" s="129"/>
      <c r="G578" s="20"/>
      <c r="H578" s="20">
        <v>1</v>
      </c>
      <c r="I578" s="129">
        <f t="shared" si="42"/>
        <v>0</v>
      </c>
      <c r="J578" s="52">
        <f t="shared" si="41"/>
        <v>0</v>
      </c>
      <c r="K578" s="80"/>
      <c r="L578" s="82"/>
      <c r="M578" s="10"/>
      <c r="N578" s="10"/>
      <c r="O578" s="10"/>
      <c r="P578" s="10"/>
      <c r="Q578" s="43"/>
      <c r="R578" s="10"/>
      <c r="T578" s="10"/>
    </row>
    <row r="579" spans="2:20" s="1" customFormat="1" ht="12.95" customHeight="1" x14ac:dyDescent="0.15">
      <c r="B579" s="16">
        <v>8</v>
      </c>
      <c r="C579" s="17"/>
      <c r="D579" s="17"/>
      <c r="E579" s="17"/>
      <c r="F579" s="129"/>
      <c r="G579" s="20"/>
      <c r="H579" s="20">
        <v>1</v>
      </c>
      <c r="I579" s="129">
        <f t="shared" si="42"/>
        <v>0</v>
      </c>
      <c r="J579" s="52">
        <f t="shared" si="41"/>
        <v>0</v>
      </c>
      <c r="K579" s="80"/>
      <c r="L579" s="82"/>
    </row>
    <row r="580" spans="2:20" s="1" customFormat="1" ht="12.95" customHeight="1" x14ac:dyDescent="0.15">
      <c r="B580" s="16">
        <v>9</v>
      </c>
      <c r="C580" s="17"/>
      <c r="D580" s="17"/>
      <c r="E580" s="17"/>
      <c r="F580" s="129"/>
      <c r="G580" s="20"/>
      <c r="H580" s="20">
        <v>1</v>
      </c>
      <c r="I580" s="129">
        <f t="shared" si="42"/>
        <v>0</v>
      </c>
      <c r="J580" s="52">
        <f t="shared" si="41"/>
        <v>0</v>
      </c>
      <c r="K580" s="80"/>
      <c r="L580" s="82"/>
    </row>
    <row r="581" spans="2:20" s="1" customFormat="1" ht="12.95" customHeight="1" x14ac:dyDescent="0.15">
      <c r="B581" s="16">
        <v>10</v>
      </c>
      <c r="C581" s="17"/>
      <c r="D581" s="17"/>
      <c r="E581" s="17"/>
      <c r="F581" s="129"/>
      <c r="G581" s="20"/>
      <c r="H581" s="20">
        <v>1</v>
      </c>
      <c r="I581" s="129">
        <f t="shared" si="42"/>
        <v>0</v>
      </c>
      <c r="J581" s="52">
        <f t="shared" si="41"/>
        <v>0</v>
      </c>
      <c r="K581" s="80"/>
      <c r="L581" s="82"/>
      <c r="M581" s="10"/>
      <c r="N581" s="10"/>
      <c r="O581" s="10"/>
      <c r="P581" s="10"/>
      <c r="Q581" s="43"/>
      <c r="R581" s="10"/>
      <c r="T581" s="10"/>
    </row>
    <row r="582" spans="2:20" s="1" customFormat="1" ht="12.95" customHeight="1" x14ac:dyDescent="0.15">
      <c r="B582" s="16">
        <v>11</v>
      </c>
      <c r="C582" s="17"/>
      <c r="D582" s="17"/>
      <c r="E582" s="17"/>
      <c r="F582" s="129"/>
      <c r="G582" s="20"/>
      <c r="H582" s="20">
        <v>1</v>
      </c>
      <c r="I582" s="129">
        <f t="shared" si="42"/>
        <v>0</v>
      </c>
      <c r="J582" s="52">
        <f t="shared" si="41"/>
        <v>0</v>
      </c>
      <c r="K582" s="80"/>
      <c r="L582" s="82"/>
      <c r="M582" s="10"/>
      <c r="N582" s="10"/>
      <c r="O582" s="10"/>
      <c r="P582" s="10"/>
      <c r="Q582" s="43"/>
      <c r="R582" s="10"/>
      <c r="T582" s="10"/>
    </row>
    <row r="583" spans="2:20" s="1" customFormat="1" ht="12.95" customHeight="1" x14ac:dyDescent="0.15">
      <c r="B583" s="16">
        <v>12</v>
      </c>
      <c r="C583" s="17"/>
      <c r="D583" s="17"/>
      <c r="E583" s="17"/>
      <c r="F583" s="129"/>
      <c r="G583" s="20"/>
      <c r="H583" s="20">
        <v>1</v>
      </c>
      <c r="I583" s="129">
        <f t="shared" si="42"/>
        <v>0</v>
      </c>
      <c r="J583" s="52">
        <f t="shared" si="41"/>
        <v>0</v>
      </c>
      <c r="K583" s="80"/>
      <c r="L583" s="82"/>
      <c r="M583" s="10"/>
      <c r="N583" s="10"/>
      <c r="O583" s="10"/>
      <c r="P583" s="10"/>
      <c r="Q583" s="43"/>
      <c r="R583" s="10"/>
      <c r="T583" s="10"/>
    </row>
    <row r="584" spans="2:20" s="1" customFormat="1" ht="12.95" customHeight="1" x14ac:dyDescent="0.15">
      <c r="B584" s="16">
        <v>13</v>
      </c>
      <c r="C584" s="17"/>
      <c r="D584" s="17"/>
      <c r="E584" s="17"/>
      <c r="F584" s="129"/>
      <c r="G584" s="20"/>
      <c r="H584" s="20">
        <v>1</v>
      </c>
      <c r="I584" s="129">
        <f t="shared" si="42"/>
        <v>0</v>
      </c>
      <c r="J584" s="52">
        <f t="shared" si="41"/>
        <v>0</v>
      </c>
      <c r="K584" s="80"/>
      <c r="L584" s="82"/>
      <c r="M584" s="10"/>
      <c r="N584" s="10"/>
      <c r="O584" s="10"/>
      <c r="P584" s="10"/>
      <c r="Q584" s="43"/>
      <c r="R584" s="10"/>
      <c r="T584" s="10"/>
    </row>
    <row r="585" spans="2:20" s="1" customFormat="1" ht="12.95" customHeight="1" x14ac:dyDescent="0.15">
      <c r="B585" s="16">
        <v>14</v>
      </c>
      <c r="C585" s="17"/>
      <c r="D585" s="17"/>
      <c r="E585" s="17"/>
      <c r="F585" s="129"/>
      <c r="G585" s="20"/>
      <c r="H585" s="20">
        <v>1</v>
      </c>
      <c r="I585" s="129">
        <f t="shared" si="42"/>
        <v>0</v>
      </c>
      <c r="J585" s="52">
        <f t="shared" si="41"/>
        <v>0</v>
      </c>
      <c r="K585" s="80"/>
      <c r="L585" s="82"/>
      <c r="M585" s="10"/>
      <c r="N585" s="10"/>
      <c r="O585" s="10"/>
      <c r="P585" s="10"/>
      <c r="Q585" s="43"/>
      <c r="R585" s="10"/>
      <c r="T585" s="10"/>
    </row>
    <row r="586" spans="2:20" s="1" customFormat="1" ht="12.95" customHeight="1" x14ac:dyDescent="0.15">
      <c r="B586" s="16">
        <v>15</v>
      </c>
      <c r="C586" s="17"/>
      <c r="D586" s="17"/>
      <c r="E586" s="17"/>
      <c r="F586" s="129"/>
      <c r="G586" s="20"/>
      <c r="H586" s="20">
        <v>1</v>
      </c>
      <c r="I586" s="129">
        <f t="shared" si="42"/>
        <v>0</v>
      </c>
      <c r="J586" s="52">
        <f t="shared" si="41"/>
        <v>0</v>
      </c>
      <c r="K586" s="80"/>
      <c r="L586" s="82"/>
      <c r="M586" s="10"/>
      <c r="N586" s="10"/>
      <c r="O586" s="10"/>
      <c r="P586" s="10"/>
      <c r="Q586" s="43"/>
      <c r="R586" s="10"/>
      <c r="T586" s="10"/>
    </row>
    <row r="587" spans="2:20" s="1" customFormat="1" ht="12.95" customHeight="1" x14ac:dyDescent="0.15">
      <c r="B587" s="16">
        <v>16</v>
      </c>
      <c r="C587" s="17"/>
      <c r="D587" s="17"/>
      <c r="E587" s="17"/>
      <c r="F587" s="129"/>
      <c r="G587" s="20"/>
      <c r="H587" s="20">
        <v>1</v>
      </c>
      <c r="I587" s="129">
        <f t="shared" si="42"/>
        <v>0</v>
      </c>
      <c r="J587" s="52">
        <f t="shared" si="41"/>
        <v>0</v>
      </c>
      <c r="K587" s="80"/>
      <c r="L587" s="82"/>
      <c r="M587" s="10"/>
      <c r="N587" s="10"/>
      <c r="O587" s="10"/>
      <c r="P587" s="10"/>
      <c r="Q587" s="43"/>
      <c r="R587" s="10"/>
      <c r="T587" s="10"/>
    </row>
    <row r="588" spans="2:20" s="1" customFormat="1" ht="12.95" customHeight="1" x14ac:dyDescent="0.15">
      <c r="B588" s="16">
        <v>17</v>
      </c>
      <c r="C588" s="17"/>
      <c r="D588" s="17"/>
      <c r="E588" s="17"/>
      <c r="F588" s="129"/>
      <c r="G588" s="20"/>
      <c r="H588" s="20">
        <v>1</v>
      </c>
      <c r="I588" s="129">
        <f t="shared" si="42"/>
        <v>0</v>
      </c>
      <c r="J588" s="52">
        <f t="shared" si="41"/>
        <v>0</v>
      </c>
      <c r="K588" s="80"/>
      <c r="L588" s="82"/>
      <c r="M588" s="10"/>
      <c r="N588" s="10"/>
      <c r="O588" s="10"/>
      <c r="P588" s="10"/>
      <c r="Q588" s="43"/>
      <c r="R588" s="10"/>
      <c r="T588" s="10"/>
    </row>
    <row r="589" spans="2:20" s="1" customFormat="1" ht="12.95" customHeight="1" x14ac:dyDescent="0.15">
      <c r="B589" s="16">
        <v>18</v>
      </c>
      <c r="C589" s="17"/>
      <c r="D589" s="17"/>
      <c r="E589" s="17"/>
      <c r="F589" s="129"/>
      <c r="G589" s="20"/>
      <c r="H589" s="20">
        <v>1</v>
      </c>
      <c r="I589" s="129">
        <f t="shared" si="42"/>
        <v>0</v>
      </c>
      <c r="J589" s="265">
        <f t="shared" si="41"/>
        <v>0</v>
      </c>
      <c r="K589" s="111"/>
      <c r="L589" s="119"/>
      <c r="M589" s="10"/>
      <c r="N589" s="10"/>
      <c r="O589" s="10"/>
      <c r="P589" s="10"/>
      <c r="Q589" s="43"/>
      <c r="R589" s="10"/>
      <c r="T589" s="10"/>
    </row>
    <row r="590" spans="2:20" s="1" customFormat="1" ht="12.95" customHeight="1" x14ac:dyDescent="0.15">
      <c r="B590" s="16">
        <v>19</v>
      </c>
      <c r="C590" s="17"/>
      <c r="D590" s="17"/>
      <c r="E590" s="17"/>
      <c r="F590" s="129"/>
      <c r="G590" s="20"/>
      <c r="H590" s="20">
        <v>1</v>
      </c>
      <c r="I590" s="262">
        <f t="shared" si="42"/>
        <v>0</v>
      </c>
      <c r="J590" s="266">
        <f t="shared" si="41"/>
        <v>0</v>
      </c>
      <c r="K590" s="82"/>
      <c r="L590" s="82"/>
      <c r="M590" s="10"/>
      <c r="N590" s="10"/>
      <c r="O590" s="10"/>
      <c r="P590" s="10"/>
      <c r="Q590" s="43"/>
      <c r="R590" s="10"/>
      <c r="T590" s="10"/>
    </row>
    <row r="591" spans="2:20" s="1" customFormat="1" ht="12.95" customHeight="1" x14ac:dyDescent="0.15">
      <c r="B591" s="16">
        <v>20</v>
      </c>
      <c r="C591" s="17"/>
      <c r="D591" s="17"/>
      <c r="E591" s="17"/>
      <c r="F591" s="129"/>
      <c r="G591" s="20"/>
      <c r="H591" s="20">
        <v>1</v>
      </c>
      <c r="I591" s="262">
        <f t="shared" si="42"/>
        <v>0</v>
      </c>
      <c r="J591" s="266">
        <f t="shared" si="41"/>
        <v>0</v>
      </c>
      <c r="K591" s="82"/>
      <c r="L591" s="82"/>
      <c r="M591" s="10"/>
      <c r="N591" s="10"/>
      <c r="O591" s="10"/>
      <c r="P591" s="10"/>
      <c r="Q591" s="43"/>
      <c r="R591" s="10"/>
      <c r="T591" s="10"/>
    </row>
    <row r="592" spans="2:20" s="1" customFormat="1" ht="12.95" customHeight="1" x14ac:dyDescent="0.15">
      <c r="B592" s="83"/>
      <c r="C592" s="160"/>
      <c r="D592" s="160"/>
      <c r="E592" s="160"/>
      <c r="F592" s="132"/>
      <c r="G592" s="76"/>
      <c r="H592" s="76"/>
      <c r="I592" s="263"/>
      <c r="J592" s="184"/>
      <c r="K592" s="82"/>
      <c r="L592" s="82"/>
      <c r="M592" s="10"/>
      <c r="N592" s="10"/>
      <c r="O592" s="10"/>
      <c r="P592" s="10"/>
      <c r="Q592" s="43"/>
      <c r="R592" s="10"/>
      <c r="T592" s="10"/>
    </row>
    <row r="593" spans="2:13" s="1" customFormat="1" ht="12.75" x14ac:dyDescent="0.15">
      <c r="B593" s="82"/>
      <c r="C593" s="102"/>
      <c r="D593" s="103"/>
      <c r="E593" s="102"/>
      <c r="F593" s="128">
        <f>SUM(F533:F592)</f>
        <v>0</v>
      </c>
      <c r="G593" s="104"/>
      <c r="H593" s="105"/>
      <c r="I593" s="256">
        <f>SUM(I535:I592)</f>
        <v>0</v>
      </c>
      <c r="J593" s="257">
        <f>SUM(J533:J592)</f>
        <v>0</v>
      </c>
    </row>
    <row r="594" spans="2:13" s="67" customFormat="1" ht="12.75" x14ac:dyDescent="0.15">
      <c r="B594" s="116"/>
      <c r="C594" s="114"/>
      <c r="D594" s="114"/>
      <c r="E594" s="114" t="s">
        <v>147</v>
      </c>
      <c r="F594" s="162">
        <f>100/115*F593</f>
        <v>0</v>
      </c>
      <c r="G594" s="114"/>
      <c r="H594" s="114" t="s">
        <v>147</v>
      </c>
      <c r="I594" s="264">
        <f>100/115*I593</f>
        <v>0</v>
      </c>
      <c r="J594" s="114"/>
    </row>
    <row r="595" spans="2:13" s="1" customFormat="1" ht="13.5" customHeight="1" x14ac:dyDescent="0.15"/>
    <row r="596" spans="2:13" s="1" customFormat="1" ht="16.899999999999999" customHeight="1" x14ac:dyDescent="0.15"/>
    <row r="597" spans="2:13" s="1" customFormat="1" ht="13.5" customHeight="1" x14ac:dyDescent="0.15"/>
    <row r="598" spans="2:13" s="1" customFormat="1" ht="13.5" customHeight="1" x14ac:dyDescent="0.15"/>
    <row r="599" spans="2:13" s="247" customFormat="1" ht="32.25" x14ac:dyDescent="0.4">
      <c r="B599" s="248"/>
      <c r="C599" s="380" t="s">
        <v>112</v>
      </c>
      <c r="D599" s="380"/>
      <c r="E599" s="400" t="s">
        <v>162</v>
      </c>
      <c r="F599" s="401"/>
      <c r="G599" s="401"/>
      <c r="H599" s="401"/>
      <c r="I599" s="402"/>
      <c r="J599" s="382">
        <v>2026</v>
      </c>
      <c r="K599" s="382"/>
      <c r="L599" s="382"/>
    </row>
    <row r="600" spans="2:13" s="1" customFormat="1" ht="42" customHeight="1" x14ac:dyDescent="0.15">
      <c r="B600" s="82"/>
      <c r="C600" s="102" t="s">
        <v>114</v>
      </c>
      <c r="D600" s="388" t="s">
        <v>115</v>
      </c>
      <c r="E600" s="388"/>
      <c r="F600" s="102" t="s">
        <v>116</v>
      </c>
      <c r="G600" s="102" t="s">
        <v>117</v>
      </c>
      <c r="H600" s="102" t="s">
        <v>118</v>
      </c>
      <c r="I600" s="102" t="s">
        <v>119</v>
      </c>
      <c r="J600" s="102" t="s">
        <v>120</v>
      </c>
      <c r="K600" s="82"/>
      <c r="L600" s="82"/>
    </row>
    <row r="601" spans="2:13" s="1" customFormat="1" ht="12.95" customHeight="1" x14ac:dyDescent="0.15">
      <c r="B601" s="84"/>
      <c r="C601" s="149">
        <f>C531</f>
        <v>700</v>
      </c>
      <c r="D601" s="412">
        <v>21</v>
      </c>
      <c r="E601" s="412"/>
      <c r="F601" s="146">
        <f>F531</f>
        <v>0.8</v>
      </c>
      <c r="G601" s="147">
        <f>G531</f>
        <v>8</v>
      </c>
      <c r="H601" s="148">
        <f>D601*G601*F601</f>
        <v>134.4</v>
      </c>
      <c r="I601" s="149">
        <f>I663</f>
        <v>0</v>
      </c>
      <c r="J601" s="150">
        <f>H601-J663</f>
        <v>134.4</v>
      </c>
      <c r="K601" s="79"/>
      <c r="L601" s="120"/>
    </row>
    <row r="602" spans="2:13" s="1" customFormat="1" ht="33.75" x14ac:dyDescent="0.15">
      <c r="B602" s="16"/>
      <c r="C602" s="22" t="s">
        <v>121</v>
      </c>
      <c r="D602" s="413" t="s">
        <v>122</v>
      </c>
      <c r="E602" s="413"/>
      <c r="F602" s="33" t="s">
        <v>123</v>
      </c>
      <c r="G602" s="34" t="s">
        <v>124</v>
      </c>
      <c r="H602" s="35" t="s">
        <v>125</v>
      </c>
      <c r="I602" s="125" t="s">
        <v>126</v>
      </c>
      <c r="J602" s="34" t="s">
        <v>127</v>
      </c>
      <c r="K602" s="107" t="s">
        <v>128</v>
      </c>
      <c r="L602" s="123" t="s">
        <v>129</v>
      </c>
    </row>
    <row r="603" spans="2:13" s="1" customFormat="1" ht="12.75" x14ac:dyDescent="0.15">
      <c r="B603" s="16"/>
      <c r="C603" s="22"/>
      <c r="D603" s="32"/>
      <c r="E603" s="32"/>
      <c r="F603" s="33"/>
      <c r="G603" s="34"/>
      <c r="H603" s="35"/>
      <c r="I603" s="125"/>
      <c r="J603" s="34"/>
      <c r="K603" s="110"/>
      <c r="L603" s="117"/>
    </row>
    <row r="604" spans="2:13" s="1" customFormat="1" ht="12.75" x14ac:dyDescent="0.15">
      <c r="B604" s="16"/>
      <c r="C604" s="22" t="s">
        <v>130</v>
      </c>
      <c r="D604" s="32"/>
      <c r="E604" s="32"/>
      <c r="F604" s="151"/>
      <c r="G604" s="34"/>
      <c r="H604" s="35"/>
      <c r="I604" s="125"/>
      <c r="J604" s="34"/>
      <c r="K604" s="110"/>
      <c r="L604" s="117"/>
    </row>
    <row r="605" spans="2:13" s="1" customFormat="1" ht="12.75" customHeight="1" x14ac:dyDescent="0.15">
      <c r="B605" s="16"/>
      <c r="C605" s="37" t="s">
        <v>149</v>
      </c>
      <c r="D605" s="24"/>
      <c r="E605" s="24"/>
      <c r="F605" s="129"/>
      <c r="G605" s="20"/>
      <c r="H605" s="20"/>
      <c r="I605" s="126"/>
      <c r="J605" s="38"/>
      <c r="K605" s="80"/>
      <c r="L605" s="82"/>
    </row>
    <row r="606" spans="2:13" s="4" customFormat="1" ht="12.75" customHeight="1" x14ac:dyDescent="0.15">
      <c r="B606" s="26">
        <v>1</v>
      </c>
      <c r="C606" s="17"/>
      <c r="D606" s="24"/>
      <c r="E606" s="24"/>
      <c r="F606" s="129"/>
      <c r="G606" s="20"/>
      <c r="H606" s="20">
        <v>1</v>
      </c>
      <c r="I606" s="129">
        <f t="shared" ref="I606:I623" si="43">J606*$C$32</f>
        <v>0</v>
      </c>
      <c r="J606" s="52">
        <f t="shared" ref="J606:J615" si="44">(F606*G606*H606)/$C$32</f>
        <v>0</v>
      </c>
      <c r="K606" s="108"/>
      <c r="L606" s="113"/>
    </row>
    <row r="607" spans="2:13" s="4" customFormat="1" ht="12.75" customHeight="1" x14ac:dyDescent="0.15">
      <c r="B607" s="26">
        <v>2</v>
      </c>
      <c r="C607" s="17"/>
      <c r="D607" s="24"/>
      <c r="E607" s="24"/>
      <c r="F607" s="129"/>
      <c r="G607" s="20"/>
      <c r="H607" s="20">
        <v>1</v>
      </c>
      <c r="I607" s="129">
        <f t="shared" si="43"/>
        <v>0</v>
      </c>
      <c r="J607" s="52">
        <f t="shared" si="44"/>
        <v>0</v>
      </c>
      <c r="K607" s="108"/>
      <c r="L607" s="113"/>
      <c r="M607" s="144"/>
    </row>
    <row r="608" spans="2:13" s="4" customFormat="1" ht="12.95" customHeight="1" x14ac:dyDescent="0.15">
      <c r="B608" s="26">
        <v>3</v>
      </c>
      <c r="C608" s="17"/>
      <c r="D608" s="24"/>
      <c r="E608" s="24"/>
      <c r="F608" s="129"/>
      <c r="G608" s="20"/>
      <c r="H608" s="20">
        <v>1</v>
      </c>
      <c r="I608" s="129">
        <f t="shared" si="43"/>
        <v>0</v>
      </c>
      <c r="J608" s="52">
        <f t="shared" si="44"/>
        <v>0</v>
      </c>
      <c r="K608" s="108"/>
      <c r="L608" s="113"/>
      <c r="M608" s="145"/>
    </row>
    <row r="609" spans="2:12" s="4" customFormat="1" ht="12.95" customHeight="1" x14ac:dyDescent="0.15">
      <c r="B609" s="26">
        <v>4</v>
      </c>
      <c r="C609" s="16"/>
      <c r="D609" s="18"/>
      <c r="E609" s="18"/>
      <c r="F609" s="129"/>
      <c r="G609" s="20"/>
      <c r="H609" s="20">
        <v>1</v>
      </c>
      <c r="I609" s="129">
        <f t="shared" si="43"/>
        <v>0</v>
      </c>
      <c r="J609" s="52">
        <f t="shared" si="44"/>
        <v>0</v>
      </c>
      <c r="K609" s="108"/>
      <c r="L609" s="113"/>
    </row>
    <row r="610" spans="2:12" s="4" customFormat="1" ht="12.95" customHeight="1" x14ac:dyDescent="0.15">
      <c r="B610" s="26">
        <v>5</v>
      </c>
      <c r="C610" s="17"/>
      <c r="D610" s="53"/>
      <c r="E610" s="53"/>
      <c r="F610" s="129"/>
      <c r="G610" s="20"/>
      <c r="H610" s="20">
        <v>1</v>
      </c>
      <c r="I610" s="129">
        <f t="shared" si="43"/>
        <v>0</v>
      </c>
      <c r="J610" s="27">
        <f t="shared" si="44"/>
        <v>0</v>
      </c>
      <c r="K610" s="108"/>
      <c r="L610" s="113"/>
    </row>
    <row r="611" spans="2:12" s="4" customFormat="1" ht="12.95" customHeight="1" x14ac:dyDescent="0.15">
      <c r="B611" s="26">
        <v>6</v>
      </c>
      <c r="C611" s="17"/>
      <c r="D611" s="24"/>
      <c r="E611" s="24"/>
      <c r="F611" s="129"/>
      <c r="G611" s="20"/>
      <c r="H611" s="20">
        <v>1</v>
      </c>
      <c r="I611" s="129">
        <f t="shared" si="43"/>
        <v>0</v>
      </c>
      <c r="J611" s="52">
        <f t="shared" si="44"/>
        <v>0</v>
      </c>
      <c r="K611" s="108"/>
      <c r="L611" s="113"/>
    </row>
    <row r="612" spans="2:12" s="4" customFormat="1" ht="12.95" customHeight="1" x14ac:dyDescent="0.15">
      <c r="B612" s="26">
        <v>7</v>
      </c>
      <c r="C612" s="17"/>
      <c r="D612" s="22"/>
      <c r="E612" s="22"/>
      <c r="F612" s="129"/>
      <c r="G612" s="20"/>
      <c r="H612" s="20">
        <v>1</v>
      </c>
      <c r="I612" s="129">
        <f t="shared" si="43"/>
        <v>0</v>
      </c>
      <c r="J612" s="27">
        <f t="shared" si="44"/>
        <v>0</v>
      </c>
      <c r="K612" s="108"/>
      <c r="L612" s="113"/>
    </row>
    <row r="613" spans="2:12" s="4" customFormat="1" ht="12.95" customHeight="1" x14ac:dyDescent="0.15">
      <c r="B613" s="26">
        <v>8</v>
      </c>
      <c r="C613" s="17"/>
      <c r="D613" s="18"/>
      <c r="E613" s="24"/>
      <c r="F613" s="129"/>
      <c r="G613" s="20"/>
      <c r="H613" s="20">
        <v>1</v>
      </c>
      <c r="I613" s="129">
        <f t="shared" si="43"/>
        <v>0</v>
      </c>
      <c r="J613" s="52">
        <f t="shared" si="44"/>
        <v>0</v>
      </c>
      <c r="K613" s="108"/>
      <c r="L613" s="113"/>
    </row>
    <row r="614" spans="2:12" s="4" customFormat="1" ht="12.95" customHeight="1" x14ac:dyDescent="0.15">
      <c r="B614" s="26">
        <v>9</v>
      </c>
      <c r="C614" s="17"/>
      <c r="D614" s="18"/>
      <c r="E614" s="24"/>
      <c r="F614" s="129"/>
      <c r="G614" s="20"/>
      <c r="H614" s="20">
        <v>1</v>
      </c>
      <c r="I614" s="129">
        <f t="shared" si="43"/>
        <v>0</v>
      </c>
      <c r="J614" s="52">
        <f t="shared" si="44"/>
        <v>0</v>
      </c>
      <c r="K614" s="108"/>
      <c r="L614" s="113"/>
    </row>
    <row r="615" spans="2:12" s="4" customFormat="1" ht="12.95" customHeight="1" x14ac:dyDescent="0.15">
      <c r="B615" s="26">
        <v>10</v>
      </c>
      <c r="C615" s="17"/>
      <c r="D615" s="24"/>
      <c r="E615" s="18"/>
      <c r="F615" s="129"/>
      <c r="G615" s="20"/>
      <c r="H615" s="20">
        <v>1</v>
      </c>
      <c r="I615" s="129">
        <f t="shared" si="43"/>
        <v>0</v>
      </c>
      <c r="J615" s="52">
        <f t="shared" si="44"/>
        <v>0</v>
      </c>
      <c r="K615" s="108"/>
      <c r="L615" s="113"/>
    </row>
    <row r="616" spans="2:12" s="4" customFormat="1" ht="12.95" customHeight="1" x14ac:dyDescent="0.15">
      <c r="B616" s="26"/>
      <c r="C616" s="17"/>
      <c r="D616" s="24"/>
      <c r="E616" s="18"/>
      <c r="F616" s="129"/>
      <c r="G616" s="20"/>
      <c r="H616" s="20"/>
      <c r="I616" s="129"/>
      <c r="J616" s="52"/>
      <c r="K616" s="108"/>
      <c r="L616" s="113"/>
    </row>
    <row r="617" spans="2:12" s="4" customFormat="1" ht="12.95" customHeight="1" x14ac:dyDescent="0.15">
      <c r="B617" s="26"/>
      <c r="C617" s="17"/>
      <c r="D617" s="24"/>
      <c r="E617" s="18"/>
      <c r="F617" s="129"/>
      <c r="G617" s="20"/>
      <c r="H617" s="20"/>
      <c r="I617" s="129"/>
      <c r="J617" s="52"/>
      <c r="K617" s="108"/>
      <c r="L617" s="113"/>
    </row>
    <row r="618" spans="2:12" s="4" customFormat="1" ht="12.95" customHeight="1" x14ac:dyDescent="0.15">
      <c r="B618" s="26"/>
      <c r="C618" s="22" t="s">
        <v>153</v>
      </c>
      <c r="D618" s="24"/>
      <c r="E618" s="18"/>
      <c r="F618" s="129"/>
      <c r="G618" s="20"/>
      <c r="H618" s="20"/>
      <c r="I618" s="129"/>
      <c r="J618" s="52"/>
      <c r="K618" s="108"/>
      <c r="L618" s="113"/>
    </row>
    <row r="619" spans="2:12" s="4" customFormat="1" ht="12.95" customHeight="1" x14ac:dyDescent="0.15">
      <c r="B619" s="26">
        <v>1</v>
      </c>
      <c r="C619" s="17"/>
      <c r="D619" s="24"/>
      <c r="E619" s="24"/>
      <c r="F619" s="129"/>
      <c r="G619" s="20"/>
      <c r="H619" s="20">
        <v>1</v>
      </c>
      <c r="I619" s="129">
        <f t="shared" si="43"/>
        <v>0</v>
      </c>
      <c r="J619" s="52">
        <f t="shared" ref="J619:J638" si="45">(F619*G619*H619)/$C$32</f>
        <v>0</v>
      </c>
      <c r="K619" s="108"/>
      <c r="L619" s="113"/>
    </row>
    <row r="620" spans="2:12" s="4" customFormat="1" ht="12.95" customHeight="1" x14ac:dyDescent="0.15">
      <c r="B620" s="26">
        <v>2</v>
      </c>
      <c r="C620" s="17"/>
      <c r="D620" s="24"/>
      <c r="E620" s="24"/>
      <c r="F620" s="129"/>
      <c r="G620" s="20"/>
      <c r="H620" s="20">
        <v>1</v>
      </c>
      <c r="I620" s="129">
        <f t="shared" si="43"/>
        <v>0</v>
      </c>
      <c r="J620" s="52">
        <f t="shared" si="45"/>
        <v>0</v>
      </c>
      <c r="K620" s="108"/>
      <c r="L620" s="113"/>
    </row>
    <row r="621" spans="2:12" s="4" customFormat="1" ht="12.95" customHeight="1" x14ac:dyDescent="0.15">
      <c r="B621" s="26">
        <v>3</v>
      </c>
      <c r="C621" s="24"/>
      <c r="D621" s="24"/>
      <c r="E621" s="24"/>
      <c r="F621" s="129"/>
      <c r="G621" s="20"/>
      <c r="H621" s="20">
        <v>1</v>
      </c>
      <c r="I621" s="129">
        <f t="shared" si="43"/>
        <v>0</v>
      </c>
      <c r="J621" s="52">
        <f t="shared" si="45"/>
        <v>0</v>
      </c>
      <c r="K621" s="108"/>
      <c r="L621" s="113"/>
    </row>
    <row r="622" spans="2:12" s="4" customFormat="1" ht="12.95" customHeight="1" x14ac:dyDescent="0.15">
      <c r="B622" s="26">
        <v>4</v>
      </c>
      <c r="C622" s="24"/>
      <c r="D622" s="18"/>
      <c r="E622" s="18"/>
      <c r="F622" s="129"/>
      <c r="G622" s="20"/>
      <c r="H622" s="20">
        <v>1</v>
      </c>
      <c r="I622" s="129">
        <f t="shared" si="43"/>
        <v>0</v>
      </c>
      <c r="J622" s="27">
        <f t="shared" si="45"/>
        <v>0</v>
      </c>
      <c r="K622" s="108"/>
      <c r="L622" s="113"/>
    </row>
    <row r="623" spans="2:12" s="4" customFormat="1" ht="14.85" customHeight="1" x14ac:dyDescent="0.15">
      <c r="B623" s="26">
        <v>5</v>
      </c>
      <c r="C623" s="24"/>
      <c r="D623" s="24"/>
      <c r="E623" s="24"/>
      <c r="F623" s="129"/>
      <c r="G623" s="20"/>
      <c r="H623" s="20">
        <v>1</v>
      </c>
      <c r="I623" s="129">
        <f t="shared" si="43"/>
        <v>0</v>
      </c>
      <c r="J623" s="52">
        <f t="shared" si="45"/>
        <v>0</v>
      </c>
      <c r="K623" s="108"/>
      <c r="L623" s="113"/>
    </row>
    <row r="624" spans="2:12" s="4" customFormat="1" ht="12.95" customHeight="1" x14ac:dyDescent="0.15">
      <c r="B624" s="26">
        <v>6</v>
      </c>
      <c r="C624" s="17"/>
      <c r="D624" s="18"/>
      <c r="E624" s="18"/>
      <c r="F624" s="129"/>
      <c r="G624" s="20"/>
      <c r="H624" s="20">
        <v>1</v>
      </c>
      <c r="I624" s="129">
        <f>J624*$C$32</f>
        <v>0</v>
      </c>
      <c r="J624" s="27">
        <f t="shared" si="45"/>
        <v>0</v>
      </c>
      <c r="K624" s="108"/>
      <c r="L624" s="113"/>
    </row>
    <row r="625" spans="2:12" s="4" customFormat="1" ht="12.95" customHeight="1" x14ac:dyDescent="0.15">
      <c r="B625" s="26">
        <v>7</v>
      </c>
      <c r="C625" s="17"/>
      <c r="D625" s="24"/>
      <c r="E625" s="24"/>
      <c r="F625" s="129"/>
      <c r="G625" s="20"/>
      <c r="H625" s="20">
        <v>1</v>
      </c>
      <c r="I625" s="129">
        <f t="shared" ref="I625" si="46">J625*$C$32</f>
        <v>0</v>
      </c>
      <c r="J625" s="54">
        <f t="shared" si="45"/>
        <v>0</v>
      </c>
      <c r="K625" s="108"/>
      <c r="L625" s="113"/>
    </row>
    <row r="626" spans="2:12" s="4" customFormat="1" ht="12.95" customHeight="1" x14ac:dyDescent="0.15">
      <c r="B626" s="26">
        <v>8</v>
      </c>
      <c r="C626" s="17"/>
      <c r="D626" s="24"/>
      <c r="E626" s="24"/>
      <c r="F626" s="129"/>
      <c r="G626" s="20"/>
      <c r="H626" s="20">
        <v>1</v>
      </c>
      <c r="I626" s="129">
        <f>J626*$C$32</f>
        <v>0</v>
      </c>
      <c r="J626" s="54">
        <f t="shared" si="45"/>
        <v>0</v>
      </c>
      <c r="K626" s="108"/>
      <c r="L626" s="113"/>
    </row>
    <row r="627" spans="2:12" s="4" customFormat="1" ht="12.95" customHeight="1" x14ac:dyDescent="0.15">
      <c r="B627" s="26">
        <v>9</v>
      </c>
      <c r="C627" s="17"/>
      <c r="D627" s="24"/>
      <c r="E627" s="24"/>
      <c r="F627" s="129"/>
      <c r="G627" s="20"/>
      <c r="H627" s="20">
        <v>1</v>
      </c>
      <c r="I627" s="129">
        <f t="shared" ref="I627:I638" si="47">J627*$C$32</f>
        <v>0</v>
      </c>
      <c r="J627" s="52">
        <f t="shared" si="45"/>
        <v>0</v>
      </c>
      <c r="K627" s="108"/>
      <c r="L627" s="113"/>
    </row>
    <row r="628" spans="2:12" s="4" customFormat="1" ht="12.95" customHeight="1" x14ac:dyDescent="0.15">
      <c r="B628" s="26">
        <v>10</v>
      </c>
      <c r="C628" s="17"/>
      <c r="D628" s="24"/>
      <c r="E628" s="24"/>
      <c r="F628" s="129"/>
      <c r="G628" s="20"/>
      <c r="H628" s="20">
        <v>1</v>
      </c>
      <c r="I628" s="129">
        <f t="shared" si="47"/>
        <v>0</v>
      </c>
      <c r="J628" s="52">
        <f t="shared" si="45"/>
        <v>0</v>
      </c>
      <c r="K628" s="108"/>
      <c r="L628" s="113"/>
    </row>
    <row r="629" spans="2:12" s="4" customFormat="1" ht="12.95" customHeight="1" x14ac:dyDescent="0.15">
      <c r="B629" s="26">
        <v>11</v>
      </c>
      <c r="C629" s="17"/>
      <c r="D629" s="24"/>
      <c r="E629" s="24"/>
      <c r="F629" s="129"/>
      <c r="G629" s="20"/>
      <c r="H629" s="20">
        <v>1</v>
      </c>
      <c r="I629" s="129">
        <f t="shared" si="47"/>
        <v>0</v>
      </c>
      <c r="J629" s="52">
        <f t="shared" si="45"/>
        <v>0</v>
      </c>
      <c r="K629" s="108"/>
      <c r="L629" s="113"/>
    </row>
    <row r="630" spans="2:12" s="4" customFormat="1" ht="12.95" customHeight="1" x14ac:dyDescent="0.15">
      <c r="B630" s="26">
        <v>12</v>
      </c>
      <c r="C630" s="17"/>
      <c r="D630" s="24"/>
      <c r="E630" s="24"/>
      <c r="F630" s="129"/>
      <c r="G630" s="20"/>
      <c r="H630" s="20">
        <v>1</v>
      </c>
      <c r="I630" s="129">
        <f t="shared" si="47"/>
        <v>0</v>
      </c>
      <c r="J630" s="52">
        <f t="shared" si="45"/>
        <v>0</v>
      </c>
      <c r="K630" s="108"/>
      <c r="L630" s="113"/>
    </row>
    <row r="631" spans="2:12" s="4" customFormat="1" ht="12.95" customHeight="1" x14ac:dyDescent="0.15">
      <c r="B631" s="26">
        <v>13</v>
      </c>
      <c r="C631" s="17"/>
      <c r="D631" s="18"/>
      <c r="E631" s="18"/>
      <c r="F631" s="129"/>
      <c r="G631" s="20"/>
      <c r="H631" s="20">
        <v>1</v>
      </c>
      <c r="I631" s="129">
        <f t="shared" si="47"/>
        <v>0</v>
      </c>
      <c r="J631" s="52">
        <f t="shared" si="45"/>
        <v>0</v>
      </c>
      <c r="K631" s="108"/>
      <c r="L631" s="113"/>
    </row>
    <row r="632" spans="2:12" s="4" customFormat="1" ht="12.95" customHeight="1" x14ac:dyDescent="0.15">
      <c r="B632" s="26">
        <v>14</v>
      </c>
      <c r="C632" s="17"/>
      <c r="D632" s="18"/>
      <c r="E632" s="18"/>
      <c r="F632" s="129"/>
      <c r="G632" s="20"/>
      <c r="H632" s="20">
        <v>1</v>
      </c>
      <c r="I632" s="129">
        <f t="shared" si="47"/>
        <v>0</v>
      </c>
      <c r="J632" s="52">
        <f t="shared" si="45"/>
        <v>0</v>
      </c>
      <c r="K632" s="108"/>
      <c r="L632" s="113"/>
    </row>
    <row r="633" spans="2:12" s="4" customFormat="1" ht="12.95" customHeight="1" x14ac:dyDescent="0.15">
      <c r="B633" s="26">
        <v>15</v>
      </c>
      <c r="C633" s="17"/>
      <c r="D633" s="18"/>
      <c r="E633" s="18"/>
      <c r="F633" s="129"/>
      <c r="G633" s="20"/>
      <c r="H633" s="20">
        <v>1</v>
      </c>
      <c r="I633" s="129">
        <f t="shared" si="47"/>
        <v>0</v>
      </c>
      <c r="J633" s="52">
        <f t="shared" si="45"/>
        <v>0</v>
      </c>
      <c r="K633" s="108"/>
      <c r="L633" s="113"/>
    </row>
    <row r="634" spans="2:12" s="4" customFormat="1" ht="12.95" customHeight="1" x14ac:dyDescent="0.15">
      <c r="B634" s="26">
        <v>16</v>
      </c>
      <c r="C634" s="11"/>
      <c r="D634" s="18"/>
      <c r="E634" s="18"/>
      <c r="F634" s="129"/>
      <c r="G634" s="20"/>
      <c r="H634" s="20">
        <v>1</v>
      </c>
      <c r="I634" s="126">
        <f t="shared" si="47"/>
        <v>0</v>
      </c>
      <c r="J634" s="21">
        <f t="shared" si="45"/>
        <v>0</v>
      </c>
      <c r="K634" s="108"/>
      <c r="L634" s="113"/>
    </row>
    <row r="635" spans="2:12" s="4" customFormat="1" ht="12.95" customHeight="1" x14ac:dyDescent="0.15">
      <c r="B635" s="26">
        <v>17</v>
      </c>
      <c r="C635" s="23"/>
      <c r="D635" s="48"/>
      <c r="E635" s="48"/>
      <c r="F635" s="126"/>
      <c r="G635" s="50"/>
      <c r="H635" s="20">
        <v>1</v>
      </c>
      <c r="I635" s="126">
        <f t="shared" si="47"/>
        <v>0</v>
      </c>
      <c r="J635" s="21">
        <f t="shared" si="45"/>
        <v>0</v>
      </c>
      <c r="K635" s="108"/>
      <c r="L635" s="113"/>
    </row>
    <row r="636" spans="2:12" s="4" customFormat="1" ht="12.95" customHeight="1" x14ac:dyDescent="0.15">
      <c r="B636" s="26">
        <v>18</v>
      </c>
      <c r="C636" s="23"/>
      <c r="D636" s="48"/>
      <c r="E636" s="48"/>
      <c r="F636" s="126"/>
      <c r="G636" s="50"/>
      <c r="H636" s="20">
        <v>1</v>
      </c>
      <c r="I636" s="126">
        <f t="shared" si="47"/>
        <v>0</v>
      </c>
      <c r="J636" s="21">
        <f t="shared" si="45"/>
        <v>0</v>
      </c>
      <c r="K636" s="108"/>
      <c r="L636" s="113"/>
    </row>
    <row r="637" spans="2:12" s="4" customFormat="1" ht="12.95" customHeight="1" x14ac:dyDescent="0.15">
      <c r="B637" s="26">
        <v>19</v>
      </c>
      <c r="C637" s="23"/>
      <c r="D637" s="48"/>
      <c r="E637" s="48"/>
      <c r="F637" s="126"/>
      <c r="G637" s="50"/>
      <c r="H637" s="20">
        <v>1</v>
      </c>
      <c r="I637" s="126">
        <f t="shared" si="47"/>
        <v>0</v>
      </c>
      <c r="J637" s="21">
        <f t="shared" si="45"/>
        <v>0</v>
      </c>
      <c r="K637" s="108"/>
      <c r="L637" s="113"/>
    </row>
    <row r="638" spans="2:12" s="4" customFormat="1" ht="12.95" customHeight="1" x14ac:dyDescent="0.15">
      <c r="B638" s="26">
        <v>20</v>
      </c>
      <c r="C638" s="23"/>
      <c r="D638" s="48"/>
      <c r="E638" s="48"/>
      <c r="F638" s="126"/>
      <c r="G638" s="50"/>
      <c r="H638" s="20">
        <v>1</v>
      </c>
      <c r="I638" s="126">
        <f t="shared" si="47"/>
        <v>0</v>
      </c>
      <c r="J638" s="21">
        <f t="shared" si="45"/>
        <v>0</v>
      </c>
      <c r="K638" s="108"/>
      <c r="L638" s="113"/>
    </row>
    <row r="639" spans="2:12" s="4" customFormat="1" ht="12.95" customHeight="1" x14ac:dyDescent="0.15">
      <c r="B639" s="26"/>
      <c r="C639" s="23"/>
      <c r="D639" s="48"/>
      <c r="E639" s="48"/>
      <c r="F639" s="126"/>
      <c r="G639" s="50"/>
      <c r="H639" s="50"/>
      <c r="I639" s="126"/>
      <c r="J639" s="38"/>
      <c r="K639" s="108"/>
      <c r="L639" s="113"/>
    </row>
    <row r="640" spans="2:12" s="4" customFormat="1" ht="12.95" customHeight="1" x14ac:dyDescent="0.15">
      <c r="B640" s="26"/>
      <c r="C640" s="23"/>
      <c r="D640" s="48"/>
      <c r="E640" s="48"/>
      <c r="F640" s="126"/>
      <c r="G640" s="50"/>
      <c r="H640" s="50"/>
      <c r="I640" s="126"/>
      <c r="J640" s="38"/>
      <c r="K640" s="108"/>
      <c r="L640" s="113"/>
    </row>
    <row r="641" spans="2:20" s="4" customFormat="1" ht="12.95" customHeight="1" x14ac:dyDescent="0.15">
      <c r="B641" s="26"/>
      <c r="C641" s="72" t="s">
        <v>132</v>
      </c>
      <c r="D641" s="48"/>
      <c r="E641" s="48"/>
      <c r="F641" s="126"/>
      <c r="G641" s="50"/>
      <c r="H641" s="50"/>
      <c r="I641" s="126"/>
      <c r="J641" s="38"/>
      <c r="K641" s="108"/>
      <c r="L641" s="113"/>
    </row>
    <row r="642" spans="2:20" s="4" customFormat="1" ht="12.95" customHeight="1" x14ac:dyDescent="0.15">
      <c r="B642" s="26">
        <v>1</v>
      </c>
      <c r="C642" s="59"/>
      <c r="D642" s="49"/>
      <c r="E642" s="49"/>
      <c r="F642" s="126"/>
      <c r="G642" s="50"/>
      <c r="H642" s="50">
        <v>1</v>
      </c>
      <c r="I642" s="126">
        <f t="shared" ref="I642" si="48">J642*$C$32</f>
        <v>0</v>
      </c>
      <c r="J642" s="21">
        <f t="shared" ref="J642:J661" si="49">(F642*G642*H642)/$C$32</f>
        <v>0</v>
      </c>
      <c r="K642" s="108"/>
      <c r="L642" s="113"/>
      <c r="M642" s="57"/>
      <c r="N642" s="57"/>
      <c r="O642" s="57"/>
      <c r="P642" s="57"/>
      <c r="Q642" s="58"/>
      <c r="R642" s="57"/>
      <c r="T642" s="57"/>
    </row>
    <row r="643" spans="2:20" s="4" customFormat="1" ht="12.95" customHeight="1" x14ac:dyDescent="0.15">
      <c r="B643" s="26">
        <v>2</v>
      </c>
      <c r="C643" s="60"/>
      <c r="D643" s="49"/>
      <c r="E643" s="49"/>
      <c r="F643" s="126"/>
      <c r="G643" s="50"/>
      <c r="H643" s="50">
        <v>1</v>
      </c>
      <c r="I643" s="126">
        <f>J643*$C$32</f>
        <v>0</v>
      </c>
      <c r="J643" s="21">
        <f t="shared" si="49"/>
        <v>0</v>
      </c>
      <c r="K643" s="108"/>
      <c r="L643" s="113"/>
      <c r="M643" s="57"/>
      <c r="N643" s="57"/>
      <c r="O643" s="57"/>
      <c r="P643" s="57"/>
      <c r="Q643" s="58"/>
      <c r="R643" s="57"/>
      <c r="T643" s="57"/>
    </row>
    <row r="644" spans="2:20" s="4" customFormat="1" ht="12.95" customHeight="1" x14ac:dyDescent="0.15">
      <c r="B644" s="26">
        <v>3</v>
      </c>
      <c r="C644" s="59"/>
      <c r="D644" s="49"/>
      <c r="E644" s="49"/>
      <c r="F644" s="126"/>
      <c r="G644" s="50"/>
      <c r="H644" s="50">
        <v>1</v>
      </c>
      <c r="I644" s="126">
        <f t="shared" ref="I644:I661" si="50">J644*$C$32</f>
        <v>0</v>
      </c>
      <c r="J644" s="21">
        <f t="shared" si="49"/>
        <v>0</v>
      </c>
      <c r="K644" s="108"/>
      <c r="L644" s="113"/>
      <c r="M644" s="57"/>
      <c r="N644" s="57"/>
      <c r="O644" s="57"/>
      <c r="P644" s="57"/>
      <c r="Q644" s="58"/>
      <c r="R644" s="57"/>
      <c r="T644" s="57"/>
    </row>
    <row r="645" spans="2:20" s="4" customFormat="1" ht="12.95" customHeight="1" x14ac:dyDescent="0.15">
      <c r="B645" s="26">
        <v>4</v>
      </c>
      <c r="C645" s="61"/>
      <c r="D645" s="49"/>
      <c r="E645" s="49"/>
      <c r="F645" s="126"/>
      <c r="G645" s="50"/>
      <c r="H645" s="50">
        <v>1</v>
      </c>
      <c r="I645" s="126">
        <f t="shared" si="50"/>
        <v>0</v>
      </c>
      <c r="J645" s="21">
        <f t="shared" si="49"/>
        <v>0</v>
      </c>
      <c r="K645" s="108"/>
      <c r="L645" s="113"/>
      <c r="M645" s="57"/>
      <c r="N645" s="57"/>
      <c r="O645" s="57"/>
      <c r="P645" s="57"/>
      <c r="Q645" s="58"/>
      <c r="R645" s="57"/>
      <c r="T645" s="57"/>
    </row>
    <row r="646" spans="2:20" s="1" customFormat="1" ht="12.95" customHeight="1" x14ac:dyDescent="0.15">
      <c r="B646" s="16">
        <v>5</v>
      </c>
      <c r="C646" s="11"/>
      <c r="D646" s="18"/>
      <c r="E646" s="18"/>
      <c r="F646" s="129"/>
      <c r="G646" s="20"/>
      <c r="H646" s="20">
        <v>1</v>
      </c>
      <c r="I646" s="126">
        <f t="shared" si="50"/>
        <v>0</v>
      </c>
      <c r="J646" s="21">
        <f t="shared" si="49"/>
        <v>0</v>
      </c>
      <c r="K646" s="80"/>
      <c r="L646" s="82"/>
      <c r="M646" s="10"/>
      <c r="N646" s="10"/>
      <c r="O646" s="10"/>
      <c r="P646" s="10"/>
      <c r="Q646" s="43"/>
      <c r="R646" s="10"/>
      <c r="T646" s="10"/>
    </row>
    <row r="647" spans="2:20" s="1" customFormat="1" ht="12.95" customHeight="1" x14ac:dyDescent="0.15">
      <c r="B647" s="16">
        <v>6</v>
      </c>
      <c r="C647" s="46"/>
      <c r="D647" s="18"/>
      <c r="E647" s="18"/>
      <c r="F647" s="129"/>
      <c r="G647" s="20"/>
      <c r="H647" s="20">
        <v>1</v>
      </c>
      <c r="I647" s="126">
        <f t="shared" si="50"/>
        <v>0</v>
      </c>
      <c r="J647" s="21">
        <f t="shared" si="49"/>
        <v>0</v>
      </c>
      <c r="K647" s="80"/>
      <c r="L647" s="82"/>
      <c r="M647" s="10"/>
      <c r="N647" s="10"/>
      <c r="O647" s="10"/>
      <c r="P647" s="10"/>
      <c r="Q647" s="43"/>
      <c r="R647" s="10"/>
      <c r="T647" s="10"/>
    </row>
    <row r="648" spans="2:20" s="1" customFormat="1" ht="12.95" customHeight="1" x14ac:dyDescent="0.15">
      <c r="B648" s="16">
        <v>7</v>
      </c>
      <c r="C648" s="11"/>
      <c r="D648" s="18"/>
      <c r="E648" s="18"/>
      <c r="F648" s="129"/>
      <c r="G648" s="20"/>
      <c r="H648" s="20">
        <v>1</v>
      </c>
      <c r="I648" s="126">
        <f t="shared" si="50"/>
        <v>0</v>
      </c>
      <c r="J648" s="21">
        <f t="shared" si="49"/>
        <v>0</v>
      </c>
      <c r="K648" s="80"/>
      <c r="L648" s="82"/>
      <c r="M648" s="10"/>
      <c r="N648" s="10"/>
      <c r="O648" s="10"/>
      <c r="P648" s="10"/>
      <c r="Q648" s="43"/>
      <c r="R648" s="10"/>
      <c r="T648" s="10"/>
    </row>
    <row r="649" spans="2:20" s="1" customFormat="1" ht="12.95" customHeight="1" x14ac:dyDescent="0.15">
      <c r="B649" s="16">
        <v>8</v>
      </c>
      <c r="C649" s="11"/>
      <c r="D649" s="18"/>
      <c r="E649" s="18"/>
      <c r="F649" s="129"/>
      <c r="G649" s="20"/>
      <c r="H649" s="20">
        <v>1</v>
      </c>
      <c r="I649" s="126">
        <f t="shared" si="50"/>
        <v>0</v>
      </c>
      <c r="J649" s="21">
        <f t="shared" si="49"/>
        <v>0</v>
      </c>
      <c r="K649" s="80"/>
      <c r="L649" s="82"/>
      <c r="M649" s="10"/>
      <c r="N649" s="10"/>
      <c r="O649" s="10"/>
      <c r="P649" s="10"/>
      <c r="Q649" s="43"/>
      <c r="R649" s="10"/>
      <c r="T649" s="10"/>
    </row>
    <row r="650" spans="2:20" s="1" customFormat="1" ht="12.95" customHeight="1" x14ac:dyDescent="0.15">
      <c r="B650" s="16">
        <v>9</v>
      </c>
      <c r="C650" s="11"/>
      <c r="D650" s="18"/>
      <c r="E650" s="18"/>
      <c r="F650" s="129"/>
      <c r="G650" s="20"/>
      <c r="H650" s="20">
        <v>1</v>
      </c>
      <c r="I650" s="126">
        <f t="shared" si="50"/>
        <v>0</v>
      </c>
      <c r="J650" s="21">
        <f t="shared" si="49"/>
        <v>0</v>
      </c>
      <c r="K650" s="80"/>
      <c r="L650" s="82"/>
      <c r="M650" s="10"/>
      <c r="N650" s="10"/>
      <c r="O650" s="10"/>
      <c r="P650" s="10"/>
      <c r="Q650" s="43"/>
      <c r="R650" s="10"/>
      <c r="T650" s="10"/>
    </row>
    <row r="651" spans="2:20" s="1" customFormat="1" ht="12.95" customHeight="1" x14ac:dyDescent="0.15">
      <c r="B651" s="16">
        <v>10</v>
      </c>
      <c r="C651" s="11"/>
      <c r="D651" s="18"/>
      <c r="E651" s="18"/>
      <c r="F651" s="129"/>
      <c r="G651" s="20"/>
      <c r="H651" s="20">
        <v>1</v>
      </c>
      <c r="I651" s="126">
        <f t="shared" si="50"/>
        <v>0</v>
      </c>
      <c r="J651" s="21">
        <f t="shared" si="49"/>
        <v>0</v>
      </c>
      <c r="K651" s="80"/>
      <c r="L651" s="82"/>
      <c r="M651" s="10"/>
      <c r="N651" s="10"/>
      <c r="O651" s="10"/>
      <c r="P651" s="10"/>
      <c r="Q651" s="43"/>
      <c r="R651" s="10"/>
      <c r="T651" s="10"/>
    </row>
    <row r="652" spans="2:20" s="1" customFormat="1" ht="12.95" customHeight="1" x14ac:dyDescent="0.15">
      <c r="B652" s="16">
        <v>11</v>
      </c>
      <c r="C652" s="11"/>
      <c r="D652" s="18"/>
      <c r="E652" s="18"/>
      <c r="F652" s="129"/>
      <c r="G652" s="20"/>
      <c r="H652" s="20">
        <v>1</v>
      </c>
      <c r="I652" s="126">
        <f t="shared" si="50"/>
        <v>0</v>
      </c>
      <c r="J652" s="21">
        <f t="shared" si="49"/>
        <v>0</v>
      </c>
      <c r="K652" s="80"/>
      <c r="L652" s="82"/>
      <c r="M652" s="10"/>
      <c r="N652" s="10"/>
      <c r="O652" s="10"/>
      <c r="P652" s="10"/>
      <c r="Q652" s="43"/>
      <c r="R652" s="10"/>
      <c r="T652" s="10"/>
    </row>
    <row r="653" spans="2:20" s="1" customFormat="1" ht="12.95" customHeight="1" x14ac:dyDescent="0.15">
      <c r="B653" s="16">
        <v>12</v>
      </c>
      <c r="C653" s="11"/>
      <c r="D653" s="18"/>
      <c r="E653" s="18"/>
      <c r="F653" s="129"/>
      <c r="G653" s="20"/>
      <c r="H653" s="20">
        <v>1</v>
      </c>
      <c r="I653" s="126">
        <f t="shared" si="50"/>
        <v>0</v>
      </c>
      <c r="J653" s="21">
        <f t="shared" si="49"/>
        <v>0</v>
      </c>
      <c r="K653" s="80"/>
      <c r="L653" s="82"/>
      <c r="M653" s="10"/>
      <c r="N653" s="10"/>
      <c r="O653" s="10"/>
      <c r="P653" s="10"/>
      <c r="Q653" s="43"/>
      <c r="R653" s="10"/>
      <c r="T653" s="10"/>
    </row>
    <row r="654" spans="2:20" s="1" customFormat="1" ht="12.95" customHeight="1" x14ac:dyDescent="0.15">
      <c r="B654" s="16">
        <v>13</v>
      </c>
      <c r="C654" s="11"/>
      <c r="D654" s="18"/>
      <c r="E654" s="18"/>
      <c r="F654" s="129"/>
      <c r="G654" s="20"/>
      <c r="H654" s="20">
        <v>1</v>
      </c>
      <c r="I654" s="126">
        <f t="shared" si="50"/>
        <v>0</v>
      </c>
      <c r="J654" s="21">
        <f t="shared" si="49"/>
        <v>0</v>
      </c>
      <c r="K654" s="80"/>
      <c r="L654" s="82"/>
      <c r="M654" s="10"/>
      <c r="N654" s="10"/>
      <c r="O654" s="10"/>
      <c r="P654" s="10"/>
      <c r="Q654" s="43"/>
      <c r="R654" s="10"/>
      <c r="T654" s="10"/>
    </row>
    <row r="655" spans="2:20" s="1" customFormat="1" ht="12.95" customHeight="1" x14ac:dyDescent="0.15">
      <c r="B655" s="16">
        <v>14</v>
      </c>
      <c r="C655" s="11"/>
      <c r="D655" s="18"/>
      <c r="E655" s="18"/>
      <c r="F655" s="129"/>
      <c r="G655" s="20"/>
      <c r="H655" s="20">
        <v>1</v>
      </c>
      <c r="I655" s="126">
        <f t="shared" si="50"/>
        <v>0</v>
      </c>
      <c r="J655" s="21">
        <f t="shared" si="49"/>
        <v>0</v>
      </c>
      <c r="K655" s="80"/>
      <c r="L655" s="82"/>
      <c r="M655" s="10"/>
      <c r="N655" s="10"/>
      <c r="O655" s="10"/>
      <c r="P655" s="10"/>
      <c r="Q655" s="43"/>
      <c r="R655" s="10"/>
      <c r="T655" s="10"/>
    </row>
    <row r="656" spans="2:20" s="1" customFormat="1" ht="12.95" customHeight="1" x14ac:dyDescent="0.15">
      <c r="B656" s="16">
        <v>15</v>
      </c>
      <c r="C656" s="11"/>
      <c r="D656" s="18"/>
      <c r="E656" s="18"/>
      <c r="F656" s="129"/>
      <c r="G656" s="20"/>
      <c r="H656" s="20">
        <v>1</v>
      </c>
      <c r="I656" s="126">
        <f t="shared" si="50"/>
        <v>0</v>
      </c>
      <c r="J656" s="21">
        <f t="shared" si="49"/>
        <v>0</v>
      </c>
      <c r="K656" s="80"/>
      <c r="L656" s="82"/>
      <c r="M656" s="10"/>
      <c r="N656" s="10"/>
      <c r="O656" s="10"/>
      <c r="P656" s="10"/>
      <c r="Q656" s="43"/>
      <c r="R656" s="10"/>
      <c r="T656" s="10"/>
    </row>
    <row r="657" spans="2:20" s="1" customFormat="1" ht="12.95" customHeight="1" x14ac:dyDescent="0.15">
      <c r="B657" s="16">
        <v>16</v>
      </c>
      <c r="C657" s="74"/>
      <c r="D657" s="75"/>
      <c r="E657" s="75"/>
      <c r="F657" s="132"/>
      <c r="G657" s="77"/>
      <c r="H657" s="77">
        <v>1</v>
      </c>
      <c r="I657" s="131">
        <f t="shared" si="50"/>
        <v>0</v>
      </c>
      <c r="J657" s="78">
        <f t="shared" si="49"/>
        <v>0</v>
      </c>
      <c r="K657" s="80"/>
      <c r="L657" s="82"/>
      <c r="M657" s="10"/>
      <c r="N657" s="10"/>
      <c r="O657" s="10"/>
      <c r="P657" s="10"/>
      <c r="Q657" s="43"/>
      <c r="R657" s="10"/>
      <c r="T657" s="10"/>
    </row>
    <row r="658" spans="2:20" s="1" customFormat="1" ht="12.95" customHeight="1" x14ac:dyDescent="0.15">
      <c r="B658" s="80">
        <v>17</v>
      </c>
      <c r="C658" s="82"/>
      <c r="D658" s="82"/>
      <c r="E658" s="82"/>
      <c r="F658" s="156"/>
      <c r="G658" s="82"/>
      <c r="H658" s="77">
        <v>1</v>
      </c>
      <c r="I658" s="131">
        <f t="shared" si="50"/>
        <v>0</v>
      </c>
      <c r="J658" s="78">
        <f t="shared" si="49"/>
        <v>0</v>
      </c>
      <c r="K658" s="109"/>
      <c r="L658" s="82"/>
      <c r="M658" s="10"/>
      <c r="N658" s="10"/>
      <c r="O658" s="10"/>
      <c r="P658" s="10"/>
      <c r="Q658" s="43"/>
      <c r="R658" s="10"/>
      <c r="T658" s="10"/>
    </row>
    <row r="659" spans="2:20" s="1" customFormat="1" ht="12.95" customHeight="1" x14ac:dyDescent="0.15">
      <c r="B659" s="80">
        <v>18</v>
      </c>
      <c r="C659" s="82"/>
      <c r="D659" s="82"/>
      <c r="E659" s="82"/>
      <c r="F659" s="156"/>
      <c r="G659" s="82"/>
      <c r="H659" s="77">
        <v>1</v>
      </c>
      <c r="I659" s="131">
        <f t="shared" si="50"/>
        <v>0</v>
      </c>
      <c r="J659" s="78">
        <f t="shared" si="49"/>
        <v>0</v>
      </c>
      <c r="K659" s="155"/>
      <c r="L659" s="119"/>
      <c r="M659" s="10"/>
      <c r="N659" s="10"/>
      <c r="O659" s="10"/>
      <c r="P659" s="10"/>
      <c r="Q659" s="43"/>
      <c r="R659" s="10"/>
      <c r="T659" s="10"/>
    </row>
    <row r="660" spans="2:20" s="1" customFormat="1" ht="12.95" customHeight="1" x14ac:dyDescent="0.15">
      <c r="B660" s="80">
        <v>19</v>
      </c>
      <c r="C660" s="82"/>
      <c r="D660" s="82"/>
      <c r="E660" s="82"/>
      <c r="F660" s="156"/>
      <c r="G660" s="82"/>
      <c r="H660" s="77">
        <v>1</v>
      </c>
      <c r="I660" s="131">
        <f t="shared" si="50"/>
        <v>0</v>
      </c>
      <c r="J660" s="260">
        <f t="shared" si="49"/>
        <v>0</v>
      </c>
      <c r="K660" s="82"/>
      <c r="L660" s="82"/>
      <c r="M660" s="10"/>
      <c r="N660" s="10"/>
      <c r="O660" s="10"/>
      <c r="P660" s="10"/>
      <c r="Q660" s="43"/>
      <c r="R660" s="10"/>
      <c r="T660" s="10"/>
    </row>
    <row r="661" spans="2:20" s="1" customFormat="1" ht="12.95" customHeight="1" x14ac:dyDescent="0.15">
      <c r="B661" s="80">
        <v>20</v>
      </c>
      <c r="C661" s="82"/>
      <c r="D661" s="82"/>
      <c r="E661" s="82"/>
      <c r="F661" s="156"/>
      <c r="G661" s="82"/>
      <c r="H661" s="77">
        <v>1</v>
      </c>
      <c r="I661" s="131">
        <f t="shared" si="50"/>
        <v>0</v>
      </c>
      <c r="J661" s="260">
        <f t="shared" si="49"/>
        <v>0</v>
      </c>
      <c r="K661" s="82"/>
      <c r="L661" s="82"/>
      <c r="M661" s="10"/>
      <c r="N661" s="10"/>
      <c r="O661" s="10"/>
      <c r="P661" s="10"/>
      <c r="Q661" s="43"/>
      <c r="R661" s="10"/>
      <c r="T661" s="10"/>
    </row>
    <row r="662" spans="2:20" s="1" customFormat="1" ht="12.95" customHeight="1" x14ac:dyDescent="0.15">
      <c r="B662" s="111"/>
      <c r="C662" s="152"/>
      <c r="D662" s="153"/>
      <c r="E662" s="153"/>
      <c r="F662" s="157"/>
      <c r="G662" s="154"/>
      <c r="H662" s="154"/>
      <c r="I662" s="158"/>
      <c r="J662" s="261"/>
      <c r="K662" s="82"/>
      <c r="L662" s="82"/>
      <c r="M662" s="10"/>
      <c r="N662" s="10"/>
      <c r="O662" s="10"/>
      <c r="P662" s="10"/>
      <c r="Q662" s="43"/>
      <c r="R662" s="10"/>
      <c r="T662" s="10"/>
    </row>
    <row r="663" spans="2:20" s="1" customFormat="1" ht="12.75" x14ac:dyDescent="0.15">
      <c r="B663" s="82"/>
      <c r="C663" s="102"/>
      <c r="D663" s="103"/>
      <c r="E663" s="102"/>
      <c r="F663" s="128">
        <f>SUM(F605:F662)</f>
        <v>0</v>
      </c>
      <c r="G663" s="104"/>
      <c r="H663" s="105"/>
      <c r="I663" s="128">
        <f>SUM(I605:I662)</f>
        <v>0</v>
      </c>
      <c r="J663" s="106">
        <f>SUM(J605:J662)</f>
        <v>0</v>
      </c>
    </row>
    <row r="664" spans="2:20" s="1" customFormat="1" ht="12.75" x14ac:dyDescent="0.15">
      <c r="B664" s="82"/>
      <c r="C664" s="102"/>
      <c r="D664" s="103"/>
      <c r="E664" s="102" t="s">
        <v>147</v>
      </c>
      <c r="F664" s="128">
        <f>100/115*F663</f>
        <v>0</v>
      </c>
      <c r="G664" s="104"/>
      <c r="H664" s="105" t="s">
        <v>147</v>
      </c>
      <c r="I664" s="128">
        <f>100/115*I663</f>
        <v>0</v>
      </c>
      <c r="J664" s="106"/>
    </row>
    <row r="665" spans="2:20" s="1" customFormat="1" ht="12.75" x14ac:dyDescent="0.15"/>
    <row r="666" spans="2:20" s="1" customFormat="1" ht="12.75" x14ac:dyDescent="0.15"/>
    <row r="667" spans="2:20" s="1" customFormat="1" ht="12.75" x14ac:dyDescent="0.15"/>
    <row r="668" spans="2:20" s="1" customFormat="1" ht="12.75" x14ac:dyDescent="0.15"/>
    <row r="669" spans="2:20" s="247" customFormat="1" ht="32.25" x14ac:dyDescent="0.4">
      <c r="B669" s="248"/>
      <c r="C669" s="380" t="s">
        <v>112</v>
      </c>
      <c r="D669" s="380"/>
      <c r="E669" s="400" t="s">
        <v>163</v>
      </c>
      <c r="F669" s="401"/>
      <c r="G669" s="401"/>
      <c r="H669" s="401"/>
      <c r="I669" s="402"/>
      <c r="J669" s="382">
        <v>2026</v>
      </c>
      <c r="K669" s="382"/>
      <c r="L669" s="382"/>
    </row>
    <row r="670" spans="2:20" s="1" customFormat="1" ht="22.5" x14ac:dyDescent="0.15">
      <c r="B670" s="82"/>
      <c r="C670" s="102" t="s">
        <v>114</v>
      </c>
      <c r="D670" s="388" t="s">
        <v>115</v>
      </c>
      <c r="E670" s="388"/>
      <c r="F670" s="102" t="s">
        <v>116</v>
      </c>
      <c r="G670" s="102" t="s">
        <v>117</v>
      </c>
      <c r="H670" s="102" t="s">
        <v>118</v>
      </c>
      <c r="I670" s="102" t="s">
        <v>119</v>
      </c>
      <c r="J670" s="102" t="s">
        <v>120</v>
      </c>
      <c r="K670" s="82"/>
      <c r="L670" s="82"/>
    </row>
    <row r="671" spans="2:20" s="1" customFormat="1" ht="12.75" x14ac:dyDescent="0.15">
      <c r="B671" s="84"/>
      <c r="C671" s="149">
        <f>C601</f>
        <v>700</v>
      </c>
      <c r="D671" s="412">
        <v>23</v>
      </c>
      <c r="E671" s="412"/>
      <c r="F671" s="146">
        <f>F601</f>
        <v>0.8</v>
      </c>
      <c r="G671" s="147">
        <f>G601</f>
        <v>8</v>
      </c>
      <c r="H671" s="148">
        <f>D671*G671*F671</f>
        <v>147.20000000000002</v>
      </c>
      <c r="I671" s="149">
        <f>I733</f>
        <v>0</v>
      </c>
      <c r="J671" s="150">
        <f>H671-J733</f>
        <v>147.20000000000002</v>
      </c>
      <c r="K671" s="79"/>
      <c r="L671" s="120"/>
    </row>
    <row r="672" spans="2:20" s="1" customFormat="1" ht="33.75" x14ac:dyDescent="0.15">
      <c r="B672" s="16"/>
      <c r="C672" s="22" t="s">
        <v>121</v>
      </c>
      <c r="D672" s="413" t="s">
        <v>122</v>
      </c>
      <c r="E672" s="413"/>
      <c r="F672" s="33" t="s">
        <v>123</v>
      </c>
      <c r="G672" s="34" t="s">
        <v>124</v>
      </c>
      <c r="H672" s="35" t="s">
        <v>125</v>
      </c>
      <c r="I672" s="125" t="s">
        <v>126</v>
      </c>
      <c r="J672" s="34" t="s">
        <v>127</v>
      </c>
      <c r="K672" s="107" t="s">
        <v>128</v>
      </c>
      <c r="L672" s="123" t="s">
        <v>129</v>
      </c>
    </row>
    <row r="673" spans="2:20" s="1" customFormat="1" ht="12.75" x14ac:dyDescent="0.15">
      <c r="B673" s="16"/>
      <c r="C673" s="22"/>
      <c r="D673" s="32"/>
      <c r="E673" s="32"/>
      <c r="F673" s="33"/>
      <c r="G673" s="34"/>
      <c r="H673" s="35"/>
      <c r="I673" s="125"/>
      <c r="J673" s="34"/>
      <c r="K673" s="110"/>
      <c r="L673" s="82"/>
    </row>
    <row r="674" spans="2:20" s="1" customFormat="1" ht="12.75" x14ac:dyDescent="0.15">
      <c r="B674" s="16"/>
      <c r="C674" s="22" t="s">
        <v>130</v>
      </c>
      <c r="D674" s="32"/>
      <c r="E674" s="32"/>
      <c r="F674" s="151"/>
      <c r="G674" s="34"/>
      <c r="H674" s="35"/>
      <c r="I674" s="125"/>
      <c r="J674" s="34"/>
      <c r="K674" s="110"/>
      <c r="L674" s="82"/>
    </row>
    <row r="675" spans="2:20" s="1" customFormat="1" ht="12.75" x14ac:dyDescent="0.15">
      <c r="B675" s="16"/>
      <c r="C675" s="22" t="s">
        <v>149</v>
      </c>
      <c r="D675" s="32"/>
      <c r="E675" s="32"/>
      <c r="F675" s="151"/>
      <c r="G675" s="34"/>
      <c r="H675" s="35"/>
      <c r="I675" s="125"/>
      <c r="J675" s="34"/>
      <c r="K675" s="110"/>
      <c r="L675" s="82"/>
    </row>
    <row r="676" spans="2:20" s="1" customFormat="1" ht="13.15" customHeight="1" x14ac:dyDescent="0.15">
      <c r="B676" s="26">
        <v>1</v>
      </c>
      <c r="C676" s="17"/>
      <c r="D676" s="24"/>
      <c r="E676" s="24"/>
      <c r="F676" s="129"/>
      <c r="G676" s="20"/>
      <c r="H676" s="20">
        <v>1</v>
      </c>
      <c r="I676" s="129">
        <f t="shared" ref="I676:I692" si="51">J676*$C$32</f>
        <v>0</v>
      </c>
      <c r="J676" s="52">
        <f t="shared" ref="J676:J685" si="52">(F676*G676*H676)/$C$32</f>
        <v>0</v>
      </c>
      <c r="K676" s="108"/>
      <c r="L676" s="113"/>
      <c r="M676" s="4"/>
      <c r="N676" s="4"/>
      <c r="O676" s="4"/>
      <c r="P676" s="4"/>
      <c r="Q676" s="4"/>
      <c r="R676" s="4"/>
      <c r="S676" s="4"/>
      <c r="T676" s="4"/>
    </row>
    <row r="677" spans="2:20" s="1" customFormat="1" ht="12.75" customHeight="1" x14ac:dyDescent="0.15">
      <c r="B677" s="26">
        <v>2</v>
      </c>
      <c r="C677" s="17"/>
      <c r="D677" s="24"/>
      <c r="E677" s="24"/>
      <c r="F677" s="129"/>
      <c r="G677" s="20"/>
      <c r="H677" s="20">
        <v>1</v>
      </c>
      <c r="I677" s="129">
        <f t="shared" si="51"/>
        <v>0</v>
      </c>
      <c r="J677" s="52">
        <f t="shared" si="52"/>
        <v>0</v>
      </c>
      <c r="K677" s="108"/>
      <c r="L677" s="113"/>
      <c r="M677" s="144"/>
      <c r="N677" s="4"/>
      <c r="O677" s="4"/>
      <c r="P677" s="4"/>
      <c r="Q677" s="4"/>
      <c r="R677" s="4"/>
      <c r="S677" s="4"/>
      <c r="T677" s="4"/>
    </row>
    <row r="678" spans="2:20" s="1" customFormat="1" ht="16.5" x14ac:dyDescent="0.15">
      <c r="B678" s="26">
        <v>3</v>
      </c>
      <c r="C678" s="17"/>
      <c r="D678" s="24"/>
      <c r="E678" s="24"/>
      <c r="F678" s="129"/>
      <c r="G678" s="20"/>
      <c r="H678" s="20">
        <v>1</v>
      </c>
      <c r="I678" s="129">
        <f t="shared" si="51"/>
        <v>0</v>
      </c>
      <c r="J678" s="52">
        <f t="shared" si="52"/>
        <v>0</v>
      </c>
      <c r="K678" s="108"/>
      <c r="L678" s="113"/>
      <c r="M678" s="145"/>
      <c r="N678" s="4"/>
      <c r="O678" s="4"/>
      <c r="P678" s="4"/>
      <c r="Q678" s="4"/>
      <c r="R678" s="4"/>
      <c r="S678" s="4"/>
      <c r="T678" s="4"/>
    </row>
    <row r="679" spans="2:20" s="1" customFormat="1" ht="12.75" customHeight="1" x14ac:dyDescent="0.15">
      <c r="B679" s="26">
        <v>4</v>
      </c>
      <c r="C679" s="16"/>
      <c r="D679" s="18"/>
      <c r="E679" s="18"/>
      <c r="F679" s="129"/>
      <c r="G679" s="20"/>
      <c r="H679" s="20">
        <v>1</v>
      </c>
      <c r="I679" s="129">
        <f t="shared" si="51"/>
        <v>0</v>
      </c>
      <c r="J679" s="52">
        <f t="shared" si="52"/>
        <v>0</v>
      </c>
      <c r="K679" s="108"/>
      <c r="L679" s="113"/>
      <c r="M679" s="4"/>
      <c r="N679" s="4"/>
      <c r="O679" s="4"/>
      <c r="P679" s="4"/>
      <c r="Q679" s="4"/>
      <c r="R679" s="4"/>
      <c r="S679" s="4"/>
      <c r="T679" s="4"/>
    </row>
    <row r="680" spans="2:20" s="1" customFormat="1" ht="12.75" customHeight="1" x14ac:dyDescent="0.15">
      <c r="B680" s="26">
        <v>5</v>
      </c>
      <c r="C680" s="17"/>
      <c r="D680" s="53"/>
      <c r="E680" s="53"/>
      <c r="F680" s="129"/>
      <c r="G680" s="20"/>
      <c r="H680" s="20">
        <v>1</v>
      </c>
      <c r="I680" s="129">
        <f t="shared" si="51"/>
        <v>0</v>
      </c>
      <c r="J680" s="27">
        <f t="shared" si="52"/>
        <v>0</v>
      </c>
      <c r="K680" s="108"/>
      <c r="L680" s="113"/>
      <c r="M680" s="4"/>
      <c r="N680" s="4"/>
      <c r="O680" s="4"/>
      <c r="P680" s="4"/>
      <c r="Q680" s="4"/>
      <c r="R680" s="4"/>
      <c r="S680" s="4"/>
      <c r="T680" s="4"/>
    </row>
    <row r="681" spans="2:20" s="1" customFormat="1" ht="12.75" x14ac:dyDescent="0.15">
      <c r="B681" s="26">
        <v>6</v>
      </c>
      <c r="C681" s="17"/>
      <c r="D681" s="24"/>
      <c r="E681" s="24"/>
      <c r="F681" s="129"/>
      <c r="G681" s="20"/>
      <c r="H681" s="20">
        <v>1</v>
      </c>
      <c r="I681" s="129">
        <f t="shared" si="51"/>
        <v>0</v>
      </c>
      <c r="J681" s="52">
        <f t="shared" si="52"/>
        <v>0</v>
      </c>
      <c r="K681" s="108"/>
      <c r="L681" s="113"/>
      <c r="M681" s="4"/>
      <c r="N681" s="4"/>
      <c r="O681" s="4"/>
      <c r="P681" s="4"/>
      <c r="Q681" s="4"/>
      <c r="R681" s="4"/>
      <c r="S681" s="4"/>
      <c r="T681" s="4"/>
    </row>
    <row r="682" spans="2:20" s="1" customFormat="1" ht="12.75" customHeight="1" x14ac:dyDescent="0.15">
      <c r="B682" s="26">
        <v>7</v>
      </c>
      <c r="C682" s="17"/>
      <c r="D682" s="22"/>
      <c r="E682" s="22"/>
      <c r="F682" s="129"/>
      <c r="G682" s="20"/>
      <c r="H682" s="20">
        <v>1</v>
      </c>
      <c r="I682" s="129">
        <f t="shared" si="51"/>
        <v>0</v>
      </c>
      <c r="J682" s="27">
        <f t="shared" si="52"/>
        <v>0</v>
      </c>
      <c r="K682" s="108"/>
      <c r="L682" s="113"/>
      <c r="M682" s="4"/>
      <c r="N682" s="4"/>
      <c r="O682" s="4"/>
      <c r="P682" s="4"/>
      <c r="Q682" s="4"/>
      <c r="R682" s="4"/>
      <c r="S682" s="4"/>
      <c r="T682" s="4"/>
    </row>
    <row r="683" spans="2:20" s="1" customFormat="1" ht="12.95" customHeight="1" x14ac:dyDescent="0.15">
      <c r="B683" s="26">
        <v>8</v>
      </c>
      <c r="C683" s="17"/>
      <c r="D683" s="18"/>
      <c r="E683" s="24"/>
      <c r="F683" s="129"/>
      <c r="G683" s="20"/>
      <c r="H683" s="20">
        <v>1</v>
      </c>
      <c r="I683" s="129">
        <f t="shared" si="51"/>
        <v>0</v>
      </c>
      <c r="J683" s="52">
        <f t="shared" si="52"/>
        <v>0</v>
      </c>
      <c r="K683" s="108"/>
      <c r="L683" s="113"/>
      <c r="M683" s="4"/>
      <c r="N683" s="4"/>
      <c r="O683" s="4"/>
      <c r="P683" s="4"/>
      <c r="Q683" s="4"/>
      <c r="R683" s="4"/>
      <c r="S683" s="4"/>
      <c r="T683" s="4"/>
    </row>
    <row r="684" spans="2:20" s="1" customFormat="1" ht="12.95" customHeight="1" x14ac:dyDescent="0.15">
      <c r="B684" s="26">
        <v>9</v>
      </c>
      <c r="C684" s="17"/>
      <c r="D684" s="18"/>
      <c r="E684" s="24"/>
      <c r="F684" s="129"/>
      <c r="G684" s="20"/>
      <c r="H684" s="20">
        <v>1</v>
      </c>
      <c r="I684" s="129">
        <f t="shared" si="51"/>
        <v>0</v>
      </c>
      <c r="J684" s="52">
        <f t="shared" si="52"/>
        <v>0</v>
      </c>
      <c r="K684" s="108"/>
      <c r="L684" s="113"/>
      <c r="M684" s="4"/>
      <c r="N684" s="4"/>
      <c r="O684" s="4"/>
      <c r="P684" s="4"/>
      <c r="Q684" s="4"/>
      <c r="R684" s="4"/>
      <c r="S684" s="4"/>
      <c r="T684" s="4"/>
    </row>
    <row r="685" spans="2:20" s="1" customFormat="1" ht="12.95" customHeight="1" x14ac:dyDescent="0.15">
      <c r="B685" s="26">
        <v>10</v>
      </c>
      <c r="C685" s="17"/>
      <c r="D685" s="24"/>
      <c r="E685" s="18"/>
      <c r="F685" s="129"/>
      <c r="G685" s="20"/>
      <c r="H685" s="20">
        <v>1</v>
      </c>
      <c r="I685" s="129">
        <f t="shared" si="51"/>
        <v>0</v>
      </c>
      <c r="J685" s="52">
        <f t="shared" si="52"/>
        <v>0</v>
      </c>
      <c r="K685" s="108"/>
      <c r="L685" s="113"/>
      <c r="M685" s="4"/>
      <c r="N685" s="4"/>
      <c r="O685" s="4"/>
      <c r="P685" s="4"/>
      <c r="Q685" s="4"/>
      <c r="R685" s="4"/>
      <c r="S685" s="4"/>
      <c r="T685" s="4"/>
    </row>
    <row r="686" spans="2:20" s="1" customFormat="1" ht="12.95" customHeight="1" x14ac:dyDescent="0.15">
      <c r="B686" s="26"/>
      <c r="C686" s="17"/>
      <c r="D686" s="24"/>
      <c r="E686" s="18"/>
      <c r="F686" s="129"/>
      <c r="G686" s="20"/>
      <c r="H686" s="20"/>
      <c r="I686" s="129"/>
      <c r="J686" s="52"/>
      <c r="K686" s="108"/>
      <c r="L686" s="113"/>
      <c r="M686" s="4"/>
      <c r="N686" s="4"/>
      <c r="O686" s="4"/>
      <c r="P686" s="4"/>
      <c r="Q686" s="4"/>
      <c r="R686" s="4"/>
      <c r="S686" s="4"/>
      <c r="T686" s="4"/>
    </row>
    <row r="687" spans="2:20" s="1" customFormat="1" ht="12.95" customHeight="1" x14ac:dyDescent="0.15">
      <c r="B687" s="26"/>
      <c r="C687" s="17"/>
      <c r="D687" s="24"/>
      <c r="E687" s="18"/>
      <c r="F687" s="129"/>
      <c r="G687" s="20"/>
      <c r="H687" s="20"/>
      <c r="I687" s="129"/>
      <c r="J687" s="52"/>
      <c r="K687" s="108"/>
      <c r="L687" s="113"/>
      <c r="M687" s="4"/>
      <c r="N687" s="4"/>
      <c r="O687" s="4"/>
      <c r="P687" s="4"/>
      <c r="Q687" s="4"/>
      <c r="R687" s="4"/>
      <c r="S687" s="4"/>
      <c r="T687" s="4"/>
    </row>
    <row r="688" spans="2:20" s="1" customFormat="1" ht="12.95" customHeight="1" x14ac:dyDescent="0.15">
      <c r="B688" s="26"/>
      <c r="C688" s="22" t="s">
        <v>153</v>
      </c>
      <c r="D688" s="24"/>
      <c r="E688" s="18"/>
      <c r="F688" s="129"/>
      <c r="G688" s="20"/>
      <c r="H688" s="20"/>
      <c r="I688" s="129"/>
      <c r="J688" s="52"/>
      <c r="K688" s="108"/>
      <c r="L688" s="113"/>
      <c r="M688" s="4"/>
      <c r="N688" s="4"/>
      <c r="O688" s="4"/>
      <c r="P688" s="4"/>
      <c r="Q688" s="4"/>
      <c r="R688" s="4"/>
      <c r="S688" s="4"/>
      <c r="T688" s="4"/>
    </row>
    <row r="689" spans="2:20" s="1" customFormat="1" ht="12.95" customHeight="1" x14ac:dyDescent="0.15">
      <c r="B689" s="26">
        <v>1</v>
      </c>
      <c r="C689" s="17"/>
      <c r="D689" s="24"/>
      <c r="E689" s="24"/>
      <c r="F689" s="129"/>
      <c r="G689" s="20"/>
      <c r="H689" s="20">
        <v>1</v>
      </c>
      <c r="I689" s="129">
        <f t="shared" si="51"/>
        <v>0</v>
      </c>
      <c r="J689" s="52">
        <f t="shared" ref="J689:J708" si="53">(F689*G689*H689)/$C$32</f>
        <v>0</v>
      </c>
      <c r="K689" s="108"/>
      <c r="L689" s="113"/>
      <c r="M689" s="4"/>
      <c r="N689" s="4"/>
      <c r="O689" s="4"/>
      <c r="P689" s="4"/>
      <c r="Q689" s="4"/>
      <c r="R689" s="4"/>
      <c r="S689" s="4"/>
      <c r="T689" s="4"/>
    </row>
    <row r="690" spans="2:20" s="1" customFormat="1" ht="12.95" customHeight="1" x14ac:dyDescent="0.15">
      <c r="B690" s="26">
        <v>2</v>
      </c>
      <c r="C690" s="17"/>
      <c r="D690" s="24"/>
      <c r="E690" s="24"/>
      <c r="F690" s="129"/>
      <c r="G690" s="20"/>
      <c r="H690" s="20">
        <v>1</v>
      </c>
      <c r="I690" s="129">
        <f t="shared" si="51"/>
        <v>0</v>
      </c>
      <c r="J690" s="52">
        <f t="shared" si="53"/>
        <v>0</v>
      </c>
      <c r="K690" s="108"/>
      <c r="L690" s="113"/>
      <c r="M690" s="4"/>
      <c r="N690" s="4"/>
      <c r="O690" s="4"/>
      <c r="P690" s="4"/>
      <c r="Q690" s="4"/>
      <c r="R690" s="4"/>
      <c r="S690" s="4"/>
      <c r="T690" s="4"/>
    </row>
    <row r="691" spans="2:20" s="1" customFormat="1" ht="12.95" customHeight="1" x14ac:dyDescent="0.15">
      <c r="B691" s="26">
        <v>3</v>
      </c>
      <c r="C691" s="24"/>
      <c r="D691" s="24"/>
      <c r="E691" s="24"/>
      <c r="F691" s="129"/>
      <c r="G691" s="20"/>
      <c r="H691" s="20">
        <v>1</v>
      </c>
      <c r="I691" s="129">
        <f t="shared" si="51"/>
        <v>0</v>
      </c>
      <c r="J691" s="52">
        <f t="shared" si="53"/>
        <v>0</v>
      </c>
      <c r="K691" s="108"/>
      <c r="L691" s="113"/>
      <c r="M691" s="4"/>
      <c r="N691" s="4"/>
      <c r="O691" s="4"/>
      <c r="P691" s="4"/>
      <c r="Q691" s="4"/>
      <c r="R691" s="4"/>
      <c r="S691" s="4"/>
      <c r="T691" s="4"/>
    </row>
    <row r="692" spans="2:20" s="1" customFormat="1" ht="12.95" customHeight="1" x14ac:dyDescent="0.15">
      <c r="B692" s="26">
        <v>4</v>
      </c>
      <c r="C692" s="24"/>
      <c r="D692" s="24"/>
      <c r="E692" s="24"/>
      <c r="F692" s="129"/>
      <c r="G692" s="20"/>
      <c r="H692" s="20">
        <v>1</v>
      </c>
      <c r="I692" s="129">
        <f t="shared" si="51"/>
        <v>0</v>
      </c>
      <c r="J692" s="52">
        <f t="shared" si="53"/>
        <v>0</v>
      </c>
      <c r="K692" s="108"/>
      <c r="L692" s="113"/>
      <c r="M692" s="4"/>
      <c r="N692" s="4"/>
      <c r="O692" s="4"/>
      <c r="P692" s="4"/>
      <c r="Q692" s="4"/>
      <c r="R692" s="4"/>
      <c r="S692" s="4"/>
      <c r="T692" s="4"/>
    </row>
    <row r="693" spans="2:20" s="1" customFormat="1" ht="12.95" customHeight="1" x14ac:dyDescent="0.15">
      <c r="B693" s="26">
        <v>5</v>
      </c>
      <c r="C693" s="17"/>
      <c r="D693" s="18"/>
      <c r="E693" s="18"/>
      <c r="F693" s="129"/>
      <c r="G693" s="20"/>
      <c r="H693" s="20">
        <v>1</v>
      </c>
      <c r="I693" s="129">
        <f>J693*$C$32</f>
        <v>0</v>
      </c>
      <c r="J693" s="27">
        <f t="shared" si="53"/>
        <v>0</v>
      </c>
      <c r="K693" s="108"/>
      <c r="L693" s="113"/>
      <c r="M693" s="4"/>
      <c r="N693" s="4"/>
      <c r="O693" s="4"/>
      <c r="P693" s="4"/>
      <c r="Q693" s="4"/>
      <c r="R693" s="4"/>
      <c r="S693" s="4"/>
      <c r="T693" s="4"/>
    </row>
    <row r="694" spans="2:20" s="1" customFormat="1" ht="12.95" customHeight="1" x14ac:dyDescent="0.15">
      <c r="B694" s="26">
        <v>6</v>
      </c>
      <c r="C694" s="17"/>
      <c r="D694" s="24"/>
      <c r="E694" s="24"/>
      <c r="F694" s="129"/>
      <c r="G694" s="20"/>
      <c r="H694" s="20">
        <v>1</v>
      </c>
      <c r="I694" s="129">
        <f t="shared" ref="I694" si="54">J694*$C$32</f>
        <v>0</v>
      </c>
      <c r="J694" s="54">
        <f t="shared" si="53"/>
        <v>0</v>
      </c>
      <c r="K694" s="108"/>
      <c r="L694" s="113"/>
      <c r="M694" s="4"/>
      <c r="N694" s="4"/>
      <c r="O694" s="4"/>
      <c r="P694" s="4"/>
      <c r="Q694" s="4"/>
      <c r="R694" s="4"/>
      <c r="S694" s="4"/>
      <c r="T694" s="4"/>
    </row>
    <row r="695" spans="2:20" s="1" customFormat="1" ht="12.95" customHeight="1" x14ac:dyDescent="0.15">
      <c r="B695" s="26">
        <v>7</v>
      </c>
      <c r="C695" s="17"/>
      <c r="D695" s="24"/>
      <c r="E695" s="24"/>
      <c r="F695" s="129"/>
      <c r="G695" s="20"/>
      <c r="H695" s="20">
        <v>1</v>
      </c>
      <c r="I695" s="129">
        <f>J695*$C$32</f>
        <v>0</v>
      </c>
      <c r="J695" s="54">
        <f t="shared" si="53"/>
        <v>0</v>
      </c>
      <c r="K695" s="108"/>
      <c r="L695" s="113"/>
      <c r="M695" s="4"/>
      <c r="N695" s="4"/>
      <c r="O695" s="4"/>
      <c r="P695" s="4"/>
      <c r="Q695" s="4"/>
      <c r="R695" s="4"/>
      <c r="S695" s="4"/>
      <c r="T695" s="4"/>
    </row>
    <row r="696" spans="2:20" s="1" customFormat="1" ht="14.85" customHeight="1" x14ac:dyDescent="0.15">
      <c r="B696" s="26">
        <v>8</v>
      </c>
      <c r="C696" s="17"/>
      <c r="D696" s="24"/>
      <c r="E696" s="24"/>
      <c r="F696" s="129"/>
      <c r="G696" s="20"/>
      <c r="H696" s="20">
        <v>1</v>
      </c>
      <c r="I696" s="129">
        <f t="shared" ref="I696:I708" si="55">J696*$C$32</f>
        <v>0</v>
      </c>
      <c r="J696" s="52">
        <f t="shared" si="53"/>
        <v>0</v>
      </c>
      <c r="K696" s="108"/>
      <c r="L696" s="113"/>
      <c r="M696" s="4"/>
      <c r="N696" s="4"/>
      <c r="O696" s="4"/>
      <c r="P696" s="4"/>
      <c r="Q696" s="4"/>
      <c r="R696" s="4"/>
      <c r="S696" s="4"/>
      <c r="T696" s="4"/>
    </row>
    <row r="697" spans="2:20" s="1" customFormat="1" ht="12.95" customHeight="1" x14ac:dyDescent="0.15">
      <c r="B697" s="26">
        <v>9</v>
      </c>
      <c r="C697" s="17"/>
      <c r="D697" s="24"/>
      <c r="E697" s="24"/>
      <c r="F697" s="129"/>
      <c r="G697" s="20"/>
      <c r="H697" s="20">
        <v>1</v>
      </c>
      <c r="I697" s="129">
        <f t="shared" si="55"/>
        <v>0</v>
      </c>
      <c r="J697" s="52">
        <f t="shared" si="53"/>
        <v>0</v>
      </c>
      <c r="K697" s="108"/>
      <c r="L697" s="113"/>
      <c r="M697" s="4"/>
      <c r="N697" s="4"/>
      <c r="O697" s="4"/>
      <c r="P697" s="4"/>
      <c r="Q697" s="4"/>
      <c r="R697" s="4"/>
      <c r="S697" s="4"/>
      <c r="T697" s="4"/>
    </row>
    <row r="698" spans="2:20" s="1" customFormat="1" ht="12.95" customHeight="1" x14ac:dyDescent="0.15">
      <c r="B698" s="26">
        <v>10</v>
      </c>
      <c r="C698" s="17"/>
      <c r="D698" s="24"/>
      <c r="E698" s="24"/>
      <c r="F698" s="129"/>
      <c r="G698" s="20"/>
      <c r="H698" s="20">
        <v>1</v>
      </c>
      <c r="I698" s="129">
        <f t="shared" si="55"/>
        <v>0</v>
      </c>
      <c r="J698" s="52">
        <f t="shared" si="53"/>
        <v>0</v>
      </c>
      <c r="K698" s="108"/>
      <c r="L698" s="113"/>
      <c r="M698" s="4"/>
      <c r="N698" s="4"/>
      <c r="O698" s="4"/>
      <c r="P698" s="4"/>
      <c r="Q698" s="4"/>
      <c r="R698" s="4"/>
      <c r="S698" s="4"/>
      <c r="T698" s="4"/>
    </row>
    <row r="699" spans="2:20" s="1" customFormat="1" ht="12.95" customHeight="1" x14ac:dyDescent="0.15">
      <c r="B699" s="26">
        <v>11</v>
      </c>
      <c r="C699" s="17"/>
      <c r="D699" s="24"/>
      <c r="E699" s="24"/>
      <c r="F699" s="129"/>
      <c r="G699" s="20"/>
      <c r="H699" s="20">
        <v>1</v>
      </c>
      <c r="I699" s="129">
        <f t="shared" si="55"/>
        <v>0</v>
      </c>
      <c r="J699" s="52">
        <f t="shared" si="53"/>
        <v>0</v>
      </c>
      <c r="K699" s="108"/>
      <c r="L699" s="113"/>
      <c r="M699" s="4"/>
      <c r="N699" s="4"/>
      <c r="O699" s="4"/>
      <c r="P699" s="4"/>
      <c r="Q699" s="4"/>
      <c r="R699" s="4"/>
      <c r="S699" s="4"/>
      <c r="T699" s="4"/>
    </row>
    <row r="700" spans="2:20" s="1" customFormat="1" ht="12.95" customHeight="1" x14ac:dyDescent="0.15">
      <c r="B700" s="26">
        <v>12</v>
      </c>
      <c r="C700" s="17"/>
      <c r="D700" s="18"/>
      <c r="E700" s="18"/>
      <c r="F700" s="129"/>
      <c r="G700" s="20"/>
      <c r="H700" s="20">
        <v>1</v>
      </c>
      <c r="I700" s="129">
        <f t="shared" si="55"/>
        <v>0</v>
      </c>
      <c r="J700" s="52">
        <f t="shared" si="53"/>
        <v>0</v>
      </c>
      <c r="K700" s="108"/>
      <c r="L700" s="113"/>
      <c r="M700" s="4"/>
      <c r="N700" s="4"/>
      <c r="O700" s="4"/>
      <c r="P700" s="4"/>
      <c r="Q700" s="4"/>
      <c r="R700" s="4"/>
      <c r="S700" s="4"/>
      <c r="T700" s="4"/>
    </row>
    <row r="701" spans="2:20" s="1" customFormat="1" ht="12.95" customHeight="1" x14ac:dyDescent="0.15">
      <c r="B701" s="26">
        <v>13</v>
      </c>
      <c r="C701" s="17"/>
      <c r="D701" s="18"/>
      <c r="E701" s="18"/>
      <c r="F701" s="129"/>
      <c r="G701" s="20"/>
      <c r="H701" s="20">
        <v>1</v>
      </c>
      <c r="I701" s="129">
        <f t="shared" si="55"/>
        <v>0</v>
      </c>
      <c r="J701" s="52">
        <f t="shared" si="53"/>
        <v>0</v>
      </c>
      <c r="K701" s="108"/>
      <c r="L701" s="113"/>
      <c r="M701" s="4"/>
      <c r="N701" s="4"/>
      <c r="O701" s="4"/>
      <c r="P701" s="4"/>
      <c r="Q701" s="4"/>
      <c r="R701" s="4"/>
      <c r="S701" s="4"/>
      <c r="T701" s="4"/>
    </row>
    <row r="702" spans="2:20" s="1" customFormat="1" ht="12.95" customHeight="1" x14ac:dyDescent="0.15">
      <c r="B702" s="26">
        <v>14</v>
      </c>
      <c r="C702" s="17"/>
      <c r="D702" s="18"/>
      <c r="E702" s="18"/>
      <c r="F702" s="129"/>
      <c r="G702" s="20"/>
      <c r="H702" s="20">
        <v>1</v>
      </c>
      <c r="I702" s="129">
        <f t="shared" si="55"/>
        <v>0</v>
      </c>
      <c r="J702" s="52">
        <f t="shared" si="53"/>
        <v>0</v>
      </c>
      <c r="K702" s="108"/>
      <c r="L702" s="113"/>
      <c r="M702" s="4"/>
      <c r="N702" s="4"/>
      <c r="O702" s="4"/>
      <c r="P702" s="4"/>
      <c r="Q702" s="4"/>
      <c r="R702" s="4"/>
      <c r="S702" s="4"/>
      <c r="T702" s="4"/>
    </row>
    <row r="703" spans="2:20" s="1" customFormat="1" ht="12.95" customHeight="1" x14ac:dyDescent="0.15">
      <c r="B703" s="26">
        <v>15</v>
      </c>
      <c r="C703" s="11"/>
      <c r="D703" s="18"/>
      <c r="E703" s="18"/>
      <c r="F703" s="129"/>
      <c r="G703" s="20"/>
      <c r="H703" s="20">
        <v>1</v>
      </c>
      <c r="I703" s="126">
        <f t="shared" si="55"/>
        <v>0</v>
      </c>
      <c r="J703" s="21">
        <f t="shared" si="53"/>
        <v>0</v>
      </c>
      <c r="K703" s="108"/>
      <c r="L703" s="113"/>
      <c r="M703" s="4"/>
      <c r="N703" s="4"/>
      <c r="O703" s="4"/>
      <c r="P703" s="4"/>
      <c r="Q703" s="4"/>
      <c r="R703" s="4"/>
      <c r="S703" s="4"/>
      <c r="T703" s="4"/>
    </row>
    <row r="704" spans="2:20" s="1" customFormat="1" ht="12.95" customHeight="1" x14ac:dyDescent="0.15">
      <c r="B704" s="26">
        <v>16</v>
      </c>
      <c r="C704" s="23"/>
      <c r="D704" s="49"/>
      <c r="E704" s="49"/>
      <c r="F704" s="126"/>
      <c r="G704" s="50"/>
      <c r="H704" s="20">
        <v>1</v>
      </c>
      <c r="I704" s="126">
        <f t="shared" si="55"/>
        <v>0</v>
      </c>
      <c r="J704" s="21">
        <f t="shared" si="53"/>
        <v>0</v>
      </c>
      <c r="K704" s="108"/>
      <c r="L704" s="113"/>
      <c r="M704" s="4"/>
      <c r="N704" s="4"/>
      <c r="O704" s="4"/>
      <c r="P704" s="4"/>
      <c r="Q704" s="4"/>
      <c r="R704" s="4"/>
      <c r="S704" s="4"/>
      <c r="T704" s="4"/>
    </row>
    <row r="705" spans="2:20" s="1" customFormat="1" ht="12.95" customHeight="1" x14ac:dyDescent="0.15">
      <c r="B705" s="26">
        <v>17</v>
      </c>
      <c r="C705" s="23"/>
      <c r="D705" s="48"/>
      <c r="E705" s="48"/>
      <c r="F705" s="126"/>
      <c r="G705" s="50"/>
      <c r="H705" s="20">
        <v>1</v>
      </c>
      <c r="I705" s="126">
        <f t="shared" si="55"/>
        <v>0</v>
      </c>
      <c r="J705" s="21">
        <f t="shared" si="53"/>
        <v>0</v>
      </c>
      <c r="K705" s="108"/>
      <c r="L705" s="113"/>
      <c r="M705" s="4"/>
      <c r="N705" s="4"/>
      <c r="O705" s="4"/>
      <c r="P705" s="4"/>
      <c r="Q705" s="4"/>
      <c r="R705" s="4"/>
      <c r="S705" s="4"/>
      <c r="T705" s="4"/>
    </row>
    <row r="706" spans="2:20" s="1" customFormat="1" ht="12.95" customHeight="1" x14ac:dyDescent="0.15">
      <c r="B706" s="26">
        <v>18</v>
      </c>
      <c r="C706" s="23"/>
      <c r="D706" s="48"/>
      <c r="E706" s="48"/>
      <c r="F706" s="126"/>
      <c r="G706" s="50"/>
      <c r="H706" s="20">
        <v>1</v>
      </c>
      <c r="I706" s="126">
        <f t="shared" si="55"/>
        <v>0</v>
      </c>
      <c r="J706" s="21">
        <f t="shared" si="53"/>
        <v>0</v>
      </c>
      <c r="K706" s="108"/>
      <c r="L706" s="113"/>
      <c r="M706" s="4"/>
      <c r="N706" s="4"/>
      <c r="O706" s="4"/>
      <c r="P706" s="4"/>
      <c r="Q706" s="4"/>
      <c r="R706" s="4"/>
      <c r="S706" s="4"/>
      <c r="T706" s="4"/>
    </row>
    <row r="707" spans="2:20" s="1" customFormat="1" ht="12.95" customHeight="1" x14ac:dyDescent="0.15">
      <c r="B707" s="26">
        <v>19</v>
      </c>
      <c r="C707" s="23"/>
      <c r="D707" s="48"/>
      <c r="E707" s="48"/>
      <c r="F707" s="126"/>
      <c r="G707" s="50"/>
      <c r="H707" s="20">
        <v>1</v>
      </c>
      <c r="I707" s="126">
        <f t="shared" si="55"/>
        <v>0</v>
      </c>
      <c r="J707" s="21">
        <f t="shared" si="53"/>
        <v>0</v>
      </c>
      <c r="K707" s="108"/>
      <c r="L707" s="113"/>
      <c r="M707" s="4"/>
      <c r="N707" s="4"/>
      <c r="O707" s="4"/>
      <c r="P707" s="4"/>
      <c r="Q707" s="4"/>
      <c r="R707" s="4"/>
      <c r="S707" s="4"/>
      <c r="T707" s="4"/>
    </row>
    <row r="708" spans="2:20" s="1" customFormat="1" ht="12.95" customHeight="1" x14ac:dyDescent="0.15">
      <c r="B708" s="26">
        <v>20</v>
      </c>
      <c r="C708" s="23"/>
      <c r="D708" s="48"/>
      <c r="E708" s="48"/>
      <c r="F708" s="126"/>
      <c r="G708" s="50"/>
      <c r="H708" s="20">
        <v>1</v>
      </c>
      <c r="I708" s="126">
        <f t="shared" si="55"/>
        <v>0</v>
      </c>
      <c r="J708" s="21">
        <f t="shared" si="53"/>
        <v>0</v>
      </c>
      <c r="K708" s="108"/>
      <c r="L708" s="113"/>
      <c r="M708" s="4"/>
      <c r="N708" s="4"/>
      <c r="O708" s="4"/>
      <c r="P708" s="4"/>
      <c r="Q708" s="4"/>
      <c r="R708" s="4"/>
      <c r="S708" s="4"/>
      <c r="T708" s="4"/>
    </row>
    <row r="709" spans="2:20" s="1" customFormat="1" ht="12.95" customHeight="1" x14ac:dyDescent="0.15">
      <c r="B709" s="26"/>
      <c r="C709" s="23"/>
      <c r="D709" s="48"/>
      <c r="E709" s="48"/>
      <c r="F709" s="126"/>
      <c r="G709" s="50"/>
      <c r="H709" s="50"/>
      <c r="I709" s="126"/>
      <c r="J709" s="38"/>
      <c r="K709" s="108"/>
      <c r="L709" s="113"/>
      <c r="M709" s="4"/>
      <c r="N709" s="4"/>
      <c r="O709" s="4"/>
      <c r="P709" s="4"/>
      <c r="Q709" s="4"/>
      <c r="R709" s="4"/>
      <c r="S709" s="4"/>
      <c r="T709" s="4"/>
    </row>
    <row r="710" spans="2:20" s="1" customFormat="1" ht="12.95" customHeight="1" x14ac:dyDescent="0.15">
      <c r="B710" s="26"/>
      <c r="C710" s="23"/>
      <c r="D710" s="48"/>
      <c r="E710" s="48"/>
      <c r="F710" s="126"/>
      <c r="G710" s="50"/>
      <c r="H710" s="50"/>
      <c r="I710" s="126"/>
      <c r="J710" s="38"/>
      <c r="K710" s="108"/>
      <c r="L710" s="113"/>
      <c r="M710" s="4"/>
      <c r="N710" s="4"/>
      <c r="O710" s="4"/>
      <c r="P710" s="4"/>
      <c r="Q710" s="4"/>
      <c r="R710" s="4"/>
      <c r="S710" s="4"/>
      <c r="T710" s="4"/>
    </row>
    <row r="711" spans="2:20" s="1" customFormat="1" ht="12.95" customHeight="1" x14ac:dyDescent="0.15">
      <c r="B711" s="26"/>
      <c r="C711" s="95" t="s">
        <v>132</v>
      </c>
      <c r="D711" s="49"/>
      <c r="E711" s="49"/>
      <c r="F711" s="126"/>
      <c r="G711" s="50"/>
      <c r="H711" s="50"/>
      <c r="I711" s="126"/>
      <c r="J711" s="21"/>
      <c r="K711" s="108"/>
      <c r="L711" s="113"/>
      <c r="M711" s="57"/>
      <c r="N711" s="57"/>
      <c r="O711" s="57"/>
      <c r="P711" s="57"/>
      <c r="Q711" s="58"/>
      <c r="R711" s="57"/>
      <c r="S711" s="4"/>
      <c r="T711" s="57"/>
    </row>
    <row r="712" spans="2:20" s="1" customFormat="1" ht="12.95" customHeight="1" x14ac:dyDescent="0.15">
      <c r="B712" s="26">
        <v>1</v>
      </c>
      <c r="C712" s="60"/>
      <c r="D712" s="49"/>
      <c r="E712" s="49"/>
      <c r="F712" s="126"/>
      <c r="G712" s="50"/>
      <c r="H712" s="50">
        <v>1</v>
      </c>
      <c r="I712" s="126">
        <f>J712*$C$32</f>
        <v>0</v>
      </c>
      <c r="J712" s="21">
        <f t="shared" ref="J712:J731" si="56">(F712*G712*H712)/$C$32</f>
        <v>0</v>
      </c>
      <c r="K712" s="108"/>
      <c r="L712" s="113"/>
      <c r="M712" s="57"/>
      <c r="N712" s="57"/>
      <c r="O712" s="57"/>
      <c r="P712" s="57"/>
      <c r="Q712" s="58"/>
      <c r="R712" s="57"/>
      <c r="S712" s="4"/>
      <c r="T712" s="57"/>
    </row>
    <row r="713" spans="2:20" s="1" customFormat="1" ht="12.95" customHeight="1" x14ac:dyDescent="0.15">
      <c r="B713" s="26">
        <v>2</v>
      </c>
      <c r="C713" s="59"/>
      <c r="D713" s="49"/>
      <c r="E713" s="49"/>
      <c r="F713" s="126"/>
      <c r="G713" s="50"/>
      <c r="H713" s="50">
        <v>1</v>
      </c>
      <c r="I713" s="126">
        <f t="shared" ref="I713:I731" si="57">J713*$C$32</f>
        <v>0</v>
      </c>
      <c r="J713" s="21">
        <f t="shared" si="56"/>
        <v>0</v>
      </c>
      <c r="K713" s="108"/>
      <c r="L713" s="113"/>
      <c r="M713" s="57"/>
      <c r="N713" s="57"/>
      <c r="O713" s="57"/>
      <c r="P713" s="57"/>
      <c r="Q713" s="58"/>
      <c r="R713" s="57"/>
      <c r="S713" s="4"/>
      <c r="T713" s="57"/>
    </row>
    <row r="714" spans="2:20" s="1" customFormat="1" ht="12.95" customHeight="1" x14ac:dyDescent="0.15">
      <c r="B714" s="26">
        <v>3</v>
      </c>
      <c r="C714" s="61"/>
      <c r="D714" s="49"/>
      <c r="E714" s="49"/>
      <c r="F714" s="126"/>
      <c r="G714" s="50"/>
      <c r="H714" s="50">
        <v>1</v>
      </c>
      <c r="I714" s="126">
        <f t="shared" si="57"/>
        <v>0</v>
      </c>
      <c r="J714" s="21">
        <f t="shared" si="56"/>
        <v>0</v>
      </c>
      <c r="K714" s="108"/>
      <c r="L714" s="113"/>
      <c r="M714" s="57"/>
      <c r="N714" s="57"/>
      <c r="O714" s="57"/>
      <c r="P714" s="57"/>
      <c r="Q714" s="58"/>
      <c r="R714" s="57"/>
      <c r="S714" s="4"/>
      <c r="T714" s="57"/>
    </row>
    <row r="715" spans="2:20" s="1" customFormat="1" ht="12.95" customHeight="1" x14ac:dyDescent="0.15">
      <c r="B715" s="16">
        <v>4</v>
      </c>
      <c r="C715" s="11"/>
      <c r="D715" s="18"/>
      <c r="E715" s="18"/>
      <c r="F715" s="129"/>
      <c r="G715" s="20"/>
      <c r="H715" s="20">
        <v>1</v>
      </c>
      <c r="I715" s="126">
        <f t="shared" si="57"/>
        <v>0</v>
      </c>
      <c r="J715" s="21">
        <f t="shared" si="56"/>
        <v>0</v>
      </c>
      <c r="K715" s="80"/>
      <c r="L715" s="82"/>
      <c r="M715" s="10"/>
      <c r="N715" s="10"/>
      <c r="O715" s="10"/>
      <c r="P715" s="10"/>
      <c r="Q715" s="43"/>
      <c r="R715" s="10"/>
      <c r="T715" s="10"/>
    </row>
    <row r="716" spans="2:20" s="1" customFormat="1" ht="12.95" customHeight="1" x14ac:dyDescent="0.15">
      <c r="B716" s="16">
        <v>5</v>
      </c>
      <c r="C716" s="46"/>
      <c r="D716" s="18"/>
      <c r="E716" s="18"/>
      <c r="F716" s="129"/>
      <c r="G716" s="20"/>
      <c r="H716" s="20">
        <v>1</v>
      </c>
      <c r="I716" s="126">
        <f t="shared" si="57"/>
        <v>0</v>
      </c>
      <c r="J716" s="21">
        <f t="shared" si="56"/>
        <v>0</v>
      </c>
      <c r="K716" s="80"/>
      <c r="L716" s="82"/>
      <c r="M716" s="10"/>
      <c r="N716" s="10"/>
      <c r="O716" s="10"/>
      <c r="P716" s="10"/>
      <c r="Q716" s="43"/>
      <c r="R716" s="10"/>
      <c r="T716" s="10"/>
    </row>
    <row r="717" spans="2:20" s="1" customFormat="1" ht="12.95" customHeight="1" x14ac:dyDescent="0.15">
      <c r="B717" s="16">
        <v>6</v>
      </c>
      <c r="C717" s="11"/>
      <c r="D717" s="18"/>
      <c r="E717" s="18"/>
      <c r="F717" s="129"/>
      <c r="G717" s="20"/>
      <c r="H717" s="20">
        <v>1</v>
      </c>
      <c r="I717" s="126">
        <f t="shared" si="57"/>
        <v>0</v>
      </c>
      <c r="J717" s="21">
        <f t="shared" si="56"/>
        <v>0</v>
      </c>
      <c r="K717" s="80"/>
      <c r="L717" s="82"/>
      <c r="M717" s="10"/>
      <c r="N717" s="10"/>
      <c r="O717" s="10"/>
      <c r="P717" s="10"/>
      <c r="Q717" s="43"/>
      <c r="R717" s="10"/>
      <c r="T717" s="10"/>
    </row>
    <row r="718" spans="2:20" s="1" customFormat="1" ht="12.95" customHeight="1" x14ac:dyDescent="0.15">
      <c r="B718" s="16">
        <v>7</v>
      </c>
      <c r="C718" s="11"/>
      <c r="D718" s="18"/>
      <c r="E718" s="18"/>
      <c r="F718" s="129"/>
      <c r="G718" s="20"/>
      <c r="H718" s="20">
        <v>1</v>
      </c>
      <c r="I718" s="126">
        <f t="shared" si="57"/>
        <v>0</v>
      </c>
      <c r="J718" s="21">
        <f t="shared" si="56"/>
        <v>0</v>
      </c>
      <c r="K718" s="80"/>
      <c r="L718" s="82"/>
      <c r="M718" s="10"/>
      <c r="N718" s="10"/>
      <c r="O718" s="10"/>
      <c r="P718" s="10"/>
      <c r="Q718" s="43"/>
      <c r="R718" s="10"/>
      <c r="T718" s="10"/>
    </row>
    <row r="719" spans="2:20" s="1" customFormat="1" ht="12.95" customHeight="1" x14ac:dyDescent="0.15">
      <c r="B719" s="16">
        <v>8</v>
      </c>
      <c r="C719" s="11"/>
      <c r="D719" s="18"/>
      <c r="E719" s="18"/>
      <c r="F719" s="129"/>
      <c r="G719" s="20"/>
      <c r="H719" s="20">
        <v>1</v>
      </c>
      <c r="I719" s="126">
        <f t="shared" si="57"/>
        <v>0</v>
      </c>
      <c r="J719" s="21">
        <f t="shared" si="56"/>
        <v>0</v>
      </c>
      <c r="K719" s="80"/>
      <c r="L719" s="82"/>
      <c r="M719" s="10"/>
      <c r="N719" s="10"/>
      <c r="O719" s="10"/>
      <c r="P719" s="10"/>
      <c r="Q719" s="43"/>
      <c r="R719" s="10"/>
      <c r="T719" s="10"/>
    </row>
    <row r="720" spans="2:20" s="1" customFormat="1" ht="12.95" customHeight="1" x14ac:dyDescent="0.15">
      <c r="B720" s="16">
        <v>9</v>
      </c>
      <c r="C720" s="11"/>
      <c r="D720" s="18"/>
      <c r="E720" s="18"/>
      <c r="F720" s="129"/>
      <c r="G720" s="20"/>
      <c r="H720" s="20">
        <v>1</v>
      </c>
      <c r="I720" s="126">
        <f t="shared" si="57"/>
        <v>0</v>
      </c>
      <c r="J720" s="21">
        <f t="shared" si="56"/>
        <v>0</v>
      </c>
      <c r="K720" s="80"/>
      <c r="L720" s="82"/>
      <c r="M720" s="10"/>
      <c r="N720" s="10"/>
      <c r="O720" s="10"/>
      <c r="P720" s="10"/>
      <c r="Q720" s="43"/>
      <c r="R720" s="10"/>
      <c r="T720" s="10"/>
    </row>
    <row r="721" spans="2:20" s="1" customFormat="1" ht="12.95" customHeight="1" x14ac:dyDescent="0.15">
      <c r="B721" s="16">
        <v>10</v>
      </c>
      <c r="C721" s="11"/>
      <c r="D721" s="18"/>
      <c r="E721" s="18"/>
      <c r="F721" s="129"/>
      <c r="G721" s="20"/>
      <c r="H721" s="20">
        <v>1</v>
      </c>
      <c r="I721" s="126">
        <f t="shared" si="57"/>
        <v>0</v>
      </c>
      <c r="J721" s="21">
        <f t="shared" si="56"/>
        <v>0</v>
      </c>
      <c r="K721" s="80"/>
      <c r="L721" s="82"/>
      <c r="M721" s="10"/>
      <c r="N721" s="10"/>
      <c r="O721" s="10"/>
      <c r="P721" s="10"/>
      <c r="Q721" s="43"/>
      <c r="R721" s="10"/>
      <c r="T721" s="10"/>
    </row>
    <row r="722" spans="2:20" s="1" customFormat="1" ht="12.95" customHeight="1" x14ac:dyDescent="0.15">
      <c r="B722" s="16">
        <v>11</v>
      </c>
      <c r="C722" s="11"/>
      <c r="D722" s="18"/>
      <c r="E722" s="18"/>
      <c r="F722" s="129"/>
      <c r="G722" s="20"/>
      <c r="H722" s="20">
        <v>1</v>
      </c>
      <c r="I722" s="126">
        <f t="shared" si="57"/>
        <v>0</v>
      </c>
      <c r="J722" s="21">
        <f t="shared" si="56"/>
        <v>0</v>
      </c>
      <c r="K722" s="80"/>
      <c r="L722" s="82"/>
      <c r="M722" s="10"/>
      <c r="N722" s="10"/>
      <c r="O722" s="10"/>
      <c r="P722" s="10"/>
      <c r="Q722" s="43"/>
      <c r="R722" s="10"/>
      <c r="T722" s="10"/>
    </row>
    <row r="723" spans="2:20" s="1" customFormat="1" ht="12.95" customHeight="1" x14ac:dyDescent="0.15">
      <c r="B723" s="16">
        <v>12</v>
      </c>
      <c r="C723" s="11"/>
      <c r="D723" s="18"/>
      <c r="E723" s="18"/>
      <c r="F723" s="129"/>
      <c r="G723" s="20"/>
      <c r="H723" s="20">
        <v>1</v>
      </c>
      <c r="I723" s="126">
        <f t="shared" si="57"/>
        <v>0</v>
      </c>
      <c r="J723" s="21">
        <f t="shared" si="56"/>
        <v>0</v>
      </c>
      <c r="K723" s="80"/>
      <c r="L723" s="82"/>
      <c r="M723" s="10"/>
      <c r="N723" s="10"/>
      <c r="O723" s="10"/>
      <c r="P723" s="10"/>
      <c r="Q723" s="43"/>
      <c r="R723" s="10"/>
      <c r="T723" s="10"/>
    </row>
    <row r="724" spans="2:20" s="1" customFormat="1" ht="12.95" customHeight="1" x14ac:dyDescent="0.15">
      <c r="B724" s="16">
        <v>13</v>
      </c>
      <c r="C724" s="11"/>
      <c r="D724" s="18"/>
      <c r="E724" s="18"/>
      <c r="F724" s="129"/>
      <c r="G724" s="20"/>
      <c r="H724" s="20">
        <v>1</v>
      </c>
      <c r="I724" s="126">
        <f t="shared" si="57"/>
        <v>0</v>
      </c>
      <c r="J724" s="21">
        <f t="shared" si="56"/>
        <v>0</v>
      </c>
      <c r="K724" s="80"/>
      <c r="L724" s="82"/>
      <c r="M724" s="10"/>
      <c r="N724" s="10"/>
      <c r="O724" s="10"/>
      <c r="P724" s="10"/>
      <c r="Q724" s="43"/>
      <c r="R724" s="10"/>
      <c r="T724" s="10"/>
    </row>
    <row r="725" spans="2:20" s="1" customFormat="1" ht="12.95" customHeight="1" x14ac:dyDescent="0.15">
      <c r="B725" s="16">
        <v>14</v>
      </c>
      <c r="C725" s="11"/>
      <c r="D725" s="18"/>
      <c r="E725" s="18"/>
      <c r="F725" s="129"/>
      <c r="G725" s="20"/>
      <c r="H725" s="20">
        <v>1</v>
      </c>
      <c r="I725" s="126">
        <f t="shared" si="57"/>
        <v>0</v>
      </c>
      <c r="J725" s="21">
        <f t="shared" si="56"/>
        <v>0</v>
      </c>
      <c r="K725" s="80"/>
      <c r="L725" s="82"/>
      <c r="M725" s="10"/>
      <c r="N725" s="10"/>
      <c r="O725" s="10"/>
      <c r="P725" s="10"/>
      <c r="Q725" s="43"/>
      <c r="R725" s="10"/>
      <c r="T725" s="10"/>
    </row>
    <row r="726" spans="2:20" s="1" customFormat="1" ht="12.95" customHeight="1" x14ac:dyDescent="0.15">
      <c r="B726" s="16">
        <v>15</v>
      </c>
      <c r="C726" s="11"/>
      <c r="D726" s="18"/>
      <c r="E726" s="18"/>
      <c r="F726" s="129"/>
      <c r="G726" s="20"/>
      <c r="H726" s="20">
        <v>1</v>
      </c>
      <c r="I726" s="126">
        <f t="shared" si="57"/>
        <v>0</v>
      </c>
      <c r="J726" s="21">
        <f t="shared" si="56"/>
        <v>0</v>
      </c>
      <c r="K726" s="80"/>
      <c r="L726" s="82"/>
      <c r="M726" s="10"/>
      <c r="N726" s="10"/>
      <c r="O726" s="10"/>
      <c r="P726" s="10"/>
      <c r="Q726" s="43"/>
      <c r="R726" s="10"/>
      <c r="T726" s="10"/>
    </row>
    <row r="727" spans="2:20" s="1" customFormat="1" ht="12.95" customHeight="1" x14ac:dyDescent="0.15">
      <c r="B727" s="16">
        <v>16</v>
      </c>
      <c r="C727" s="11"/>
      <c r="D727" s="18"/>
      <c r="E727" s="18"/>
      <c r="F727" s="129"/>
      <c r="G727" s="20"/>
      <c r="H727" s="20">
        <v>1</v>
      </c>
      <c r="I727" s="126">
        <f t="shared" si="57"/>
        <v>0</v>
      </c>
      <c r="J727" s="21">
        <f t="shared" si="56"/>
        <v>0</v>
      </c>
      <c r="K727" s="80"/>
      <c r="L727" s="82"/>
      <c r="M727" s="10"/>
      <c r="N727" s="10"/>
      <c r="O727" s="10"/>
      <c r="P727" s="10"/>
      <c r="Q727" s="43"/>
      <c r="R727" s="10"/>
      <c r="T727" s="10"/>
    </row>
    <row r="728" spans="2:20" s="1" customFormat="1" ht="12.95" customHeight="1" x14ac:dyDescent="0.15">
      <c r="B728" s="16">
        <v>17</v>
      </c>
      <c r="C728" s="11"/>
      <c r="D728" s="18"/>
      <c r="E728" s="18"/>
      <c r="F728" s="129"/>
      <c r="G728" s="20"/>
      <c r="H728" s="20">
        <v>1</v>
      </c>
      <c r="I728" s="126">
        <f t="shared" si="57"/>
        <v>0</v>
      </c>
      <c r="J728" s="21">
        <f t="shared" si="56"/>
        <v>0</v>
      </c>
      <c r="K728" s="80"/>
      <c r="L728" s="82"/>
      <c r="M728" s="10"/>
      <c r="N728" s="10"/>
      <c r="O728" s="10"/>
      <c r="P728" s="10"/>
      <c r="Q728" s="43"/>
      <c r="R728" s="10"/>
      <c r="T728" s="10"/>
    </row>
    <row r="729" spans="2:20" s="1" customFormat="1" ht="12.95" customHeight="1" x14ac:dyDescent="0.15">
      <c r="B729" s="16">
        <v>18</v>
      </c>
      <c r="C729" s="11"/>
      <c r="D729" s="18"/>
      <c r="E729" s="18"/>
      <c r="F729" s="129"/>
      <c r="G729" s="20"/>
      <c r="H729" s="20">
        <v>1</v>
      </c>
      <c r="I729" s="126">
        <f t="shared" si="57"/>
        <v>0</v>
      </c>
      <c r="J729" s="21">
        <f t="shared" si="56"/>
        <v>0</v>
      </c>
      <c r="K729" s="111"/>
      <c r="L729" s="119"/>
      <c r="M729" s="10"/>
      <c r="N729" s="10"/>
      <c r="O729" s="10"/>
      <c r="P729" s="10"/>
      <c r="Q729" s="43"/>
      <c r="R729" s="10"/>
      <c r="T729" s="10"/>
    </row>
    <row r="730" spans="2:20" s="1" customFormat="1" ht="12.95" customHeight="1" x14ac:dyDescent="0.15">
      <c r="B730" s="16">
        <v>19</v>
      </c>
      <c r="C730" s="16"/>
      <c r="D730" s="18"/>
      <c r="E730" s="18"/>
      <c r="F730" s="129"/>
      <c r="G730" s="20"/>
      <c r="H730" s="20">
        <v>1</v>
      </c>
      <c r="I730" s="126">
        <f t="shared" si="57"/>
        <v>0</v>
      </c>
      <c r="J730" s="259">
        <f t="shared" si="56"/>
        <v>0</v>
      </c>
      <c r="K730" s="82"/>
      <c r="L730" s="82"/>
      <c r="M730" s="10"/>
      <c r="N730" s="10"/>
      <c r="O730" s="10"/>
      <c r="P730" s="10"/>
      <c r="Q730" s="43"/>
      <c r="R730" s="10"/>
      <c r="T730" s="10"/>
    </row>
    <row r="731" spans="2:20" s="1" customFormat="1" ht="12.95" customHeight="1" x14ac:dyDescent="0.15">
      <c r="B731" s="16">
        <v>20</v>
      </c>
      <c r="C731" s="11"/>
      <c r="D731" s="18"/>
      <c r="E731" s="18"/>
      <c r="F731" s="129"/>
      <c r="G731" s="20"/>
      <c r="H731" s="20">
        <v>1</v>
      </c>
      <c r="I731" s="126">
        <f t="shared" si="57"/>
        <v>0</v>
      </c>
      <c r="J731" s="260">
        <f t="shared" si="56"/>
        <v>0</v>
      </c>
      <c r="K731" s="82"/>
      <c r="L731" s="82"/>
      <c r="M731" s="10"/>
      <c r="N731" s="10"/>
      <c r="O731" s="10"/>
      <c r="P731" s="10"/>
      <c r="Q731" s="43"/>
      <c r="R731" s="10"/>
      <c r="T731" s="10"/>
    </row>
    <row r="732" spans="2:20" s="1" customFormat="1" ht="12.95" customHeight="1" x14ac:dyDescent="0.15">
      <c r="B732" s="16"/>
      <c r="C732" s="17"/>
      <c r="D732" s="62"/>
      <c r="E732" s="63"/>
      <c r="F732" s="129"/>
      <c r="G732" s="20"/>
      <c r="H732" s="20"/>
      <c r="I732" s="254"/>
      <c r="J732" s="261"/>
      <c r="K732" s="82"/>
      <c r="L732" s="82"/>
    </row>
    <row r="733" spans="2:20" s="1" customFormat="1" ht="13.15" customHeight="1" x14ac:dyDescent="0.15">
      <c r="B733" s="83"/>
      <c r="C733" s="98"/>
      <c r="D733" s="99"/>
      <c r="E733" s="98"/>
      <c r="F733" s="127">
        <f>SUM(F674:F732)</f>
        <v>0</v>
      </c>
      <c r="G733" s="100"/>
      <c r="H733" s="101"/>
      <c r="I733" s="258">
        <f>SUM(I674:I732)</f>
        <v>0</v>
      </c>
      <c r="J733" s="106">
        <f>SUM(J676:J712)</f>
        <v>0</v>
      </c>
    </row>
    <row r="734" spans="2:20" s="1" customFormat="1" ht="13.15" customHeight="1" x14ac:dyDescent="0.15">
      <c r="B734" s="82"/>
      <c r="C734" s="102"/>
      <c r="D734" s="103"/>
      <c r="E734" s="102" t="s">
        <v>147</v>
      </c>
      <c r="F734" s="128">
        <f>100/115*F733</f>
        <v>0</v>
      </c>
      <c r="G734" s="104"/>
      <c r="H734" s="105" t="s">
        <v>147</v>
      </c>
      <c r="I734" s="256">
        <f>100/115*I733</f>
        <v>0</v>
      </c>
      <c r="J734" s="106">
        <f>SUM(J677:J713)</f>
        <v>0</v>
      </c>
    </row>
    <row r="735" spans="2:20" s="1" customFormat="1" ht="13.15" customHeight="1" x14ac:dyDescent="0.15">
      <c r="I735" s="135"/>
    </row>
    <row r="736" spans="2:20" s="1" customFormat="1" ht="13.15" customHeight="1" x14ac:dyDescent="0.15">
      <c r="I736" s="135"/>
    </row>
    <row r="737" spans="2:13" s="1" customFormat="1" ht="13.15" customHeight="1" x14ac:dyDescent="0.15">
      <c r="I737" s="135"/>
    </row>
    <row r="738" spans="2:13" s="1" customFormat="1" ht="13.15" customHeight="1" x14ac:dyDescent="0.15">
      <c r="I738" s="135"/>
    </row>
    <row r="739" spans="2:13" s="247" customFormat="1" ht="32.25" x14ac:dyDescent="0.4">
      <c r="B739" s="248"/>
      <c r="C739" s="380" t="s">
        <v>112</v>
      </c>
      <c r="D739" s="380"/>
      <c r="E739" s="400" t="s">
        <v>164</v>
      </c>
      <c r="F739" s="401"/>
      <c r="G739" s="401"/>
      <c r="H739" s="401"/>
      <c r="I739" s="402"/>
      <c r="J739" s="382">
        <v>2026</v>
      </c>
      <c r="K739" s="382"/>
      <c r="L739" s="382"/>
    </row>
    <row r="740" spans="2:13" s="1" customFormat="1" ht="39.6" customHeight="1" x14ac:dyDescent="0.15">
      <c r="B740" s="82"/>
      <c r="C740" s="102" t="s">
        <v>114</v>
      </c>
      <c r="D740" s="388" t="s">
        <v>115</v>
      </c>
      <c r="E740" s="388"/>
      <c r="F740" s="102" t="s">
        <v>116</v>
      </c>
      <c r="G740" s="102" t="s">
        <v>117</v>
      </c>
      <c r="H740" s="102" t="s">
        <v>118</v>
      </c>
      <c r="I740" s="141" t="s">
        <v>119</v>
      </c>
      <c r="J740" s="102" t="s">
        <v>120</v>
      </c>
      <c r="K740" s="82"/>
      <c r="L740" s="82"/>
    </row>
    <row r="741" spans="2:13" s="1" customFormat="1" ht="13.15" customHeight="1" x14ac:dyDescent="0.15">
      <c r="B741" s="82"/>
      <c r="C741" s="66">
        <f>C671</f>
        <v>700</v>
      </c>
      <c r="D741" s="389">
        <v>20</v>
      </c>
      <c r="E741" s="389"/>
      <c r="F741" s="13">
        <f>F671</f>
        <v>0.8</v>
      </c>
      <c r="G741" s="14">
        <f>G671</f>
        <v>8</v>
      </c>
      <c r="H741" s="142">
        <f>D741*G741*F741</f>
        <v>128</v>
      </c>
      <c r="I741" s="66">
        <f>I803</f>
        <v>0</v>
      </c>
      <c r="J741" s="143">
        <f>H741-J803</f>
        <v>128</v>
      </c>
      <c r="K741" s="82"/>
      <c r="L741" s="82"/>
    </row>
    <row r="742" spans="2:13" s="1" customFormat="1" ht="66" customHeight="1" x14ac:dyDescent="0.15">
      <c r="B742" s="84"/>
      <c r="C742" s="136" t="s">
        <v>121</v>
      </c>
      <c r="D742" s="420" t="s">
        <v>122</v>
      </c>
      <c r="E742" s="421"/>
      <c r="F742" s="137" t="s">
        <v>123</v>
      </c>
      <c r="G742" s="138" t="s">
        <v>124</v>
      </c>
      <c r="H742" s="139" t="s">
        <v>125</v>
      </c>
      <c r="I742" s="140" t="s">
        <v>126</v>
      </c>
      <c r="J742" s="138" t="s">
        <v>127</v>
      </c>
      <c r="K742" s="122" t="s">
        <v>128</v>
      </c>
      <c r="L742" s="123" t="s">
        <v>129</v>
      </c>
    </row>
    <row r="743" spans="2:13" s="1" customFormat="1" ht="12.95" customHeight="1" x14ac:dyDescent="0.15">
      <c r="B743" s="16"/>
      <c r="C743" s="17"/>
      <c r="D743" s="422"/>
      <c r="E743" s="423"/>
      <c r="F743" s="36"/>
      <c r="G743" s="20"/>
      <c r="H743" s="20"/>
      <c r="I743" s="126"/>
      <c r="J743" s="21"/>
      <c r="K743" s="80"/>
      <c r="L743" s="82"/>
    </row>
    <row r="744" spans="2:13" s="1" customFormat="1" ht="12.95" customHeight="1" x14ac:dyDescent="0.15">
      <c r="B744" s="16"/>
      <c r="C744" s="37" t="s">
        <v>130</v>
      </c>
      <c r="D744" s="24"/>
      <c r="E744" s="24"/>
      <c r="F744" s="129"/>
      <c r="G744" s="20"/>
      <c r="H744" s="20"/>
      <c r="I744" s="126"/>
      <c r="J744" s="38"/>
      <c r="K744" s="80"/>
      <c r="L744" s="82"/>
    </row>
    <row r="745" spans="2:13" s="1" customFormat="1" ht="12.75" customHeight="1" x14ac:dyDescent="0.15">
      <c r="B745" s="16"/>
      <c r="C745" s="72" t="s">
        <v>149</v>
      </c>
      <c r="D745" s="24"/>
      <c r="E745" s="24"/>
      <c r="F745" s="129"/>
      <c r="G745" s="20"/>
      <c r="H745" s="20"/>
      <c r="I745" s="126"/>
      <c r="J745" s="38"/>
      <c r="K745" s="80"/>
      <c r="L745" s="82"/>
    </row>
    <row r="746" spans="2:13" s="1" customFormat="1" ht="16.5" x14ac:dyDescent="0.15">
      <c r="B746" s="16">
        <v>1</v>
      </c>
      <c r="C746" s="23"/>
      <c r="D746" s="48"/>
      <c r="E746" s="48"/>
      <c r="F746" s="126"/>
      <c r="G746" s="50"/>
      <c r="H746" s="20">
        <v>1</v>
      </c>
      <c r="I746" s="126">
        <f t="shared" ref="I746:I768" si="58">J746*$C$32</f>
        <v>0</v>
      </c>
      <c r="J746" s="38">
        <f t="shared" ref="J746:J755" si="59">(F746*G746*H746)/$C$32</f>
        <v>0</v>
      </c>
      <c r="K746" s="80"/>
      <c r="L746" s="82"/>
      <c r="M746" s="133"/>
    </row>
    <row r="747" spans="2:13" s="1" customFormat="1" ht="12.75" customHeight="1" x14ac:dyDescent="0.15">
      <c r="B747" s="16">
        <v>2</v>
      </c>
      <c r="C747" s="23"/>
      <c r="D747" s="97"/>
      <c r="E747" s="97"/>
      <c r="F747" s="126"/>
      <c r="G747" s="50"/>
      <c r="H747" s="20">
        <v>1</v>
      </c>
      <c r="I747" s="126">
        <f t="shared" si="58"/>
        <v>0</v>
      </c>
      <c r="J747" s="38">
        <f t="shared" si="59"/>
        <v>0</v>
      </c>
      <c r="K747" s="80"/>
      <c r="L747" s="82"/>
      <c r="M747" s="134"/>
    </row>
    <row r="748" spans="2:13" s="1" customFormat="1" ht="12.75" customHeight="1" x14ac:dyDescent="0.15">
      <c r="B748" s="16">
        <v>3</v>
      </c>
      <c r="C748" s="23"/>
      <c r="D748" s="48"/>
      <c r="E748" s="48"/>
      <c r="F748" s="126"/>
      <c r="G748" s="50"/>
      <c r="H748" s="20">
        <v>1</v>
      </c>
      <c r="I748" s="126">
        <f t="shared" si="58"/>
        <v>0</v>
      </c>
      <c r="J748" s="38">
        <f t="shared" si="59"/>
        <v>0</v>
      </c>
      <c r="K748" s="80"/>
      <c r="L748" s="82"/>
    </row>
    <row r="749" spans="2:13" s="1" customFormat="1" ht="12.75" x14ac:dyDescent="0.15">
      <c r="B749" s="16">
        <v>4</v>
      </c>
      <c r="C749" s="26"/>
      <c r="D749" s="49"/>
      <c r="E749" s="49"/>
      <c r="F749" s="126"/>
      <c r="G749" s="50"/>
      <c r="H749" s="20">
        <v>1</v>
      </c>
      <c r="I749" s="126">
        <f t="shared" si="58"/>
        <v>0</v>
      </c>
      <c r="J749" s="38">
        <f t="shared" si="59"/>
        <v>0</v>
      </c>
      <c r="K749" s="80"/>
      <c r="L749" s="82"/>
    </row>
    <row r="750" spans="2:13" s="1" customFormat="1" ht="12.75" customHeight="1" x14ac:dyDescent="0.15">
      <c r="B750" s="16">
        <v>5</v>
      </c>
      <c r="C750" s="23"/>
      <c r="D750" s="48"/>
      <c r="E750" s="48"/>
      <c r="F750" s="126"/>
      <c r="G750" s="50"/>
      <c r="H750" s="20">
        <v>1</v>
      </c>
      <c r="I750" s="126">
        <f t="shared" si="58"/>
        <v>0</v>
      </c>
      <c r="J750" s="38">
        <f t="shared" si="59"/>
        <v>0</v>
      </c>
      <c r="K750" s="80"/>
      <c r="L750" s="82"/>
    </row>
    <row r="751" spans="2:13" s="1" customFormat="1" ht="12.95" customHeight="1" x14ac:dyDescent="0.15">
      <c r="B751" s="16">
        <v>6</v>
      </c>
      <c r="C751" s="23"/>
      <c r="D751" s="48"/>
      <c r="E751" s="48"/>
      <c r="F751" s="126"/>
      <c r="G751" s="50"/>
      <c r="H751" s="20">
        <v>1</v>
      </c>
      <c r="I751" s="126">
        <f t="shared" si="58"/>
        <v>0</v>
      </c>
      <c r="J751" s="38">
        <f t="shared" si="59"/>
        <v>0</v>
      </c>
      <c r="K751" s="80"/>
      <c r="L751" s="82"/>
    </row>
    <row r="752" spans="2:13" s="1" customFormat="1" ht="12.95" customHeight="1" x14ac:dyDescent="0.15">
      <c r="B752" s="16">
        <v>7</v>
      </c>
      <c r="C752" s="23"/>
      <c r="D752" s="48"/>
      <c r="E752" s="48"/>
      <c r="F752" s="126"/>
      <c r="G752" s="50"/>
      <c r="H752" s="20">
        <v>1</v>
      </c>
      <c r="I752" s="126">
        <f t="shared" si="58"/>
        <v>0</v>
      </c>
      <c r="J752" s="38">
        <f t="shared" si="59"/>
        <v>0</v>
      </c>
      <c r="K752" s="80"/>
      <c r="L752" s="82"/>
    </row>
    <row r="753" spans="2:20" s="1" customFormat="1" ht="12.95" customHeight="1" x14ac:dyDescent="0.15">
      <c r="B753" s="16">
        <v>8</v>
      </c>
      <c r="C753" s="23"/>
      <c r="D753" s="48"/>
      <c r="E753" s="48"/>
      <c r="F753" s="126"/>
      <c r="G753" s="50"/>
      <c r="H753" s="20">
        <v>1</v>
      </c>
      <c r="I753" s="126">
        <f t="shared" si="58"/>
        <v>0</v>
      </c>
      <c r="J753" s="38">
        <f t="shared" si="59"/>
        <v>0</v>
      </c>
      <c r="K753" s="80"/>
      <c r="L753" s="82"/>
    </row>
    <row r="754" spans="2:20" s="1" customFormat="1" ht="12.95" customHeight="1" x14ac:dyDescent="0.15">
      <c r="B754" s="16">
        <v>9</v>
      </c>
      <c r="C754" s="23"/>
      <c r="D754" s="48"/>
      <c r="E754" s="48"/>
      <c r="F754" s="126"/>
      <c r="G754" s="50"/>
      <c r="H754" s="20">
        <v>1</v>
      </c>
      <c r="I754" s="126">
        <f t="shared" si="58"/>
        <v>0</v>
      </c>
      <c r="J754" s="38">
        <f t="shared" si="59"/>
        <v>0</v>
      </c>
      <c r="K754" s="80"/>
      <c r="L754" s="82"/>
    </row>
    <row r="755" spans="2:20" s="1" customFormat="1" ht="12.95" customHeight="1" x14ac:dyDescent="0.15">
      <c r="B755" s="16">
        <v>10</v>
      </c>
      <c r="C755" s="23"/>
      <c r="D755" s="49"/>
      <c r="E755" s="48"/>
      <c r="F755" s="126"/>
      <c r="G755" s="50"/>
      <c r="H755" s="20">
        <v>1</v>
      </c>
      <c r="I755" s="126">
        <f t="shared" si="58"/>
        <v>0</v>
      </c>
      <c r="J755" s="38">
        <f t="shared" si="59"/>
        <v>0</v>
      </c>
      <c r="K755" s="80"/>
      <c r="L755" s="82"/>
    </row>
    <row r="756" spans="2:20" s="1" customFormat="1" ht="12.95" customHeight="1" x14ac:dyDescent="0.15">
      <c r="B756" s="16"/>
      <c r="C756" s="23"/>
      <c r="D756" s="49"/>
      <c r="E756" s="48"/>
      <c r="F756" s="126"/>
      <c r="G756" s="50"/>
      <c r="H756" s="20"/>
      <c r="I756" s="126"/>
      <c r="J756" s="38"/>
      <c r="K756" s="80"/>
      <c r="L756" s="82"/>
    </row>
    <row r="757" spans="2:20" s="1" customFormat="1" ht="12.95" customHeight="1" x14ac:dyDescent="0.15">
      <c r="B757" s="16"/>
      <c r="C757" s="23"/>
      <c r="D757" s="48"/>
      <c r="E757" s="49"/>
      <c r="F757" s="126"/>
      <c r="G757" s="50"/>
      <c r="H757" s="20"/>
      <c r="I757" s="126"/>
      <c r="J757" s="38"/>
      <c r="K757" s="80"/>
      <c r="L757" s="82"/>
    </row>
    <row r="758" spans="2:20" s="1" customFormat="1" ht="12.95" customHeight="1" x14ac:dyDescent="0.15">
      <c r="B758" s="16"/>
      <c r="C758" s="22" t="s">
        <v>156</v>
      </c>
      <c r="D758" s="24"/>
      <c r="E758" s="18"/>
      <c r="F758" s="129"/>
      <c r="G758" s="20"/>
      <c r="H758" s="20"/>
      <c r="I758" s="126"/>
      <c r="J758" s="38"/>
      <c r="K758" s="80"/>
      <c r="L758" s="82"/>
    </row>
    <row r="759" spans="2:20" s="1" customFormat="1" ht="12.95" customHeight="1" x14ac:dyDescent="0.15">
      <c r="B759" s="16">
        <v>1</v>
      </c>
      <c r="C759" s="17"/>
      <c r="D759" s="24"/>
      <c r="E759" s="18"/>
      <c r="F759" s="129"/>
      <c r="G759" s="20"/>
      <c r="H759" s="20">
        <v>1</v>
      </c>
      <c r="I759" s="126">
        <f t="shared" si="58"/>
        <v>0</v>
      </c>
      <c r="J759" s="38">
        <f t="shared" ref="J759:J778" si="60">(F759*G759*H759)/$C$32</f>
        <v>0</v>
      </c>
      <c r="K759" s="80"/>
      <c r="L759" s="82"/>
    </row>
    <row r="760" spans="2:20" s="1" customFormat="1" ht="12.95" customHeight="1" x14ac:dyDescent="0.15">
      <c r="B760" s="16">
        <v>2</v>
      </c>
      <c r="C760" s="17"/>
      <c r="D760" s="24"/>
      <c r="E760" s="18"/>
      <c r="F760" s="129"/>
      <c r="G760" s="20"/>
      <c r="H760" s="20">
        <v>1</v>
      </c>
      <c r="I760" s="126">
        <f t="shared" si="58"/>
        <v>0</v>
      </c>
      <c r="J760" s="38">
        <f t="shared" si="60"/>
        <v>0</v>
      </c>
      <c r="K760" s="80"/>
      <c r="L760" s="82"/>
    </row>
    <row r="761" spans="2:20" s="1" customFormat="1" ht="12.95" customHeight="1" x14ac:dyDescent="0.15">
      <c r="B761" s="16">
        <v>3</v>
      </c>
      <c r="C761" s="17"/>
      <c r="D761" s="24"/>
      <c r="E761" s="18"/>
      <c r="F761" s="129"/>
      <c r="G761" s="20"/>
      <c r="H761" s="20">
        <v>1</v>
      </c>
      <c r="I761" s="126">
        <f t="shared" si="58"/>
        <v>0</v>
      </c>
      <c r="J761" s="38">
        <f t="shared" si="60"/>
        <v>0</v>
      </c>
      <c r="K761" s="80"/>
      <c r="L761" s="82"/>
    </row>
    <row r="762" spans="2:20" s="1" customFormat="1" ht="12.95" customHeight="1" x14ac:dyDescent="0.15">
      <c r="B762" s="16">
        <v>4</v>
      </c>
      <c r="C762" s="17"/>
      <c r="D762" s="24"/>
      <c r="E762" s="24"/>
      <c r="F762" s="129"/>
      <c r="G762" s="20"/>
      <c r="H762" s="20">
        <v>1</v>
      </c>
      <c r="I762" s="126">
        <f t="shared" si="58"/>
        <v>0</v>
      </c>
      <c r="J762" s="38">
        <f t="shared" si="60"/>
        <v>0</v>
      </c>
      <c r="K762" s="80"/>
      <c r="L762" s="82"/>
    </row>
    <row r="763" spans="2:20" s="1" customFormat="1" ht="12.95" customHeight="1" x14ac:dyDescent="0.15">
      <c r="B763" s="16">
        <v>5</v>
      </c>
      <c r="C763" s="17"/>
      <c r="D763" s="24"/>
      <c r="E763" s="24"/>
      <c r="F763" s="129"/>
      <c r="G763" s="20"/>
      <c r="H763" s="20">
        <v>1</v>
      </c>
      <c r="I763" s="126">
        <f t="shared" si="58"/>
        <v>0</v>
      </c>
      <c r="J763" s="38">
        <f t="shared" si="60"/>
        <v>0</v>
      </c>
      <c r="K763" s="80"/>
      <c r="L763" s="82"/>
    </row>
    <row r="764" spans="2:20" s="1" customFormat="1" ht="12.95" customHeight="1" x14ac:dyDescent="0.15">
      <c r="B764" s="16">
        <v>6</v>
      </c>
      <c r="C764" s="17"/>
      <c r="D764" s="24"/>
      <c r="E764" s="24"/>
      <c r="F764" s="129"/>
      <c r="G764" s="20"/>
      <c r="H764" s="20">
        <v>1</v>
      </c>
      <c r="I764" s="126">
        <f t="shared" si="58"/>
        <v>0</v>
      </c>
      <c r="J764" s="38">
        <f t="shared" si="60"/>
        <v>0</v>
      </c>
      <c r="K764" s="80"/>
      <c r="L764" s="82"/>
    </row>
    <row r="765" spans="2:20" s="1" customFormat="1" ht="12.95" customHeight="1" x14ac:dyDescent="0.15">
      <c r="B765" s="16">
        <v>7</v>
      </c>
      <c r="C765" s="17"/>
      <c r="D765" s="24"/>
      <c r="E765" s="24"/>
      <c r="F765" s="129"/>
      <c r="G765" s="20"/>
      <c r="H765" s="20">
        <v>1</v>
      </c>
      <c r="I765" s="126">
        <f t="shared" si="58"/>
        <v>0</v>
      </c>
      <c r="J765" s="21">
        <f t="shared" si="60"/>
        <v>0</v>
      </c>
      <c r="K765" s="80"/>
      <c r="L765" s="82"/>
    </row>
    <row r="766" spans="2:20" s="1" customFormat="1" ht="12.95" customHeight="1" x14ac:dyDescent="0.15">
      <c r="B766" s="16">
        <v>8</v>
      </c>
      <c r="C766" s="17"/>
      <c r="D766" s="24"/>
      <c r="E766" s="24"/>
      <c r="F766" s="129"/>
      <c r="G766" s="20"/>
      <c r="H766" s="20">
        <v>1</v>
      </c>
      <c r="I766" s="126">
        <f t="shared" si="58"/>
        <v>0</v>
      </c>
      <c r="J766" s="38">
        <f t="shared" si="60"/>
        <v>0</v>
      </c>
      <c r="K766" s="80"/>
      <c r="L766" s="82"/>
    </row>
    <row r="767" spans="2:20" s="1" customFormat="1" ht="12.95" customHeight="1" x14ac:dyDescent="0.15">
      <c r="B767" s="16">
        <v>9</v>
      </c>
      <c r="C767" s="17"/>
      <c r="D767" s="24"/>
      <c r="E767" s="24"/>
      <c r="F767" s="129"/>
      <c r="G767" s="20"/>
      <c r="H767" s="20">
        <v>1</v>
      </c>
      <c r="I767" s="126">
        <f t="shared" si="58"/>
        <v>0</v>
      </c>
      <c r="J767" s="38">
        <f t="shared" si="60"/>
        <v>0</v>
      </c>
      <c r="K767" s="80"/>
      <c r="L767" s="82"/>
    </row>
    <row r="768" spans="2:20" s="1" customFormat="1" ht="12.95" customHeight="1" x14ac:dyDescent="0.15">
      <c r="B768" s="16">
        <v>10</v>
      </c>
      <c r="C768" s="44"/>
      <c r="D768" s="18"/>
      <c r="E768" s="18"/>
      <c r="F768" s="129"/>
      <c r="G768" s="20"/>
      <c r="H768" s="20">
        <v>1</v>
      </c>
      <c r="I768" s="126">
        <f t="shared" si="58"/>
        <v>0</v>
      </c>
      <c r="J768" s="21">
        <f t="shared" si="60"/>
        <v>0</v>
      </c>
      <c r="K768" s="80"/>
      <c r="L768" s="82"/>
      <c r="M768" s="10"/>
      <c r="N768" s="10"/>
      <c r="O768" s="10"/>
      <c r="P768" s="10"/>
      <c r="Q768" s="43"/>
      <c r="R768" s="10"/>
      <c r="T768" s="10"/>
    </row>
    <row r="769" spans="2:20" s="1" customFormat="1" ht="12.95" customHeight="1" x14ac:dyDescent="0.15">
      <c r="B769" s="16">
        <v>11</v>
      </c>
      <c r="C769" s="45"/>
      <c r="D769" s="18"/>
      <c r="E769" s="18"/>
      <c r="F769" s="130"/>
      <c r="G769" s="20"/>
      <c r="H769" s="20">
        <v>1</v>
      </c>
      <c r="I769" s="126">
        <f>J769*$C$32</f>
        <v>0</v>
      </c>
      <c r="J769" s="21">
        <f t="shared" si="60"/>
        <v>0</v>
      </c>
      <c r="K769" s="80"/>
      <c r="L769" s="82"/>
      <c r="M769" s="10"/>
      <c r="N769" s="10"/>
      <c r="O769" s="10"/>
      <c r="P769" s="10"/>
      <c r="Q769" s="43"/>
      <c r="R769" s="10"/>
      <c r="T769" s="10"/>
    </row>
    <row r="770" spans="2:20" s="1" customFormat="1" ht="12.95" customHeight="1" x14ac:dyDescent="0.15">
      <c r="B770" s="16">
        <v>12</v>
      </c>
      <c r="C770" s="44"/>
      <c r="D770" s="18"/>
      <c r="E770" s="18"/>
      <c r="F770" s="129"/>
      <c r="G770" s="20"/>
      <c r="H770" s="20">
        <v>1</v>
      </c>
      <c r="I770" s="126">
        <f t="shared" ref="I770:I801" si="61">J770*$C$32</f>
        <v>0</v>
      </c>
      <c r="J770" s="21">
        <f t="shared" si="60"/>
        <v>0</v>
      </c>
      <c r="K770" s="80"/>
      <c r="L770" s="82"/>
      <c r="M770" s="10"/>
      <c r="N770" s="10"/>
      <c r="O770" s="10"/>
      <c r="P770" s="10"/>
      <c r="Q770" s="43"/>
      <c r="R770" s="10"/>
      <c r="T770" s="10"/>
    </row>
    <row r="771" spans="2:20" s="1" customFormat="1" ht="12.95" customHeight="1" x14ac:dyDescent="0.15">
      <c r="B771" s="16">
        <v>13</v>
      </c>
      <c r="C771" s="11"/>
      <c r="D771" s="18"/>
      <c r="E771" s="18"/>
      <c r="F771" s="129"/>
      <c r="G771" s="20"/>
      <c r="H771" s="20">
        <v>1</v>
      </c>
      <c r="I771" s="126">
        <f t="shared" si="61"/>
        <v>0</v>
      </c>
      <c r="J771" s="21">
        <f t="shared" si="60"/>
        <v>0</v>
      </c>
      <c r="K771" s="80"/>
      <c r="L771" s="82"/>
      <c r="M771" s="10"/>
      <c r="N771" s="10"/>
      <c r="O771" s="10"/>
      <c r="P771" s="10"/>
      <c r="Q771" s="43"/>
      <c r="R771" s="10"/>
      <c r="T771" s="10"/>
    </row>
    <row r="772" spans="2:20" s="1" customFormat="1" ht="12.95" customHeight="1" x14ac:dyDescent="0.15">
      <c r="B772" s="16">
        <v>14</v>
      </c>
      <c r="C772" s="11"/>
      <c r="D772" s="18"/>
      <c r="E772" s="18"/>
      <c r="F772" s="129"/>
      <c r="G772" s="20"/>
      <c r="H772" s="20">
        <v>1</v>
      </c>
      <c r="I772" s="126">
        <f t="shared" si="61"/>
        <v>0</v>
      </c>
      <c r="J772" s="21">
        <f t="shared" si="60"/>
        <v>0</v>
      </c>
      <c r="K772" s="80"/>
      <c r="L772" s="82"/>
      <c r="M772" s="10"/>
      <c r="N772" s="10"/>
      <c r="O772" s="10"/>
      <c r="P772" s="10"/>
      <c r="Q772" s="43"/>
      <c r="R772" s="10"/>
      <c r="T772" s="10"/>
    </row>
    <row r="773" spans="2:20" s="1" customFormat="1" ht="12.95" customHeight="1" x14ac:dyDescent="0.15">
      <c r="B773" s="16">
        <v>15</v>
      </c>
      <c r="C773" s="11"/>
      <c r="D773" s="18"/>
      <c r="E773" s="18"/>
      <c r="F773" s="129"/>
      <c r="G773" s="20"/>
      <c r="H773" s="20">
        <v>1</v>
      </c>
      <c r="I773" s="126">
        <f t="shared" si="61"/>
        <v>0</v>
      </c>
      <c r="J773" s="21">
        <f t="shared" si="60"/>
        <v>0</v>
      </c>
      <c r="K773" s="80"/>
      <c r="L773" s="82"/>
      <c r="M773" s="10"/>
      <c r="N773" s="10"/>
      <c r="O773" s="10"/>
      <c r="P773" s="10"/>
      <c r="Q773" s="43"/>
      <c r="R773" s="10"/>
      <c r="T773" s="10"/>
    </row>
    <row r="774" spans="2:20" s="1" customFormat="1" ht="12.95" customHeight="1" x14ac:dyDescent="0.15">
      <c r="B774" s="16">
        <v>16</v>
      </c>
      <c r="C774" s="11"/>
      <c r="D774" s="18"/>
      <c r="E774" s="18"/>
      <c r="F774" s="129"/>
      <c r="G774" s="20"/>
      <c r="H774" s="20">
        <v>1</v>
      </c>
      <c r="I774" s="126">
        <f t="shared" si="61"/>
        <v>0</v>
      </c>
      <c r="J774" s="21">
        <f t="shared" si="60"/>
        <v>0</v>
      </c>
      <c r="K774" s="80"/>
      <c r="L774" s="82"/>
      <c r="M774" s="10"/>
      <c r="N774" s="10"/>
      <c r="O774" s="10"/>
      <c r="P774" s="10"/>
      <c r="Q774" s="43"/>
      <c r="R774" s="10"/>
      <c r="T774" s="10"/>
    </row>
    <row r="775" spans="2:20" s="1" customFormat="1" ht="12.95" customHeight="1" x14ac:dyDescent="0.15">
      <c r="B775" s="16">
        <v>17</v>
      </c>
      <c r="C775" s="11"/>
      <c r="D775" s="18"/>
      <c r="E775" s="18"/>
      <c r="F775" s="129"/>
      <c r="G775" s="20"/>
      <c r="H775" s="20">
        <v>1</v>
      </c>
      <c r="I775" s="126">
        <f t="shared" si="61"/>
        <v>0</v>
      </c>
      <c r="J775" s="21">
        <f t="shared" si="60"/>
        <v>0</v>
      </c>
      <c r="K775" s="80"/>
      <c r="L775" s="82"/>
      <c r="M775" s="10"/>
      <c r="N775" s="10"/>
      <c r="O775" s="10"/>
      <c r="P775" s="10"/>
      <c r="Q775" s="43"/>
      <c r="R775" s="10"/>
      <c r="T775" s="10"/>
    </row>
    <row r="776" spans="2:20" s="1" customFormat="1" ht="12.95" customHeight="1" x14ac:dyDescent="0.15">
      <c r="B776" s="16">
        <v>18</v>
      </c>
      <c r="C776" s="11"/>
      <c r="D776" s="18"/>
      <c r="E776" s="18"/>
      <c r="F776" s="129"/>
      <c r="G776" s="20"/>
      <c r="H776" s="20">
        <v>1</v>
      </c>
      <c r="I776" s="126">
        <f t="shared" si="61"/>
        <v>0</v>
      </c>
      <c r="J776" s="21">
        <f t="shared" si="60"/>
        <v>0</v>
      </c>
      <c r="K776" s="80"/>
      <c r="L776" s="82"/>
      <c r="M776" s="10"/>
      <c r="N776" s="10"/>
      <c r="O776" s="10"/>
      <c r="P776" s="10"/>
      <c r="Q776" s="43"/>
      <c r="R776" s="10"/>
      <c r="T776" s="10"/>
    </row>
    <row r="777" spans="2:20" s="1" customFormat="1" ht="12.95" customHeight="1" x14ac:dyDescent="0.15">
      <c r="B777" s="16">
        <v>19</v>
      </c>
      <c r="C777" s="11"/>
      <c r="D777" s="18"/>
      <c r="E777" s="18"/>
      <c r="F777" s="129"/>
      <c r="G777" s="20"/>
      <c r="H777" s="20">
        <v>1</v>
      </c>
      <c r="I777" s="126">
        <f t="shared" si="61"/>
        <v>0</v>
      </c>
      <c r="J777" s="21">
        <f t="shared" si="60"/>
        <v>0</v>
      </c>
      <c r="K777" s="80"/>
      <c r="L777" s="82"/>
      <c r="M777" s="10"/>
      <c r="N777" s="10"/>
      <c r="O777" s="10"/>
      <c r="P777" s="10"/>
      <c r="Q777" s="43"/>
      <c r="R777" s="10"/>
      <c r="T777" s="10"/>
    </row>
    <row r="778" spans="2:20" s="1" customFormat="1" ht="12.95" customHeight="1" x14ac:dyDescent="0.15">
      <c r="B778" s="16">
        <v>20</v>
      </c>
      <c r="C778" s="11"/>
      <c r="D778" s="18"/>
      <c r="E778" s="18"/>
      <c r="F778" s="129"/>
      <c r="G778" s="20"/>
      <c r="H778" s="20">
        <v>1</v>
      </c>
      <c r="I778" s="126">
        <f t="shared" si="61"/>
        <v>0</v>
      </c>
      <c r="J778" s="21">
        <f t="shared" si="60"/>
        <v>0</v>
      </c>
      <c r="K778" s="80"/>
      <c r="L778" s="82"/>
      <c r="M778" s="10"/>
      <c r="N778" s="10"/>
      <c r="O778" s="10"/>
      <c r="P778" s="10"/>
      <c r="Q778" s="43"/>
      <c r="R778" s="10"/>
      <c r="T778" s="10"/>
    </row>
    <row r="779" spans="2:20" s="1" customFormat="1" ht="12.95" customHeight="1" x14ac:dyDescent="0.15">
      <c r="B779" s="16"/>
      <c r="C779" s="11"/>
      <c r="D779" s="18"/>
      <c r="E779" s="18"/>
      <c r="F779" s="129"/>
      <c r="G779" s="20"/>
      <c r="H779" s="20"/>
      <c r="I779" s="126"/>
      <c r="J779" s="21"/>
      <c r="K779" s="80"/>
      <c r="L779" s="82"/>
      <c r="M779" s="10"/>
      <c r="N779" s="10"/>
      <c r="O779" s="10"/>
      <c r="P779" s="10"/>
      <c r="Q779" s="43"/>
      <c r="R779" s="10"/>
      <c r="T779" s="10"/>
    </row>
    <row r="780" spans="2:20" s="1" customFormat="1" ht="12.95" customHeight="1" x14ac:dyDescent="0.15">
      <c r="B780" s="16"/>
      <c r="C780" s="11"/>
      <c r="D780" s="18"/>
      <c r="E780" s="18"/>
      <c r="F780" s="129"/>
      <c r="G780" s="20"/>
      <c r="H780" s="20"/>
      <c r="I780" s="126"/>
      <c r="J780" s="21"/>
      <c r="K780" s="80"/>
      <c r="L780" s="82"/>
      <c r="M780" s="10"/>
      <c r="N780" s="10"/>
      <c r="O780" s="10"/>
      <c r="P780" s="10"/>
      <c r="Q780" s="43"/>
      <c r="R780" s="10"/>
      <c r="T780" s="10"/>
    </row>
    <row r="781" spans="2:20" s="1" customFormat="1" ht="12.95" customHeight="1" x14ac:dyDescent="0.15">
      <c r="B781" s="16"/>
      <c r="C781" s="96" t="s">
        <v>132</v>
      </c>
      <c r="D781" s="18"/>
      <c r="E781" s="18"/>
      <c r="F781" s="129"/>
      <c r="G781" s="20"/>
      <c r="H781" s="20"/>
      <c r="I781" s="126"/>
      <c r="J781" s="21"/>
      <c r="K781" s="80"/>
      <c r="L781" s="82"/>
      <c r="M781" s="10"/>
      <c r="N781" s="10"/>
      <c r="O781" s="10"/>
      <c r="P781" s="10"/>
      <c r="Q781" s="43"/>
      <c r="R781" s="10"/>
      <c r="T781" s="10"/>
    </row>
    <row r="782" spans="2:20" s="1" customFormat="1" ht="12.95" customHeight="1" x14ac:dyDescent="0.15">
      <c r="B782" s="16">
        <v>1</v>
      </c>
      <c r="C782" s="11"/>
      <c r="D782" s="18"/>
      <c r="E782" s="18"/>
      <c r="F782" s="129"/>
      <c r="G782" s="20"/>
      <c r="H782" s="20">
        <v>1</v>
      </c>
      <c r="I782" s="126">
        <f t="shared" si="61"/>
        <v>0</v>
      </c>
      <c r="J782" s="21">
        <f t="shared" ref="J782:J801" si="62">(F782*G782*H782)/$C$32</f>
        <v>0</v>
      </c>
      <c r="K782" s="80"/>
      <c r="L782" s="82"/>
      <c r="M782" s="10"/>
      <c r="N782" s="10"/>
      <c r="O782" s="10"/>
      <c r="P782" s="10"/>
      <c r="Q782" s="43"/>
      <c r="R782" s="10"/>
      <c r="T782" s="10"/>
    </row>
    <row r="783" spans="2:20" s="1" customFormat="1" ht="12.95" customHeight="1" x14ac:dyDescent="0.15">
      <c r="B783" s="16">
        <v>2</v>
      </c>
      <c r="C783" s="11"/>
      <c r="D783" s="18"/>
      <c r="E783" s="18"/>
      <c r="F783" s="129"/>
      <c r="G783" s="20"/>
      <c r="H783" s="20">
        <v>1</v>
      </c>
      <c r="I783" s="126">
        <f t="shared" si="61"/>
        <v>0</v>
      </c>
      <c r="J783" s="21">
        <f t="shared" si="62"/>
        <v>0</v>
      </c>
      <c r="K783" s="80"/>
      <c r="L783" s="82"/>
      <c r="M783" s="10"/>
      <c r="N783" s="10"/>
      <c r="O783" s="10"/>
      <c r="P783" s="10"/>
      <c r="Q783" s="43"/>
      <c r="R783" s="10"/>
      <c r="T783" s="10"/>
    </row>
    <row r="784" spans="2:20" s="1" customFormat="1" ht="12.95" customHeight="1" x14ac:dyDescent="0.15">
      <c r="B784" s="16">
        <v>3</v>
      </c>
      <c r="C784" s="11"/>
      <c r="D784" s="18"/>
      <c r="E784" s="18"/>
      <c r="F784" s="129"/>
      <c r="G784" s="20"/>
      <c r="H784" s="20">
        <v>1</v>
      </c>
      <c r="I784" s="126">
        <f t="shared" si="61"/>
        <v>0</v>
      </c>
      <c r="J784" s="21">
        <f t="shared" si="62"/>
        <v>0</v>
      </c>
      <c r="K784" s="80"/>
      <c r="L784" s="82"/>
      <c r="M784" s="10"/>
      <c r="N784" s="10"/>
      <c r="O784" s="10"/>
      <c r="P784" s="10"/>
      <c r="Q784" s="43"/>
      <c r="R784" s="10"/>
      <c r="T784" s="10"/>
    </row>
    <row r="785" spans="2:20" s="1" customFormat="1" ht="12.95" customHeight="1" x14ac:dyDescent="0.15">
      <c r="B785" s="16">
        <v>4</v>
      </c>
      <c r="C785" s="11"/>
      <c r="D785" s="18"/>
      <c r="E785" s="18"/>
      <c r="F785" s="129"/>
      <c r="G785" s="20"/>
      <c r="H785" s="20">
        <v>1</v>
      </c>
      <c r="I785" s="126">
        <f t="shared" si="61"/>
        <v>0</v>
      </c>
      <c r="J785" s="21">
        <f t="shared" si="62"/>
        <v>0</v>
      </c>
      <c r="K785" s="80"/>
      <c r="L785" s="82"/>
      <c r="M785" s="10"/>
      <c r="N785" s="10"/>
      <c r="O785" s="10"/>
      <c r="P785" s="10"/>
      <c r="Q785" s="43"/>
      <c r="R785" s="10"/>
      <c r="T785" s="10"/>
    </row>
    <row r="786" spans="2:20" s="1" customFormat="1" ht="12.95" customHeight="1" x14ac:dyDescent="0.15">
      <c r="B786" s="16">
        <v>5</v>
      </c>
      <c r="C786" s="11"/>
      <c r="D786" s="18"/>
      <c r="E786" s="18"/>
      <c r="F786" s="129"/>
      <c r="G786" s="20"/>
      <c r="H786" s="20">
        <v>1</v>
      </c>
      <c r="I786" s="126">
        <f t="shared" si="61"/>
        <v>0</v>
      </c>
      <c r="J786" s="21">
        <f t="shared" si="62"/>
        <v>0</v>
      </c>
      <c r="K786" s="80"/>
      <c r="L786" s="82"/>
      <c r="M786" s="10"/>
      <c r="N786" s="10"/>
      <c r="O786" s="10"/>
      <c r="P786" s="10"/>
      <c r="Q786" s="43"/>
      <c r="R786" s="10"/>
      <c r="T786" s="10"/>
    </row>
    <row r="787" spans="2:20" s="1" customFormat="1" ht="12.95" customHeight="1" x14ac:dyDescent="0.15">
      <c r="B787" s="16">
        <v>6</v>
      </c>
      <c r="C787" s="11"/>
      <c r="D787" s="18"/>
      <c r="E787" s="18"/>
      <c r="F787" s="129"/>
      <c r="G787" s="20"/>
      <c r="H787" s="20">
        <v>1</v>
      </c>
      <c r="I787" s="126">
        <f t="shared" si="61"/>
        <v>0</v>
      </c>
      <c r="J787" s="21">
        <f t="shared" si="62"/>
        <v>0</v>
      </c>
      <c r="K787" s="80"/>
      <c r="L787" s="82"/>
      <c r="M787" s="10"/>
      <c r="N787" s="10"/>
      <c r="O787" s="10"/>
      <c r="P787" s="10"/>
      <c r="Q787" s="43"/>
      <c r="R787" s="10"/>
      <c r="T787" s="10"/>
    </row>
    <row r="788" spans="2:20" s="1" customFormat="1" ht="12.95" customHeight="1" x14ac:dyDescent="0.15">
      <c r="B788" s="16">
        <v>7</v>
      </c>
      <c r="C788" s="11"/>
      <c r="D788" s="18"/>
      <c r="E788" s="18"/>
      <c r="F788" s="129"/>
      <c r="G788" s="20"/>
      <c r="H788" s="20">
        <v>1</v>
      </c>
      <c r="I788" s="126">
        <f t="shared" si="61"/>
        <v>0</v>
      </c>
      <c r="J788" s="21">
        <f t="shared" si="62"/>
        <v>0</v>
      </c>
      <c r="K788" s="80"/>
      <c r="L788" s="82"/>
      <c r="M788" s="10"/>
      <c r="N788" s="10"/>
      <c r="O788" s="10"/>
      <c r="P788" s="10"/>
      <c r="Q788" s="43"/>
      <c r="R788" s="10"/>
      <c r="T788" s="10"/>
    </row>
    <row r="789" spans="2:20" s="1" customFormat="1" ht="12.95" customHeight="1" x14ac:dyDescent="0.15">
      <c r="B789" s="16">
        <v>8</v>
      </c>
      <c r="C789" s="11"/>
      <c r="D789" s="18"/>
      <c r="E789" s="18"/>
      <c r="F789" s="129"/>
      <c r="G789" s="20"/>
      <c r="H789" s="20">
        <v>1</v>
      </c>
      <c r="I789" s="126">
        <f t="shared" si="61"/>
        <v>0</v>
      </c>
      <c r="J789" s="21">
        <f t="shared" si="62"/>
        <v>0</v>
      </c>
      <c r="K789" s="80"/>
      <c r="L789" s="82"/>
      <c r="M789" s="10"/>
      <c r="N789" s="10"/>
      <c r="O789" s="10"/>
      <c r="P789" s="10"/>
      <c r="Q789" s="43"/>
      <c r="R789" s="10"/>
      <c r="T789" s="10"/>
    </row>
    <row r="790" spans="2:20" s="1" customFormat="1" ht="12.95" customHeight="1" x14ac:dyDescent="0.15">
      <c r="B790" s="16">
        <v>9</v>
      </c>
      <c r="C790" s="11"/>
      <c r="D790" s="18"/>
      <c r="E790" s="18"/>
      <c r="F790" s="129"/>
      <c r="G790" s="20"/>
      <c r="H790" s="20">
        <v>1</v>
      </c>
      <c r="I790" s="126">
        <f t="shared" si="61"/>
        <v>0</v>
      </c>
      <c r="J790" s="21">
        <f t="shared" si="62"/>
        <v>0</v>
      </c>
      <c r="K790" s="80"/>
      <c r="L790" s="82"/>
      <c r="M790" s="10"/>
      <c r="N790" s="10"/>
      <c r="O790" s="10"/>
      <c r="P790" s="10"/>
      <c r="Q790" s="43"/>
      <c r="R790" s="10"/>
      <c r="T790" s="10"/>
    </row>
    <row r="791" spans="2:20" s="1" customFormat="1" ht="12.95" customHeight="1" x14ac:dyDescent="0.15">
      <c r="B791" s="16">
        <v>10</v>
      </c>
      <c r="C791" s="11"/>
      <c r="D791" s="18"/>
      <c r="E791" s="18"/>
      <c r="F791" s="129"/>
      <c r="G791" s="20"/>
      <c r="H791" s="20">
        <v>1</v>
      </c>
      <c r="I791" s="126">
        <f t="shared" si="61"/>
        <v>0</v>
      </c>
      <c r="J791" s="21">
        <f t="shared" si="62"/>
        <v>0</v>
      </c>
      <c r="K791" s="80"/>
      <c r="L791" s="82"/>
      <c r="M791" s="10"/>
      <c r="N791" s="10"/>
      <c r="O791" s="10"/>
      <c r="P791" s="10"/>
      <c r="Q791" s="43"/>
      <c r="R791" s="10"/>
      <c r="T791" s="10"/>
    </row>
    <row r="792" spans="2:20" s="1" customFormat="1" ht="12.95" customHeight="1" x14ac:dyDescent="0.15">
      <c r="B792" s="16">
        <v>11</v>
      </c>
      <c r="C792" s="12" t="s">
        <v>165</v>
      </c>
      <c r="D792" s="18"/>
      <c r="E792" s="18"/>
      <c r="F792" s="129"/>
      <c r="G792" s="20"/>
      <c r="H792" s="20">
        <v>1</v>
      </c>
      <c r="I792" s="126">
        <f t="shared" si="61"/>
        <v>0</v>
      </c>
      <c r="J792" s="21">
        <f t="shared" si="62"/>
        <v>0</v>
      </c>
      <c r="K792" s="80"/>
      <c r="L792" s="82"/>
      <c r="M792" s="10"/>
      <c r="N792" s="10"/>
      <c r="O792" s="10"/>
      <c r="P792" s="10"/>
      <c r="Q792" s="43"/>
      <c r="R792" s="10"/>
      <c r="T792" s="10"/>
    </row>
    <row r="793" spans="2:20" s="1" customFormat="1" ht="12.95" customHeight="1" x14ac:dyDescent="0.15">
      <c r="B793" s="16">
        <v>12</v>
      </c>
      <c r="C793" s="12"/>
      <c r="D793" s="18"/>
      <c r="E793" s="18"/>
      <c r="F793" s="129"/>
      <c r="G793" s="20"/>
      <c r="H793" s="20">
        <v>1</v>
      </c>
      <c r="I793" s="126">
        <f t="shared" si="61"/>
        <v>0</v>
      </c>
      <c r="J793" s="21">
        <f t="shared" si="62"/>
        <v>0</v>
      </c>
      <c r="K793" s="80"/>
      <c r="L793" s="82"/>
      <c r="M793" s="10"/>
      <c r="N793" s="10"/>
      <c r="O793" s="10"/>
      <c r="P793" s="10"/>
      <c r="Q793" s="43"/>
      <c r="R793" s="10"/>
      <c r="T793" s="10"/>
    </row>
    <row r="794" spans="2:20" s="1" customFormat="1" ht="12.95" customHeight="1" x14ac:dyDescent="0.15">
      <c r="B794" s="16">
        <v>13</v>
      </c>
      <c r="C794" s="12"/>
      <c r="D794" s="18"/>
      <c r="E794" s="18"/>
      <c r="F794" s="129"/>
      <c r="G794" s="20"/>
      <c r="H794" s="20">
        <v>1</v>
      </c>
      <c r="I794" s="126">
        <f t="shared" si="61"/>
        <v>0</v>
      </c>
      <c r="J794" s="21">
        <f t="shared" si="62"/>
        <v>0</v>
      </c>
      <c r="K794" s="80"/>
      <c r="L794" s="82"/>
      <c r="M794" s="10"/>
      <c r="N794" s="10"/>
      <c r="O794" s="10"/>
      <c r="P794" s="10"/>
      <c r="Q794" s="43"/>
      <c r="R794" s="10"/>
      <c r="T794" s="10"/>
    </row>
    <row r="795" spans="2:20" s="1" customFormat="1" ht="12.95" customHeight="1" x14ac:dyDescent="0.15">
      <c r="B795" s="16">
        <v>14</v>
      </c>
      <c r="C795" s="12"/>
      <c r="D795" s="18"/>
      <c r="E795" s="18"/>
      <c r="F795" s="129"/>
      <c r="G795" s="20"/>
      <c r="H795" s="20">
        <v>1</v>
      </c>
      <c r="I795" s="126">
        <f t="shared" si="61"/>
        <v>0</v>
      </c>
      <c r="J795" s="21">
        <f t="shared" si="62"/>
        <v>0</v>
      </c>
      <c r="K795" s="80"/>
      <c r="L795" s="82"/>
      <c r="M795" s="10"/>
      <c r="N795" s="10"/>
      <c r="O795" s="10"/>
      <c r="P795" s="10"/>
      <c r="Q795" s="43"/>
      <c r="R795" s="10"/>
      <c r="T795" s="10"/>
    </row>
    <row r="796" spans="2:20" s="1" customFormat="1" ht="12.95" customHeight="1" x14ac:dyDescent="0.15">
      <c r="B796" s="16">
        <v>15</v>
      </c>
      <c r="C796" s="12"/>
      <c r="D796" s="18"/>
      <c r="E796" s="18"/>
      <c r="F796" s="129"/>
      <c r="G796" s="20"/>
      <c r="H796" s="20">
        <v>1</v>
      </c>
      <c r="I796" s="126">
        <f t="shared" si="61"/>
        <v>0</v>
      </c>
      <c r="J796" s="21">
        <f t="shared" si="62"/>
        <v>0</v>
      </c>
      <c r="K796" s="80"/>
      <c r="L796" s="82"/>
      <c r="M796" s="10"/>
      <c r="N796" s="10"/>
      <c r="O796" s="10"/>
      <c r="P796" s="10"/>
      <c r="Q796" s="43"/>
      <c r="R796" s="10"/>
      <c r="T796" s="10"/>
    </row>
    <row r="797" spans="2:20" s="1" customFormat="1" ht="12.95" customHeight="1" x14ac:dyDescent="0.15">
      <c r="B797" s="16">
        <v>16</v>
      </c>
      <c r="C797" s="12"/>
      <c r="D797" s="18"/>
      <c r="E797" s="18"/>
      <c r="F797" s="129"/>
      <c r="G797" s="20"/>
      <c r="H797" s="20">
        <v>1</v>
      </c>
      <c r="I797" s="126">
        <f t="shared" si="61"/>
        <v>0</v>
      </c>
      <c r="J797" s="21">
        <f t="shared" si="62"/>
        <v>0</v>
      </c>
      <c r="K797" s="80"/>
      <c r="L797" s="82"/>
      <c r="M797" s="10"/>
      <c r="N797" s="10"/>
      <c r="O797" s="10"/>
      <c r="P797" s="10"/>
      <c r="Q797" s="43"/>
      <c r="R797" s="10"/>
      <c r="T797" s="10"/>
    </row>
    <row r="798" spans="2:20" s="1" customFormat="1" ht="12.95" customHeight="1" x14ac:dyDescent="0.15">
      <c r="B798" s="16">
        <v>17</v>
      </c>
      <c r="C798" s="12"/>
      <c r="D798" s="18"/>
      <c r="E798" s="18"/>
      <c r="F798" s="129"/>
      <c r="G798" s="20"/>
      <c r="H798" s="20">
        <v>1</v>
      </c>
      <c r="I798" s="126">
        <f t="shared" si="61"/>
        <v>0</v>
      </c>
      <c r="J798" s="21">
        <f t="shared" si="62"/>
        <v>0</v>
      </c>
      <c r="K798" s="80"/>
      <c r="L798" s="82"/>
      <c r="M798" s="10"/>
      <c r="N798" s="10"/>
      <c r="O798" s="10"/>
      <c r="P798" s="10"/>
      <c r="Q798" s="43"/>
      <c r="R798" s="10"/>
      <c r="T798" s="10"/>
    </row>
    <row r="799" spans="2:20" s="1" customFormat="1" ht="12.95" customHeight="1" x14ac:dyDescent="0.15">
      <c r="B799" s="16">
        <v>18</v>
      </c>
      <c r="C799" s="12"/>
      <c r="D799" s="18"/>
      <c r="E799" s="18"/>
      <c r="F799" s="129"/>
      <c r="G799" s="20"/>
      <c r="H799" s="20">
        <v>1</v>
      </c>
      <c r="I799" s="126">
        <f t="shared" si="61"/>
        <v>0</v>
      </c>
      <c r="J799" s="78">
        <f t="shared" si="62"/>
        <v>0</v>
      </c>
      <c r="K799" s="111"/>
      <c r="L799" s="119"/>
      <c r="M799" s="10"/>
      <c r="N799" s="10"/>
      <c r="O799" s="10"/>
      <c r="P799" s="10"/>
      <c r="Q799" s="43"/>
      <c r="R799" s="10"/>
      <c r="T799" s="10"/>
    </row>
    <row r="800" spans="2:20" s="1" customFormat="1" ht="12.95" customHeight="1" x14ac:dyDescent="0.15">
      <c r="B800" s="16">
        <v>19</v>
      </c>
      <c r="C800" s="12"/>
      <c r="D800" s="18"/>
      <c r="E800" s="18"/>
      <c r="F800" s="129"/>
      <c r="G800" s="20"/>
      <c r="H800" s="20">
        <v>1</v>
      </c>
      <c r="I800" s="254">
        <f t="shared" si="61"/>
        <v>0</v>
      </c>
      <c r="J800" s="94">
        <f t="shared" si="62"/>
        <v>0</v>
      </c>
      <c r="K800" s="82"/>
      <c r="L800" s="82"/>
      <c r="M800" s="10"/>
      <c r="N800" s="10"/>
      <c r="O800" s="10"/>
      <c r="P800" s="10"/>
      <c r="Q800" s="43"/>
      <c r="R800" s="10"/>
      <c r="T800" s="10"/>
    </row>
    <row r="801" spans="2:20" s="1" customFormat="1" ht="12.95" customHeight="1" x14ac:dyDescent="0.15">
      <c r="B801" s="16">
        <v>20</v>
      </c>
      <c r="C801" s="12"/>
      <c r="D801" s="18"/>
      <c r="E801" s="18"/>
      <c r="F801" s="129"/>
      <c r="G801" s="20"/>
      <c r="H801" s="20">
        <v>1</v>
      </c>
      <c r="I801" s="254">
        <f t="shared" si="61"/>
        <v>0</v>
      </c>
      <c r="J801" s="94">
        <f t="shared" si="62"/>
        <v>0</v>
      </c>
      <c r="K801" s="82"/>
      <c r="L801" s="82"/>
      <c r="M801" s="10"/>
      <c r="N801" s="10"/>
      <c r="O801" s="10"/>
      <c r="P801" s="10"/>
      <c r="Q801" s="43"/>
      <c r="R801" s="10"/>
      <c r="T801" s="10"/>
    </row>
    <row r="802" spans="2:20" s="1" customFormat="1" ht="12.95" customHeight="1" x14ac:dyDescent="0.15">
      <c r="B802" s="83"/>
      <c r="C802" s="74"/>
      <c r="D802" s="75"/>
      <c r="E802" s="75"/>
      <c r="F802" s="132"/>
      <c r="G802" s="77"/>
      <c r="H802" s="77"/>
      <c r="I802" s="255"/>
      <c r="J802" s="94"/>
      <c r="K802" s="82"/>
      <c r="L802" s="82"/>
      <c r="M802" s="10"/>
      <c r="N802" s="10"/>
      <c r="O802" s="10"/>
      <c r="P802" s="10"/>
      <c r="Q802" s="43"/>
      <c r="R802" s="10"/>
      <c r="T802" s="10"/>
    </row>
    <row r="803" spans="2:20" s="1" customFormat="1" ht="12.75" x14ac:dyDescent="0.15">
      <c r="B803" s="82"/>
      <c r="C803" s="102"/>
      <c r="D803" s="103"/>
      <c r="E803" s="102"/>
      <c r="F803" s="128">
        <f>SUM(F743:F802)</f>
        <v>0</v>
      </c>
      <c r="G803" s="104"/>
      <c r="H803" s="105"/>
      <c r="I803" s="128">
        <f>SUM(I743:I802)</f>
        <v>0</v>
      </c>
      <c r="J803" s="257">
        <f>SUM(J743:J802)</f>
        <v>0</v>
      </c>
    </row>
    <row r="804" spans="2:20" s="1" customFormat="1" ht="12.75" x14ac:dyDescent="0.15">
      <c r="B804" s="82"/>
      <c r="C804" s="102"/>
      <c r="D804" s="103"/>
      <c r="E804" s="102" t="s">
        <v>147</v>
      </c>
      <c r="F804" s="128">
        <f>100/115*F803</f>
        <v>0</v>
      </c>
      <c r="G804" s="104"/>
      <c r="H804" s="105" t="s">
        <v>147</v>
      </c>
      <c r="I804" s="128">
        <f>100/115*I803</f>
        <v>0</v>
      </c>
      <c r="J804" s="106"/>
    </row>
    <row r="805" spans="2:20" s="1" customFormat="1" ht="12.75" x14ac:dyDescent="0.15"/>
    <row r="806" spans="2:20" s="1" customFormat="1" ht="12.75" x14ac:dyDescent="0.15"/>
    <row r="807" spans="2:20" s="1" customFormat="1" ht="12.75" x14ac:dyDescent="0.15"/>
    <row r="808" spans="2:20" s="1" customFormat="1" ht="12.75" x14ac:dyDescent="0.15"/>
    <row r="809" spans="2:20" s="247" customFormat="1" ht="32.25" x14ac:dyDescent="0.4">
      <c r="B809" s="251"/>
      <c r="C809" s="424" t="s">
        <v>166</v>
      </c>
      <c r="D809" s="424"/>
      <c r="E809" s="425" t="s">
        <v>167</v>
      </c>
      <c r="F809" s="426"/>
      <c r="G809" s="426"/>
      <c r="H809" s="426"/>
      <c r="I809" s="427"/>
      <c r="J809" s="415">
        <v>2026</v>
      </c>
      <c r="K809" s="416"/>
      <c r="L809" s="417"/>
    </row>
    <row r="810" spans="2:20" s="1" customFormat="1" ht="22.5" x14ac:dyDescent="0.15">
      <c r="B810" s="16"/>
      <c r="C810" s="28" t="s">
        <v>114</v>
      </c>
      <c r="D810" s="418" t="s">
        <v>115</v>
      </c>
      <c r="E810" s="418"/>
      <c r="F810" s="28" t="s">
        <v>116</v>
      </c>
      <c r="G810" s="28" t="s">
        <v>117</v>
      </c>
      <c r="H810" s="28" t="s">
        <v>118</v>
      </c>
      <c r="I810" s="28" t="s">
        <v>119</v>
      </c>
      <c r="J810" s="64" t="s">
        <v>120</v>
      </c>
      <c r="K810" s="82"/>
      <c r="L810" s="82"/>
    </row>
    <row r="811" spans="2:20" s="1" customFormat="1" ht="12.75" x14ac:dyDescent="0.15">
      <c r="B811" s="16"/>
      <c r="C811" s="124">
        <f>C741</f>
        <v>700</v>
      </c>
      <c r="D811" s="419">
        <v>20</v>
      </c>
      <c r="E811" s="419"/>
      <c r="F811" s="29">
        <f>F741</f>
        <v>0.8</v>
      </c>
      <c r="G811" s="30">
        <f>G741</f>
        <v>8</v>
      </c>
      <c r="H811" s="31">
        <f>D811*G811*F811</f>
        <v>128</v>
      </c>
      <c r="I811" s="124">
        <f>I873</f>
        <v>0</v>
      </c>
      <c r="J811" s="121">
        <f>H811-J873</f>
        <v>128</v>
      </c>
      <c r="K811" s="82"/>
      <c r="L811" s="82"/>
    </row>
    <row r="812" spans="2:20" s="1" customFormat="1" ht="33.75" x14ac:dyDescent="0.15">
      <c r="B812" s="16"/>
      <c r="C812" s="22" t="s">
        <v>121</v>
      </c>
      <c r="D812" s="413" t="s">
        <v>122</v>
      </c>
      <c r="E812" s="413"/>
      <c r="F812" s="33" t="s">
        <v>123</v>
      </c>
      <c r="G812" s="34" t="s">
        <v>124</v>
      </c>
      <c r="H812" s="35" t="s">
        <v>125</v>
      </c>
      <c r="I812" s="125" t="s">
        <v>126</v>
      </c>
      <c r="J812" s="34" t="s">
        <v>127</v>
      </c>
      <c r="K812" s="122" t="s">
        <v>128</v>
      </c>
      <c r="L812" s="123" t="s">
        <v>168</v>
      </c>
    </row>
    <row r="813" spans="2:20" s="1" customFormat="1" ht="12.75" x14ac:dyDescent="0.15">
      <c r="B813" s="16"/>
      <c r="C813" s="22"/>
      <c r="D813" s="32"/>
      <c r="E813" s="32"/>
      <c r="F813" s="33"/>
      <c r="G813" s="34"/>
      <c r="H813" s="35"/>
      <c r="I813" s="125"/>
      <c r="J813" s="34"/>
      <c r="K813" s="110"/>
      <c r="L813" s="117"/>
    </row>
    <row r="814" spans="2:20" s="1" customFormat="1" ht="12.75" x14ac:dyDescent="0.15">
      <c r="B814" s="16"/>
      <c r="C814" s="22" t="s">
        <v>130</v>
      </c>
      <c r="D814" s="32"/>
      <c r="E814" s="32"/>
      <c r="F814" s="33"/>
      <c r="G814" s="34"/>
      <c r="H814" s="35"/>
      <c r="I814" s="125"/>
      <c r="J814" s="34"/>
      <c r="K814" s="110"/>
      <c r="L814" s="117"/>
    </row>
    <row r="815" spans="2:20" s="1" customFormat="1" ht="12.75" customHeight="1" x14ac:dyDescent="0.15">
      <c r="B815" s="16"/>
      <c r="C815" s="37" t="s">
        <v>149</v>
      </c>
      <c r="D815" s="24"/>
      <c r="E815" s="24"/>
      <c r="F815" s="19"/>
      <c r="G815" s="20"/>
      <c r="H815" s="20"/>
      <c r="I815" s="126"/>
      <c r="J815" s="38"/>
      <c r="K815" s="80"/>
      <c r="L815" s="82"/>
    </row>
    <row r="816" spans="2:20" s="1" customFormat="1" ht="12.75" x14ac:dyDescent="0.15">
      <c r="B816" s="16">
        <v>1</v>
      </c>
      <c r="C816" s="23"/>
      <c r="D816" s="24"/>
      <c r="E816" s="24"/>
      <c r="F816" s="129"/>
      <c r="G816" s="20"/>
      <c r="H816" s="20">
        <v>1</v>
      </c>
      <c r="I816" s="126">
        <f t="shared" ref="I816:I825" si="63">J816*$C$32</f>
        <v>0</v>
      </c>
      <c r="J816" s="38">
        <f t="shared" ref="J816:J825" si="64">(F816*G816*H816)/$C$32</f>
        <v>0</v>
      </c>
      <c r="K816" s="80"/>
      <c r="L816" s="82"/>
    </row>
    <row r="817" spans="2:12" s="1" customFormat="1" ht="12.75" customHeight="1" x14ac:dyDescent="0.15">
      <c r="B817" s="16">
        <v>2</v>
      </c>
      <c r="C817" s="23"/>
      <c r="D817" s="24"/>
      <c r="E817" s="24"/>
      <c r="F817" s="126"/>
      <c r="G817" s="20"/>
      <c r="H817" s="20">
        <v>1</v>
      </c>
      <c r="I817" s="126">
        <f t="shared" si="63"/>
        <v>0</v>
      </c>
      <c r="J817" s="38">
        <f t="shared" si="64"/>
        <v>0</v>
      </c>
      <c r="K817" s="80"/>
      <c r="L817" s="82"/>
    </row>
    <row r="818" spans="2:12" s="1" customFormat="1" ht="12.75" customHeight="1" x14ac:dyDescent="0.15">
      <c r="B818" s="16">
        <v>3</v>
      </c>
      <c r="C818" s="23"/>
      <c r="D818" s="25"/>
      <c r="E818" s="25"/>
      <c r="F818" s="129"/>
      <c r="G818" s="20"/>
      <c r="H818" s="20">
        <v>1</v>
      </c>
      <c r="I818" s="126">
        <f t="shared" si="63"/>
        <v>0</v>
      </c>
      <c r="J818" s="38">
        <f t="shared" si="64"/>
        <v>0</v>
      </c>
      <c r="K818" s="80"/>
      <c r="L818" s="82"/>
    </row>
    <row r="819" spans="2:12" s="1" customFormat="1" ht="12.95" customHeight="1" x14ac:dyDescent="0.15">
      <c r="B819" s="16">
        <v>4</v>
      </c>
      <c r="C819" s="23"/>
      <c r="D819" s="24"/>
      <c r="E819" s="24"/>
      <c r="F819" s="129"/>
      <c r="G819" s="20"/>
      <c r="H819" s="20">
        <v>1</v>
      </c>
      <c r="I819" s="126">
        <f t="shared" si="63"/>
        <v>0</v>
      </c>
      <c r="J819" s="38">
        <f t="shared" si="64"/>
        <v>0</v>
      </c>
      <c r="K819" s="80"/>
      <c r="L819" s="82"/>
    </row>
    <row r="820" spans="2:12" s="1" customFormat="1" ht="14.1" customHeight="1" x14ac:dyDescent="0.15">
      <c r="B820" s="16">
        <v>5</v>
      </c>
      <c r="C820" s="16"/>
      <c r="D820" s="18"/>
      <c r="E820" s="18"/>
      <c r="F820" s="129"/>
      <c r="G820" s="20"/>
      <c r="H820" s="20">
        <v>1</v>
      </c>
      <c r="I820" s="126">
        <f t="shared" si="63"/>
        <v>0</v>
      </c>
      <c r="J820" s="38">
        <f t="shared" si="64"/>
        <v>0</v>
      </c>
      <c r="K820" s="80"/>
      <c r="L820" s="82"/>
    </row>
    <row r="821" spans="2:12" s="1" customFormat="1" ht="12.95" customHeight="1" x14ac:dyDescent="0.15">
      <c r="B821" s="16">
        <v>6</v>
      </c>
      <c r="C821" s="17"/>
      <c r="D821" s="24"/>
      <c r="E821" s="24"/>
      <c r="F821" s="129"/>
      <c r="G821" s="20"/>
      <c r="H821" s="20">
        <v>1</v>
      </c>
      <c r="I821" s="126">
        <f t="shared" si="63"/>
        <v>0</v>
      </c>
      <c r="J821" s="38">
        <f t="shared" si="64"/>
        <v>0</v>
      </c>
      <c r="K821" s="80"/>
      <c r="L821" s="82"/>
    </row>
    <row r="822" spans="2:12" s="1" customFormat="1" ht="12.95" customHeight="1" x14ac:dyDescent="0.15">
      <c r="B822" s="16">
        <v>7</v>
      </c>
      <c r="C822" s="17"/>
      <c r="D822" s="24"/>
      <c r="E822" s="24"/>
      <c r="F822" s="129"/>
      <c r="G822" s="20"/>
      <c r="H822" s="20">
        <v>1</v>
      </c>
      <c r="I822" s="126">
        <f t="shared" si="63"/>
        <v>0</v>
      </c>
      <c r="J822" s="38">
        <f t="shared" si="64"/>
        <v>0</v>
      </c>
      <c r="K822" s="80"/>
      <c r="L822" s="82"/>
    </row>
    <row r="823" spans="2:12" s="1" customFormat="1" ht="12.95" customHeight="1" x14ac:dyDescent="0.15">
      <c r="B823" s="16">
        <v>8</v>
      </c>
      <c r="C823" s="17"/>
      <c r="D823" s="24"/>
      <c r="E823" s="24"/>
      <c r="F823" s="129"/>
      <c r="G823" s="20"/>
      <c r="H823" s="20">
        <v>1</v>
      </c>
      <c r="I823" s="126">
        <f t="shared" si="63"/>
        <v>0</v>
      </c>
      <c r="J823" s="38">
        <f t="shared" si="64"/>
        <v>0</v>
      </c>
      <c r="K823" s="80"/>
      <c r="L823" s="82"/>
    </row>
    <row r="824" spans="2:12" s="1" customFormat="1" ht="12.95" customHeight="1" x14ac:dyDescent="0.15">
      <c r="B824" s="16">
        <v>9</v>
      </c>
      <c r="C824" s="17"/>
      <c r="D824" s="24"/>
      <c r="E824" s="24"/>
      <c r="F824" s="129"/>
      <c r="G824" s="20"/>
      <c r="H824" s="20">
        <v>1</v>
      </c>
      <c r="I824" s="126">
        <f t="shared" si="63"/>
        <v>0</v>
      </c>
      <c r="J824" s="38">
        <f t="shared" si="64"/>
        <v>0</v>
      </c>
      <c r="K824" s="80"/>
      <c r="L824" s="82"/>
    </row>
    <row r="825" spans="2:12" s="1" customFormat="1" ht="12.95" customHeight="1" x14ac:dyDescent="0.15">
      <c r="B825" s="16">
        <v>10</v>
      </c>
      <c r="C825" s="17"/>
      <c r="D825" s="24"/>
      <c r="E825" s="24"/>
      <c r="F825" s="129"/>
      <c r="G825" s="20"/>
      <c r="H825" s="20">
        <v>1</v>
      </c>
      <c r="I825" s="126">
        <f t="shared" si="63"/>
        <v>0</v>
      </c>
      <c r="J825" s="38">
        <f t="shared" si="64"/>
        <v>0</v>
      </c>
      <c r="K825" s="80"/>
      <c r="L825" s="82"/>
    </row>
    <row r="826" spans="2:12" s="1" customFormat="1" ht="12.95" customHeight="1" x14ac:dyDescent="0.15">
      <c r="B826" s="16"/>
      <c r="C826" s="17"/>
      <c r="D826" s="18"/>
      <c r="E826" s="24"/>
      <c r="F826" s="129"/>
      <c r="G826" s="20"/>
      <c r="H826" s="20"/>
      <c r="I826" s="126"/>
      <c r="J826" s="38"/>
      <c r="K826" s="80"/>
      <c r="L826" s="82"/>
    </row>
    <row r="827" spans="2:12" s="1" customFormat="1" ht="12.95" customHeight="1" x14ac:dyDescent="0.15">
      <c r="B827" s="16"/>
      <c r="C827" s="17"/>
      <c r="D827" s="18"/>
      <c r="E827" s="24"/>
      <c r="F827" s="129"/>
      <c r="G827" s="20"/>
      <c r="H827" s="20"/>
      <c r="I827" s="126"/>
      <c r="J827" s="38"/>
      <c r="K827" s="80"/>
      <c r="L827" s="82"/>
    </row>
    <row r="828" spans="2:12" s="1" customFormat="1" ht="12.95" customHeight="1" x14ac:dyDescent="0.15">
      <c r="B828" s="16"/>
      <c r="C828" s="22" t="s">
        <v>153</v>
      </c>
      <c r="D828" s="24"/>
      <c r="E828" s="18"/>
      <c r="F828" s="129"/>
      <c r="G828" s="20"/>
      <c r="H828" s="20"/>
      <c r="I828" s="126"/>
      <c r="J828" s="38"/>
      <c r="K828" s="80"/>
      <c r="L828" s="82"/>
    </row>
    <row r="829" spans="2:12" s="1" customFormat="1" ht="12.95" customHeight="1" x14ac:dyDescent="0.15">
      <c r="B829" s="16">
        <v>1</v>
      </c>
      <c r="C829" s="17"/>
      <c r="D829" s="24"/>
      <c r="E829" s="18"/>
      <c r="F829" s="129"/>
      <c r="G829" s="20"/>
      <c r="H829" s="20">
        <v>1</v>
      </c>
      <c r="I829" s="126">
        <f t="shared" ref="I829:I848" si="65">J829*$C$32</f>
        <v>0</v>
      </c>
      <c r="J829" s="38">
        <f t="shared" ref="J829:J848" si="66">(F829*G829*H829)/$C$32</f>
        <v>0</v>
      </c>
      <c r="K829" s="80"/>
      <c r="L829" s="82"/>
    </row>
    <row r="830" spans="2:12" s="1" customFormat="1" ht="12.95" customHeight="1" x14ac:dyDescent="0.15">
      <c r="B830" s="16">
        <v>2</v>
      </c>
      <c r="C830" s="17"/>
      <c r="D830" s="24"/>
      <c r="E830" s="18"/>
      <c r="F830" s="129"/>
      <c r="G830" s="20"/>
      <c r="H830" s="20">
        <v>1</v>
      </c>
      <c r="I830" s="126">
        <f t="shared" si="65"/>
        <v>0</v>
      </c>
      <c r="J830" s="38">
        <f t="shared" si="66"/>
        <v>0</v>
      </c>
      <c r="K830" s="80"/>
      <c r="L830" s="82"/>
    </row>
    <row r="831" spans="2:12" s="1" customFormat="1" ht="12.95" customHeight="1" x14ac:dyDescent="0.15">
      <c r="B831" s="16">
        <v>3</v>
      </c>
      <c r="C831" s="17"/>
      <c r="D831" s="24"/>
      <c r="E831" s="18"/>
      <c r="F831" s="129"/>
      <c r="G831" s="20"/>
      <c r="H831" s="20">
        <v>1</v>
      </c>
      <c r="I831" s="126">
        <f t="shared" si="65"/>
        <v>0</v>
      </c>
      <c r="J831" s="38">
        <f t="shared" si="66"/>
        <v>0</v>
      </c>
      <c r="K831" s="80"/>
      <c r="L831" s="82"/>
    </row>
    <row r="832" spans="2:12" s="1" customFormat="1" ht="12.95" customHeight="1" x14ac:dyDescent="0.15">
      <c r="B832" s="16">
        <v>4</v>
      </c>
      <c r="C832" s="17"/>
      <c r="D832" s="24"/>
      <c r="E832" s="18"/>
      <c r="F832" s="129"/>
      <c r="G832" s="20"/>
      <c r="H832" s="20">
        <v>1</v>
      </c>
      <c r="I832" s="126">
        <f t="shared" si="65"/>
        <v>0</v>
      </c>
      <c r="J832" s="38">
        <f t="shared" si="66"/>
        <v>0</v>
      </c>
      <c r="K832" s="80"/>
      <c r="L832" s="82"/>
    </row>
    <row r="833" spans="2:12" s="1" customFormat="1" ht="12.95" customHeight="1" x14ac:dyDescent="0.15">
      <c r="B833" s="16">
        <v>5</v>
      </c>
      <c r="C833" s="17"/>
      <c r="D833" s="24"/>
      <c r="E833" s="18"/>
      <c r="F833" s="129"/>
      <c r="G833" s="20"/>
      <c r="H833" s="20">
        <v>1</v>
      </c>
      <c r="I833" s="126">
        <f t="shared" si="65"/>
        <v>0</v>
      </c>
      <c r="J833" s="38">
        <f t="shared" si="66"/>
        <v>0</v>
      </c>
      <c r="K833" s="80"/>
      <c r="L833" s="82"/>
    </row>
    <row r="834" spans="2:12" s="1" customFormat="1" ht="12.95" customHeight="1" x14ac:dyDescent="0.15">
      <c r="B834" s="16">
        <v>6</v>
      </c>
      <c r="C834" s="17"/>
      <c r="D834" s="24"/>
      <c r="E834" s="18"/>
      <c r="F834" s="129"/>
      <c r="G834" s="20"/>
      <c r="H834" s="20">
        <v>1</v>
      </c>
      <c r="I834" s="126">
        <f t="shared" si="65"/>
        <v>0</v>
      </c>
      <c r="J834" s="38">
        <f t="shared" si="66"/>
        <v>0</v>
      </c>
      <c r="K834" s="80"/>
      <c r="L834" s="82"/>
    </row>
    <row r="835" spans="2:12" s="1" customFormat="1" ht="12.95" customHeight="1" x14ac:dyDescent="0.15">
      <c r="B835" s="16">
        <v>7</v>
      </c>
      <c r="C835" s="17"/>
      <c r="D835" s="24"/>
      <c r="E835" s="18"/>
      <c r="F835" s="129"/>
      <c r="G835" s="20"/>
      <c r="H835" s="20">
        <v>1</v>
      </c>
      <c r="I835" s="126">
        <f t="shared" si="65"/>
        <v>0</v>
      </c>
      <c r="J835" s="38">
        <f t="shared" si="66"/>
        <v>0</v>
      </c>
      <c r="K835" s="80"/>
      <c r="L835" s="82"/>
    </row>
    <row r="836" spans="2:12" s="1" customFormat="1" ht="12.95" customHeight="1" x14ac:dyDescent="0.15">
      <c r="B836" s="16">
        <v>8</v>
      </c>
      <c r="C836" s="17"/>
      <c r="D836" s="24"/>
      <c r="E836" s="18"/>
      <c r="F836" s="129"/>
      <c r="G836" s="20"/>
      <c r="H836" s="20">
        <v>1</v>
      </c>
      <c r="I836" s="126">
        <f t="shared" si="65"/>
        <v>0</v>
      </c>
      <c r="J836" s="21">
        <f t="shared" si="66"/>
        <v>0</v>
      </c>
      <c r="K836" s="80"/>
      <c r="L836" s="82"/>
    </row>
    <row r="837" spans="2:12" s="1" customFormat="1" ht="12.95" customHeight="1" x14ac:dyDescent="0.15">
      <c r="B837" s="16">
        <v>9</v>
      </c>
      <c r="C837" s="17"/>
      <c r="D837" s="24"/>
      <c r="E837" s="18"/>
      <c r="F837" s="129"/>
      <c r="G837" s="20"/>
      <c r="H837" s="20">
        <v>1</v>
      </c>
      <c r="I837" s="126">
        <f t="shared" si="65"/>
        <v>0</v>
      </c>
      <c r="J837" s="38">
        <f t="shared" si="66"/>
        <v>0</v>
      </c>
      <c r="K837" s="80"/>
      <c r="L837" s="82"/>
    </row>
    <row r="838" spans="2:12" s="1" customFormat="1" ht="12.95" customHeight="1" x14ac:dyDescent="0.15">
      <c r="B838" s="16">
        <v>10</v>
      </c>
      <c r="C838" s="17"/>
      <c r="D838" s="24"/>
      <c r="E838" s="18"/>
      <c r="F838" s="129"/>
      <c r="G838" s="20"/>
      <c r="H838" s="20">
        <v>1</v>
      </c>
      <c r="I838" s="126">
        <f t="shared" si="65"/>
        <v>0</v>
      </c>
      <c r="J838" s="38">
        <f t="shared" si="66"/>
        <v>0</v>
      </c>
      <c r="K838" s="80"/>
      <c r="L838" s="82"/>
    </row>
    <row r="839" spans="2:12" s="1" customFormat="1" ht="12.95" customHeight="1" x14ac:dyDescent="0.15">
      <c r="B839" s="16">
        <v>11</v>
      </c>
      <c r="C839" s="17"/>
      <c r="D839" s="24"/>
      <c r="E839" s="18"/>
      <c r="F839" s="129"/>
      <c r="G839" s="20"/>
      <c r="H839" s="20">
        <v>1</v>
      </c>
      <c r="I839" s="126">
        <f t="shared" si="65"/>
        <v>0</v>
      </c>
      <c r="J839" s="38">
        <f t="shared" si="66"/>
        <v>0</v>
      </c>
      <c r="K839" s="80"/>
      <c r="L839" s="82"/>
    </row>
    <row r="840" spans="2:12" s="1" customFormat="1" ht="12.95" customHeight="1" x14ac:dyDescent="0.15">
      <c r="B840" s="16">
        <v>12</v>
      </c>
      <c r="C840" s="17"/>
      <c r="D840" s="24"/>
      <c r="E840" s="18"/>
      <c r="F840" s="129"/>
      <c r="G840" s="20"/>
      <c r="H840" s="20">
        <v>1</v>
      </c>
      <c r="I840" s="126">
        <f t="shared" si="65"/>
        <v>0</v>
      </c>
      <c r="J840" s="38">
        <f t="shared" si="66"/>
        <v>0</v>
      </c>
      <c r="K840" s="80"/>
      <c r="L840" s="82"/>
    </row>
    <row r="841" spans="2:12" s="1" customFormat="1" ht="12.95" customHeight="1" x14ac:dyDescent="0.15">
      <c r="B841" s="16">
        <v>13</v>
      </c>
      <c r="C841" s="17"/>
      <c r="D841" s="24"/>
      <c r="E841" s="24"/>
      <c r="F841" s="129"/>
      <c r="G841" s="20"/>
      <c r="H841" s="20">
        <v>1</v>
      </c>
      <c r="I841" s="126">
        <f t="shared" si="65"/>
        <v>0</v>
      </c>
      <c r="J841" s="38">
        <f t="shared" si="66"/>
        <v>0</v>
      </c>
      <c r="K841" s="80"/>
      <c r="L841" s="82"/>
    </row>
    <row r="842" spans="2:12" s="1" customFormat="1" ht="12.95" customHeight="1" x14ac:dyDescent="0.15">
      <c r="B842" s="16">
        <v>14</v>
      </c>
      <c r="C842" s="17"/>
      <c r="D842" s="24"/>
      <c r="E842" s="24"/>
      <c r="F842" s="129"/>
      <c r="G842" s="20"/>
      <c r="H842" s="20">
        <v>1</v>
      </c>
      <c r="I842" s="126">
        <f t="shared" si="65"/>
        <v>0</v>
      </c>
      <c r="J842" s="38">
        <f t="shared" si="66"/>
        <v>0</v>
      </c>
      <c r="K842" s="80"/>
      <c r="L842" s="82"/>
    </row>
    <row r="843" spans="2:12" s="1" customFormat="1" ht="12.95" customHeight="1" x14ac:dyDescent="0.15">
      <c r="B843" s="16">
        <v>15</v>
      </c>
      <c r="C843" s="17"/>
      <c r="D843" s="24"/>
      <c r="E843" s="24"/>
      <c r="F843" s="129"/>
      <c r="G843" s="20"/>
      <c r="H843" s="20">
        <v>1</v>
      </c>
      <c r="I843" s="126">
        <f t="shared" si="65"/>
        <v>0</v>
      </c>
      <c r="J843" s="38">
        <f t="shared" si="66"/>
        <v>0</v>
      </c>
      <c r="K843" s="80"/>
      <c r="L843" s="82"/>
    </row>
    <row r="844" spans="2:12" s="1" customFormat="1" ht="12.95" customHeight="1" x14ac:dyDescent="0.15">
      <c r="B844" s="16">
        <v>16</v>
      </c>
      <c r="C844" s="17"/>
      <c r="D844" s="24"/>
      <c r="E844" s="24"/>
      <c r="F844" s="129"/>
      <c r="G844" s="20"/>
      <c r="H844" s="20">
        <v>1</v>
      </c>
      <c r="I844" s="126">
        <f t="shared" si="65"/>
        <v>0</v>
      </c>
      <c r="J844" s="38">
        <f t="shared" si="66"/>
        <v>0</v>
      </c>
      <c r="K844" s="80"/>
      <c r="L844" s="82"/>
    </row>
    <row r="845" spans="2:12" s="1" customFormat="1" ht="12.95" customHeight="1" x14ac:dyDescent="0.15">
      <c r="B845" s="16">
        <v>17</v>
      </c>
      <c r="C845" s="17"/>
      <c r="D845" s="24"/>
      <c r="E845" s="24"/>
      <c r="F845" s="129"/>
      <c r="G845" s="20"/>
      <c r="H845" s="20">
        <v>1</v>
      </c>
      <c r="I845" s="126">
        <f t="shared" si="65"/>
        <v>0</v>
      </c>
      <c r="J845" s="38">
        <f t="shared" si="66"/>
        <v>0</v>
      </c>
      <c r="K845" s="80"/>
      <c r="L845" s="82"/>
    </row>
    <row r="846" spans="2:12" s="1" customFormat="1" ht="12.95" customHeight="1" x14ac:dyDescent="0.15">
      <c r="B846" s="16">
        <v>18</v>
      </c>
      <c r="C846" s="17"/>
      <c r="D846" s="24"/>
      <c r="E846" s="24"/>
      <c r="F846" s="129"/>
      <c r="G846" s="20"/>
      <c r="H846" s="20">
        <v>1</v>
      </c>
      <c r="I846" s="126">
        <f t="shared" si="65"/>
        <v>0</v>
      </c>
      <c r="J846" s="38">
        <f t="shared" si="66"/>
        <v>0</v>
      </c>
      <c r="K846" s="80"/>
      <c r="L846" s="82"/>
    </row>
    <row r="847" spans="2:12" s="1" customFormat="1" ht="12.95" customHeight="1" x14ac:dyDescent="0.15">
      <c r="B847" s="16">
        <v>19</v>
      </c>
      <c r="C847" s="17"/>
      <c r="D847" s="24"/>
      <c r="E847" s="24"/>
      <c r="F847" s="129"/>
      <c r="G847" s="20"/>
      <c r="H847" s="20">
        <v>1</v>
      </c>
      <c r="I847" s="126">
        <f t="shared" si="65"/>
        <v>0</v>
      </c>
      <c r="J847" s="38">
        <f t="shared" si="66"/>
        <v>0</v>
      </c>
      <c r="K847" s="80"/>
      <c r="L847" s="82"/>
    </row>
    <row r="848" spans="2:12" s="1" customFormat="1" ht="12.95" customHeight="1" x14ac:dyDescent="0.15">
      <c r="B848" s="16">
        <v>20</v>
      </c>
      <c r="C848" s="17"/>
      <c r="D848" s="24"/>
      <c r="E848" s="24"/>
      <c r="F848" s="129"/>
      <c r="G848" s="20"/>
      <c r="H848" s="20">
        <v>1</v>
      </c>
      <c r="I848" s="126">
        <f t="shared" si="65"/>
        <v>0</v>
      </c>
      <c r="J848" s="38">
        <f t="shared" si="66"/>
        <v>0</v>
      </c>
      <c r="K848" s="80"/>
      <c r="L848" s="82"/>
    </row>
    <row r="849" spans="2:20" s="1" customFormat="1" ht="12.95" customHeight="1" x14ac:dyDescent="0.15">
      <c r="B849" s="16"/>
      <c r="C849" s="17"/>
      <c r="D849" s="24"/>
      <c r="E849" s="24"/>
      <c r="F849" s="129"/>
      <c r="G849" s="20"/>
      <c r="H849" s="20"/>
      <c r="I849" s="126"/>
      <c r="J849" s="38"/>
      <c r="K849" s="80"/>
      <c r="L849" s="82"/>
    </row>
    <row r="850" spans="2:20" s="1" customFormat="1" ht="12.95" customHeight="1" x14ac:dyDescent="0.15">
      <c r="B850" s="16"/>
      <c r="C850" s="17"/>
      <c r="D850" s="24"/>
      <c r="E850" s="24"/>
      <c r="F850" s="129"/>
      <c r="G850" s="20"/>
      <c r="H850" s="20"/>
      <c r="I850" s="126"/>
      <c r="J850" s="38"/>
      <c r="K850" s="80"/>
      <c r="L850" s="82"/>
    </row>
    <row r="851" spans="2:20" s="1" customFormat="1" ht="12.95" customHeight="1" x14ac:dyDescent="0.15">
      <c r="B851" s="16"/>
      <c r="C851" s="22" t="s">
        <v>132</v>
      </c>
      <c r="D851" s="24"/>
      <c r="E851" s="24"/>
      <c r="F851" s="129"/>
      <c r="G851" s="20"/>
      <c r="H851" s="20"/>
      <c r="I851" s="126"/>
      <c r="J851" s="38"/>
      <c r="K851" s="80"/>
      <c r="L851" s="82"/>
    </row>
    <row r="852" spans="2:20" s="1" customFormat="1" ht="12.95" customHeight="1" x14ac:dyDescent="0.15">
      <c r="B852" s="16">
        <v>1</v>
      </c>
      <c r="C852" s="17"/>
      <c r="D852" s="24"/>
      <c r="E852" s="24"/>
      <c r="F852" s="129"/>
      <c r="G852" s="20"/>
      <c r="H852" s="20">
        <v>1</v>
      </c>
      <c r="I852" s="126">
        <f t="shared" ref="I852:I864" si="67">J852*$C$32</f>
        <v>0</v>
      </c>
      <c r="J852" s="38">
        <f t="shared" ref="J852:J871" si="68">(F852*G852*H852)/$C$32</f>
        <v>0</v>
      </c>
      <c r="K852" s="80"/>
      <c r="L852" s="82"/>
    </row>
    <row r="853" spans="2:20" s="1" customFormat="1" ht="12.95" customHeight="1" x14ac:dyDescent="0.15">
      <c r="B853" s="16">
        <v>2</v>
      </c>
      <c r="C853" s="17"/>
      <c r="D853" s="24"/>
      <c r="E853" s="24"/>
      <c r="F853" s="129"/>
      <c r="G853" s="20"/>
      <c r="H853" s="20">
        <v>1</v>
      </c>
      <c r="I853" s="126">
        <f t="shared" si="67"/>
        <v>0</v>
      </c>
      <c r="J853" s="38">
        <f t="shared" si="68"/>
        <v>0</v>
      </c>
      <c r="K853" s="80"/>
      <c r="L853" s="82"/>
    </row>
    <row r="854" spans="2:20" s="1" customFormat="1" ht="12.95" customHeight="1" x14ac:dyDescent="0.15">
      <c r="B854" s="16">
        <v>3</v>
      </c>
      <c r="C854" s="17"/>
      <c r="D854" s="24"/>
      <c r="E854" s="24"/>
      <c r="F854" s="129"/>
      <c r="G854" s="20"/>
      <c r="H854" s="20">
        <v>1</v>
      </c>
      <c r="I854" s="126">
        <f t="shared" si="67"/>
        <v>0</v>
      </c>
      <c r="J854" s="38">
        <f t="shared" si="68"/>
        <v>0</v>
      </c>
      <c r="K854" s="80"/>
      <c r="L854" s="82"/>
    </row>
    <row r="855" spans="2:20" s="1" customFormat="1" ht="12.95" customHeight="1" x14ac:dyDescent="0.15">
      <c r="B855" s="16">
        <v>4</v>
      </c>
      <c r="C855" s="17"/>
      <c r="D855" s="24"/>
      <c r="E855" s="24"/>
      <c r="F855" s="129"/>
      <c r="G855" s="20"/>
      <c r="H855" s="20">
        <v>1</v>
      </c>
      <c r="I855" s="126">
        <f t="shared" si="67"/>
        <v>0</v>
      </c>
      <c r="J855" s="38">
        <f t="shared" si="68"/>
        <v>0</v>
      </c>
      <c r="K855" s="80"/>
      <c r="L855" s="82"/>
    </row>
    <row r="856" spans="2:20" s="1" customFormat="1" ht="12.95" customHeight="1" x14ac:dyDescent="0.15">
      <c r="B856" s="16">
        <v>5</v>
      </c>
      <c r="C856" s="17"/>
      <c r="D856" s="24"/>
      <c r="E856" s="24"/>
      <c r="F856" s="129"/>
      <c r="G856" s="20"/>
      <c r="H856" s="20">
        <v>1</v>
      </c>
      <c r="I856" s="126">
        <f t="shared" si="67"/>
        <v>0</v>
      </c>
      <c r="J856" s="38">
        <f t="shared" si="68"/>
        <v>0</v>
      </c>
      <c r="K856" s="80"/>
      <c r="L856" s="82"/>
    </row>
    <row r="857" spans="2:20" s="1" customFormat="1" ht="12.95" customHeight="1" x14ac:dyDescent="0.15">
      <c r="B857" s="16">
        <v>6</v>
      </c>
      <c r="C857" s="17"/>
      <c r="D857" s="24"/>
      <c r="E857" s="24"/>
      <c r="F857" s="129"/>
      <c r="G857" s="20"/>
      <c r="H857" s="20">
        <v>1</v>
      </c>
      <c r="I857" s="126">
        <f t="shared" si="67"/>
        <v>0</v>
      </c>
      <c r="J857" s="38">
        <f t="shared" si="68"/>
        <v>0</v>
      </c>
      <c r="K857" s="80"/>
      <c r="L857" s="82"/>
    </row>
    <row r="858" spans="2:20" s="1" customFormat="1" ht="12.95" customHeight="1" x14ac:dyDescent="0.15">
      <c r="B858" s="16">
        <v>7</v>
      </c>
      <c r="C858" s="17"/>
      <c r="D858" s="24"/>
      <c r="E858" s="24"/>
      <c r="F858" s="129"/>
      <c r="G858" s="20"/>
      <c r="H858" s="20">
        <v>1</v>
      </c>
      <c r="I858" s="126">
        <f t="shared" si="67"/>
        <v>0</v>
      </c>
      <c r="J858" s="38">
        <f t="shared" si="68"/>
        <v>0</v>
      </c>
      <c r="K858" s="80"/>
      <c r="L858" s="82"/>
    </row>
    <row r="859" spans="2:20" s="1" customFormat="1" ht="12.95" customHeight="1" x14ac:dyDescent="0.15">
      <c r="B859" s="16">
        <v>8</v>
      </c>
      <c r="C859" s="17"/>
      <c r="D859" s="24"/>
      <c r="E859" s="24"/>
      <c r="F859" s="129"/>
      <c r="G859" s="20"/>
      <c r="H859" s="20">
        <v>1</v>
      </c>
      <c r="I859" s="126">
        <f t="shared" si="67"/>
        <v>0</v>
      </c>
      <c r="J859" s="38">
        <f t="shared" si="68"/>
        <v>0</v>
      </c>
      <c r="K859" s="80"/>
      <c r="L859" s="82"/>
    </row>
    <row r="860" spans="2:20" s="1" customFormat="1" ht="12.95" customHeight="1" x14ac:dyDescent="0.15">
      <c r="B860" s="16">
        <v>9</v>
      </c>
      <c r="C860" s="17"/>
      <c r="D860" s="24"/>
      <c r="E860" s="24"/>
      <c r="F860" s="129"/>
      <c r="G860" s="20"/>
      <c r="H860" s="20">
        <v>1</v>
      </c>
      <c r="I860" s="126">
        <f t="shared" si="67"/>
        <v>0</v>
      </c>
      <c r="J860" s="38">
        <f t="shared" si="68"/>
        <v>0</v>
      </c>
      <c r="K860" s="80"/>
      <c r="L860" s="82"/>
    </row>
    <row r="861" spans="2:20" s="1" customFormat="1" ht="12.95" customHeight="1" x14ac:dyDescent="0.15">
      <c r="B861" s="16">
        <v>10</v>
      </c>
      <c r="C861" s="17"/>
      <c r="D861" s="24"/>
      <c r="E861" s="24"/>
      <c r="F861" s="129"/>
      <c r="G861" s="20"/>
      <c r="H861" s="20">
        <v>1</v>
      </c>
      <c r="I861" s="126">
        <f t="shared" si="67"/>
        <v>0</v>
      </c>
      <c r="J861" s="38">
        <f t="shared" si="68"/>
        <v>0</v>
      </c>
      <c r="K861" s="80"/>
      <c r="L861" s="82"/>
    </row>
    <row r="862" spans="2:20" s="1" customFormat="1" ht="12.95" customHeight="1" x14ac:dyDescent="0.15">
      <c r="B862" s="16">
        <v>11</v>
      </c>
      <c r="C862" s="44"/>
      <c r="D862" s="18"/>
      <c r="E862" s="18"/>
      <c r="F862" s="129"/>
      <c r="G862" s="20"/>
      <c r="H862" s="20">
        <v>1</v>
      </c>
      <c r="I862" s="126">
        <f t="shared" si="67"/>
        <v>0</v>
      </c>
      <c r="J862" s="21">
        <f t="shared" si="68"/>
        <v>0</v>
      </c>
      <c r="K862" s="80"/>
      <c r="L862" s="82"/>
      <c r="M862" s="10"/>
      <c r="N862" s="10"/>
      <c r="O862" s="10"/>
      <c r="P862" s="10"/>
      <c r="Q862" s="43"/>
      <c r="R862" s="10"/>
      <c r="T862" s="10" t="s">
        <v>169</v>
      </c>
    </row>
    <row r="863" spans="2:20" s="1" customFormat="1" ht="12.95" customHeight="1" x14ac:dyDescent="0.15">
      <c r="B863" s="16">
        <v>12</v>
      </c>
      <c r="C863" s="45"/>
      <c r="D863" s="18"/>
      <c r="E863" s="18"/>
      <c r="F863" s="130"/>
      <c r="G863" s="20"/>
      <c r="H863" s="20">
        <v>1</v>
      </c>
      <c r="I863" s="126">
        <f t="shared" si="67"/>
        <v>0</v>
      </c>
      <c r="J863" s="21">
        <f t="shared" si="68"/>
        <v>0</v>
      </c>
      <c r="K863" s="80"/>
      <c r="L863" s="82"/>
      <c r="M863" s="10"/>
      <c r="N863" s="10"/>
      <c r="O863" s="10"/>
      <c r="P863" s="10"/>
      <c r="Q863" s="43"/>
      <c r="R863" s="10"/>
      <c r="T863" s="10" t="s">
        <v>170</v>
      </c>
    </row>
    <row r="864" spans="2:20" s="1" customFormat="1" ht="12.95" customHeight="1" x14ac:dyDescent="0.15">
      <c r="B864" s="16">
        <v>13</v>
      </c>
      <c r="C864" s="44"/>
      <c r="D864" s="18"/>
      <c r="E864" s="18"/>
      <c r="F864" s="129"/>
      <c r="G864" s="20"/>
      <c r="H864" s="20">
        <v>1</v>
      </c>
      <c r="I864" s="126">
        <f t="shared" si="67"/>
        <v>0</v>
      </c>
      <c r="J864" s="21">
        <f t="shared" si="68"/>
        <v>0</v>
      </c>
      <c r="K864" s="80"/>
      <c r="L864" s="82"/>
      <c r="M864" s="10"/>
      <c r="N864" s="10"/>
      <c r="O864" s="10"/>
      <c r="P864" s="10"/>
      <c r="Q864" s="43"/>
      <c r="R864" s="10"/>
      <c r="T864" s="10" t="s">
        <v>171</v>
      </c>
    </row>
    <row r="865" spans="2:20" s="1" customFormat="1" ht="12.95" customHeight="1" x14ac:dyDescent="0.15">
      <c r="B865" s="16">
        <v>14</v>
      </c>
      <c r="C865" s="44"/>
      <c r="D865" s="18"/>
      <c r="E865" s="18"/>
      <c r="F865" s="129"/>
      <c r="G865" s="20"/>
      <c r="H865" s="20">
        <v>1</v>
      </c>
      <c r="I865" s="126">
        <f t="shared" ref="I865:I871" si="69">J865*$C$32</f>
        <v>0</v>
      </c>
      <c r="J865" s="21">
        <f t="shared" si="68"/>
        <v>0</v>
      </c>
      <c r="K865" s="80"/>
      <c r="L865" s="82"/>
      <c r="M865" s="10"/>
      <c r="N865" s="10"/>
      <c r="O865" s="10"/>
      <c r="P865" s="10"/>
      <c r="Q865" s="43"/>
      <c r="R865" s="10"/>
      <c r="T865" s="10"/>
    </row>
    <row r="866" spans="2:20" s="1" customFormat="1" ht="12.95" customHeight="1" x14ac:dyDescent="0.15">
      <c r="B866" s="16">
        <v>15</v>
      </c>
      <c r="C866" s="44"/>
      <c r="D866" s="18"/>
      <c r="E866" s="18"/>
      <c r="F866" s="129"/>
      <c r="G866" s="20"/>
      <c r="H866" s="20">
        <v>1</v>
      </c>
      <c r="I866" s="126">
        <f t="shared" si="69"/>
        <v>0</v>
      </c>
      <c r="J866" s="21">
        <f t="shared" si="68"/>
        <v>0</v>
      </c>
      <c r="K866" s="80"/>
      <c r="L866" s="82"/>
      <c r="M866" s="10"/>
      <c r="N866" s="10"/>
      <c r="O866" s="10"/>
      <c r="P866" s="10"/>
      <c r="Q866" s="43"/>
      <c r="R866" s="10"/>
      <c r="T866" s="10"/>
    </row>
    <row r="867" spans="2:20" s="1" customFormat="1" ht="12.95" customHeight="1" x14ac:dyDescent="0.15">
      <c r="B867" s="16">
        <v>16</v>
      </c>
      <c r="C867" s="44"/>
      <c r="D867" s="18"/>
      <c r="E867" s="18"/>
      <c r="F867" s="129"/>
      <c r="G867" s="20"/>
      <c r="H867" s="20">
        <v>1</v>
      </c>
      <c r="I867" s="126">
        <f t="shared" si="69"/>
        <v>0</v>
      </c>
      <c r="J867" s="21">
        <f t="shared" si="68"/>
        <v>0</v>
      </c>
      <c r="K867" s="80"/>
      <c r="L867" s="82"/>
      <c r="M867" s="10"/>
      <c r="N867" s="10"/>
      <c r="O867" s="10"/>
      <c r="P867" s="10"/>
      <c r="Q867" s="43"/>
      <c r="R867" s="10"/>
      <c r="T867" s="10"/>
    </row>
    <row r="868" spans="2:20" s="1" customFormat="1" ht="12.95" customHeight="1" x14ac:dyDescent="0.15">
      <c r="B868" s="16">
        <v>17</v>
      </c>
      <c r="C868" s="44"/>
      <c r="D868" s="18"/>
      <c r="E868" s="18"/>
      <c r="F868" s="129"/>
      <c r="G868" s="20"/>
      <c r="H868" s="20">
        <v>1</v>
      </c>
      <c r="I868" s="126">
        <f t="shared" si="69"/>
        <v>0</v>
      </c>
      <c r="J868" s="21">
        <f t="shared" si="68"/>
        <v>0</v>
      </c>
      <c r="K868" s="80"/>
      <c r="L868" s="82"/>
      <c r="M868" s="10"/>
      <c r="N868" s="10"/>
      <c r="O868" s="10"/>
      <c r="P868" s="10"/>
      <c r="Q868" s="43"/>
      <c r="R868" s="10"/>
      <c r="T868" s="10"/>
    </row>
    <row r="869" spans="2:20" s="1" customFormat="1" ht="12.95" customHeight="1" x14ac:dyDescent="0.15">
      <c r="B869" s="16">
        <v>18</v>
      </c>
      <c r="C869" s="44"/>
      <c r="D869" s="18"/>
      <c r="E869" s="18"/>
      <c r="F869" s="129"/>
      <c r="G869" s="20"/>
      <c r="H869" s="20">
        <v>1</v>
      </c>
      <c r="I869" s="126">
        <f t="shared" si="69"/>
        <v>0</v>
      </c>
      <c r="J869" s="78">
        <f t="shared" si="68"/>
        <v>0</v>
      </c>
      <c r="K869" s="111"/>
      <c r="L869" s="119"/>
      <c r="M869" s="10"/>
      <c r="N869" s="10"/>
      <c r="O869" s="10"/>
      <c r="P869" s="10"/>
      <c r="Q869" s="43"/>
      <c r="R869" s="10"/>
      <c r="T869" s="10"/>
    </row>
    <row r="870" spans="2:20" s="1" customFormat="1" ht="12.95" customHeight="1" x14ac:dyDescent="0.15">
      <c r="B870" s="16">
        <v>19</v>
      </c>
      <c r="C870" s="44"/>
      <c r="D870" s="18"/>
      <c r="E870" s="18"/>
      <c r="F870" s="129"/>
      <c r="G870" s="20"/>
      <c r="H870" s="20">
        <v>1</v>
      </c>
      <c r="I870" s="254">
        <f t="shared" si="69"/>
        <v>0</v>
      </c>
      <c r="J870" s="94">
        <f t="shared" si="68"/>
        <v>0</v>
      </c>
      <c r="K870" s="82"/>
      <c r="L870" s="82"/>
      <c r="M870" s="10"/>
      <c r="N870" s="10"/>
      <c r="O870" s="10"/>
      <c r="P870" s="10"/>
      <c r="Q870" s="43"/>
      <c r="R870" s="10"/>
      <c r="T870" s="10"/>
    </row>
    <row r="871" spans="2:20" s="1" customFormat="1" ht="12.95" customHeight="1" x14ac:dyDescent="0.15">
      <c r="B871" s="16">
        <v>20</v>
      </c>
      <c r="C871" s="44"/>
      <c r="D871" s="18"/>
      <c r="E871" s="18"/>
      <c r="F871" s="129"/>
      <c r="G871" s="20"/>
      <c r="H871" s="20">
        <v>1</v>
      </c>
      <c r="I871" s="254">
        <f t="shared" si="69"/>
        <v>0</v>
      </c>
      <c r="J871" s="94">
        <f t="shared" si="68"/>
        <v>0</v>
      </c>
      <c r="K871" s="82"/>
      <c r="L871" s="82"/>
      <c r="M871" s="10"/>
      <c r="N871" s="10"/>
      <c r="O871" s="10"/>
      <c r="P871" s="10"/>
      <c r="Q871" s="43"/>
      <c r="R871" s="10"/>
      <c r="T871" s="10"/>
    </row>
    <row r="872" spans="2:20" s="1" customFormat="1" ht="12.95" customHeight="1" x14ac:dyDescent="0.15">
      <c r="B872" s="16"/>
      <c r="C872" s="11"/>
      <c r="D872" s="18"/>
      <c r="E872" s="18"/>
      <c r="F872" s="129"/>
      <c r="G872" s="20"/>
      <c r="H872" s="20"/>
      <c r="I872" s="255"/>
      <c r="J872" s="94"/>
      <c r="K872" s="82"/>
      <c r="L872" s="82"/>
      <c r="M872" s="10"/>
      <c r="N872" s="10"/>
      <c r="O872" s="10"/>
      <c r="P872" s="10"/>
      <c r="Q872" s="43"/>
      <c r="R872" s="10"/>
      <c r="T872" s="10"/>
    </row>
    <row r="873" spans="2:20" s="1" customFormat="1" ht="12.75" x14ac:dyDescent="0.15">
      <c r="B873" s="83"/>
      <c r="C873" s="98"/>
      <c r="D873" s="99"/>
      <c r="E873" s="98"/>
      <c r="F873" s="127">
        <f>SUM(F814:F872)</f>
        <v>0</v>
      </c>
      <c r="G873" s="100"/>
      <c r="H873" s="252"/>
      <c r="I873" s="256">
        <f>SUM(I815:I872)</f>
        <v>0</v>
      </c>
      <c r="J873" s="257">
        <f>SUM(J815:J872)</f>
        <v>0</v>
      </c>
    </row>
    <row r="874" spans="2:20" s="1" customFormat="1" ht="12.75" x14ac:dyDescent="0.15">
      <c r="B874" s="82"/>
      <c r="C874" s="102"/>
      <c r="D874" s="103"/>
      <c r="E874" s="102" t="s">
        <v>147</v>
      </c>
      <c r="F874" s="128">
        <f>100/115*F873</f>
        <v>0</v>
      </c>
      <c r="G874" s="104"/>
      <c r="H874" s="253" t="s">
        <v>147</v>
      </c>
      <c r="I874" s="128">
        <f>100/115*I873</f>
        <v>0</v>
      </c>
      <c r="J874" s="106"/>
    </row>
    <row r="875" spans="2:20" s="1" customFormat="1" ht="12.75" x14ac:dyDescent="0.15"/>
    <row r="876" spans="2:20" s="1" customFormat="1" ht="12.75" x14ac:dyDescent="0.15"/>
    <row r="877" spans="2:20" s="1" customFormat="1" ht="12.75" x14ac:dyDescent="0.15"/>
    <row r="878" spans="2:20" s="1" customFormat="1" ht="12.75" x14ac:dyDescent="0.15"/>
    <row r="879" spans="2:20" s="1" customFormat="1" ht="12.75" x14ac:dyDescent="0.15"/>
    <row r="880" spans="2:20" s="1" customFormat="1" ht="12.75" x14ac:dyDescent="0.15"/>
    <row r="881" s="1" customFormat="1" ht="12.75" x14ac:dyDescent="0.15"/>
    <row r="882" s="1" customFormat="1" ht="12.75" x14ac:dyDescent="0.15"/>
    <row r="883" s="1" customFormat="1" ht="12.75" x14ac:dyDescent="0.15"/>
    <row r="884" s="1" customFormat="1" ht="12.75" x14ac:dyDescent="0.15"/>
    <row r="885" s="1" customFormat="1" ht="12.75" x14ac:dyDescent="0.15"/>
    <row r="886" s="1" customFormat="1" ht="12.75" x14ac:dyDescent="0.15"/>
    <row r="887" s="1" customFormat="1" ht="12.75" x14ac:dyDescent="0.15"/>
    <row r="888" s="1" customFormat="1" ht="12.75" x14ac:dyDescent="0.15"/>
    <row r="889" s="1" customFormat="1" ht="12.75" x14ac:dyDescent="0.15"/>
    <row r="890" s="1" customFormat="1" ht="12.75" x14ac:dyDescent="0.15"/>
    <row r="891" s="1" customFormat="1" ht="12.75" x14ac:dyDescent="0.15"/>
    <row r="892" s="1" customFormat="1" ht="12.75" x14ac:dyDescent="0.15"/>
    <row r="893" s="1" customFormat="1" ht="12.75" x14ac:dyDescent="0.15"/>
    <row r="894" s="1" customFormat="1" ht="12.75" x14ac:dyDescent="0.15"/>
    <row r="895" s="1" customFormat="1" ht="12.75" x14ac:dyDescent="0.15"/>
    <row r="896" s="1" customFormat="1" ht="12.75" x14ac:dyDescent="0.15"/>
    <row r="897" s="1" customFormat="1" ht="12.75" x14ac:dyDescent="0.15"/>
    <row r="898" s="1" customFormat="1" ht="12.75" x14ac:dyDescent="0.15"/>
    <row r="899" s="1" customFormat="1" ht="12.75" x14ac:dyDescent="0.15"/>
    <row r="900" s="1" customFormat="1" ht="12.75" x14ac:dyDescent="0.15"/>
    <row r="901" s="1" customFormat="1" ht="12.75" x14ac:dyDescent="0.15"/>
    <row r="902" s="1" customFormat="1" ht="12.75" x14ac:dyDescent="0.15"/>
    <row r="903" s="1" customFormat="1" ht="12.75" x14ac:dyDescent="0.15"/>
    <row r="904" s="1" customFormat="1" ht="12.75" x14ac:dyDescent="0.15"/>
    <row r="905" s="1" customFormat="1" ht="12.75" x14ac:dyDescent="0.15"/>
    <row r="906" s="1" customFormat="1" ht="12.75" x14ac:dyDescent="0.15"/>
    <row r="907" s="1" customFormat="1" ht="12.75" x14ac:dyDescent="0.15"/>
    <row r="908" s="1" customFormat="1" ht="12.75" x14ac:dyDescent="0.15"/>
    <row r="909" s="1" customFormat="1" ht="12.75" x14ac:dyDescent="0.15"/>
    <row r="910" s="1" customFormat="1" ht="12.75" x14ac:dyDescent="0.15"/>
    <row r="911" s="1" customFormat="1" ht="12.75" x14ac:dyDescent="0.15"/>
    <row r="912" s="1" customFormat="1" ht="12.75" x14ac:dyDescent="0.15"/>
    <row r="913" s="1" customFormat="1" ht="12.75" x14ac:dyDescent="0.15"/>
    <row r="914" s="1" customFormat="1" ht="12.75" x14ac:dyDescent="0.15"/>
    <row r="915" s="1" customFormat="1" ht="12.75" x14ac:dyDescent="0.15"/>
    <row r="916" s="1" customFormat="1" ht="12.75" x14ac:dyDescent="0.15"/>
    <row r="917" s="1" customFormat="1" ht="12.75" x14ac:dyDescent="0.15"/>
    <row r="918" s="1" customFormat="1" ht="12.75" x14ac:dyDescent="0.15"/>
    <row r="919" s="1" customFormat="1" ht="12.75" x14ac:dyDescent="0.15"/>
    <row r="920" s="1" customFormat="1" ht="12.75" x14ac:dyDescent="0.15"/>
    <row r="921" s="1" customFormat="1" ht="12.75" x14ac:dyDescent="0.15"/>
    <row r="922" s="1" customFormat="1" ht="12.75" x14ac:dyDescent="0.15"/>
    <row r="923" s="1" customFormat="1" ht="12.75" x14ac:dyDescent="0.15"/>
    <row r="924" s="1" customFormat="1" ht="12.75" x14ac:dyDescent="0.15"/>
    <row r="925" s="1" customFormat="1" ht="12.75" x14ac:dyDescent="0.15"/>
    <row r="926" s="1" customFormat="1" ht="12.75" x14ac:dyDescent="0.15"/>
    <row r="927" s="1" customFormat="1" ht="12.75" x14ac:dyDescent="0.15"/>
    <row r="928" s="1" customFormat="1" ht="12.75" x14ac:dyDescent="0.15"/>
    <row r="929" spans="12:12" s="1" customFormat="1" ht="12.75" x14ac:dyDescent="0.15"/>
    <row r="930" spans="12:12" s="1" customFormat="1" ht="12.75" x14ac:dyDescent="0.15"/>
    <row r="931" spans="12:12" s="1" customFormat="1" ht="12.75" x14ac:dyDescent="0.15"/>
    <row r="932" spans="12:12" s="1" customFormat="1" ht="12.75" x14ac:dyDescent="0.15"/>
    <row r="933" spans="12:12" s="1" customFormat="1" ht="12.75" x14ac:dyDescent="0.15"/>
    <row r="934" spans="12:12" s="1" customFormat="1" ht="12.75" x14ac:dyDescent="0.15"/>
    <row r="935" spans="12:12" s="1" customFormat="1" ht="12.75" x14ac:dyDescent="0.15"/>
    <row r="936" spans="12:12" s="1" customFormat="1" ht="12.75" x14ac:dyDescent="0.15"/>
    <row r="937" spans="12:12" x14ac:dyDescent="0.2">
      <c r="L937"/>
    </row>
    <row r="938" spans="12:12" x14ac:dyDescent="0.2">
      <c r="L938"/>
    </row>
    <row r="939" spans="12:12" x14ac:dyDescent="0.2">
      <c r="L939"/>
    </row>
    <row r="940" spans="12:12" x14ac:dyDescent="0.2">
      <c r="L940"/>
    </row>
    <row r="941" spans="12:12" x14ac:dyDescent="0.2">
      <c r="L941"/>
    </row>
    <row r="942" spans="12:12" x14ac:dyDescent="0.2">
      <c r="L942"/>
    </row>
    <row r="943" spans="12:12" x14ac:dyDescent="0.2">
      <c r="L943"/>
    </row>
    <row r="944" spans="12:12" x14ac:dyDescent="0.2">
      <c r="L944"/>
    </row>
    <row r="945" spans="12:12" x14ac:dyDescent="0.2">
      <c r="L945"/>
    </row>
    <row r="946" spans="12:12" x14ac:dyDescent="0.2">
      <c r="L946"/>
    </row>
    <row r="947" spans="12:12" x14ac:dyDescent="0.2">
      <c r="L947"/>
    </row>
    <row r="948" spans="12:12" x14ac:dyDescent="0.2">
      <c r="L948"/>
    </row>
    <row r="949" spans="12:12" x14ac:dyDescent="0.2">
      <c r="L949"/>
    </row>
    <row r="950" spans="12:12" x14ac:dyDescent="0.2">
      <c r="L950"/>
    </row>
    <row r="951" spans="12:12" x14ac:dyDescent="0.2">
      <c r="L951"/>
    </row>
    <row r="952" spans="12:12" x14ac:dyDescent="0.2">
      <c r="L952"/>
    </row>
    <row r="953" spans="12:12" x14ac:dyDescent="0.2">
      <c r="L953"/>
    </row>
    <row r="954" spans="12:12" x14ac:dyDescent="0.2">
      <c r="L954"/>
    </row>
    <row r="955" spans="12:12" x14ac:dyDescent="0.2">
      <c r="L955"/>
    </row>
    <row r="956" spans="12:12" x14ac:dyDescent="0.2">
      <c r="L956"/>
    </row>
    <row r="957" spans="12:12" x14ac:dyDescent="0.2">
      <c r="L957"/>
    </row>
    <row r="958" spans="12:12" x14ac:dyDescent="0.2">
      <c r="L958"/>
    </row>
    <row r="959" spans="12:12" x14ac:dyDescent="0.2">
      <c r="L959"/>
    </row>
    <row r="960" spans="12:12" x14ac:dyDescent="0.2">
      <c r="L960"/>
    </row>
    <row r="961" spans="12:12" x14ac:dyDescent="0.2">
      <c r="L961"/>
    </row>
    <row r="962" spans="12:12" x14ac:dyDescent="0.2">
      <c r="L962"/>
    </row>
    <row r="963" spans="12:12" x14ac:dyDescent="0.2">
      <c r="L963"/>
    </row>
    <row r="964" spans="12:12" x14ac:dyDescent="0.2">
      <c r="L964"/>
    </row>
    <row r="965" spans="12:12" x14ac:dyDescent="0.2">
      <c r="L965"/>
    </row>
    <row r="966" spans="12:12" x14ac:dyDescent="0.2">
      <c r="L966"/>
    </row>
    <row r="967" spans="12:12" x14ac:dyDescent="0.2">
      <c r="L967"/>
    </row>
    <row r="968" spans="12:12" x14ac:dyDescent="0.2">
      <c r="L968"/>
    </row>
    <row r="969" spans="12:12" x14ac:dyDescent="0.2">
      <c r="L969"/>
    </row>
    <row r="970" spans="12:12" x14ac:dyDescent="0.2">
      <c r="L970"/>
    </row>
    <row r="971" spans="12:12" x14ac:dyDescent="0.2">
      <c r="L971"/>
    </row>
    <row r="972" spans="12:12" x14ac:dyDescent="0.2">
      <c r="L972"/>
    </row>
    <row r="973" spans="12:12" x14ac:dyDescent="0.2">
      <c r="L973"/>
    </row>
    <row r="974" spans="12:12" x14ac:dyDescent="0.2">
      <c r="L974"/>
    </row>
    <row r="975" spans="12:12" x14ac:dyDescent="0.2">
      <c r="L975"/>
    </row>
    <row r="976" spans="12:12" x14ac:dyDescent="0.2">
      <c r="L976"/>
    </row>
    <row r="977" spans="12:12" x14ac:dyDescent="0.2">
      <c r="L977"/>
    </row>
    <row r="978" spans="12:12" x14ac:dyDescent="0.2">
      <c r="L978"/>
    </row>
    <row r="979" spans="12:12" x14ac:dyDescent="0.2">
      <c r="L979"/>
    </row>
    <row r="980" spans="12:12" x14ac:dyDescent="0.2">
      <c r="L980"/>
    </row>
    <row r="981" spans="12:12" x14ac:dyDescent="0.2">
      <c r="L981"/>
    </row>
    <row r="982" spans="12:12" x14ac:dyDescent="0.2">
      <c r="L982"/>
    </row>
    <row r="983" spans="12:12" x14ac:dyDescent="0.2">
      <c r="L983"/>
    </row>
    <row r="984" spans="12:12" x14ac:dyDescent="0.2">
      <c r="L984"/>
    </row>
    <row r="985" spans="12:12" x14ac:dyDescent="0.2">
      <c r="L985"/>
    </row>
    <row r="986" spans="12:12" x14ac:dyDescent="0.2">
      <c r="L986"/>
    </row>
    <row r="987" spans="12:12" x14ac:dyDescent="0.2">
      <c r="L987"/>
    </row>
    <row r="988" spans="12:12" x14ac:dyDescent="0.2">
      <c r="L988"/>
    </row>
    <row r="989" spans="12:12" x14ac:dyDescent="0.2">
      <c r="L989"/>
    </row>
    <row r="990" spans="12:12" x14ac:dyDescent="0.2">
      <c r="L990"/>
    </row>
    <row r="991" spans="12:12" x14ac:dyDescent="0.2">
      <c r="L991"/>
    </row>
    <row r="992" spans="12:12" x14ac:dyDescent="0.2">
      <c r="L992"/>
    </row>
    <row r="993" spans="12:12" x14ac:dyDescent="0.2">
      <c r="L993"/>
    </row>
    <row r="994" spans="12:12" x14ac:dyDescent="0.2">
      <c r="L994"/>
    </row>
    <row r="995" spans="12:12" x14ac:dyDescent="0.2">
      <c r="L995"/>
    </row>
    <row r="996" spans="12:12" x14ac:dyDescent="0.2">
      <c r="L996"/>
    </row>
    <row r="997" spans="12:12" x14ac:dyDescent="0.2">
      <c r="L997"/>
    </row>
    <row r="998" spans="12:12" x14ac:dyDescent="0.2">
      <c r="L998"/>
    </row>
    <row r="999" spans="12:12" x14ac:dyDescent="0.2">
      <c r="L999"/>
    </row>
    <row r="1000" spans="12:12" x14ac:dyDescent="0.2">
      <c r="L1000"/>
    </row>
    <row r="1001" spans="12:12" x14ac:dyDescent="0.2">
      <c r="L1001"/>
    </row>
    <row r="1002" spans="12:12" x14ac:dyDescent="0.2">
      <c r="L1002"/>
    </row>
    <row r="1003" spans="12:12" x14ac:dyDescent="0.2">
      <c r="L1003"/>
    </row>
    <row r="1004" spans="12:12" x14ac:dyDescent="0.2">
      <c r="L1004"/>
    </row>
    <row r="1005" spans="12:12" x14ac:dyDescent="0.2">
      <c r="L1005"/>
    </row>
    <row r="1006" spans="12:12" x14ac:dyDescent="0.2">
      <c r="L1006"/>
    </row>
    <row r="1007" spans="12:12" x14ac:dyDescent="0.2">
      <c r="L1007"/>
    </row>
    <row r="1008" spans="12:12" x14ac:dyDescent="0.2">
      <c r="L1008"/>
    </row>
    <row r="1009" spans="12:12" x14ac:dyDescent="0.2">
      <c r="L1009"/>
    </row>
    <row r="1010" spans="12:12" x14ac:dyDescent="0.2">
      <c r="L1010"/>
    </row>
    <row r="1011" spans="12:12" x14ac:dyDescent="0.2">
      <c r="L1011"/>
    </row>
    <row r="1012" spans="12:12" x14ac:dyDescent="0.2">
      <c r="L1012"/>
    </row>
    <row r="1013" spans="12:12" x14ac:dyDescent="0.2">
      <c r="L1013"/>
    </row>
    <row r="1014" spans="12:12" x14ac:dyDescent="0.2">
      <c r="L1014"/>
    </row>
    <row r="1015" spans="12:12" x14ac:dyDescent="0.2">
      <c r="L1015"/>
    </row>
    <row r="1016" spans="12:12" x14ac:dyDescent="0.2">
      <c r="L1016"/>
    </row>
    <row r="1017" spans="12:12" x14ac:dyDescent="0.2">
      <c r="L1017"/>
    </row>
    <row r="1018" spans="12:12" x14ac:dyDescent="0.2">
      <c r="L1018"/>
    </row>
    <row r="1019" spans="12:12" x14ac:dyDescent="0.2">
      <c r="L1019"/>
    </row>
    <row r="1020" spans="12:12" x14ac:dyDescent="0.2">
      <c r="L1020"/>
    </row>
    <row r="1021" spans="12:12" x14ac:dyDescent="0.2">
      <c r="L1021"/>
    </row>
    <row r="1022" spans="12:12" x14ac:dyDescent="0.2">
      <c r="L1022"/>
    </row>
    <row r="1023" spans="12:12" x14ac:dyDescent="0.2">
      <c r="L1023"/>
    </row>
    <row r="1024" spans="12:12" x14ac:dyDescent="0.2">
      <c r="L1024"/>
    </row>
    <row r="1025" spans="12:12" x14ac:dyDescent="0.2">
      <c r="L1025"/>
    </row>
    <row r="1026" spans="12:12" x14ac:dyDescent="0.2">
      <c r="L1026"/>
    </row>
    <row r="1027" spans="12:12" x14ac:dyDescent="0.2">
      <c r="L1027"/>
    </row>
    <row r="1028" spans="12:12" x14ac:dyDescent="0.2">
      <c r="L1028"/>
    </row>
    <row r="1029" spans="12:12" x14ac:dyDescent="0.2">
      <c r="L1029"/>
    </row>
    <row r="1030" spans="12:12" x14ac:dyDescent="0.2">
      <c r="L1030"/>
    </row>
    <row r="1031" spans="12:12" x14ac:dyDescent="0.2">
      <c r="L1031"/>
    </row>
    <row r="1032" spans="12:12" x14ac:dyDescent="0.2">
      <c r="L1032"/>
    </row>
    <row r="1033" spans="12:12" x14ac:dyDescent="0.2">
      <c r="L1033"/>
    </row>
    <row r="1034" spans="12:12" x14ac:dyDescent="0.2">
      <c r="L1034"/>
    </row>
    <row r="1035" spans="12:12" x14ac:dyDescent="0.2">
      <c r="L1035"/>
    </row>
    <row r="1036" spans="12:12" x14ac:dyDescent="0.2">
      <c r="L1036"/>
    </row>
    <row r="1037" spans="12:12" x14ac:dyDescent="0.2">
      <c r="L1037"/>
    </row>
    <row r="1038" spans="12:12" x14ac:dyDescent="0.2">
      <c r="L1038"/>
    </row>
    <row r="1039" spans="12:12" x14ac:dyDescent="0.2">
      <c r="L1039"/>
    </row>
    <row r="1040" spans="12:12" x14ac:dyDescent="0.2">
      <c r="L1040"/>
    </row>
    <row r="1041" spans="12:12" x14ac:dyDescent="0.2">
      <c r="L1041"/>
    </row>
    <row r="1042" spans="12:12" x14ac:dyDescent="0.2">
      <c r="L1042"/>
    </row>
    <row r="1043" spans="12:12" x14ac:dyDescent="0.2">
      <c r="L1043"/>
    </row>
    <row r="1044" spans="12:12" x14ac:dyDescent="0.2">
      <c r="L1044"/>
    </row>
    <row r="1045" spans="12:12" x14ac:dyDescent="0.2">
      <c r="L1045"/>
    </row>
    <row r="1046" spans="12:12" x14ac:dyDescent="0.2">
      <c r="L1046"/>
    </row>
    <row r="1047" spans="12:12" x14ac:dyDescent="0.2">
      <c r="L1047"/>
    </row>
    <row r="1048" spans="12:12" x14ac:dyDescent="0.2">
      <c r="L1048"/>
    </row>
    <row r="1049" spans="12:12" x14ac:dyDescent="0.2">
      <c r="L1049"/>
    </row>
    <row r="1050" spans="12:12" x14ac:dyDescent="0.2">
      <c r="L1050"/>
    </row>
    <row r="1051" spans="12:12" x14ac:dyDescent="0.2">
      <c r="L1051"/>
    </row>
    <row r="1052" spans="12:12" x14ac:dyDescent="0.2">
      <c r="L1052"/>
    </row>
    <row r="1053" spans="12:12" x14ac:dyDescent="0.2">
      <c r="L1053"/>
    </row>
    <row r="1054" spans="12:12" x14ac:dyDescent="0.2">
      <c r="L1054"/>
    </row>
    <row r="1055" spans="12:12" x14ac:dyDescent="0.2">
      <c r="L1055"/>
    </row>
    <row r="1056" spans="12:12" x14ac:dyDescent="0.2">
      <c r="L1056"/>
    </row>
    <row r="1057" spans="12:12" x14ac:dyDescent="0.2">
      <c r="L1057"/>
    </row>
    <row r="1058" spans="12:12" x14ac:dyDescent="0.2">
      <c r="L1058"/>
    </row>
    <row r="1059" spans="12:12" x14ac:dyDescent="0.2">
      <c r="L1059"/>
    </row>
    <row r="1060" spans="12:12" x14ac:dyDescent="0.2">
      <c r="L1060"/>
    </row>
    <row r="1061" spans="12:12" x14ac:dyDescent="0.2">
      <c r="L1061"/>
    </row>
    <row r="1062" spans="12:12" x14ac:dyDescent="0.2">
      <c r="L1062"/>
    </row>
    <row r="1063" spans="12:12" x14ac:dyDescent="0.2">
      <c r="L1063"/>
    </row>
    <row r="1064" spans="12:12" x14ac:dyDescent="0.2">
      <c r="L1064"/>
    </row>
    <row r="1065" spans="12:12" x14ac:dyDescent="0.2">
      <c r="L1065"/>
    </row>
    <row r="1066" spans="12:12" x14ac:dyDescent="0.2">
      <c r="L1066"/>
    </row>
    <row r="1067" spans="12:12" x14ac:dyDescent="0.2">
      <c r="L1067"/>
    </row>
    <row r="1068" spans="12:12" x14ac:dyDescent="0.2">
      <c r="L1068"/>
    </row>
    <row r="1069" spans="12:12" x14ac:dyDescent="0.2">
      <c r="L1069"/>
    </row>
    <row r="1070" spans="12:12" x14ac:dyDescent="0.2">
      <c r="L1070"/>
    </row>
    <row r="1071" spans="12:12" x14ac:dyDescent="0.2">
      <c r="L1071"/>
    </row>
    <row r="1072" spans="12:12" x14ac:dyDescent="0.2">
      <c r="L1072"/>
    </row>
    <row r="1073" spans="12:12" x14ac:dyDescent="0.2">
      <c r="L1073"/>
    </row>
    <row r="1074" spans="12:12" x14ac:dyDescent="0.2">
      <c r="L1074"/>
    </row>
    <row r="1075" spans="12:12" x14ac:dyDescent="0.2">
      <c r="L1075"/>
    </row>
    <row r="1076" spans="12:12" x14ac:dyDescent="0.2">
      <c r="L1076"/>
    </row>
    <row r="1077" spans="12:12" x14ac:dyDescent="0.2">
      <c r="L1077"/>
    </row>
    <row r="1078" spans="12:12" x14ac:dyDescent="0.2">
      <c r="L1078"/>
    </row>
    <row r="1079" spans="12:12" x14ac:dyDescent="0.2">
      <c r="L1079"/>
    </row>
    <row r="1080" spans="12:12" x14ac:dyDescent="0.2">
      <c r="L1080"/>
    </row>
    <row r="1081" spans="12:12" x14ac:dyDescent="0.2">
      <c r="L1081"/>
    </row>
    <row r="1082" spans="12:12" x14ac:dyDescent="0.2">
      <c r="L1082"/>
    </row>
    <row r="1083" spans="12:12" x14ac:dyDescent="0.2">
      <c r="L1083"/>
    </row>
    <row r="1084" spans="12:12" x14ac:dyDescent="0.2">
      <c r="L1084"/>
    </row>
    <row r="1085" spans="12:12" x14ac:dyDescent="0.2">
      <c r="L1085"/>
    </row>
    <row r="1086" spans="12:12" x14ac:dyDescent="0.2">
      <c r="L1086"/>
    </row>
    <row r="1087" spans="12:12" x14ac:dyDescent="0.2">
      <c r="L1087"/>
    </row>
    <row r="1088" spans="12:12" x14ac:dyDescent="0.2">
      <c r="L1088"/>
    </row>
    <row r="1089" spans="12:12" x14ac:dyDescent="0.2">
      <c r="L1089"/>
    </row>
    <row r="1090" spans="12:12" x14ac:dyDescent="0.2">
      <c r="L1090"/>
    </row>
    <row r="1091" spans="12:12" x14ac:dyDescent="0.2">
      <c r="L1091"/>
    </row>
    <row r="1092" spans="12:12" x14ac:dyDescent="0.2">
      <c r="L1092"/>
    </row>
    <row r="1093" spans="12:12" x14ac:dyDescent="0.2">
      <c r="L1093"/>
    </row>
    <row r="1094" spans="12:12" x14ac:dyDescent="0.2">
      <c r="L1094"/>
    </row>
    <row r="1095" spans="12:12" x14ac:dyDescent="0.2">
      <c r="L1095"/>
    </row>
    <row r="1096" spans="12:12" x14ac:dyDescent="0.2">
      <c r="L1096"/>
    </row>
    <row r="1097" spans="12:12" x14ac:dyDescent="0.2">
      <c r="L1097"/>
    </row>
    <row r="1098" spans="12:12" x14ac:dyDescent="0.2">
      <c r="L1098"/>
    </row>
    <row r="1099" spans="12:12" x14ac:dyDescent="0.2">
      <c r="L1099"/>
    </row>
    <row r="1100" spans="12:12" x14ac:dyDescent="0.2">
      <c r="L1100"/>
    </row>
    <row r="1101" spans="12:12" x14ac:dyDescent="0.2">
      <c r="L1101"/>
    </row>
    <row r="1102" spans="12:12" x14ac:dyDescent="0.2">
      <c r="L1102"/>
    </row>
    <row r="1103" spans="12:12" x14ac:dyDescent="0.2">
      <c r="L1103"/>
    </row>
    <row r="1104" spans="12:12" x14ac:dyDescent="0.2">
      <c r="L1104"/>
    </row>
    <row r="1105" spans="12:12" x14ac:dyDescent="0.2">
      <c r="L1105"/>
    </row>
    <row r="1106" spans="12:12" x14ac:dyDescent="0.2">
      <c r="L1106"/>
    </row>
    <row r="1107" spans="12:12" x14ac:dyDescent="0.2">
      <c r="L1107"/>
    </row>
    <row r="1108" spans="12:12" x14ac:dyDescent="0.2">
      <c r="L1108"/>
    </row>
    <row r="1109" spans="12:12" x14ac:dyDescent="0.2">
      <c r="L1109"/>
    </row>
    <row r="1110" spans="12:12" x14ac:dyDescent="0.2">
      <c r="L1110"/>
    </row>
    <row r="1111" spans="12:12" x14ac:dyDescent="0.2">
      <c r="L1111"/>
    </row>
    <row r="1112" spans="12:12" x14ac:dyDescent="0.2">
      <c r="L1112"/>
    </row>
    <row r="1113" spans="12:12" x14ac:dyDescent="0.2">
      <c r="L1113"/>
    </row>
    <row r="1114" spans="12:12" x14ac:dyDescent="0.2">
      <c r="L1114"/>
    </row>
    <row r="1115" spans="12:12" x14ac:dyDescent="0.2">
      <c r="L1115"/>
    </row>
    <row r="1116" spans="12:12" x14ac:dyDescent="0.2">
      <c r="L1116"/>
    </row>
    <row r="1117" spans="12:12" x14ac:dyDescent="0.2">
      <c r="L1117"/>
    </row>
    <row r="1118" spans="12:12" x14ac:dyDescent="0.2">
      <c r="L1118"/>
    </row>
    <row r="1119" spans="12:12" x14ac:dyDescent="0.2">
      <c r="L1119"/>
    </row>
    <row r="1120" spans="12:12" x14ac:dyDescent="0.2">
      <c r="L1120"/>
    </row>
    <row r="1121" spans="12:12" x14ac:dyDescent="0.2">
      <c r="L1121"/>
    </row>
    <row r="1122" spans="12:12" x14ac:dyDescent="0.2">
      <c r="L1122"/>
    </row>
    <row r="1123" spans="12:12" x14ac:dyDescent="0.2">
      <c r="L1123"/>
    </row>
    <row r="1124" spans="12:12" x14ac:dyDescent="0.2">
      <c r="L1124"/>
    </row>
    <row r="1125" spans="12:12" x14ac:dyDescent="0.2">
      <c r="L1125"/>
    </row>
    <row r="1126" spans="12:12" x14ac:dyDescent="0.2">
      <c r="L1126"/>
    </row>
    <row r="1127" spans="12:12" x14ac:dyDescent="0.2">
      <c r="L1127"/>
    </row>
    <row r="1128" spans="12:12" x14ac:dyDescent="0.2">
      <c r="L1128"/>
    </row>
    <row r="1129" spans="12:12" x14ac:dyDescent="0.2">
      <c r="L1129"/>
    </row>
    <row r="1130" spans="12:12" x14ac:dyDescent="0.2">
      <c r="L1130"/>
    </row>
    <row r="1131" spans="12:12" x14ac:dyDescent="0.2">
      <c r="L1131"/>
    </row>
    <row r="1132" spans="12:12" x14ac:dyDescent="0.2">
      <c r="L1132"/>
    </row>
    <row r="1133" spans="12:12" x14ac:dyDescent="0.2">
      <c r="L1133"/>
    </row>
    <row r="1134" spans="12:12" x14ac:dyDescent="0.2">
      <c r="L1134"/>
    </row>
    <row r="1135" spans="12:12" x14ac:dyDescent="0.2">
      <c r="L1135"/>
    </row>
    <row r="1136" spans="12:12" x14ac:dyDescent="0.2">
      <c r="L1136"/>
    </row>
    <row r="1137" spans="12:12" x14ac:dyDescent="0.2">
      <c r="L1137"/>
    </row>
    <row r="1138" spans="12:12" x14ac:dyDescent="0.2">
      <c r="L1138"/>
    </row>
    <row r="1139" spans="12:12" x14ac:dyDescent="0.2">
      <c r="L1139"/>
    </row>
    <row r="1140" spans="12:12" x14ac:dyDescent="0.2">
      <c r="L1140"/>
    </row>
    <row r="1141" spans="12:12" x14ac:dyDescent="0.2">
      <c r="L1141"/>
    </row>
    <row r="1142" spans="12:12" x14ac:dyDescent="0.2">
      <c r="L1142"/>
    </row>
    <row r="1143" spans="12:12" x14ac:dyDescent="0.2">
      <c r="L1143"/>
    </row>
    <row r="1144" spans="12:12" x14ac:dyDescent="0.2">
      <c r="L1144"/>
    </row>
    <row r="1145" spans="12:12" x14ac:dyDescent="0.2">
      <c r="L1145"/>
    </row>
    <row r="1146" spans="12:12" x14ac:dyDescent="0.2">
      <c r="L1146"/>
    </row>
    <row r="1147" spans="12:12" x14ac:dyDescent="0.2">
      <c r="L1147"/>
    </row>
    <row r="1148" spans="12:12" x14ac:dyDescent="0.2">
      <c r="L1148"/>
    </row>
    <row r="1149" spans="12:12" x14ac:dyDescent="0.2">
      <c r="L1149"/>
    </row>
    <row r="1150" spans="12:12" x14ac:dyDescent="0.2">
      <c r="L1150"/>
    </row>
    <row r="1151" spans="12:12" x14ac:dyDescent="0.2">
      <c r="L1151"/>
    </row>
    <row r="1152" spans="12:12" x14ac:dyDescent="0.2">
      <c r="L1152"/>
    </row>
    <row r="1153" spans="12:12" x14ac:dyDescent="0.2">
      <c r="L1153"/>
    </row>
    <row r="1154" spans="12:12" x14ac:dyDescent="0.2">
      <c r="L1154"/>
    </row>
    <row r="1155" spans="12:12" x14ac:dyDescent="0.2">
      <c r="L1155"/>
    </row>
    <row r="1156" spans="12:12" x14ac:dyDescent="0.2">
      <c r="L1156"/>
    </row>
    <row r="1157" spans="12:12" x14ac:dyDescent="0.2">
      <c r="L1157"/>
    </row>
    <row r="1158" spans="12:12" x14ac:dyDescent="0.2">
      <c r="L1158"/>
    </row>
    <row r="1159" spans="12:12" x14ac:dyDescent="0.2">
      <c r="L1159"/>
    </row>
    <row r="1160" spans="12:12" x14ac:dyDescent="0.2">
      <c r="L1160"/>
    </row>
    <row r="1161" spans="12:12" x14ac:dyDescent="0.2">
      <c r="L1161"/>
    </row>
    <row r="1162" spans="12:12" x14ac:dyDescent="0.2">
      <c r="L1162"/>
    </row>
    <row r="1163" spans="12:12" x14ac:dyDescent="0.2">
      <c r="L1163"/>
    </row>
    <row r="1164" spans="12:12" x14ac:dyDescent="0.2">
      <c r="L1164"/>
    </row>
    <row r="1165" spans="12:12" x14ac:dyDescent="0.2">
      <c r="L1165"/>
    </row>
    <row r="1166" spans="12:12" x14ac:dyDescent="0.2">
      <c r="L1166"/>
    </row>
    <row r="1167" spans="12:12" x14ac:dyDescent="0.2">
      <c r="L1167"/>
    </row>
    <row r="1168" spans="12:12" x14ac:dyDescent="0.2">
      <c r="L1168"/>
    </row>
    <row r="1169" spans="12:12" x14ac:dyDescent="0.2">
      <c r="L1169"/>
    </row>
    <row r="1170" spans="12:12" x14ac:dyDescent="0.2">
      <c r="L1170"/>
    </row>
    <row r="1171" spans="12:12" x14ac:dyDescent="0.2">
      <c r="L1171"/>
    </row>
    <row r="1172" spans="12:12" x14ac:dyDescent="0.2">
      <c r="L1172"/>
    </row>
    <row r="1173" spans="12:12" x14ac:dyDescent="0.2">
      <c r="L1173"/>
    </row>
    <row r="1174" spans="12:12" x14ac:dyDescent="0.2">
      <c r="L1174"/>
    </row>
    <row r="1175" spans="12:12" x14ac:dyDescent="0.2">
      <c r="L1175"/>
    </row>
    <row r="1176" spans="12:12" x14ac:dyDescent="0.2">
      <c r="L1176"/>
    </row>
    <row r="1177" spans="12:12" x14ac:dyDescent="0.2">
      <c r="L1177"/>
    </row>
    <row r="1178" spans="12:12" x14ac:dyDescent="0.2">
      <c r="L1178"/>
    </row>
    <row r="1179" spans="12:12" x14ac:dyDescent="0.2">
      <c r="L1179"/>
    </row>
    <row r="1180" spans="12:12" x14ac:dyDescent="0.2">
      <c r="L1180"/>
    </row>
    <row r="1181" spans="12:12" x14ac:dyDescent="0.2">
      <c r="L1181"/>
    </row>
    <row r="1182" spans="12:12" x14ac:dyDescent="0.2">
      <c r="L1182"/>
    </row>
    <row r="1183" spans="12:12" x14ac:dyDescent="0.2">
      <c r="L1183"/>
    </row>
    <row r="1184" spans="12:12" x14ac:dyDescent="0.2">
      <c r="L1184"/>
    </row>
    <row r="1185" spans="12:12" x14ac:dyDescent="0.2">
      <c r="L1185"/>
    </row>
    <row r="1186" spans="12:12" x14ac:dyDescent="0.2">
      <c r="L1186"/>
    </row>
    <row r="1187" spans="12:12" x14ac:dyDescent="0.2">
      <c r="L1187"/>
    </row>
    <row r="1188" spans="12:12" x14ac:dyDescent="0.2">
      <c r="L1188"/>
    </row>
    <row r="1189" spans="12:12" x14ac:dyDescent="0.2">
      <c r="L1189"/>
    </row>
    <row r="1190" spans="12:12" x14ac:dyDescent="0.2">
      <c r="L1190"/>
    </row>
    <row r="1191" spans="12:12" x14ac:dyDescent="0.2">
      <c r="L1191"/>
    </row>
    <row r="1192" spans="12:12" x14ac:dyDescent="0.2">
      <c r="L1192"/>
    </row>
    <row r="1193" spans="12:12" x14ac:dyDescent="0.2">
      <c r="L1193"/>
    </row>
    <row r="1194" spans="12:12" x14ac:dyDescent="0.2">
      <c r="L1194"/>
    </row>
    <row r="1195" spans="12:12" x14ac:dyDescent="0.2">
      <c r="L1195"/>
    </row>
    <row r="1196" spans="12:12" x14ac:dyDescent="0.2">
      <c r="L1196"/>
    </row>
    <row r="1197" spans="12:12" x14ac:dyDescent="0.2">
      <c r="L1197"/>
    </row>
    <row r="1198" spans="12:12" x14ac:dyDescent="0.2">
      <c r="L1198"/>
    </row>
    <row r="1199" spans="12:12" x14ac:dyDescent="0.2">
      <c r="L1199"/>
    </row>
    <row r="1200" spans="12:12" x14ac:dyDescent="0.2">
      <c r="L1200"/>
    </row>
    <row r="1201" spans="12:12" x14ac:dyDescent="0.2">
      <c r="L1201"/>
    </row>
    <row r="1202" spans="12:12" x14ac:dyDescent="0.2">
      <c r="L1202"/>
    </row>
    <row r="1203" spans="12:12" x14ac:dyDescent="0.2">
      <c r="L1203"/>
    </row>
    <row r="1204" spans="12:12" x14ac:dyDescent="0.2">
      <c r="L1204"/>
    </row>
    <row r="1205" spans="12:12" x14ac:dyDescent="0.2">
      <c r="L1205"/>
    </row>
    <row r="1206" spans="12:12" x14ac:dyDescent="0.2">
      <c r="L1206"/>
    </row>
    <row r="1207" spans="12:12" x14ac:dyDescent="0.2">
      <c r="L1207"/>
    </row>
    <row r="1208" spans="12:12" x14ac:dyDescent="0.2">
      <c r="L1208"/>
    </row>
    <row r="1209" spans="12:12" x14ac:dyDescent="0.2">
      <c r="L1209"/>
    </row>
    <row r="1210" spans="12:12" x14ac:dyDescent="0.2">
      <c r="L1210"/>
    </row>
    <row r="1211" spans="12:12" x14ac:dyDescent="0.2">
      <c r="L1211"/>
    </row>
    <row r="1212" spans="12:12" x14ac:dyDescent="0.2">
      <c r="L1212"/>
    </row>
    <row r="1213" spans="12:12" x14ac:dyDescent="0.2">
      <c r="L1213"/>
    </row>
    <row r="1214" spans="12:12" x14ac:dyDescent="0.2">
      <c r="L1214"/>
    </row>
    <row r="1215" spans="12:12" x14ac:dyDescent="0.2">
      <c r="L1215"/>
    </row>
    <row r="1216" spans="12:12" x14ac:dyDescent="0.2">
      <c r="L1216"/>
    </row>
    <row r="1217" spans="12:12" x14ac:dyDescent="0.2">
      <c r="L1217"/>
    </row>
    <row r="1218" spans="12:12" x14ac:dyDescent="0.2">
      <c r="L1218"/>
    </row>
    <row r="1219" spans="12:12" x14ac:dyDescent="0.2">
      <c r="L1219"/>
    </row>
    <row r="1220" spans="12:12" x14ac:dyDescent="0.2">
      <c r="L1220"/>
    </row>
    <row r="1221" spans="12:12" x14ac:dyDescent="0.2">
      <c r="L1221"/>
    </row>
    <row r="1222" spans="12:12" x14ac:dyDescent="0.2">
      <c r="L1222"/>
    </row>
    <row r="1223" spans="12:12" x14ac:dyDescent="0.2">
      <c r="L1223"/>
    </row>
    <row r="1224" spans="12:12" x14ac:dyDescent="0.2">
      <c r="L1224"/>
    </row>
    <row r="1225" spans="12:12" x14ac:dyDescent="0.2">
      <c r="L1225"/>
    </row>
    <row r="1226" spans="12:12" x14ac:dyDescent="0.2">
      <c r="L1226"/>
    </row>
    <row r="1227" spans="12:12" x14ac:dyDescent="0.2">
      <c r="L1227"/>
    </row>
    <row r="1228" spans="12:12" x14ac:dyDescent="0.2">
      <c r="L1228"/>
    </row>
    <row r="1229" spans="12:12" x14ac:dyDescent="0.2">
      <c r="L1229"/>
    </row>
    <row r="1230" spans="12:12" x14ac:dyDescent="0.2">
      <c r="L1230"/>
    </row>
    <row r="1231" spans="12:12" x14ac:dyDescent="0.2">
      <c r="L1231"/>
    </row>
    <row r="1232" spans="12:12" x14ac:dyDescent="0.2">
      <c r="L1232"/>
    </row>
    <row r="1233" spans="12:12" x14ac:dyDescent="0.2">
      <c r="L1233"/>
    </row>
    <row r="1234" spans="12:12" x14ac:dyDescent="0.2">
      <c r="L1234"/>
    </row>
    <row r="1235" spans="12:12" x14ac:dyDescent="0.2">
      <c r="L1235"/>
    </row>
    <row r="1236" spans="12:12" x14ac:dyDescent="0.2">
      <c r="L1236"/>
    </row>
    <row r="1237" spans="12:12" x14ac:dyDescent="0.2">
      <c r="L1237"/>
    </row>
    <row r="1238" spans="12:12" x14ac:dyDescent="0.2">
      <c r="L1238"/>
    </row>
    <row r="1239" spans="12:12" x14ac:dyDescent="0.2">
      <c r="L1239"/>
    </row>
    <row r="1240" spans="12:12" x14ac:dyDescent="0.2">
      <c r="L1240"/>
    </row>
    <row r="1241" spans="12:12" x14ac:dyDescent="0.2">
      <c r="L1241"/>
    </row>
    <row r="1242" spans="12:12" x14ac:dyDescent="0.2">
      <c r="L1242"/>
    </row>
    <row r="1243" spans="12:12" x14ac:dyDescent="0.2">
      <c r="L1243"/>
    </row>
    <row r="1244" spans="12:12" x14ac:dyDescent="0.2">
      <c r="L1244"/>
    </row>
    <row r="1245" spans="12:12" x14ac:dyDescent="0.2">
      <c r="L1245"/>
    </row>
    <row r="1246" spans="12:12" x14ac:dyDescent="0.2">
      <c r="L1246"/>
    </row>
    <row r="1247" spans="12:12" x14ac:dyDescent="0.2">
      <c r="L1247"/>
    </row>
    <row r="1248" spans="12:12" x14ac:dyDescent="0.2">
      <c r="L1248"/>
    </row>
    <row r="1249" spans="12:12" x14ac:dyDescent="0.2">
      <c r="L1249"/>
    </row>
    <row r="1250" spans="12:12" x14ac:dyDescent="0.2">
      <c r="L1250"/>
    </row>
    <row r="1251" spans="12:12" x14ac:dyDescent="0.2">
      <c r="L1251"/>
    </row>
    <row r="1252" spans="12:12" x14ac:dyDescent="0.2">
      <c r="L1252"/>
    </row>
    <row r="1253" spans="12:12" x14ac:dyDescent="0.2">
      <c r="L1253"/>
    </row>
    <row r="1254" spans="12:12" x14ac:dyDescent="0.2">
      <c r="L1254"/>
    </row>
    <row r="1255" spans="12:12" x14ac:dyDescent="0.2">
      <c r="L1255"/>
    </row>
    <row r="1256" spans="12:12" x14ac:dyDescent="0.2">
      <c r="L1256"/>
    </row>
    <row r="1257" spans="12:12" x14ac:dyDescent="0.2">
      <c r="L1257"/>
    </row>
    <row r="1258" spans="12:12" x14ac:dyDescent="0.2">
      <c r="L1258"/>
    </row>
    <row r="1259" spans="12:12" x14ac:dyDescent="0.2">
      <c r="L1259"/>
    </row>
    <row r="1260" spans="12:12" x14ac:dyDescent="0.2">
      <c r="L1260"/>
    </row>
    <row r="1261" spans="12:12" x14ac:dyDescent="0.2">
      <c r="L1261"/>
    </row>
    <row r="1262" spans="12:12" x14ac:dyDescent="0.2">
      <c r="L1262"/>
    </row>
    <row r="1263" spans="12:12" x14ac:dyDescent="0.2">
      <c r="L1263"/>
    </row>
    <row r="1264" spans="12:12" x14ac:dyDescent="0.2">
      <c r="L1264"/>
    </row>
    <row r="1265" spans="12:12" x14ac:dyDescent="0.2">
      <c r="L1265"/>
    </row>
    <row r="1266" spans="12:12" x14ac:dyDescent="0.2">
      <c r="L1266"/>
    </row>
    <row r="1267" spans="12:12" x14ac:dyDescent="0.2">
      <c r="L1267"/>
    </row>
    <row r="1268" spans="12:12" x14ac:dyDescent="0.2">
      <c r="L1268"/>
    </row>
    <row r="1269" spans="12:12" x14ac:dyDescent="0.2">
      <c r="L1269"/>
    </row>
    <row r="1270" spans="12:12" x14ac:dyDescent="0.2">
      <c r="L1270"/>
    </row>
    <row r="1271" spans="12:12" x14ac:dyDescent="0.2">
      <c r="L1271"/>
    </row>
    <row r="1272" spans="12:12" x14ac:dyDescent="0.2">
      <c r="L1272"/>
    </row>
    <row r="1273" spans="12:12" x14ac:dyDescent="0.2">
      <c r="L1273"/>
    </row>
    <row r="1274" spans="12:12" x14ac:dyDescent="0.2">
      <c r="L1274"/>
    </row>
    <row r="1275" spans="12:12" x14ac:dyDescent="0.2">
      <c r="L1275"/>
    </row>
    <row r="1276" spans="12:12" x14ac:dyDescent="0.2">
      <c r="L1276"/>
    </row>
    <row r="1277" spans="12:12" x14ac:dyDescent="0.2">
      <c r="L1277"/>
    </row>
    <row r="1278" spans="12:12" x14ac:dyDescent="0.2">
      <c r="L1278"/>
    </row>
    <row r="1279" spans="12:12" x14ac:dyDescent="0.2">
      <c r="L1279"/>
    </row>
    <row r="1280" spans="12:12" x14ac:dyDescent="0.2">
      <c r="L1280"/>
    </row>
    <row r="1281" spans="12:12" x14ac:dyDescent="0.2">
      <c r="L1281"/>
    </row>
    <row r="1282" spans="12:12" x14ac:dyDescent="0.2">
      <c r="L1282"/>
    </row>
    <row r="1283" spans="12:12" x14ac:dyDescent="0.2">
      <c r="L1283"/>
    </row>
    <row r="1284" spans="12:12" x14ac:dyDescent="0.2">
      <c r="L1284"/>
    </row>
    <row r="1285" spans="12:12" x14ac:dyDescent="0.2">
      <c r="L1285"/>
    </row>
    <row r="1286" spans="12:12" x14ac:dyDescent="0.2">
      <c r="L1286"/>
    </row>
    <row r="1287" spans="12:12" x14ac:dyDescent="0.2">
      <c r="L1287"/>
    </row>
    <row r="1288" spans="12:12" x14ac:dyDescent="0.2">
      <c r="L1288"/>
    </row>
    <row r="1289" spans="12:12" x14ac:dyDescent="0.2">
      <c r="L1289"/>
    </row>
    <row r="1290" spans="12:12" x14ac:dyDescent="0.2">
      <c r="L1290"/>
    </row>
    <row r="1291" spans="12:12" x14ac:dyDescent="0.2">
      <c r="L1291"/>
    </row>
    <row r="1292" spans="12:12" x14ac:dyDescent="0.2">
      <c r="L1292"/>
    </row>
    <row r="1293" spans="12:12" x14ac:dyDescent="0.2">
      <c r="L1293"/>
    </row>
    <row r="1294" spans="12:12" x14ac:dyDescent="0.2">
      <c r="L1294"/>
    </row>
    <row r="1295" spans="12:12" x14ac:dyDescent="0.2">
      <c r="L1295"/>
    </row>
    <row r="1296" spans="12:12" x14ac:dyDescent="0.2">
      <c r="L1296"/>
    </row>
    <row r="1297" spans="12:12" x14ac:dyDescent="0.2">
      <c r="L1297"/>
    </row>
    <row r="1298" spans="12:12" x14ac:dyDescent="0.2">
      <c r="L1298"/>
    </row>
    <row r="1299" spans="12:12" x14ac:dyDescent="0.2">
      <c r="L1299"/>
    </row>
    <row r="1300" spans="12:12" x14ac:dyDescent="0.2">
      <c r="L1300"/>
    </row>
    <row r="1301" spans="12:12" x14ac:dyDescent="0.2">
      <c r="L1301"/>
    </row>
    <row r="1302" spans="12:12" x14ac:dyDescent="0.2">
      <c r="L1302"/>
    </row>
    <row r="1303" spans="12:12" x14ac:dyDescent="0.2">
      <c r="L1303"/>
    </row>
    <row r="1304" spans="12:12" x14ac:dyDescent="0.2">
      <c r="L1304"/>
    </row>
    <row r="1305" spans="12:12" x14ac:dyDescent="0.2">
      <c r="L1305"/>
    </row>
    <row r="1306" spans="12:12" x14ac:dyDescent="0.2">
      <c r="L1306"/>
    </row>
    <row r="1307" spans="12:12" x14ac:dyDescent="0.2">
      <c r="L1307"/>
    </row>
    <row r="1308" spans="12:12" x14ac:dyDescent="0.2">
      <c r="L1308"/>
    </row>
    <row r="1309" spans="12:12" x14ac:dyDescent="0.2">
      <c r="L1309"/>
    </row>
    <row r="1310" spans="12:12" x14ac:dyDescent="0.2">
      <c r="L1310"/>
    </row>
    <row r="1311" spans="12:12" x14ac:dyDescent="0.2">
      <c r="L1311"/>
    </row>
    <row r="1312" spans="12:12" x14ac:dyDescent="0.2">
      <c r="L1312"/>
    </row>
    <row r="1313" spans="12:12" x14ac:dyDescent="0.2">
      <c r="L1313"/>
    </row>
    <row r="1314" spans="12:12" x14ac:dyDescent="0.2">
      <c r="L1314"/>
    </row>
    <row r="1315" spans="12:12" x14ac:dyDescent="0.2">
      <c r="L1315"/>
    </row>
    <row r="1316" spans="12:12" x14ac:dyDescent="0.2">
      <c r="L1316"/>
    </row>
    <row r="1317" spans="12:12" x14ac:dyDescent="0.2">
      <c r="L1317"/>
    </row>
    <row r="1318" spans="12:12" x14ac:dyDescent="0.2">
      <c r="L1318"/>
    </row>
    <row r="1319" spans="12:12" x14ac:dyDescent="0.2">
      <c r="L1319"/>
    </row>
    <row r="1320" spans="12:12" x14ac:dyDescent="0.2">
      <c r="L1320"/>
    </row>
    <row r="1321" spans="12:12" x14ac:dyDescent="0.2">
      <c r="L1321"/>
    </row>
    <row r="1322" spans="12:12" x14ac:dyDescent="0.2">
      <c r="L1322"/>
    </row>
    <row r="1323" spans="12:12" x14ac:dyDescent="0.2">
      <c r="L1323"/>
    </row>
    <row r="1324" spans="12:12" x14ac:dyDescent="0.2">
      <c r="L1324"/>
    </row>
    <row r="1325" spans="12:12" x14ac:dyDescent="0.2">
      <c r="L1325"/>
    </row>
    <row r="1326" spans="12:12" x14ac:dyDescent="0.2">
      <c r="L1326"/>
    </row>
    <row r="1327" spans="12:12" x14ac:dyDescent="0.2">
      <c r="L1327"/>
    </row>
    <row r="1328" spans="12:12" x14ac:dyDescent="0.2">
      <c r="L1328"/>
    </row>
    <row r="1329" spans="12:12" x14ac:dyDescent="0.2">
      <c r="L1329"/>
    </row>
    <row r="1330" spans="12:12" x14ac:dyDescent="0.2">
      <c r="L1330"/>
    </row>
    <row r="1331" spans="12:12" x14ac:dyDescent="0.2">
      <c r="L1331"/>
    </row>
    <row r="1332" spans="12:12" x14ac:dyDescent="0.2">
      <c r="L1332"/>
    </row>
    <row r="1333" spans="12:12" x14ac:dyDescent="0.2">
      <c r="L1333"/>
    </row>
    <row r="1334" spans="12:12" x14ac:dyDescent="0.2">
      <c r="L1334"/>
    </row>
    <row r="1335" spans="12:12" x14ac:dyDescent="0.2">
      <c r="L1335"/>
    </row>
    <row r="1336" spans="12:12" x14ac:dyDescent="0.2">
      <c r="L1336"/>
    </row>
    <row r="1337" spans="12:12" x14ac:dyDescent="0.2">
      <c r="L1337"/>
    </row>
    <row r="1338" spans="12:12" x14ac:dyDescent="0.2">
      <c r="L1338"/>
    </row>
    <row r="1339" spans="12:12" x14ac:dyDescent="0.2">
      <c r="L1339"/>
    </row>
    <row r="1340" spans="12:12" x14ac:dyDescent="0.2">
      <c r="L1340"/>
    </row>
    <row r="1341" spans="12:12" x14ac:dyDescent="0.2">
      <c r="L1341"/>
    </row>
    <row r="1342" spans="12:12" x14ac:dyDescent="0.2">
      <c r="L1342"/>
    </row>
    <row r="1343" spans="12:12" x14ac:dyDescent="0.2">
      <c r="L1343"/>
    </row>
    <row r="1344" spans="12:12" x14ac:dyDescent="0.2">
      <c r="L1344"/>
    </row>
    <row r="1345" spans="12:12" x14ac:dyDescent="0.2">
      <c r="L1345"/>
    </row>
    <row r="1346" spans="12:12" x14ac:dyDescent="0.2">
      <c r="L1346"/>
    </row>
    <row r="1347" spans="12:12" x14ac:dyDescent="0.2">
      <c r="L1347"/>
    </row>
    <row r="1348" spans="12:12" x14ac:dyDescent="0.2">
      <c r="L1348"/>
    </row>
    <row r="1349" spans="12:12" x14ac:dyDescent="0.2">
      <c r="L1349"/>
    </row>
    <row r="1350" spans="12:12" x14ac:dyDescent="0.2">
      <c r="L1350"/>
    </row>
    <row r="1351" spans="12:12" x14ac:dyDescent="0.2">
      <c r="L1351"/>
    </row>
    <row r="1352" spans="12:12" x14ac:dyDescent="0.2">
      <c r="L1352"/>
    </row>
    <row r="1353" spans="12:12" x14ac:dyDescent="0.2">
      <c r="L1353"/>
    </row>
    <row r="1354" spans="12:12" x14ac:dyDescent="0.2">
      <c r="L1354"/>
    </row>
    <row r="1355" spans="12:12" x14ac:dyDescent="0.2">
      <c r="L1355"/>
    </row>
    <row r="1356" spans="12:12" x14ac:dyDescent="0.2">
      <c r="L1356"/>
    </row>
    <row r="1357" spans="12:12" x14ac:dyDescent="0.2">
      <c r="L1357"/>
    </row>
    <row r="1358" spans="12:12" x14ac:dyDescent="0.2">
      <c r="L1358"/>
    </row>
    <row r="1359" spans="12:12" x14ac:dyDescent="0.2">
      <c r="L1359"/>
    </row>
    <row r="1360" spans="12:12" x14ac:dyDescent="0.2">
      <c r="L1360"/>
    </row>
    <row r="1361" spans="12:12" x14ac:dyDescent="0.2">
      <c r="L1361"/>
    </row>
    <row r="1362" spans="12:12" x14ac:dyDescent="0.2">
      <c r="L1362"/>
    </row>
    <row r="1363" spans="12:12" x14ac:dyDescent="0.2">
      <c r="L1363"/>
    </row>
    <row r="1364" spans="12:12" x14ac:dyDescent="0.2">
      <c r="L1364"/>
    </row>
    <row r="1365" spans="12:12" x14ac:dyDescent="0.2">
      <c r="L1365"/>
    </row>
    <row r="1366" spans="12:12" x14ac:dyDescent="0.2">
      <c r="L1366"/>
    </row>
    <row r="1367" spans="12:12" x14ac:dyDescent="0.2">
      <c r="L1367"/>
    </row>
    <row r="1368" spans="12:12" x14ac:dyDescent="0.2">
      <c r="L1368"/>
    </row>
    <row r="1369" spans="12:12" x14ac:dyDescent="0.2">
      <c r="L1369"/>
    </row>
    <row r="1370" spans="12:12" x14ac:dyDescent="0.2">
      <c r="L1370"/>
    </row>
    <row r="1371" spans="12:12" x14ac:dyDescent="0.2">
      <c r="L1371"/>
    </row>
    <row r="1372" spans="12:12" x14ac:dyDescent="0.2">
      <c r="L1372"/>
    </row>
    <row r="1373" spans="12:12" x14ac:dyDescent="0.2">
      <c r="L1373"/>
    </row>
    <row r="1374" spans="12:12" x14ac:dyDescent="0.2">
      <c r="L1374"/>
    </row>
    <row r="1375" spans="12:12" x14ac:dyDescent="0.2">
      <c r="L1375"/>
    </row>
    <row r="1376" spans="12:12" x14ac:dyDescent="0.2">
      <c r="L1376"/>
    </row>
    <row r="1377" spans="12:12" x14ac:dyDescent="0.2">
      <c r="L1377"/>
    </row>
    <row r="1378" spans="12:12" x14ac:dyDescent="0.2">
      <c r="L1378"/>
    </row>
    <row r="1379" spans="12:12" x14ac:dyDescent="0.2">
      <c r="L1379"/>
    </row>
    <row r="1380" spans="12:12" x14ac:dyDescent="0.2">
      <c r="L1380"/>
    </row>
    <row r="1381" spans="12:12" x14ac:dyDescent="0.2">
      <c r="L1381"/>
    </row>
    <row r="1382" spans="12:12" x14ac:dyDescent="0.2">
      <c r="L1382"/>
    </row>
    <row r="1383" spans="12:12" x14ac:dyDescent="0.2">
      <c r="L1383"/>
    </row>
    <row r="1384" spans="12:12" x14ac:dyDescent="0.2">
      <c r="L1384"/>
    </row>
    <row r="1385" spans="12:12" x14ac:dyDescent="0.2">
      <c r="L1385"/>
    </row>
    <row r="1386" spans="12:12" x14ac:dyDescent="0.2">
      <c r="L1386"/>
    </row>
    <row r="1387" spans="12:12" x14ac:dyDescent="0.2">
      <c r="L1387"/>
    </row>
    <row r="1388" spans="12:12" x14ac:dyDescent="0.2">
      <c r="L1388"/>
    </row>
    <row r="1389" spans="12:12" x14ac:dyDescent="0.2">
      <c r="L1389"/>
    </row>
    <row r="1390" spans="12:12" x14ac:dyDescent="0.2">
      <c r="L1390"/>
    </row>
    <row r="1391" spans="12:12" x14ac:dyDescent="0.2">
      <c r="L1391"/>
    </row>
    <row r="1392" spans="12:12" x14ac:dyDescent="0.2">
      <c r="L1392"/>
    </row>
    <row r="1393" spans="12:12" x14ac:dyDescent="0.2">
      <c r="L1393"/>
    </row>
    <row r="1394" spans="12:12" x14ac:dyDescent="0.2">
      <c r="L1394"/>
    </row>
    <row r="1395" spans="12:12" x14ac:dyDescent="0.2">
      <c r="L1395"/>
    </row>
    <row r="1396" spans="12:12" x14ac:dyDescent="0.2">
      <c r="L1396"/>
    </row>
    <row r="1397" spans="12:12" x14ac:dyDescent="0.2">
      <c r="L1397"/>
    </row>
    <row r="1398" spans="12:12" x14ac:dyDescent="0.2">
      <c r="L1398"/>
    </row>
    <row r="1399" spans="12:12" x14ac:dyDescent="0.2">
      <c r="L1399"/>
    </row>
    <row r="1400" spans="12:12" x14ac:dyDescent="0.2">
      <c r="L1400"/>
    </row>
    <row r="1401" spans="12:12" x14ac:dyDescent="0.2">
      <c r="L1401"/>
    </row>
    <row r="1402" spans="12:12" x14ac:dyDescent="0.2">
      <c r="L1402"/>
    </row>
    <row r="1403" spans="12:12" x14ac:dyDescent="0.2">
      <c r="L1403"/>
    </row>
    <row r="1404" spans="12:12" x14ac:dyDescent="0.2">
      <c r="L1404"/>
    </row>
    <row r="1405" spans="12:12" x14ac:dyDescent="0.2">
      <c r="L1405"/>
    </row>
    <row r="1406" spans="12:12" x14ac:dyDescent="0.2">
      <c r="L1406"/>
    </row>
    <row r="1407" spans="12:12" x14ac:dyDescent="0.2">
      <c r="L1407"/>
    </row>
    <row r="1408" spans="12:12" x14ac:dyDescent="0.2">
      <c r="L1408"/>
    </row>
    <row r="1409" spans="12:12" x14ac:dyDescent="0.2">
      <c r="L1409"/>
    </row>
    <row r="1410" spans="12:12" x14ac:dyDescent="0.2">
      <c r="L1410"/>
    </row>
    <row r="1411" spans="12:12" x14ac:dyDescent="0.2">
      <c r="L1411"/>
    </row>
    <row r="1412" spans="12:12" x14ac:dyDescent="0.2">
      <c r="L1412"/>
    </row>
    <row r="1413" spans="12:12" x14ac:dyDescent="0.2">
      <c r="L1413"/>
    </row>
    <row r="1414" spans="12:12" x14ac:dyDescent="0.2">
      <c r="L1414"/>
    </row>
    <row r="1415" spans="12:12" x14ac:dyDescent="0.2">
      <c r="L1415"/>
    </row>
    <row r="1416" spans="12:12" x14ac:dyDescent="0.2">
      <c r="L1416"/>
    </row>
    <row r="1417" spans="12:12" x14ac:dyDescent="0.2">
      <c r="L1417"/>
    </row>
    <row r="1418" spans="12:12" x14ac:dyDescent="0.2">
      <c r="L1418"/>
    </row>
    <row r="1419" spans="12:12" x14ac:dyDescent="0.2">
      <c r="L1419"/>
    </row>
    <row r="1420" spans="12:12" x14ac:dyDescent="0.2">
      <c r="L1420"/>
    </row>
    <row r="1421" spans="12:12" x14ac:dyDescent="0.2">
      <c r="L1421"/>
    </row>
    <row r="1422" spans="12:12" x14ac:dyDescent="0.2">
      <c r="L1422"/>
    </row>
    <row r="1423" spans="12:12" x14ac:dyDescent="0.2">
      <c r="L1423"/>
    </row>
    <row r="1424" spans="12:12" x14ac:dyDescent="0.2">
      <c r="L1424"/>
    </row>
    <row r="1425" spans="12:12" x14ac:dyDescent="0.2">
      <c r="L1425"/>
    </row>
    <row r="1426" spans="12:12" x14ac:dyDescent="0.2">
      <c r="L1426"/>
    </row>
    <row r="1427" spans="12:12" x14ac:dyDescent="0.2">
      <c r="L1427"/>
    </row>
    <row r="1428" spans="12:12" x14ac:dyDescent="0.2">
      <c r="L1428"/>
    </row>
    <row r="1429" spans="12:12" x14ac:dyDescent="0.2">
      <c r="L1429"/>
    </row>
    <row r="1430" spans="12:12" x14ac:dyDescent="0.2">
      <c r="L1430"/>
    </row>
    <row r="1431" spans="12:12" x14ac:dyDescent="0.2">
      <c r="L1431"/>
    </row>
    <row r="1432" spans="12:12" x14ac:dyDescent="0.2">
      <c r="L1432"/>
    </row>
    <row r="1433" spans="12:12" x14ac:dyDescent="0.2">
      <c r="L1433"/>
    </row>
    <row r="1434" spans="12:12" x14ac:dyDescent="0.2">
      <c r="L1434"/>
    </row>
    <row r="1435" spans="12:12" x14ac:dyDescent="0.2">
      <c r="L1435"/>
    </row>
    <row r="1436" spans="12:12" x14ac:dyDescent="0.2">
      <c r="L1436"/>
    </row>
    <row r="1437" spans="12:12" x14ac:dyDescent="0.2">
      <c r="L1437"/>
    </row>
    <row r="1438" spans="12:12" x14ac:dyDescent="0.2">
      <c r="L1438"/>
    </row>
    <row r="1439" spans="12:12" x14ac:dyDescent="0.2">
      <c r="L1439"/>
    </row>
    <row r="1440" spans="12:12" x14ac:dyDescent="0.2">
      <c r="L1440"/>
    </row>
    <row r="1441" spans="12:12" x14ac:dyDescent="0.2">
      <c r="L1441"/>
    </row>
    <row r="1442" spans="12:12" x14ac:dyDescent="0.2">
      <c r="L1442"/>
    </row>
    <row r="1443" spans="12:12" x14ac:dyDescent="0.2">
      <c r="L1443"/>
    </row>
    <row r="1444" spans="12:12" x14ac:dyDescent="0.2">
      <c r="L1444"/>
    </row>
    <row r="1445" spans="12:12" x14ac:dyDescent="0.2">
      <c r="L1445"/>
    </row>
    <row r="1446" spans="12:12" x14ac:dyDescent="0.2">
      <c r="L1446"/>
    </row>
    <row r="1447" spans="12:12" x14ac:dyDescent="0.2">
      <c r="L1447"/>
    </row>
    <row r="1448" spans="12:12" x14ac:dyDescent="0.2">
      <c r="L1448"/>
    </row>
    <row r="1449" spans="12:12" x14ac:dyDescent="0.2">
      <c r="L1449"/>
    </row>
    <row r="1450" spans="12:12" x14ac:dyDescent="0.2">
      <c r="L1450"/>
    </row>
    <row r="1451" spans="12:12" x14ac:dyDescent="0.2">
      <c r="L1451"/>
    </row>
    <row r="1452" spans="12:12" x14ac:dyDescent="0.2">
      <c r="L1452"/>
    </row>
    <row r="1453" spans="12:12" x14ac:dyDescent="0.2">
      <c r="L1453"/>
    </row>
    <row r="1454" spans="12:12" x14ac:dyDescent="0.2">
      <c r="L1454"/>
    </row>
    <row r="1455" spans="12:12" x14ac:dyDescent="0.2">
      <c r="L1455"/>
    </row>
    <row r="1456" spans="12:12" x14ac:dyDescent="0.2">
      <c r="L1456"/>
    </row>
    <row r="1457" spans="12:12" x14ac:dyDescent="0.2">
      <c r="L1457"/>
    </row>
    <row r="1458" spans="12:12" x14ac:dyDescent="0.2">
      <c r="L1458"/>
    </row>
    <row r="1459" spans="12:12" x14ac:dyDescent="0.2">
      <c r="L1459"/>
    </row>
    <row r="1460" spans="12:12" x14ac:dyDescent="0.2">
      <c r="L1460"/>
    </row>
    <row r="1461" spans="12:12" x14ac:dyDescent="0.2">
      <c r="L1461"/>
    </row>
    <row r="1462" spans="12:12" x14ac:dyDescent="0.2">
      <c r="L1462"/>
    </row>
    <row r="1463" spans="12:12" x14ac:dyDescent="0.2">
      <c r="L1463"/>
    </row>
    <row r="1464" spans="12:12" x14ac:dyDescent="0.2">
      <c r="L1464"/>
    </row>
    <row r="1465" spans="12:12" x14ac:dyDescent="0.2">
      <c r="L1465"/>
    </row>
    <row r="1466" spans="12:12" x14ac:dyDescent="0.2">
      <c r="L1466"/>
    </row>
    <row r="1467" spans="12:12" x14ac:dyDescent="0.2">
      <c r="L1467"/>
    </row>
    <row r="1468" spans="12:12" x14ac:dyDescent="0.2">
      <c r="L1468"/>
    </row>
    <row r="1469" spans="12:12" x14ac:dyDescent="0.2">
      <c r="L1469"/>
    </row>
    <row r="1470" spans="12:12" x14ac:dyDescent="0.2">
      <c r="L1470"/>
    </row>
    <row r="1471" spans="12:12" x14ac:dyDescent="0.2">
      <c r="L1471"/>
    </row>
    <row r="1472" spans="12:12" x14ac:dyDescent="0.2">
      <c r="L1472"/>
    </row>
    <row r="1473" spans="12:12" x14ac:dyDescent="0.2">
      <c r="L1473"/>
    </row>
    <row r="1474" spans="12:12" x14ac:dyDescent="0.2">
      <c r="L1474"/>
    </row>
    <row r="1475" spans="12:12" x14ac:dyDescent="0.2">
      <c r="L1475"/>
    </row>
    <row r="1476" spans="12:12" x14ac:dyDescent="0.2">
      <c r="L1476"/>
    </row>
    <row r="1477" spans="12:12" x14ac:dyDescent="0.2">
      <c r="L1477"/>
    </row>
    <row r="1478" spans="12:12" x14ac:dyDescent="0.2">
      <c r="L1478"/>
    </row>
    <row r="1479" spans="12:12" x14ac:dyDescent="0.2">
      <c r="L1479"/>
    </row>
    <row r="1480" spans="12:12" x14ac:dyDescent="0.2">
      <c r="L1480"/>
    </row>
    <row r="1481" spans="12:12" x14ac:dyDescent="0.2">
      <c r="L1481"/>
    </row>
    <row r="1482" spans="12:12" x14ac:dyDescent="0.2">
      <c r="L1482"/>
    </row>
    <row r="1483" spans="12:12" x14ac:dyDescent="0.2">
      <c r="L1483"/>
    </row>
    <row r="1484" spans="12:12" x14ac:dyDescent="0.2">
      <c r="L1484"/>
    </row>
    <row r="1485" spans="12:12" x14ac:dyDescent="0.2">
      <c r="L1485"/>
    </row>
    <row r="1486" spans="12:12" x14ac:dyDescent="0.2">
      <c r="L1486"/>
    </row>
    <row r="1487" spans="12:12" x14ac:dyDescent="0.2">
      <c r="L1487"/>
    </row>
    <row r="1488" spans="12:12" x14ac:dyDescent="0.2">
      <c r="L1488"/>
    </row>
    <row r="1489" spans="12:12" x14ac:dyDescent="0.2">
      <c r="L1489"/>
    </row>
    <row r="1490" spans="12:12" x14ac:dyDescent="0.2">
      <c r="L1490"/>
    </row>
    <row r="1491" spans="12:12" x14ac:dyDescent="0.2">
      <c r="L1491"/>
    </row>
    <row r="1492" spans="12:12" x14ac:dyDescent="0.2">
      <c r="L1492"/>
    </row>
    <row r="1493" spans="12:12" x14ac:dyDescent="0.2">
      <c r="L1493"/>
    </row>
    <row r="1494" spans="12:12" x14ac:dyDescent="0.2">
      <c r="L1494"/>
    </row>
    <row r="1495" spans="12:12" x14ac:dyDescent="0.2">
      <c r="L1495"/>
    </row>
    <row r="1496" spans="12:12" x14ac:dyDescent="0.2">
      <c r="L1496"/>
    </row>
    <row r="1497" spans="12:12" x14ac:dyDescent="0.2">
      <c r="L1497"/>
    </row>
    <row r="1498" spans="12:12" x14ac:dyDescent="0.2">
      <c r="L1498"/>
    </row>
    <row r="1499" spans="12:12" x14ac:dyDescent="0.2">
      <c r="L1499"/>
    </row>
    <row r="1500" spans="12:12" x14ac:dyDescent="0.2">
      <c r="L1500"/>
    </row>
    <row r="1501" spans="12:12" x14ac:dyDescent="0.2">
      <c r="L1501"/>
    </row>
    <row r="1502" spans="12:12" x14ac:dyDescent="0.2">
      <c r="L1502"/>
    </row>
    <row r="1503" spans="12:12" x14ac:dyDescent="0.2">
      <c r="L1503"/>
    </row>
    <row r="1504" spans="12:12" x14ac:dyDescent="0.2">
      <c r="L1504"/>
    </row>
    <row r="1505" spans="12:12" x14ac:dyDescent="0.2">
      <c r="L1505"/>
    </row>
    <row r="1506" spans="12:12" x14ac:dyDescent="0.2">
      <c r="L1506"/>
    </row>
    <row r="1507" spans="12:12" x14ac:dyDescent="0.2">
      <c r="L1507"/>
    </row>
    <row r="1508" spans="12:12" x14ac:dyDescent="0.2">
      <c r="L1508"/>
    </row>
    <row r="1509" spans="12:12" x14ac:dyDescent="0.2">
      <c r="L1509"/>
    </row>
    <row r="1510" spans="12:12" x14ac:dyDescent="0.2">
      <c r="L1510"/>
    </row>
    <row r="1511" spans="12:12" x14ac:dyDescent="0.2">
      <c r="L1511"/>
    </row>
    <row r="1512" spans="12:12" x14ac:dyDescent="0.2">
      <c r="L1512"/>
    </row>
    <row r="1513" spans="12:12" x14ac:dyDescent="0.2">
      <c r="L1513"/>
    </row>
    <row r="1514" spans="12:12" x14ac:dyDescent="0.2">
      <c r="L1514"/>
    </row>
    <row r="1515" spans="12:12" x14ac:dyDescent="0.2">
      <c r="L1515"/>
    </row>
    <row r="1516" spans="12:12" x14ac:dyDescent="0.2">
      <c r="L1516"/>
    </row>
    <row r="1517" spans="12:12" x14ac:dyDescent="0.2">
      <c r="L1517"/>
    </row>
    <row r="1518" spans="12:12" x14ac:dyDescent="0.2">
      <c r="L1518"/>
    </row>
    <row r="1519" spans="12:12" x14ac:dyDescent="0.2">
      <c r="L1519"/>
    </row>
    <row r="1520" spans="12:12" x14ac:dyDescent="0.2">
      <c r="L1520"/>
    </row>
    <row r="1521" spans="12:12" x14ac:dyDescent="0.2">
      <c r="L1521"/>
    </row>
    <row r="1522" spans="12:12" x14ac:dyDescent="0.2">
      <c r="L1522"/>
    </row>
    <row r="1523" spans="12:12" x14ac:dyDescent="0.2">
      <c r="L1523"/>
    </row>
    <row r="1524" spans="12:12" x14ac:dyDescent="0.2">
      <c r="L1524"/>
    </row>
    <row r="1525" spans="12:12" x14ac:dyDescent="0.2">
      <c r="L1525"/>
    </row>
    <row r="1526" spans="12:12" x14ac:dyDescent="0.2">
      <c r="L1526"/>
    </row>
    <row r="1527" spans="12:12" x14ac:dyDescent="0.2">
      <c r="L1527"/>
    </row>
    <row r="1528" spans="12:12" x14ac:dyDescent="0.2">
      <c r="L1528"/>
    </row>
    <row r="1529" spans="12:12" x14ac:dyDescent="0.2">
      <c r="L1529"/>
    </row>
    <row r="1530" spans="12:12" x14ac:dyDescent="0.2">
      <c r="L1530"/>
    </row>
  </sheetData>
  <mergeCells count="143">
    <mergeCell ref="J809:L809"/>
    <mergeCell ref="D810:E810"/>
    <mergeCell ref="D811:E811"/>
    <mergeCell ref="D812:E812"/>
    <mergeCell ref="D740:E740"/>
    <mergeCell ref="D741:E741"/>
    <mergeCell ref="D742:E742"/>
    <mergeCell ref="D743:E743"/>
    <mergeCell ref="C809:D809"/>
    <mergeCell ref="E809:I809"/>
    <mergeCell ref="D670:E670"/>
    <mergeCell ref="D671:E671"/>
    <mergeCell ref="D672:E672"/>
    <mergeCell ref="C739:D739"/>
    <mergeCell ref="J739:L739"/>
    <mergeCell ref="J599:L599"/>
    <mergeCell ref="D600:E600"/>
    <mergeCell ref="D601:E601"/>
    <mergeCell ref="D602:E602"/>
    <mergeCell ref="C669:D669"/>
    <mergeCell ref="J669:L669"/>
    <mergeCell ref="E599:I599"/>
    <mergeCell ref="E669:I669"/>
    <mergeCell ref="E739:I739"/>
    <mergeCell ref="D530:E530"/>
    <mergeCell ref="D531:E531"/>
    <mergeCell ref="D532:E532"/>
    <mergeCell ref="C534:E534"/>
    <mergeCell ref="C599:D599"/>
    <mergeCell ref="D462:E462"/>
    <mergeCell ref="D463:E463"/>
    <mergeCell ref="C464:E464"/>
    <mergeCell ref="C529:D529"/>
    <mergeCell ref="E529:I529"/>
    <mergeCell ref="J529:L529"/>
    <mergeCell ref="C425:E425"/>
    <mergeCell ref="C459:D459"/>
    <mergeCell ref="J459:L459"/>
    <mergeCell ref="D460:E460"/>
    <mergeCell ref="D461:E461"/>
    <mergeCell ref="J389:L389"/>
    <mergeCell ref="D390:E390"/>
    <mergeCell ref="D391:E391"/>
    <mergeCell ref="D392:E392"/>
    <mergeCell ref="D393:E393"/>
    <mergeCell ref="C394:E394"/>
    <mergeCell ref="E389:I389"/>
    <mergeCell ref="E459:I459"/>
    <mergeCell ref="D321:E321"/>
    <mergeCell ref="D322:E322"/>
    <mergeCell ref="D323:E323"/>
    <mergeCell ref="D342:E342"/>
    <mergeCell ref="C389:D389"/>
    <mergeCell ref="D253:E253"/>
    <mergeCell ref="C254:E254"/>
    <mergeCell ref="C319:D319"/>
    <mergeCell ref="E319:I319"/>
    <mergeCell ref="J319:L319"/>
    <mergeCell ref="D320:E320"/>
    <mergeCell ref="C249:D249"/>
    <mergeCell ref="J249:L249"/>
    <mergeCell ref="D250:E250"/>
    <mergeCell ref="D251:E251"/>
    <mergeCell ref="D252:E252"/>
    <mergeCell ref="C223:E223"/>
    <mergeCell ref="D226:E226"/>
    <mergeCell ref="C227:E227"/>
    <mergeCell ref="D228:E228"/>
    <mergeCell ref="D229:E229"/>
    <mergeCell ref="D230:E230"/>
    <mergeCell ref="E249:I249"/>
    <mergeCell ref="D187:E187"/>
    <mergeCell ref="D188:E188"/>
    <mergeCell ref="D198:E198"/>
    <mergeCell ref="D199:E199"/>
    <mergeCell ref="D221:E221"/>
    <mergeCell ref="D222:E222"/>
    <mergeCell ref="J180:L180"/>
    <mergeCell ref="D181:E181"/>
    <mergeCell ref="D182:E182"/>
    <mergeCell ref="D183:E183"/>
    <mergeCell ref="D184:E184"/>
    <mergeCell ref="C185:E185"/>
    <mergeCell ref="E180:I180"/>
    <mergeCell ref="D99:E99"/>
    <mergeCell ref="C100:E100"/>
    <mergeCell ref="D156:E156"/>
    <mergeCell ref="D157:E157"/>
    <mergeCell ref="C180:D180"/>
    <mergeCell ref="C95:D95"/>
    <mergeCell ref="J95:L95"/>
    <mergeCell ref="D96:E96"/>
    <mergeCell ref="D97:E97"/>
    <mergeCell ref="D98:E98"/>
    <mergeCell ref="E95:I95"/>
    <mergeCell ref="D31:E31"/>
    <mergeCell ref="D32:E32"/>
    <mergeCell ref="D33:E33"/>
    <mergeCell ref="D34:E34"/>
    <mergeCell ref="C35:E35"/>
    <mergeCell ref="B22:C22"/>
    <mergeCell ref="B23:C23"/>
    <mergeCell ref="B24:C24"/>
    <mergeCell ref="B25:F25"/>
    <mergeCell ref="G25:L25"/>
    <mergeCell ref="C30:D30"/>
    <mergeCell ref="E30:I30"/>
    <mergeCell ref="J30:L30"/>
    <mergeCell ref="C18:D18"/>
    <mergeCell ref="E18:F18"/>
    <mergeCell ref="G18:J18"/>
    <mergeCell ref="K18:L18"/>
    <mergeCell ref="B20:L20"/>
    <mergeCell ref="B21:C21"/>
    <mergeCell ref="C16:D16"/>
    <mergeCell ref="E16:F16"/>
    <mergeCell ref="G16:J16"/>
    <mergeCell ref="K16:L16"/>
    <mergeCell ref="C17:D17"/>
    <mergeCell ref="E17:F17"/>
    <mergeCell ref="G17:J17"/>
    <mergeCell ref="K17:L17"/>
    <mergeCell ref="B14:C14"/>
    <mergeCell ref="D14:F14"/>
    <mergeCell ref="G14:I14"/>
    <mergeCell ref="J14:L14"/>
    <mergeCell ref="C15:D15"/>
    <mergeCell ref="E15:F15"/>
    <mergeCell ref="G15:J15"/>
    <mergeCell ref="K15:L15"/>
    <mergeCell ref="B8:L8"/>
    <mergeCell ref="C9:L9"/>
    <mergeCell ref="C10:L10"/>
    <mergeCell ref="B11:F11"/>
    <mergeCell ref="G11:L11"/>
    <mergeCell ref="B12:F12"/>
    <mergeCell ref="G12:L12"/>
    <mergeCell ref="B3:E3"/>
    <mergeCell ref="F3:L7"/>
    <mergeCell ref="B4:E4"/>
    <mergeCell ref="B5:E5"/>
    <mergeCell ref="B6:E6"/>
    <mergeCell ref="B7:E7"/>
  </mergeCells>
  <dataValidations count="13">
    <dataValidation allowBlank="1" showInputMessage="1" showErrorMessage="1" promptTitle="Input The Team Name" prompt="Some Firms have team names for fun and identification. If you have a team name please enter it here." sqref="E13" xr:uid="{994AD4B7-27E9-4D6C-8C5A-3D464384B07C}"/>
    <dataValidation allowBlank="1" showInputMessage="1" showErrorMessage="1" promptTitle="Name" prompt="Please enter the team members name._x000a_" sqref="D14" xr:uid="{EFFC3F1A-0D48-4A53-A221-DE176EFF6ABE}"/>
    <dataValidation allowBlank="1" showInputMessage="1" showErrorMessage="1" promptTitle="Charge Out Rate" prompt="Please enter the charge out rate for this team member, per your capacity plan." sqref="C32 C97 C182 C251 C321 C391 C461 C531 C601 C671 C741 C811" xr:uid="{B2F0CF38-01A4-4142-8166-957335020EF7}"/>
    <dataValidation allowBlank="1" showInputMessage="1" showErrorMessage="1" promptTitle="Working Days In Month" prompt="Please enter the working days for this month, taking into account any annual leave, public holidays or training days away from working days." sqref="D32:E32 D97:E97 D182:E182 D251:E251 D321:E321 D391:E391 D461:E461 D531:E531 D601:E601 D671:E671 D741:E741 D811:E811" xr:uid="{B0B9CA56-25CC-4D3F-91EB-6641328B8AD8}"/>
    <dataValidation allowBlank="1" showInputMessage="1" showErrorMessage="1" promptTitle="Productivity %" prompt="Please enter this team members productivity %." sqref="F32 F97 F182 F251 F321 F391 F461 F531 F601 F671 F741 F811" xr:uid="{DCB277C0-9AF2-4CA9-803E-3BA720AF753F}"/>
    <dataValidation allowBlank="1" showInputMessage="1" showErrorMessage="1" promptTitle="Hours Per Day" prompt="Please enter the hours per day this team member works" sqref="G32 G97 G182 G251 G321 G391 G461 G531 G601 G671 G741 G811" xr:uid="{494FCF71-DAF6-4E61-9A97-D7C187D2C754}"/>
    <dataValidation allowBlank="1" showInputMessage="1" showErrorMessage="1" promptTitle="Month" prompt="Enter the first month of your financial year" sqref="E30 E95 E180 E249 E319 E389 E459 E529 E599 E669 E739 E809" xr:uid="{47B543C2-91DC-4814-AA42-9C523FA6EE2A}"/>
    <dataValidation allowBlank="1" showInputMessage="1" showErrorMessage="1" promptTitle="Entity Group or Client Name" prompt="Enter the Entity Group name or the Client Name or Job name." sqref="C84 C228:C242 C226 C331:C335 C206 C34 C184 C253 C323 C393 C463 C732 C743 C99 C471:C487 C561:C570 C269:C286 C662 C139 C750:C764 C163:C166 C168:C172 C293 C631:C634 C264 C297:C312 C497:C512 C401:C415 C613:C622 C575:C592 C382 C543:C552 C541 C611 C700:C704 C683:C691 C681 C187:C198 C208:C222 C288:C291 C821:C840 C102:C131 C141:C154 C37:C82" xr:uid="{6B7C7688-E387-44B5-8FE8-3A61A687C3FA}"/>
    <dataValidation allowBlank="1" showInputMessage="1" showErrorMessage="1" promptTitle="Job Price or Fees Charged" prompt="Enter the job price or Fees charged to the client." sqref="F158:F160 F864:F872 F541 F341 F492:F512 F420:F452 F393:F418 F463:F490 F543:F570 F533:F539 F605:F609 F611 F662 F681 F676:F679 F34:F36 F75:F87 F184:F242 F253:F312 F323:F339 F343:F382 F574:F592 F613:F657 F683:F732 F743:F768 F770:F802 F815:F862 F99:F156" xr:uid="{25F76826-2CB6-4A7E-92EE-EA2A2D5E019A}"/>
    <dataValidation allowBlank="1" showInputMessage="1" showErrorMessage="1" promptTitle="Team Member Completion %" prompt="This will be 100% if the team member can complete all the job without help. 80% if most of it. This will depend on the job complexity, the team member's ability and experience, whether or not they have done it before and the quality of the bookkeeping. " sqref="H556 G393:G452 H626 G662 H695 G184:G242 G253:G312 G323:G382 G463:G522 G533:G592 G605:G657 G676:G732 G743:G802 G815:G872 G99:G173 G34:G87" xr:uid="{A1B02549-24CF-4A8B-A2DC-DDEDAF9AEAD7}"/>
    <dataValidation allowBlank="1" showInputMessage="1" showErrorMessage="1" promptTitle="Pricing or Efficiency Override" prompt="Some jobs are priced high &amp; others the bookkeeping maybe done by your firm and be well prepared. So to complete them based on a charge out rate would allow far too many hours. To reduce hours drop below100%. Training on the job,would increase above 100%." sqref="H557:H592 H323:H382 H533:H555 H605:H625 H676:H694 H815:H872 H184:H242 H253:H312 H393:H452 H463:H522 H627:H662 H696:H732 H743:H802 H99:H173 H34:H87" xr:uid="{B74D7242-CBBE-46B2-956A-781ED1425C7C}"/>
    <dataValidation allowBlank="1" showInputMessage="1" showErrorMessage="1" promptTitle="Notes" prompt="Make any notes about this job. For example if training is needed for the Team Member or the level of quality of the bookkeeping." sqref="D228:E242 D226:E226 D862:E872 D34:E34 D184:E184 D253:E253 D393:E393 D463:E463 D743:E764 D99:E99 D533:E533 D554:E554 D257:E286 D465:E487 D323:E335 D395:E415 D631:E634 D642:E657 D768:E802 D561:E592 D426:E452 D543:E552 D535:E539 D541:E541 D662:E662 D605:E609 D624:E624 D613:E622 D611:E611 D700:E704 D676:E679 D693:E693 D683:E691 D681:E681 D187:E222 D288:E312 D339:E382 D497:E522 D711:E732 D815:E840 D102:E156 D37:E87" xr:uid="{0B78F5BB-CC79-44AA-BC31-EC62B566F10A}"/>
    <dataValidation allowBlank="1" showInputMessage="1" showErrorMessage="1" promptTitle="Annual Fees Budget" prompt="Enter the team members annual fees budget. Get this from your Capacity Planner (Wize Step 7.)" sqref="E16" xr:uid="{2DFB0EE0-76D6-4397-9842-F6D9EB64649C}"/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28CB-680B-49C9-9775-3AF23DCDCA0A}">
  <sheetPr>
    <tabColor rgb="FFFFFF00"/>
  </sheetPr>
  <dimension ref="A1:T1469"/>
  <sheetViews>
    <sheetView topLeftCell="A676" zoomScale="95" workbookViewId="0">
      <selection activeCell="J613" sqref="J613:J675"/>
    </sheetView>
  </sheetViews>
  <sheetFormatPr defaultRowHeight="15" x14ac:dyDescent="0.2"/>
  <cols>
    <col min="2" max="2" width="3.765625" bestFit="1" customWidth="1"/>
    <col min="3" max="3" width="19.234375" customWidth="1"/>
    <col min="4" max="4" width="11.97265625" customWidth="1"/>
    <col min="5" max="5" width="13.1796875" customWidth="1"/>
    <col min="6" max="6" width="17.62109375" bestFit="1" customWidth="1"/>
    <col min="7" max="7" width="12.375" customWidth="1"/>
    <col min="8" max="8" width="13.5859375" customWidth="1"/>
    <col min="9" max="9" width="15.87109375" customWidth="1"/>
    <col min="10" max="10" width="11.97265625" customWidth="1"/>
    <col min="11" max="11" width="14.125" customWidth="1"/>
    <col min="12" max="12" width="19.50390625" style="118" customWidth="1"/>
  </cols>
  <sheetData>
    <row r="1" spans="2:12" x14ac:dyDescent="0.2">
      <c r="L1"/>
    </row>
    <row r="2" spans="2:12" s="1" customFormat="1" ht="12.75" x14ac:dyDescent="0.15"/>
    <row r="3" spans="2:12" s="1" customFormat="1" ht="22.5" customHeight="1" x14ac:dyDescent="0.15">
      <c r="B3" s="347"/>
      <c r="C3" s="347"/>
      <c r="D3" s="347"/>
      <c r="E3" s="347"/>
      <c r="F3" s="348" t="s">
        <v>79</v>
      </c>
      <c r="G3" s="349"/>
      <c r="H3" s="349"/>
      <c r="I3" s="349"/>
      <c r="J3" s="349"/>
      <c r="K3" s="349"/>
      <c r="L3" s="350"/>
    </row>
    <row r="4" spans="2:12" s="1" customFormat="1" ht="13.35" customHeight="1" x14ac:dyDescent="0.15">
      <c r="B4" s="357"/>
      <c r="C4" s="358"/>
      <c r="D4" s="358"/>
      <c r="E4" s="359"/>
      <c r="F4" s="351"/>
      <c r="G4" s="352"/>
      <c r="H4" s="352"/>
      <c r="I4" s="352"/>
      <c r="J4" s="352"/>
      <c r="K4" s="352"/>
      <c r="L4" s="353"/>
    </row>
    <row r="5" spans="2:12" s="1" customFormat="1" ht="13.35" customHeight="1" x14ac:dyDescent="0.15">
      <c r="B5" s="357"/>
      <c r="C5" s="358"/>
      <c r="D5" s="358"/>
      <c r="E5" s="359"/>
      <c r="F5" s="351"/>
      <c r="G5" s="352"/>
      <c r="H5" s="352"/>
      <c r="I5" s="352"/>
      <c r="J5" s="352"/>
      <c r="K5" s="352"/>
      <c r="L5" s="353"/>
    </row>
    <row r="6" spans="2:12" s="1" customFormat="1" ht="13.35" customHeight="1" x14ac:dyDescent="0.15">
      <c r="B6" s="357"/>
      <c r="C6" s="358"/>
      <c r="D6" s="358"/>
      <c r="E6" s="359"/>
      <c r="F6" s="351"/>
      <c r="G6" s="352"/>
      <c r="H6" s="352"/>
      <c r="I6" s="352"/>
      <c r="J6" s="352"/>
      <c r="K6" s="352"/>
      <c r="L6" s="353"/>
    </row>
    <row r="7" spans="2:12" s="1" customFormat="1" ht="27.75" customHeight="1" x14ac:dyDescent="0.15">
      <c r="B7" s="360"/>
      <c r="C7" s="361"/>
      <c r="D7" s="361"/>
      <c r="E7" s="362"/>
      <c r="F7" s="354"/>
      <c r="G7" s="355"/>
      <c r="H7" s="355"/>
      <c r="I7" s="355"/>
      <c r="J7" s="355"/>
      <c r="K7" s="355"/>
      <c r="L7" s="356"/>
    </row>
    <row r="8" spans="2:12" s="1" customFormat="1" ht="25.5" x14ac:dyDescent="0.15">
      <c r="B8" s="331" t="s">
        <v>80</v>
      </c>
      <c r="C8" s="332"/>
      <c r="D8" s="332"/>
      <c r="E8" s="332"/>
      <c r="F8" s="332"/>
      <c r="G8" s="332"/>
      <c r="H8" s="332"/>
      <c r="I8" s="332"/>
      <c r="J8" s="332"/>
      <c r="K8" s="332"/>
      <c r="L8" s="333"/>
    </row>
    <row r="9" spans="2:12" s="1" customFormat="1" ht="25.5" x14ac:dyDescent="0.15">
      <c r="B9" s="3"/>
      <c r="C9" s="334"/>
      <c r="D9" s="334"/>
      <c r="E9" s="334"/>
      <c r="F9" s="334"/>
      <c r="G9" s="334"/>
      <c r="H9" s="334"/>
      <c r="I9" s="334"/>
      <c r="J9" s="334"/>
      <c r="K9" s="334"/>
      <c r="L9" s="335"/>
    </row>
    <row r="10" spans="2:12" s="4" customFormat="1" ht="25.5" x14ac:dyDescent="0.15">
      <c r="B10" s="3"/>
      <c r="C10" s="336" t="s">
        <v>81</v>
      </c>
      <c r="D10" s="336"/>
      <c r="E10" s="336"/>
      <c r="F10" s="336"/>
      <c r="G10" s="336"/>
      <c r="H10" s="336"/>
      <c r="I10" s="336"/>
      <c r="J10" s="336"/>
      <c r="K10" s="337"/>
      <c r="L10" s="338"/>
    </row>
    <row r="11" spans="2:12" s="5" customFormat="1" ht="16.350000000000001" customHeight="1" x14ac:dyDescent="0.2">
      <c r="B11" s="339" t="s">
        <v>82</v>
      </c>
      <c r="C11" s="340"/>
      <c r="D11" s="340"/>
      <c r="E11" s="340"/>
      <c r="F11" s="341"/>
      <c r="G11" s="342" t="s">
        <v>172</v>
      </c>
      <c r="H11" s="343"/>
      <c r="I11" s="343"/>
      <c r="J11" s="343"/>
      <c r="K11" s="343"/>
      <c r="L11" s="344"/>
    </row>
    <row r="12" spans="2:12" s="5" customFormat="1" ht="16.350000000000001" customHeight="1" x14ac:dyDescent="0.2">
      <c r="B12" s="345" t="s">
        <v>84</v>
      </c>
      <c r="C12" s="345"/>
      <c r="D12" s="345"/>
      <c r="E12" s="345"/>
      <c r="F12" s="345"/>
      <c r="G12" s="346" t="s">
        <v>221</v>
      </c>
      <c r="H12" s="346"/>
      <c r="I12" s="346"/>
      <c r="J12" s="346"/>
      <c r="K12" s="346"/>
      <c r="L12" s="346"/>
    </row>
    <row r="13" spans="2:12" s="5" customFormat="1" ht="16.350000000000001" customHeight="1" x14ac:dyDescent="0.2">
      <c r="B13" s="240"/>
      <c r="C13" s="237"/>
      <c r="D13" s="237"/>
      <c r="E13" s="238"/>
      <c r="F13" s="238"/>
      <c r="G13" s="238"/>
      <c r="H13" s="238"/>
      <c r="I13" s="238"/>
      <c r="J13" s="238"/>
      <c r="L13" s="241"/>
    </row>
    <row r="14" spans="2:12" s="5" customFormat="1" ht="15.4" customHeight="1" x14ac:dyDescent="0.2">
      <c r="B14" s="373" t="s">
        <v>86</v>
      </c>
      <c r="C14" s="373"/>
      <c r="D14" s="374" t="s">
        <v>222</v>
      </c>
      <c r="E14" s="374"/>
      <c r="F14" s="374"/>
      <c r="G14" s="373" t="s">
        <v>88</v>
      </c>
      <c r="H14" s="373"/>
      <c r="I14" s="373"/>
      <c r="J14" s="374" t="s">
        <v>175</v>
      </c>
      <c r="K14" s="374"/>
      <c r="L14" s="374"/>
    </row>
    <row r="15" spans="2:12" s="1" customFormat="1" ht="14.25" customHeight="1" x14ac:dyDescent="0.15">
      <c r="B15" s="236"/>
      <c r="C15" s="375" t="s">
        <v>90</v>
      </c>
      <c r="D15" s="375"/>
      <c r="E15" s="376" t="s">
        <v>91</v>
      </c>
      <c r="F15" s="376"/>
      <c r="G15" s="377" t="s">
        <v>90</v>
      </c>
      <c r="H15" s="377"/>
      <c r="I15" s="377"/>
      <c r="J15" s="377"/>
      <c r="K15" s="378" t="s">
        <v>92</v>
      </c>
      <c r="L15" s="378"/>
    </row>
    <row r="16" spans="2:12" s="1" customFormat="1" ht="13.5" customHeight="1" x14ac:dyDescent="0.15">
      <c r="B16" s="82"/>
      <c r="C16" s="363" t="s">
        <v>93</v>
      </c>
      <c r="D16" s="364"/>
      <c r="E16" s="365">
        <f>54720*12</f>
        <v>656640</v>
      </c>
      <c r="F16" s="366"/>
      <c r="G16" s="363" t="s">
        <v>94</v>
      </c>
      <c r="H16" s="367"/>
      <c r="I16" s="367"/>
      <c r="J16" s="364"/>
      <c r="K16" s="368">
        <f>E16/C32</f>
        <v>1459.2</v>
      </c>
      <c r="L16" s="369"/>
    </row>
    <row r="17" spans="2:12" s="1" customFormat="1" ht="13.5" customHeight="1" x14ac:dyDescent="0.15">
      <c r="B17" s="82"/>
      <c r="C17" s="370" t="s">
        <v>95</v>
      </c>
      <c r="D17" s="370"/>
      <c r="E17" s="371">
        <f>+I67+I113+I182+I252+I322+I392+I462+I532+I602+I672+I742+I812</f>
        <v>45252.148434782612</v>
      </c>
      <c r="F17" s="371"/>
      <c r="G17" s="370" t="s">
        <v>96</v>
      </c>
      <c r="H17" s="370"/>
      <c r="I17" s="370"/>
      <c r="J17" s="370"/>
      <c r="K17" s="372">
        <f>+J67+J113+J182+J252+J322+J392+J462+J532+J602+J672+J742+J812</f>
        <v>100.56032985507247</v>
      </c>
      <c r="L17" s="372"/>
    </row>
    <row r="18" spans="2:12" s="1" customFormat="1" ht="12.75" customHeight="1" x14ac:dyDescent="0.15">
      <c r="B18" s="82"/>
      <c r="C18" s="370" t="s">
        <v>97</v>
      </c>
      <c r="D18" s="370"/>
      <c r="E18" s="383">
        <f>E17-E16</f>
        <v>-611387.85156521737</v>
      </c>
      <c r="F18" s="383"/>
      <c r="G18" s="370" t="s">
        <v>97</v>
      </c>
      <c r="H18" s="370"/>
      <c r="I18" s="370"/>
      <c r="J18" s="370"/>
      <c r="K18" s="384">
        <f>K17-K16</f>
        <v>-1358.6396701449275</v>
      </c>
      <c r="L18" s="384"/>
    </row>
    <row r="19" spans="2:12" s="1" customFormat="1" ht="12.75" x14ac:dyDescent="0.15">
      <c r="B19" s="244"/>
      <c r="C19" s="225"/>
      <c r="D19" s="243"/>
      <c r="G19" s="225"/>
      <c r="H19" s="225"/>
      <c r="I19" s="225"/>
      <c r="J19" s="228"/>
      <c r="L19" s="246"/>
    </row>
    <row r="20" spans="2:12" s="1" customFormat="1" ht="14.25" customHeight="1" x14ac:dyDescent="0.15">
      <c r="B20" s="385" t="s">
        <v>98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</row>
    <row r="21" spans="2:12" s="1" customFormat="1" ht="12.75" x14ac:dyDescent="0.15">
      <c r="B21" s="386"/>
      <c r="C21" s="387"/>
      <c r="D21" s="245" t="s">
        <v>99</v>
      </c>
      <c r="E21" s="6">
        <f>J32</f>
        <v>58.501637294685992</v>
      </c>
      <c r="F21" s="234" t="s">
        <v>100</v>
      </c>
      <c r="G21" s="6">
        <f>+J190</f>
        <v>121.60000000000001</v>
      </c>
      <c r="H21" s="234" t="s">
        <v>101</v>
      </c>
      <c r="I21" s="6">
        <f>+J400</f>
        <v>134.4</v>
      </c>
      <c r="J21" s="234" t="s">
        <v>102</v>
      </c>
      <c r="K21" s="6">
        <f>+J610</f>
        <v>147.20000000000002</v>
      </c>
      <c r="L21" s="82"/>
    </row>
    <row r="22" spans="2:12" s="1" customFormat="1" ht="12.75" x14ac:dyDescent="0.15">
      <c r="B22" s="386"/>
      <c r="C22" s="387"/>
      <c r="D22" s="235" t="s">
        <v>103</v>
      </c>
      <c r="E22" s="6">
        <f>+J76</f>
        <v>103.33803285024155</v>
      </c>
      <c r="F22" s="234" t="s">
        <v>104</v>
      </c>
      <c r="G22" s="6">
        <f>+J260</f>
        <v>140.80000000000001</v>
      </c>
      <c r="H22" s="234" t="s">
        <v>105</v>
      </c>
      <c r="I22" s="6">
        <f>J470</f>
        <v>134.4</v>
      </c>
      <c r="J22" s="234" t="s">
        <v>106</v>
      </c>
      <c r="K22" s="6">
        <f>+J680</f>
        <v>128</v>
      </c>
      <c r="L22" s="82"/>
    </row>
    <row r="23" spans="2:12" s="1" customFormat="1" ht="12.75" x14ac:dyDescent="0.15">
      <c r="B23" s="386"/>
      <c r="C23" s="387"/>
      <c r="D23" s="235" t="s">
        <v>107</v>
      </c>
      <c r="E23" s="6">
        <f>+J121</f>
        <v>134.4</v>
      </c>
      <c r="F23" s="234" t="s">
        <v>108</v>
      </c>
      <c r="G23" s="6">
        <f>+J330</f>
        <v>128</v>
      </c>
      <c r="H23" s="234" t="s">
        <v>109</v>
      </c>
      <c r="I23" s="6">
        <f>+J540</f>
        <v>134.4</v>
      </c>
      <c r="J23" s="234" t="s">
        <v>110</v>
      </c>
      <c r="K23" s="6">
        <f>+J750</f>
        <v>128</v>
      </c>
      <c r="L23" s="82"/>
    </row>
    <row r="24" spans="2:12" s="1" customFormat="1" ht="12.75" x14ac:dyDescent="0.15">
      <c r="B24" s="386"/>
      <c r="C24" s="387"/>
      <c r="D24" s="235"/>
      <c r="E24" s="6"/>
      <c r="F24" s="234"/>
      <c r="G24" s="6"/>
      <c r="H24" s="234"/>
      <c r="I24" s="6"/>
      <c r="J24" s="234"/>
      <c r="K24" s="6"/>
      <c r="L24" s="82"/>
    </row>
    <row r="25" spans="2:12" s="1" customFormat="1" ht="13.5" customHeight="1" x14ac:dyDescent="0.15">
      <c r="B25" s="385" t="s">
        <v>111</v>
      </c>
      <c r="C25" s="385"/>
      <c r="D25" s="385"/>
      <c r="E25" s="385"/>
      <c r="F25" s="385"/>
      <c r="G25" s="379">
        <f>SUM(E21:E23)+SUM(G21:G23)+SUM(I21:I23)+SUM(K21:K23)</f>
        <v>1493.0396701449276</v>
      </c>
      <c r="H25" s="379"/>
      <c r="I25" s="379"/>
      <c r="J25" s="379"/>
      <c r="K25" s="379"/>
      <c r="L25" s="379"/>
    </row>
    <row r="26" spans="2:12" s="1" customFormat="1" ht="13.5" customHeight="1" x14ac:dyDescent="0.15">
      <c r="C26" s="225"/>
      <c r="D26" s="226"/>
      <c r="G26" s="227"/>
      <c r="H26" s="227"/>
      <c r="I26" s="227"/>
      <c r="J26" s="228"/>
    </row>
    <row r="27" spans="2:12" s="1" customFormat="1" ht="13.5" customHeight="1" x14ac:dyDescent="0.15">
      <c r="C27" s="225"/>
      <c r="D27" s="226"/>
      <c r="G27" s="227"/>
      <c r="H27" s="227"/>
      <c r="I27" s="227"/>
      <c r="J27" s="228"/>
    </row>
    <row r="28" spans="2:12" s="1" customFormat="1" ht="13.5" customHeight="1" x14ac:dyDescent="0.15">
      <c r="C28" s="225"/>
      <c r="D28" s="226"/>
      <c r="G28" s="227"/>
      <c r="H28" s="227"/>
      <c r="I28" s="227"/>
      <c r="J28" s="228"/>
    </row>
    <row r="29" spans="2:12" s="1" customFormat="1" ht="13.5" customHeight="1" x14ac:dyDescent="0.15">
      <c r="C29" s="225"/>
      <c r="D29" s="226"/>
      <c r="G29" s="227"/>
      <c r="H29" s="227"/>
      <c r="I29" s="227"/>
      <c r="J29" s="228"/>
    </row>
    <row r="30" spans="2:12" s="247" customFormat="1" ht="32.25" x14ac:dyDescent="0.4">
      <c r="B30" s="248"/>
      <c r="C30" s="380" t="s">
        <v>112</v>
      </c>
      <c r="D30" s="380"/>
      <c r="E30" s="381" t="s">
        <v>113</v>
      </c>
      <c r="F30" s="381"/>
      <c r="G30" s="381"/>
      <c r="H30" s="381"/>
      <c r="I30" s="381"/>
      <c r="J30" s="382">
        <v>2026</v>
      </c>
      <c r="K30" s="382"/>
      <c r="L30" s="382"/>
    </row>
    <row r="31" spans="2:12" s="1" customFormat="1" ht="22.5" x14ac:dyDescent="0.15">
      <c r="B31" s="82"/>
      <c r="C31" s="102" t="s">
        <v>114</v>
      </c>
      <c r="D31" s="388" t="s">
        <v>115</v>
      </c>
      <c r="E31" s="388"/>
      <c r="F31" s="102" t="s">
        <v>116</v>
      </c>
      <c r="G31" s="102" t="s">
        <v>117</v>
      </c>
      <c r="H31" s="102" t="s">
        <v>118</v>
      </c>
      <c r="I31" s="102" t="s">
        <v>119</v>
      </c>
      <c r="J31" s="102" t="s">
        <v>120</v>
      </c>
      <c r="K31" s="82"/>
      <c r="L31" s="82"/>
    </row>
    <row r="32" spans="2:12" s="1" customFormat="1" ht="12.75" x14ac:dyDescent="0.15">
      <c r="B32" s="82"/>
      <c r="C32" s="229">
        <v>450</v>
      </c>
      <c r="D32" s="389">
        <v>21</v>
      </c>
      <c r="E32" s="389"/>
      <c r="F32" s="7">
        <v>0.8</v>
      </c>
      <c r="G32" s="8">
        <v>8</v>
      </c>
      <c r="H32" s="142">
        <f>D32*G32*F32</f>
        <v>134.4</v>
      </c>
      <c r="I32" s="66">
        <f>I67</f>
        <v>34154.263217391308</v>
      </c>
      <c r="J32" s="143">
        <f>H32-J67</f>
        <v>58.501637294685992</v>
      </c>
      <c r="K32" s="82"/>
      <c r="L32" s="82"/>
    </row>
    <row r="33" spans="1:12" s="1" customFormat="1" ht="33.75" x14ac:dyDescent="0.15">
      <c r="B33" s="120"/>
      <c r="C33" s="230" t="s">
        <v>121</v>
      </c>
      <c r="D33" s="390" t="s">
        <v>122</v>
      </c>
      <c r="E33" s="390"/>
      <c r="F33" s="231" t="s">
        <v>123</v>
      </c>
      <c r="G33" s="232" t="s">
        <v>124</v>
      </c>
      <c r="H33" s="233" t="s">
        <v>125</v>
      </c>
      <c r="I33" s="233" t="s">
        <v>126</v>
      </c>
      <c r="J33" s="232" t="s">
        <v>127</v>
      </c>
      <c r="K33" s="123" t="s">
        <v>128</v>
      </c>
      <c r="L33" s="114" t="s">
        <v>129</v>
      </c>
    </row>
    <row r="34" spans="1:12" s="1" customFormat="1" ht="12.75" x14ac:dyDescent="0.15">
      <c r="B34" s="82"/>
      <c r="C34" s="89"/>
      <c r="D34" s="391"/>
      <c r="E34" s="391"/>
      <c r="F34" s="184"/>
      <c r="G34" s="92"/>
      <c r="H34" s="92"/>
      <c r="I34" s="93"/>
      <c r="J34" s="94"/>
      <c r="K34" s="82"/>
      <c r="L34" s="82"/>
    </row>
    <row r="35" spans="1:12" s="1" customFormat="1" ht="12.75" x14ac:dyDescent="0.15">
      <c r="B35" s="82"/>
      <c r="C35" s="392" t="s">
        <v>130</v>
      </c>
      <c r="D35" s="392"/>
      <c r="E35" s="392"/>
      <c r="F35" s="184"/>
      <c r="G35" s="92"/>
      <c r="H35" s="92"/>
      <c r="I35" s="93"/>
      <c r="J35" s="94"/>
      <c r="K35" s="82"/>
      <c r="L35" s="82"/>
    </row>
    <row r="36" spans="1:12" s="1" customFormat="1" ht="12.75" x14ac:dyDescent="0.15">
      <c r="B36" s="82"/>
      <c r="C36" s="167" t="s">
        <v>131</v>
      </c>
      <c r="D36" s="167"/>
      <c r="E36" s="167"/>
      <c r="F36" s="184"/>
      <c r="G36" s="92"/>
      <c r="H36" s="92"/>
      <c r="I36" s="93"/>
      <c r="J36" s="94"/>
      <c r="K36" s="82"/>
      <c r="L36" s="82"/>
    </row>
    <row r="37" spans="1:12" s="1" customFormat="1" ht="12.75" customHeight="1" x14ac:dyDescent="0.15">
      <c r="B37" s="82">
        <v>1</v>
      </c>
      <c r="C37" s="203" t="s">
        <v>23</v>
      </c>
      <c r="D37" s="90"/>
      <c r="E37" s="90"/>
      <c r="F37" s="65">
        <f>'Work Component  Split'!F16</f>
        <v>2045.02</v>
      </c>
      <c r="G37" s="92">
        <f>'Work Component  Split'!J16</f>
        <v>0.31495726840983379</v>
      </c>
      <c r="H37" s="92">
        <v>1</v>
      </c>
      <c r="I37" s="218">
        <f>J37*$C$32</f>
        <v>644.09391304347832</v>
      </c>
      <c r="J37" s="323">
        <f t="shared" ref="J37:J45" si="0">(F37*G37*H37)/$C$32</f>
        <v>1.4313198067632851</v>
      </c>
      <c r="K37" s="82"/>
      <c r="L37" s="82"/>
    </row>
    <row r="38" spans="1:12" s="1" customFormat="1" ht="12.75" customHeight="1" x14ac:dyDescent="0.15">
      <c r="B38" s="82">
        <v>2</v>
      </c>
      <c r="C38" s="203" t="s">
        <v>24</v>
      </c>
      <c r="D38" s="90"/>
      <c r="E38" s="90"/>
      <c r="F38" s="65">
        <f>'Work Component  Split'!F17</f>
        <v>8868.51</v>
      </c>
      <c r="G38" s="92">
        <f>'Work Component  Split'!J17</f>
        <v>0.25938968327261286</v>
      </c>
      <c r="H38" s="92">
        <v>1</v>
      </c>
      <c r="I38" s="218">
        <f>J38*$C$32</f>
        <v>2300.4</v>
      </c>
      <c r="J38" s="323">
        <f t="shared" si="0"/>
        <v>5.1120000000000001</v>
      </c>
      <c r="K38" s="82"/>
      <c r="L38" s="82"/>
    </row>
    <row r="39" spans="1:12" s="1" customFormat="1" ht="12.75" customHeight="1" x14ac:dyDescent="0.15">
      <c r="B39" s="82">
        <v>3</v>
      </c>
      <c r="C39" s="203" t="s">
        <v>25</v>
      </c>
      <c r="D39" s="90"/>
      <c r="E39" s="90"/>
      <c r="F39" s="65">
        <f>'Work Component  Split'!F18</f>
        <v>3173.06</v>
      </c>
      <c r="G39" s="92">
        <f>'Work Component  Split'!J18</f>
        <v>0.34957559826353335</v>
      </c>
      <c r="H39" s="92">
        <v>1</v>
      </c>
      <c r="I39" s="218">
        <f>J39*$C$32</f>
        <v>1109.2243478260871</v>
      </c>
      <c r="J39" s="323">
        <f t="shared" si="0"/>
        <v>2.4649429951690824</v>
      </c>
      <c r="K39" s="82"/>
      <c r="L39" s="82"/>
    </row>
    <row r="40" spans="1:12" s="1" customFormat="1" ht="12.75" customHeight="1" x14ac:dyDescent="0.15">
      <c r="B40" s="82">
        <v>4</v>
      </c>
      <c r="C40" s="203" t="s">
        <v>26</v>
      </c>
      <c r="D40" s="90"/>
      <c r="E40" s="90"/>
      <c r="F40" s="65">
        <f>'Work Component  Split'!F19</f>
        <v>2864.78</v>
      </c>
      <c r="G40" s="92">
        <f>'Work Component  Split'!J19</f>
        <v>0.33929306962489264</v>
      </c>
      <c r="H40" s="92">
        <v>1</v>
      </c>
      <c r="I40" s="218">
        <f t="shared" ref="I40:I45" si="1">J40*$C$32</f>
        <v>972.00000000000011</v>
      </c>
      <c r="J40" s="323">
        <f t="shared" si="0"/>
        <v>2.16</v>
      </c>
      <c r="K40" s="82"/>
      <c r="L40" s="82"/>
    </row>
    <row r="41" spans="1:12" s="1" customFormat="1" ht="12.75" customHeight="1" x14ac:dyDescent="0.15">
      <c r="B41" s="82">
        <v>5</v>
      </c>
      <c r="C41" s="203" t="s">
        <v>27</v>
      </c>
      <c r="D41" s="90"/>
      <c r="E41" s="90"/>
      <c r="F41" s="65">
        <f>'Work Component  Split'!F20</f>
        <v>2700</v>
      </c>
      <c r="G41" s="92">
        <f>'Work Component  Split'!J20</f>
        <v>0.4</v>
      </c>
      <c r="H41" s="92">
        <v>1</v>
      </c>
      <c r="I41" s="218">
        <f t="shared" si="1"/>
        <v>1080</v>
      </c>
      <c r="J41" s="323">
        <f t="shared" si="0"/>
        <v>2.4</v>
      </c>
      <c r="K41" s="82"/>
      <c r="L41" s="82"/>
    </row>
    <row r="42" spans="1:12" s="1" customFormat="1" ht="12.75" customHeight="1" x14ac:dyDescent="0.15">
      <c r="B42" s="82">
        <v>6</v>
      </c>
      <c r="C42" s="203" t="s">
        <v>28</v>
      </c>
      <c r="D42" s="90"/>
      <c r="E42" s="90"/>
      <c r="F42" s="65">
        <f>'Work Component  Split'!F21</f>
        <v>2535.65</v>
      </c>
      <c r="G42" s="92">
        <f>'Work Component  Split'!J21</f>
        <v>0.40000034293582215</v>
      </c>
      <c r="H42" s="92">
        <v>1</v>
      </c>
      <c r="I42" s="218">
        <f t="shared" si="1"/>
        <v>1014.2608695652176</v>
      </c>
      <c r="J42" s="323">
        <f t="shared" si="0"/>
        <v>2.2539130434782613</v>
      </c>
      <c r="K42" s="82"/>
      <c r="L42" s="82"/>
    </row>
    <row r="43" spans="1:12" s="1" customFormat="1" ht="12.75" customHeight="1" x14ac:dyDescent="0.15">
      <c r="B43" s="82">
        <v>7</v>
      </c>
      <c r="C43" s="203" t="s">
        <v>29</v>
      </c>
      <c r="D43" s="90"/>
      <c r="E43" s="90"/>
      <c r="F43" s="65">
        <f>'Work Component  Split'!F22</f>
        <v>2652.29</v>
      </c>
      <c r="G43" s="92">
        <f>'Work Component  Split'!J22</f>
        <v>0.40000085242170552</v>
      </c>
      <c r="H43" s="92">
        <v>1</v>
      </c>
      <c r="I43" s="218">
        <f t="shared" si="1"/>
        <v>1060.9182608695653</v>
      </c>
      <c r="J43" s="323">
        <f t="shared" si="0"/>
        <v>2.3575961352657009</v>
      </c>
      <c r="K43" s="82"/>
      <c r="L43" s="82"/>
    </row>
    <row r="44" spans="1:12" s="1" customFormat="1" ht="12.75" customHeight="1" x14ac:dyDescent="0.15">
      <c r="B44" s="82">
        <v>8</v>
      </c>
      <c r="C44" s="203" t="s">
        <v>30</v>
      </c>
      <c r="D44" s="90"/>
      <c r="E44" s="90"/>
      <c r="F44" s="65">
        <f>'Work Component  Split'!F23</f>
        <v>3868.56</v>
      </c>
      <c r="G44" s="92">
        <f>'Work Component  Split'!J23</f>
        <v>0.39999964035601165</v>
      </c>
      <c r="H44" s="92">
        <v>1</v>
      </c>
      <c r="I44" s="218">
        <f t="shared" si="1"/>
        <v>1547.4226086956523</v>
      </c>
      <c r="J44" s="323">
        <f t="shared" si="0"/>
        <v>3.4387169082125606</v>
      </c>
      <c r="K44" s="82"/>
      <c r="L44" s="82"/>
    </row>
    <row r="45" spans="1:12" s="1" customFormat="1" ht="12.75" customHeight="1" x14ac:dyDescent="0.15">
      <c r="A45" s="314"/>
      <c r="B45" s="82">
        <v>9</v>
      </c>
      <c r="C45" s="203" t="s">
        <v>34</v>
      </c>
      <c r="D45" s="90"/>
      <c r="E45" s="90"/>
      <c r="F45" s="65">
        <f>'Work Component  Split'!F27</f>
        <v>5328.2934779999996</v>
      </c>
      <c r="G45" s="92">
        <f>'Work Component  Split'!J27</f>
        <v>0.25703637065903084</v>
      </c>
      <c r="H45" s="92">
        <v>1</v>
      </c>
      <c r="I45" s="218">
        <f t="shared" si="1"/>
        <v>1369.5652173913045</v>
      </c>
      <c r="J45" s="323">
        <f t="shared" si="0"/>
        <v>3.0434782608695654</v>
      </c>
      <c r="K45" s="82"/>
      <c r="L45" s="82"/>
    </row>
    <row r="46" spans="1:12" s="1" customFormat="1" ht="12.75" customHeight="1" x14ac:dyDescent="0.15">
      <c r="B46" s="82"/>
      <c r="C46" s="203"/>
      <c r="D46" s="90"/>
      <c r="E46" s="90"/>
      <c r="F46" s="223"/>
      <c r="G46" s="92"/>
      <c r="H46" s="92"/>
      <c r="I46" s="218"/>
      <c r="J46" s="94"/>
      <c r="K46" s="82"/>
      <c r="L46" s="82"/>
    </row>
    <row r="47" spans="1:12" s="1" customFormat="1" ht="12.75" customHeight="1" x14ac:dyDescent="0.15">
      <c r="B47" s="82"/>
      <c r="C47" s="203"/>
      <c r="D47" s="90"/>
      <c r="E47" s="90"/>
      <c r="F47" s="223"/>
      <c r="G47" s="92"/>
      <c r="H47" s="92"/>
      <c r="I47" s="218"/>
      <c r="J47" s="94"/>
      <c r="K47" s="82"/>
      <c r="L47" s="82"/>
    </row>
    <row r="48" spans="1:12" s="1" customFormat="1" ht="14.25" x14ac:dyDescent="0.15">
      <c r="B48" s="82"/>
      <c r="C48" s="167" t="s">
        <v>150</v>
      </c>
      <c r="D48" s="90"/>
      <c r="E48" s="90"/>
      <c r="F48" s="223"/>
      <c r="G48" s="92"/>
      <c r="H48" s="92"/>
      <c r="I48" s="168"/>
      <c r="J48" s="94"/>
      <c r="K48" s="82"/>
      <c r="L48" s="115"/>
    </row>
    <row r="49" spans="2:12" s="1" customFormat="1" ht="14.25" x14ac:dyDescent="0.15">
      <c r="B49" s="82">
        <v>1</v>
      </c>
      <c r="C49" s="89" t="s">
        <v>223</v>
      </c>
      <c r="D49" s="90"/>
      <c r="E49" s="90"/>
      <c r="F49" s="223">
        <v>41391.31</v>
      </c>
      <c r="G49" s="92">
        <v>0.4</v>
      </c>
      <c r="H49" s="92">
        <v>1</v>
      </c>
      <c r="I49" s="168">
        <f t="shared" ref="I49:I65" si="2">J49*$C$32</f>
        <v>16556.524000000001</v>
      </c>
      <c r="J49" s="323">
        <f t="shared" ref="J49:J65" si="3">(F49*G49*H49)/$C$32</f>
        <v>36.792275555555555</v>
      </c>
      <c r="K49" s="82"/>
      <c r="L49" s="115"/>
    </row>
    <row r="50" spans="2:12" s="1" customFormat="1" ht="14.25" x14ac:dyDescent="0.15">
      <c r="B50" s="82">
        <v>2</v>
      </c>
      <c r="C50" s="89" t="s">
        <v>224</v>
      </c>
      <c r="D50" s="90"/>
      <c r="E50" s="90"/>
      <c r="F50" s="223">
        <v>7222.06</v>
      </c>
      <c r="G50" s="92">
        <v>0.9</v>
      </c>
      <c r="H50" s="92">
        <v>1</v>
      </c>
      <c r="I50" s="168">
        <f t="shared" si="2"/>
        <v>6499.8540000000003</v>
      </c>
      <c r="J50" s="323">
        <f t="shared" si="3"/>
        <v>14.44412</v>
      </c>
      <c r="K50" s="82"/>
      <c r="L50" s="115"/>
    </row>
    <row r="51" spans="2:12" s="1" customFormat="1" ht="14.25" x14ac:dyDescent="0.15">
      <c r="B51" s="82">
        <v>4</v>
      </c>
      <c r="C51" s="89"/>
      <c r="D51" s="90"/>
      <c r="E51" s="90"/>
      <c r="F51" s="223"/>
      <c r="G51" s="92"/>
      <c r="H51" s="92">
        <v>1</v>
      </c>
      <c r="I51" s="168">
        <f t="shared" si="2"/>
        <v>0</v>
      </c>
      <c r="J51" s="323">
        <f t="shared" si="3"/>
        <v>0</v>
      </c>
      <c r="K51" s="82"/>
      <c r="L51" s="115"/>
    </row>
    <row r="52" spans="2:12" s="1" customFormat="1" ht="14.25" x14ac:dyDescent="0.15">
      <c r="B52" s="82">
        <v>5</v>
      </c>
      <c r="C52" s="89"/>
      <c r="D52" s="90"/>
      <c r="E52" s="90"/>
      <c r="F52" s="223"/>
      <c r="G52" s="92"/>
      <c r="H52" s="92">
        <v>1</v>
      </c>
      <c r="I52" s="168">
        <f t="shared" si="2"/>
        <v>0</v>
      </c>
      <c r="J52" s="323">
        <f t="shared" si="3"/>
        <v>0</v>
      </c>
      <c r="K52" s="82"/>
      <c r="L52" s="115"/>
    </row>
    <row r="53" spans="2:12" s="1" customFormat="1" ht="14.25" x14ac:dyDescent="0.15">
      <c r="B53" s="82">
        <v>6</v>
      </c>
      <c r="C53" s="89"/>
      <c r="D53" s="90"/>
      <c r="E53" s="90"/>
      <c r="F53" s="223"/>
      <c r="G53" s="92"/>
      <c r="H53" s="92">
        <v>1</v>
      </c>
      <c r="I53" s="168">
        <f t="shared" si="2"/>
        <v>0</v>
      </c>
      <c r="J53" s="323">
        <f t="shared" si="3"/>
        <v>0</v>
      </c>
      <c r="K53" s="82"/>
      <c r="L53" s="115"/>
    </row>
    <row r="54" spans="2:12" s="1" customFormat="1" ht="14.25" x14ac:dyDescent="0.15">
      <c r="B54" s="82">
        <v>7</v>
      </c>
      <c r="C54" s="89"/>
      <c r="D54" s="90"/>
      <c r="E54" s="90"/>
      <c r="F54" s="223"/>
      <c r="G54" s="92"/>
      <c r="H54" s="92">
        <v>1</v>
      </c>
      <c r="I54" s="168">
        <f t="shared" si="2"/>
        <v>0</v>
      </c>
      <c r="J54" s="323">
        <f t="shared" si="3"/>
        <v>0</v>
      </c>
      <c r="K54" s="82"/>
      <c r="L54" s="115"/>
    </row>
    <row r="55" spans="2:12" s="1" customFormat="1" ht="14.25" x14ac:dyDescent="0.15">
      <c r="B55" s="82">
        <v>8</v>
      </c>
      <c r="C55" s="89"/>
      <c r="D55" s="90"/>
      <c r="E55" s="90"/>
      <c r="F55" s="223"/>
      <c r="G55" s="92"/>
      <c r="H55" s="92">
        <v>1</v>
      </c>
      <c r="I55" s="168">
        <f t="shared" si="2"/>
        <v>0</v>
      </c>
      <c r="J55" s="323">
        <f t="shared" si="3"/>
        <v>0</v>
      </c>
      <c r="K55" s="82"/>
      <c r="L55" s="115"/>
    </row>
    <row r="56" spans="2:12" s="1" customFormat="1" ht="14.25" x14ac:dyDescent="0.15">
      <c r="B56" s="82">
        <v>9</v>
      </c>
      <c r="C56" s="89"/>
      <c r="D56" s="90"/>
      <c r="E56" s="90"/>
      <c r="F56" s="223"/>
      <c r="G56" s="92"/>
      <c r="H56" s="92">
        <v>1</v>
      </c>
      <c r="I56" s="168">
        <f t="shared" si="2"/>
        <v>0</v>
      </c>
      <c r="J56" s="323">
        <f t="shared" si="3"/>
        <v>0</v>
      </c>
      <c r="K56" s="82"/>
      <c r="L56" s="115"/>
    </row>
    <row r="57" spans="2:12" s="1" customFormat="1" ht="14.25" x14ac:dyDescent="0.15">
      <c r="B57" s="82">
        <v>10</v>
      </c>
      <c r="C57" s="89"/>
      <c r="D57" s="90"/>
      <c r="E57" s="90"/>
      <c r="F57" s="223"/>
      <c r="G57" s="92"/>
      <c r="H57" s="92">
        <v>1</v>
      </c>
      <c r="I57" s="168">
        <f t="shared" si="2"/>
        <v>0</v>
      </c>
      <c r="J57" s="323">
        <f t="shared" si="3"/>
        <v>0</v>
      </c>
      <c r="K57" s="82"/>
      <c r="L57" s="115"/>
    </row>
    <row r="58" spans="2:12" s="1" customFormat="1" ht="14.25" x14ac:dyDescent="0.15">
      <c r="B58" s="82">
        <v>11</v>
      </c>
      <c r="C58" s="89"/>
      <c r="D58" s="90"/>
      <c r="E58" s="90"/>
      <c r="F58" s="223"/>
      <c r="G58" s="92"/>
      <c r="H58" s="92">
        <v>1</v>
      </c>
      <c r="I58" s="168">
        <f t="shared" si="2"/>
        <v>0</v>
      </c>
      <c r="J58" s="323">
        <f t="shared" si="3"/>
        <v>0</v>
      </c>
      <c r="K58" s="82"/>
      <c r="L58" s="115"/>
    </row>
    <row r="59" spans="2:12" s="1" customFormat="1" ht="14.25" x14ac:dyDescent="0.15">
      <c r="B59" s="82">
        <v>12</v>
      </c>
      <c r="C59" s="89"/>
      <c r="D59" s="169"/>
      <c r="E59" s="169"/>
      <c r="F59" s="223"/>
      <c r="G59" s="214"/>
      <c r="H59" s="92">
        <v>1</v>
      </c>
      <c r="I59" s="218">
        <f t="shared" si="2"/>
        <v>0</v>
      </c>
      <c r="J59" s="323">
        <f t="shared" si="3"/>
        <v>0</v>
      </c>
      <c r="K59" s="82"/>
      <c r="L59" s="82"/>
    </row>
    <row r="60" spans="2:12" s="1" customFormat="1" ht="14.25" x14ac:dyDescent="0.15">
      <c r="B60" s="82">
        <v>13</v>
      </c>
      <c r="C60" s="89"/>
      <c r="D60" s="90"/>
      <c r="E60" s="90"/>
      <c r="F60" s="223"/>
      <c r="G60" s="214"/>
      <c r="H60" s="92">
        <v>1</v>
      </c>
      <c r="I60" s="218">
        <f t="shared" si="2"/>
        <v>0</v>
      </c>
      <c r="J60" s="323">
        <f t="shared" si="3"/>
        <v>0</v>
      </c>
      <c r="K60" s="82"/>
      <c r="L60" s="115"/>
    </row>
    <row r="61" spans="2:12" s="1" customFormat="1" ht="14.25" x14ac:dyDescent="0.15">
      <c r="B61" s="82">
        <v>14</v>
      </c>
      <c r="C61" s="203"/>
      <c r="D61" s="90"/>
      <c r="E61" s="90"/>
      <c r="F61" s="223"/>
      <c r="G61" s="214"/>
      <c r="H61" s="92">
        <v>1</v>
      </c>
      <c r="I61" s="218">
        <f t="shared" si="2"/>
        <v>0</v>
      </c>
      <c r="J61" s="323">
        <f t="shared" si="3"/>
        <v>0</v>
      </c>
      <c r="K61" s="82"/>
      <c r="L61" s="115"/>
    </row>
    <row r="62" spans="2:12" s="1" customFormat="1" ht="14.25" x14ac:dyDescent="0.15">
      <c r="B62" s="82">
        <v>16</v>
      </c>
      <c r="C62" s="203"/>
      <c r="D62" s="90"/>
      <c r="E62" s="90"/>
      <c r="F62" s="223"/>
      <c r="G62" s="214"/>
      <c r="H62" s="92">
        <v>1</v>
      </c>
      <c r="I62" s="218">
        <f t="shared" si="2"/>
        <v>0</v>
      </c>
      <c r="J62" s="323">
        <f t="shared" si="3"/>
        <v>0</v>
      </c>
      <c r="K62" s="82"/>
      <c r="L62" s="115"/>
    </row>
    <row r="63" spans="2:12" s="1" customFormat="1" ht="14.25" x14ac:dyDescent="0.15">
      <c r="B63" s="82">
        <v>17</v>
      </c>
      <c r="C63" s="203"/>
      <c r="D63" s="90"/>
      <c r="E63" s="90"/>
      <c r="F63" s="223"/>
      <c r="G63" s="214"/>
      <c r="H63" s="92">
        <v>1</v>
      </c>
      <c r="I63" s="218">
        <f t="shared" si="2"/>
        <v>0</v>
      </c>
      <c r="J63" s="323">
        <f t="shared" si="3"/>
        <v>0</v>
      </c>
      <c r="K63" s="82"/>
      <c r="L63" s="115"/>
    </row>
    <row r="64" spans="2:12" s="1" customFormat="1" ht="14.25" x14ac:dyDescent="0.15">
      <c r="B64" s="82">
        <v>19</v>
      </c>
      <c r="C64" s="203"/>
      <c r="D64" s="90"/>
      <c r="E64" s="90"/>
      <c r="F64" s="223"/>
      <c r="G64" s="214"/>
      <c r="H64" s="92">
        <v>1</v>
      </c>
      <c r="I64" s="218">
        <f t="shared" si="2"/>
        <v>0</v>
      </c>
      <c r="J64" s="323">
        <f t="shared" si="3"/>
        <v>0</v>
      </c>
      <c r="K64" s="82"/>
      <c r="L64" s="115"/>
    </row>
    <row r="65" spans="2:12" s="1" customFormat="1" ht="14.25" x14ac:dyDescent="0.15">
      <c r="B65" s="82">
        <v>20</v>
      </c>
      <c r="C65" s="203"/>
      <c r="D65" s="90"/>
      <c r="E65" s="90"/>
      <c r="F65" s="223"/>
      <c r="G65" s="214"/>
      <c r="H65" s="92">
        <v>1</v>
      </c>
      <c r="I65" s="218">
        <f t="shared" si="2"/>
        <v>0</v>
      </c>
      <c r="J65" s="323">
        <f t="shared" si="3"/>
        <v>0</v>
      </c>
      <c r="K65" s="82"/>
      <c r="L65" s="115"/>
    </row>
    <row r="66" spans="2:12" s="1" customFormat="1" ht="14.25" x14ac:dyDescent="0.15">
      <c r="B66" s="82"/>
      <c r="C66" s="203"/>
      <c r="D66" s="90"/>
      <c r="E66" s="90"/>
      <c r="F66" s="223"/>
      <c r="G66" s="92"/>
      <c r="H66" s="92"/>
      <c r="I66" s="168"/>
      <c r="J66" s="323"/>
      <c r="K66" s="82"/>
      <c r="L66" s="115"/>
    </row>
    <row r="67" spans="2:12" s="1" customFormat="1" ht="14.25" x14ac:dyDescent="0.15">
      <c r="B67" s="82"/>
      <c r="C67" s="102"/>
      <c r="D67" s="103"/>
      <c r="E67" s="102"/>
      <c r="F67" s="224">
        <f>SUM(F37:F66)</f>
        <v>82649.533477999998</v>
      </c>
      <c r="G67" s="104"/>
      <c r="H67" s="105"/>
      <c r="I67" s="128">
        <f>SUM(I35:I66)</f>
        <v>34154.263217391308</v>
      </c>
      <c r="J67" s="106">
        <f>SUM(J34:J66)</f>
        <v>75.898362705314014</v>
      </c>
      <c r="K67" s="82"/>
      <c r="L67" s="115"/>
    </row>
    <row r="68" spans="2:12" s="1" customFormat="1" ht="14.25" x14ac:dyDescent="0.15">
      <c r="B68" s="82"/>
      <c r="C68" s="102"/>
      <c r="D68" s="103"/>
      <c r="E68" s="102" t="s">
        <v>147</v>
      </c>
      <c r="F68" s="224">
        <f>100/115*F67</f>
        <v>71869.159546086958</v>
      </c>
      <c r="G68" s="104"/>
      <c r="H68" s="105" t="s">
        <v>147</v>
      </c>
      <c r="I68" s="128">
        <f>100/115*I67</f>
        <v>29699.359319470703</v>
      </c>
      <c r="J68" s="257"/>
      <c r="L68" s="222"/>
    </row>
    <row r="69" spans="2:12" s="1" customFormat="1" ht="14.25" x14ac:dyDescent="0.15">
      <c r="B69" s="82"/>
      <c r="C69" s="102"/>
      <c r="D69" s="103"/>
      <c r="E69" s="102"/>
      <c r="F69" s="224"/>
      <c r="G69" s="104"/>
      <c r="H69" s="105"/>
      <c r="I69" s="128"/>
      <c r="J69" s="106"/>
      <c r="L69" s="222"/>
    </row>
    <row r="70" spans="2:12" s="1" customFormat="1" ht="14.25" x14ac:dyDescent="0.15">
      <c r="L70" s="222"/>
    </row>
    <row r="71" spans="2:12" s="1" customFormat="1" ht="14.25" x14ac:dyDescent="0.15">
      <c r="L71" s="222"/>
    </row>
    <row r="72" spans="2:12" s="1" customFormat="1" ht="14.25" x14ac:dyDescent="0.15">
      <c r="L72" s="222"/>
    </row>
    <row r="73" spans="2:12" s="1" customFormat="1" ht="14.25" x14ac:dyDescent="0.15">
      <c r="L73" s="222"/>
    </row>
    <row r="74" spans="2:12" s="247" customFormat="1" ht="32.25" x14ac:dyDescent="0.4">
      <c r="B74" s="248"/>
      <c r="C74" s="380" t="s">
        <v>112</v>
      </c>
      <c r="D74" s="380"/>
      <c r="E74" s="381" t="s">
        <v>148</v>
      </c>
      <c r="F74" s="381"/>
      <c r="G74" s="381"/>
      <c r="H74" s="381"/>
      <c r="I74" s="381"/>
      <c r="J74" s="382">
        <v>2026</v>
      </c>
      <c r="K74" s="382"/>
      <c r="L74" s="382"/>
    </row>
    <row r="75" spans="2:12" s="1" customFormat="1" ht="22.5" x14ac:dyDescent="0.15">
      <c r="B75" s="82"/>
      <c r="C75" s="102" t="s">
        <v>114</v>
      </c>
      <c r="D75" s="388" t="s">
        <v>115</v>
      </c>
      <c r="E75" s="388"/>
      <c r="F75" s="102" t="s">
        <v>116</v>
      </c>
      <c r="G75" s="102" t="s">
        <v>117</v>
      </c>
      <c r="H75" s="102" t="s">
        <v>118</v>
      </c>
      <c r="I75" s="102" t="s">
        <v>119</v>
      </c>
      <c r="J75" s="102" t="s">
        <v>120</v>
      </c>
      <c r="K75" s="82"/>
      <c r="L75" s="82"/>
    </row>
    <row r="76" spans="2:12" s="1" customFormat="1" ht="12.75" x14ac:dyDescent="0.15">
      <c r="B76" s="82"/>
      <c r="C76" s="66">
        <f>C32</f>
        <v>450</v>
      </c>
      <c r="D76" s="389">
        <v>20</v>
      </c>
      <c r="E76" s="389"/>
      <c r="F76" s="13">
        <f>F32</f>
        <v>0.8</v>
      </c>
      <c r="G76" s="14">
        <f>G32</f>
        <v>8</v>
      </c>
      <c r="H76" s="142">
        <f>D76*G76*F76</f>
        <v>128</v>
      </c>
      <c r="I76" s="66">
        <f>I113</f>
        <v>11097.885217391306</v>
      </c>
      <c r="J76" s="143">
        <f>H76-J113</f>
        <v>103.33803285024155</v>
      </c>
      <c r="K76" s="82"/>
      <c r="L76" s="82"/>
    </row>
    <row r="77" spans="2:12" s="1" customFormat="1" ht="33.75" x14ac:dyDescent="0.15">
      <c r="B77" s="82"/>
      <c r="C77" s="167" t="s">
        <v>121</v>
      </c>
      <c r="D77" s="395" t="s">
        <v>122</v>
      </c>
      <c r="E77" s="395"/>
      <c r="F77" s="177" t="s">
        <v>123</v>
      </c>
      <c r="G77" s="178" t="s">
        <v>124</v>
      </c>
      <c r="H77" s="179" t="s">
        <v>125</v>
      </c>
      <c r="I77" s="180" t="s">
        <v>126</v>
      </c>
      <c r="J77" s="178" t="s">
        <v>127</v>
      </c>
      <c r="K77" s="114" t="s">
        <v>128</v>
      </c>
      <c r="L77" s="114" t="s">
        <v>129</v>
      </c>
    </row>
    <row r="78" spans="2:12" s="1" customFormat="1" ht="12.75" x14ac:dyDescent="0.15">
      <c r="B78" s="82"/>
      <c r="C78" s="89"/>
      <c r="D78" s="391"/>
      <c r="E78" s="391"/>
      <c r="F78" s="184"/>
      <c r="G78" s="92"/>
      <c r="H78" s="92"/>
      <c r="I78" s="168"/>
      <c r="J78" s="185"/>
      <c r="K78" s="82"/>
      <c r="L78" s="82"/>
    </row>
    <row r="79" spans="2:12" s="1" customFormat="1" ht="12.75" x14ac:dyDescent="0.15">
      <c r="B79" s="82"/>
      <c r="C79" s="392" t="s">
        <v>130</v>
      </c>
      <c r="D79" s="392"/>
      <c r="E79" s="392"/>
      <c r="F79" s="184"/>
      <c r="G79" s="92"/>
      <c r="H79" s="92"/>
      <c r="I79" s="168"/>
      <c r="J79" s="185"/>
      <c r="K79" s="82"/>
      <c r="L79" s="82"/>
    </row>
    <row r="80" spans="2:12" s="1" customFormat="1" ht="12.75" x14ac:dyDescent="0.15">
      <c r="B80" s="82"/>
      <c r="C80" s="167" t="s">
        <v>149</v>
      </c>
      <c r="D80" s="167"/>
      <c r="E80" s="167"/>
      <c r="F80" s="168"/>
      <c r="G80" s="92"/>
      <c r="H80" s="92"/>
      <c r="I80" s="168"/>
      <c r="J80" s="266"/>
      <c r="K80" s="82"/>
      <c r="L80" s="82"/>
    </row>
    <row r="81" spans="2:12" s="1" customFormat="1" ht="12.75" customHeight="1" x14ac:dyDescent="0.15">
      <c r="B81" s="82">
        <v>1</v>
      </c>
      <c r="C81" s="203" t="s">
        <v>23</v>
      </c>
      <c r="D81" s="90"/>
      <c r="E81" s="90"/>
      <c r="F81" s="168">
        <v>2045.02</v>
      </c>
      <c r="G81" s="92">
        <v>0.31495726840983379</v>
      </c>
      <c r="H81" s="92">
        <v>1</v>
      </c>
      <c r="I81" s="218">
        <f>J81*$C$32</f>
        <v>644.09391304347832</v>
      </c>
      <c r="J81" s="323">
        <f t="shared" ref="J81:J90" si="4">(F81*G81*H81)/$C$32</f>
        <v>1.4313198067632851</v>
      </c>
      <c r="K81" s="82"/>
      <c r="L81" s="82"/>
    </row>
    <row r="82" spans="2:12" s="1" customFormat="1" ht="12.75" customHeight="1" x14ac:dyDescent="0.15">
      <c r="B82" s="82">
        <v>2</v>
      </c>
      <c r="C82" s="203" t="s">
        <v>24</v>
      </c>
      <c r="D82" s="90"/>
      <c r="E82" s="90"/>
      <c r="F82" s="168">
        <v>8868.51</v>
      </c>
      <c r="G82" s="92">
        <v>0.25938968327261286</v>
      </c>
      <c r="H82" s="92">
        <v>1</v>
      </c>
      <c r="I82" s="218">
        <f>J82*$C$32</f>
        <v>2300.4</v>
      </c>
      <c r="J82" s="323">
        <f t="shared" si="4"/>
        <v>5.1120000000000001</v>
      </c>
      <c r="K82" s="82"/>
      <c r="L82" s="82"/>
    </row>
    <row r="83" spans="2:12" s="1" customFormat="1" ht="12.75" customHeight="1" x14ac:dyDescent="0.15">
      <c r="B83" s="82">
        <v>3</v>
      </c>
      <c r="C83" s="203" t="s">
        <v>25</v>
      </c>
      <c r="D83" s="90"/>
      <c r="E83" s="90"/>
      <c r="F83" s="168">
        <v>3173.06</v>
      </c>
      <c r="G83" s="92">
        <v>0.34957559826353335</v>
      </c>
      <c r="H83" s="92">
        <v>1</v>
      </c>
      <c r="I83" s="218">
        <f t="shared" ref="I83:I90" si="5">J83*$C$32</f>
        <v>1109.2243478260871</v>
      </c>
      <c r="J83" s="323">
        <f t="shared" si="4"/>
        <v>2.4649429951690824</v>
      </c>
      <c r="K83" s="82"/>
      <c r="L83" s="82"/>
    </row>
    <row r="84" spans="2:12" s="1" customFormat="1" ht="12.75" customHeight="1" x14ac:dyDescent="0.15">
      <c r="B84" s="82">
        <v>4</v>
      </c>
      <c r="C84" s="203" t="s">
        <v>26</v>
      </c>
      <c r="D84" s="90"/>
      <c r="E84" s="90"/>
      <c r="F84" s="168">
        <v>2864.78</v>
      </c>
      <c r="G84" s="92">
        <v>0.33929306962489264</v>
      </c>
      <c r="H84" s="92">
        <v>1</v>
      </c>
      <c r="I84" s="218">
        <f t="shared" si="5"/>
        <v>972.00000000000011</v>
      </c>
      <c r="J84" s="323">
        <f t="shared" si="4"/>
        <v>2.16</v>
      </c>
      <c r="K84" s="82"/>
      <c r="L84" s="82"/>
    </row>
    <row r="85" spans="2:12" s="1" customFormat="1" ht="12.75" customHeight="1" x14ac:dyDescent="0.15">
      <c r="B85" s="82">
        <v>5</v>
      </c>
      <c r="C85" s="203" t="s">
        <v>27</v>
      </c>
      <c r="D85" s="90"/>
      <c r="E85" s="90"/>
      <c r="F85" s="168">
        <v>2700</v>
      </c>
      <c r="G85" s="92">
        <v>0.4</v>
      </c>
      <c r="H85" s="92">
        <v>1</v>
      </c>
      <c r="I85" s="218">
        <f t="shared" si="5"/>
        <v>1080</v>
      </c>
      <c r="J85" s="323">
        <f t="shared" si="4"/>
        <v>2.4</v>
      </c>
      <c r="K85" s="82"/>
      <c r="L85" s="82"/>
    </row>
    <row r="86" spans="2:12" s="1" customFormat="1" ht="12.75" customHeight="1" x14ac:dyDescent="0.15">
      <c r="B86" s="82">
        <v>6</v>
      </c>
      <c r="C86" s="203" t="s">
        <v>28</v>
      </c>
      <c r="D86" s="90"/>
      <c r="E86" s="90"/>
      <c r="F86" s="168">
        <v>2535.65</v>
      </c>
      <c r="G86" s="92">
        <v>0.40000034293582215</v>
      </c>
      <c r="H86" s="92">
        <v>1</v>
      </c>
      <c r="I86" s="218">
        <f t="shared" si="5"/>
        <v>1014.2608695652176</v>
      </c>
      <c r="J86" s="323">
        <f t="shared" si="4"/>
        <v>2.2539130434782613</v>
      </c>
      <c r="K86" s="82"/>
      <c r="L86" s="82"/>
    </row>
    <row r="87" spans="2:12" s="1" customFormat="1" ht="12.75" customHeight="1" x14ac:dyDescent="0.15">
      <c r="B87" s="82">
        <v>7</v>
      </c>
      <c r="C87" s="203" t="s">
        <v>29</v>
      </c>
      <c r="D87" s="90"/>
      <c r="E87" s="90"/>
      <c r="F87" s="168">
        <v>2652.29</v>
      </c>
      <c r="G87" s="92">
        <v>0.40000085242170552</v>
      </c>
      <c r="H87" s="92">
        <v>1</v>
      </c>
      <c r="I87" s="218">
        <f t="shared" si="5"/>
        <v>1060.9182608695653</v>
      </c>
      <c r="J87" s="323">
        <f t="shared" si="4"/>
        <v>2.3575961352657009</v>
      </c>
      <c r="K87" s="82"/>
      <c r="L87" s="82"/>
    </row>
    <row r="88" spans="2:12" s="1" customFormat="1" ht="12.75" customHeight="1" x14ac:dyDescent="0.15">
      <c r="B88" s="82">
        <v>8</v>
      </c>
      <c r="C88" s="203" t="s">
        <v>30</v>
      </c>
      <c r="D88" s="90"/>
      <c r="E88" s="90"/>
      <c r="F88" s="168">
        <v>3868.56</v>
      </c>
      <c r="G88" s="92">
        <v>0.39999964035601165</v>
      </c>
      <c r="H88" s="92">
        <v>1</v>
      </c>
      <c r="I88" s="218">
        <f t="shared" si="5"/>
        <v>1547.4226086956523</v>
      </c>
      <c r="J88" s="323">
        <f t="shared" si="4"/>
        <v>3.4387169082125606</v>
      </c>
      <c r="K88" s="82"/>
      <c r="L88" s="82"/>
    </row>
    <row r="89" spans="2:12" s="1" customFormat="1" ht="12.75" customHeight="1" x14ac:dyDescent="0.15">
      <c r="B89" s="82">
        <v>9</v>
      </c>
      <c r="C89" s="203" t="s">
        <v>34</v>
      </c>
      <c r="D89" s="90"/>
      <c r="E89" s="90"/>
      <c r="F89" s="168">
        <v>5328.2934779999996</v>
      </c>
      <c r="G89" s="92">
        <v>0.25703637065903084</v>
      </c>
      <c r="H89" s="92">
        <v>1</v>
      </c>
      <c r="I89" s="218">
        <f t="shared" si="5"/>
        <v>1369.5652173913045</v>
      </c>
      <c r="J89" s="323">
        <f t="shared" si="4"/>
        <v>3.0434782608695654</v>
      </c>
      <c r="K89" s="82"/>
      <c r="L89" s="82"/>
    </row>
    <row r="90" spans="2:12" s="1" customFormat="1" ht="12.75" customHeight="1" x14ac:dyDescent="0.15">
      <c r="B90" s="82">
        <v>10</v>
      </c>
      <c r="C90" s="203"/>
      <c r="D90" s="90"/>
      <c r="E90" s="90"/>
      <c r="F90" s="168"/>
      <c r="G90" s="92"/>
      <c r="H90" s="92">
        <v>1</v>
      </c>
      <c r="I90" s="218">
        <f t="shared" si="5"/>
        <v>0</v>
      </c>
      <c r="J90" s="323">
        <f t="shared" si="4"/>
        <v>0</v>
      </c>
      <c r="K90" s="82"/>
      <c r="L90" s="82"/>
    </row>
    <row r="91" spans="2:12" s="1" customFormat="1" ht="12.75" customHeight="1" x14ac:dyDescent="0.15">
      <c r="B91" s="82"/>
      <c r="C91" s="203"/>
      <c r="D91" s="90"/>
      <c r="E91" s="90"/>
      <c r="F91" s="168"/>
      <c r="G91" s="92"/>
      <c r="H91" s="92"/>
      <c r="I91" s="218"/>
      <c r="J91" s="323"/>
      <c r="K91" s="82"/>
      <c r="L91" s="82"/>
    </row>
    <row r="92" spans="2:12" s="1" customFormat="1" ht="12.75" customHeight="1" x14ac:dyDescent="0.15">
      <c r="B92" s="82"/>
      <c r="C92" s="203"/>
      <c r="D92" s="90"/>
      <c r="E92" s="90"/>
      <c r="F92" s="168"/>
      <c r="G92" s="92"/>
      <c r="H92" s="92"/>
      <c r="I92" s="218"/>
      <c r="J92" s="323"/>
      <c r="K92" s="82"/>
      <c r="L92" s="82"/>
    </row>
    <row r="93" spans="2:12" s="1" customFormat="1" ht="14.25" x14ac:dyDescent="0.15">
      <c r="B93" s="82"/>
      <c r="C93" s="167" t="s">
        <v>150</v>
      </c>
      <c r="D93" s="90"/>
      <c r="E93" s="90"/>
      <c r="F93" s="168"/>
      <c r="G93" s="92"/>
      <c r="H93" s="92"/>
      <c r="I93" s="168"/>
      <c r="J93" s="323"/>
      <c r="K93" s="82"/>
      <c r="L93" s="115"/>
    </row>
    <row r="94" spans="2:12" s="1" customFormat="1" ht="14.25" x14ac:dyDescent="0.15">
      <c r="B94" s="82">
        <v>1</v>
      </c>
      <c r="C94" s="189"/>
      <c r="D94" s="206"/>
      <c r="E94" s="206"/>
      <c r="F94" s="168"/>
      <c r="G94" s="214"/>
      <c r="H94" s="92">
        <v>1</v>
      </c>
      <c r="I94" s="218">
        <f t="shared" ref="I94:I102" si="6">J94*$C$32</f>
        <v>0</v>
      </c>
      <c r="J94" s="323">
        <f>(F94*G94*H94)/$C$32</f>
        <v>0</v>
      </c>
      <c r="K94" s="82"/>
      <c r="L94" s="115"/>
    </row>
    <row r="95" spans="2:12" s="1" customFormat="1" ht="12.75" x14ac:dyDescent="0.15">
      <c r="B95" s="82">
        <v>2</v>
      </c>
      <c r="C95" s="189"/>
      <c r="D95" s="393"/>
      <c r="E95" s="393"/>
      <c r="F95" s="168"/>
      <c r="G95" s="92"/>
      <c r="H95" s="92">
        <v>1</v>
      </c>
      <c r="I95" s="168">
        <f t="shared" si="6"/>
        <v>0</v>
      </c>
      <c r="J95" s="266">
        <f t="shared" ref="J95:J102" si="7">(F95*G95*H95)/$C$32</f>
        <v>0</v>
      </c>
      <c r="K95" s="82"/>
      <c r="L95" s="82"/>
    </row>
    <row r="96" spans="2:12" s="1" customFormat="1" ht="12.75" x14ac:dyDescent="0.15">
      <c r="B96" s="82">
        <v>3</v>
      </c>
      <c r="C96" s="189"/>
      <c r="D96" s="394"/>
      <c r="E96" s="394"/>
      <c r="F96" s="168"/>
      <c r="G96" s="92"/>
      <c r="H96" s="92">
        <v>1</v>
      </c>
      <c r="I96" s="168">
        <f t="shared" si="6"/>
        <v>0</v>
      </c>
      <c r="J96" s="266">
        <f t="shared" si="7"/>
        <v>0</v>
      </c>
      <c r="K96" s="82"/>
      <c r="L96" s="82"/>
    </row>
    <row r="97" spans="2:12" s="1" customFormat="1" ht="12.75" x14ac:dyDescent="0.15">
      <c r="B97" s="82">
        <v>4</v>
      </c>
      <c r="C97" s="189"/>
      <c r="D97" s="206"/>
      <c r="E97" s="206"/>
      <c r="F97" s="168"/>
      <c r="G97" s="92"/>
      <c r="H97" s="92">
        <v>1</v>
      </c>
      <c r="I97" s="168">
        <f t="shared" si="6"/>
        <v>0</v>
      </c>
      <c r="J97" s="266">
        <f t="shared" si="7"/>
        <v>0</v>
      </c>
      <c r="K97" s="82"/>
      <c r="L97" s="82"/>
    </row>
    <row r="98" spans="2:12" s="1" customFormat="1" ht="12.75" x14ac:dyDescent="0.15">
      <c r="B98" s="82">
        <v>5</v>
      </c>
      <c r="C98" s="189"/>
      <c r="D98" s="206"/>
      <c r="E98" s="206"/>
      <c r="F98" s="168"/>
      <c r="G98" s="92"/>
      <c r="H98" s="92">
        <v>1</v>
      </c>
      <c r="I98" s="168">
        <f t="shared" si="6"/>
        <v>0</v>
      </c>
      <c r="J98" s="266">
        <f t="shared" si="7"/>
        <v>0</v>
      </c>
      <c r="K98" s="82"/>
      <c r="L98" s="82"/>
    </row>
    <row r="99" spans="2:12" s="1" customFormat="1" ht="12.75" x14ac:dyDescent="0.15">
      <c r="B99" s="82">
        <v>7</v>
      </c>
      <c r="C99" s="189"/>
      <c r="D99" s="206"/>
      <c r="E99" s="206"/>
      <c r="F99" s="168"/>
      <c r="G99" s="92"/>
      <c r="H99" s="92">
        <v>1</v>
      </c>
      <c r="I99" s="168">
        <f t="shared" si="6"/>
        <v>0</v>
      </c>
      <c r="J99" s="266">
        <f t="shared" si="7"/>
        <v>0</v>
      </c>
      <c r="K99" s="82"/>
      <c r="L99" s="82"/>
    </row>
    <row r="100" spans="2:12" s="1" customFormat="1" ht="12.75" x14ac:dyDescent="0.15">
      <c r="B100" s="82">
        <v>8</v>
      </c>
      <c r="C100" s="189"/>
      <c r="D100" s="206"/>
      <c r="E100" s="206"/>
      <c r="F100" s="168"/>
      <c r="G100" s="92"/>
      <c r="H100" s="92">
        <v>1</v>
      </c>
      <c r="I100" s="168">
        <f t="shared" si="6"/>
        <v>0</v>
      </c>
      <c r="J100" s="266">
        <f t="shared" si="7"/>
        <v>0</v>
      </c>
      <c r="K100" s="82"/>
      <c r="L100" s="82"/>
    </row>
    <row r="101" spans="2:12" s="1" customFormat="1" ht="12.75" x14ac:dyDescent="0.15">
      <c r="B101" s="82">
        <v>9</v>
      </c>
      <c r="C101" s="189"/>
      <c r="D101" s="206"/>
      <c r="E101" s="206"/>
      <c r="F101" s="168"/>
      <c r="G101" s="92"/>
      <c r="H101" s="92">
        <v>1</v>
      </c>
      <c r="I101" s="168">
        <f t="shared" si="6"/>
        <v>0</v>
      </c>
      <c r="J101" s="266">
        <f t="shared" si="7"/>
        <v>0</v>
      </c>
      <c r="K101" s="82"/>
      <c r="L101" s="82"/>
    </row>
    <row r="102" spans="2:12" s="1" customFormat="1" ht="12.75" x14ac:dyDescent="0.15">
      <c r="B102" s="82">
        <v>10</v>
      </c>
      <c r="C102" s="189"/>
      <c r="D102" s="206"/>
      <c r="E102" s="206"/>
      <c r="F102" s="168"/>
      <c r="G102" s="92"/>
      <c r="H102" s="92">
        <v>1</v>
      </c>
      <c r="I102" s="168">
        <f t="shared" si="6"/>
        <v>0</v>
      </c>
      <c r="J102" s="266">
        <f t="shared" si="7"/>
        <v>0</v>
      </c>
      <c r="K102" s="82"/>
      <c r="L102" s="82"/>
    </row>
    <row r="103" spans="2:12" s="1" customFormat="1" ht="12.75" x14ac:dyDescent="0.15">
      <c r="B103" s="82">
        <v>11</v>
      </c>
      <c r="C103" s="189"/>
      <c r="D103" s="206"/>
      <c r="E103" s="206"/>
      <c r="F103" s="168"/>
      <c r="G103" s="92"/>
      <c r="H103" s="92">
        <v>1</v>
      </c>
      <c r="I103" s="168"/>
      <c r="J103" s="266"/>
      <c r="K103" s="82"/>
      <c r="L103" s="82"/>
    </row>
    <row r="104" spans="2:12" s="1" customFormat="1" ht="12.75" x14ac:dyDescent="0.15">
      <c r="B104" s="82">
        <v>12</v>
      </c>
      <c r="C104" s="189"/>
      <c r="D104" s="206"/>
      <c r="E104" s="206"/>
      <c r="F104" s="168"/>
      <c r="G104" s="92"/>
      <c r="H104" s="92">
        <v>1</v>
      </c>
      <c r="I104" s="168"/>
      <c r="J104" s="266"/>
      <c r="K104" s="82"/>
      <c r="L104" s="82"/>
    </row>
    <row r="105" spans="2:12" s="1" customFormat="1" ht="12.75" x14ac:dyDescent="0.15">
      <c r="B105" s="82">
        <v>14</v>
      </c>
      <c r="C105" s="189"/>
      <c r="D105" s="206"/>
      <c r="E105" s="206"/>
      <c r="F105" s="168"/>
      <c r="G105" s="92"/>
      <c r="H105" s="92">
        <v>1</v>
      </c>
      <c r="I105" s="168">
        <f t="shared" ref="I105:I111" si="8">J105*$C$32</f>
        <v>0</v>
      </c>
      <c r="J105" s="266">
        <f t="shared" ref="J105:J106" si="9">(F105*G105*H105)/$C$32</f>
        <v>0</v>
      </c>
      <c r="K105" s="82"/>
      <c r="L105" s="82"/>
    </row>
    <row r="106" spans="2:12" s="1" customFormat="1" ht="12.75" x14ac:dyDescent="0.15">
      <c r="B106" s="82">
        <v>15</v>
      </c>
      <c r="C106" s="189"/>
      <c r="D106" s="206"/>
      <c r="E106" s="206"/>
      <c r="F106" s="168"/>
      <c r="G106" s="92"/>
      <c r="H106" s="92">
        <v>1</v>
      </c>
      <c r="I106" s="168">
        <f t="shared" si="8"/>
        <v>0</v>
      </c>
      <c r="J106" s="266">
        <f t="shared" si="9"/>
        <v>0</v>
      </c>
      <c r="K106" s="82"/>
      <c r="L106" s="82"/>
    </row>
    <row r="107" spans="2:12" s="1" customFormat="1" ht="12.75" x14ac:dyDescent="0.15">
      <c r="B107" s="82">
        <v>16</v>
      </c>
      <c r="C107" s="189"/>
      <c r="D107" s="206"/>
      <c r="E107" s="206"/>
      <c r="F107" s="168"/>
      <c r="G107" s="92"/>
      <c r="H107" s="92">
        <v>1</v>
      </c>
      <c r="I107" s="168">
        <f t="shared" si="8"/>
        <v>0</v>
      </c>
      <c r="J107" s="266">
        <f>(F107*G107*H107)/$C$32</f>
        <v>0</v>
      </c>
      <c r="K107" s="82"/>
      <c r="L107" s="82"/>
    </row>
    <row r="108" spans="2:12" s="1" customFormat="1" ht="12.75" x14ac:dyDescent="0.15">
      <c r="B108" s="82">
        <v>17</v>
      </c>
      <c r="C108" s="189"/>
      <c r="D108" s="206"/>
      <c r="E108" s="206"/>
      <c r="F108" s="168"/>
      <c r="G108" s="92"/>
      <c r="H108" s="92">
        <v>1</v>
      </c>
      <c r="I108" s="168">
        <f t="shared" si="8"/>
        <v>0</v>
      </c>
      <c r="J108" s="266">
        <f>(F108*G108*H108)/$C$32</f>
        <v>0</v>
      </c>
      <c r="K108" s="82"/>
      <c r="L108" s="82"/>
    </row>
    <row r="109" spans="2:12" s="1" customFormat="1" ht="12.75" x14ac:dyDescent="0.15">
      <c r="B109" s="82">
        <v>18</v>
      </c>
      <c r="C109" s="189"/>
      <c r="D109" s="206"/>
      <c r="E109" s="206"/>
      <c r="F109" s="168"/>
      <c r="G109" s="92"/>
      <c r="H109" s="92">
        <v>1</v>
      </c>
      <c r="I109" s="168">
        <f t="shared" si="8"/>
        <v>0</v>
      </c>
      <c r="J109" s="266">
        <f>(F109*G109*H109)/$C$32</f>
        <v>0</v>
      </c>
      <c r="K109" s="242"/>
      <c r="L109" s="82"/>
    </row>
    <row r="110" spans="2:12" s="1" customFormat="1" ht="12.75" x14ac:dyDescent="0.15">
      <c r="B110" s="82">
        <v>19</v>
      </c>
      <c r="C110" s="189"/>
      <c r="D110" s="206"/>
      <c r="E110" s="206"/>
      <c r="F110" s="168"/>
      <c r="G110" s="92"/>
      <c r="H110" s="92">
        <v>1</v>
      </c>
      <c r="I110" s="168">
        <f t="shared" si="8"/>
        <v>0</v>
      </c>
      <c r="J110" s="266">
        <f>(F110*G110*H110)/$C$32</f>
        <v>0</v>
      </c>
      <c r="K110" s="215"/>
      <c r="L110" s="82"/>
    </row>
    <row r="111" spans="2:12" s="1" customFormat="1" ht="12.75" x14ac:dyDescent="0.15">
      <c r="B111" s="82">
        <v>20</v>
      </c>
      <c r="C111" s="189"/>
      <c r="D111" s="206"/>
      <c r="E111" s="206"/>
      <c r="F111" s="168"/>
      <c r="G111" s="92"/>
      <c r="H111" s="92">
        <v>1</v>
      </c>
      <c r="I111" s="168">
        <f t="shared" si="8"/>
        <v>0</v>
      </c>
      <c r="J111" s="266">
        <f>(F111*G111*H111)/$C$32</f>
        <v>0</v>
      </c>
      <c r="K111" s="82"/>
      <c r="L111" s="82"/>
    </row>
    <row r="112" spans="2:12" s="1" customFormat="1" ht="12.75" x14ac:dyDescent="0.15">
      <c r="B112" s="82"/>
      <c r="C112" s="189"/>
      <c r="D112" s="206"/>
      <c r="E112" s="206"/>
      <c r="F112" s="168"/>
      <c r="G112" s="92"/>
      <c r="H112" s="92"/>
      <c r="I112" s="168"/>
      <c r="J112" s="266"/>
      <c r="K112" s="82"/>
      <c r="L112" s="82"/>
    </row>
    <row r="113" spans="2:12" s="1" customFormat="1" ht="12.75" x14ac:dyDescent="0.15">
      <c r="B113" s="82"/>
      <c r="C113" s="102"/>
      <c r="D113" s="103"/>
      <c r="E113" s="102"/>
      <c r="F113" s="128">
        <f>SUM(F79:F112)</f>
        <v>34036.163478000002</v>
      </c>
      <c r="G113" s="104"/>
      <c r="H113" s="105"/>
      <c r="I113" s="128">
        <f>SUM(I81:I112)</f>
        <v>11097.885217391306</v>
      </c>
      <c r="J113" s="257">
        <f>SUM(J78:J112)</f>
        <v>24.661967149758457</v>
      </c>
    </row>
    <row r="114" spans="2:12" s="1" customFormat="1" ht="12.75" x14ac:dyDescent="0.15">
      <c r="B114" s="82"/>
      <c r="C114" s="102"/>
      <c r="D114" s="103"/>
      <c r="E114" s="102" t="s">
        <v>147</v>
      </c>
      <c r="F114" s="128">
        <f>100/115*F113</f>
        <v>29596.663893913046</v>
      </c>
      <c r="G114" s="104"/>
      <c r="H114" s="105" t="s">
        <v>147</v>
      </c>
      <c r="I114" s="128">
        <f>100/115*I113</f>
        <v>9650.3349716446137</v>
      </c>
      <c r="J114" s="106"/>
    </row>
    <row r="115" spans="2:12" s="1" customFormat="1" ht="12.75" x14ac:dyDescent="0.15"/>
    <row r="116" spans="2:12" s="1" customFormat="1" ht="12.75" x14ac:dyDescent="0.15"/>
    <row r="117" spans="2:12" s="1" customFormat="1" ht="12.75" x14ac:dyDescent="0.15"/>
    <row r="118" spans="2:12" s="1" customFormat="1" ht="12.75" x14ac:dyDescent="0.15"/>
    <row r="119" spans="2:12" s="247" customFormat="1" ht="32.25" x14ac:dyDescent="0.4">
      <c r="B119" s="248"/>
      <c r="C119" s="380" t="s">
        <v>112</v>
      </c>
      <c r="D119" s="380"/>
      <c r="E119" s="428" t="s">
        <v>151</v>
      </c>
      <c r="F119" s="428"/>
      <c r="G119" s="428"/>
      <c r="H119" s="428"/>
      <c r="I119" s="428"/>
      <c r="J119" s="382">
        <v>2026</v>
      </c>
      <c r="K119" s="382"/>
      <c r="L119" s="382"/>
    </row>
    <row r="120" spans="2:12" s="1" customFormat="1" ht="22.5" x14ac:dyDescent="0.15">
      <c r="B120" s="82"/>
      <c r="C120" s="102" t="s">
        <v>114</v>
      </c>
      <c r="D120" s="388" t="s">
        <v>115</v>
      </c>
      <c r="E120" s="388"/>
      <c r="F120" s="102" t="s">
        <v>116</v>
      </c>
      <c r="G120" s="102" t="s">
        <v>117</v>
      </c>
      <c r="H120" s="102" t="s">
        <v>118</v>
      </c>
      <c r="I120" s="102" t="s">
        <v>119</v>
      </c>
      <c r="J120" s="102" t="s">
        <v>120</v>
      </c>
      <c r="K120" s="82"/>
      <c r="L120" s="82"/>
    </row>
    <row r="121" spans="2:12" s="1" customFormat="1" ht="12.75" x14ac:dyDescent="0.15">
      <c r="B121" s="2"/>
      <c r="C121" s="220">
        <f>C76</f>
        <v>450</v>
      </c>
      <c r="D121" s="399">
        <v>21</v>
      </c>
      <c r="E121" s="399"/>
      <c r="F121" s="208">
        <f>F76</f>
        <v>0.8</v>
      </c>
      <c r="G121" s="209">
        <f>G76</f>
        <v>8</v>
      </c>
      <c r="H121" s="210">
        <f>D121*G121*F121</f>
        <v>134.4</v>
      </c>
      <c r="I121" s="216">
        <f>I182</f>
        <v>0</v>
      </c>
      <c r="J121" s="211">
        <f>H121-J182</f>
        <v>134.4</v>
      </c>
      <c r="K121" s="120"/>
      <c r="L121" s="120"/>
    </row>
    <row r="122" spans="2:12" s="1" customFormat="1" ht="33.75" x14ac:dyDescent="0.15">
      <c r="B122" s="2"/>
      <c r="C122" s="167" t="s">
        <v>121</v>
      </c>
      <c r="D122" s="395" t="s">
        <v>122</v>
      </c>
      <c r="E122" s="395"/>
      <c r="F122" s="177" t="s">
        <v>123</v>
      </c>
      <c r="G122" s="198" t="s">
        <v>124</v>
      </c>
      <c r="H122" s="15" t="s">
        <v>125</v>
      </c>
      <c r="I122" s="217" t="s">
        <v>126</v>
      </c>
      <c r="J122" s="178" t="s">
        <v>127</v>
      </c>
      <c r="K122" s="114" t="s">
        <v>128</v>
      </c>
      <c r="L122" s="114" t="s">
        <v>129</v>
      </c>
    </row>
    <row r="123" spans="2:12" s="1" customFormat="1" ht="12.75" x14ac:dyDescent="0.15">
      <c r="B123" s="2"/>
      <c r="C123" s="89"/>
      <c r="D123" s="391"/>
      <c r="E123" s="391"/>
      <c r="F123" s="91"/>
      <c r="G123" s="199"/>
      <c r="H123" s="9"/>
      <c r="I123" s="218"/>
      <c r="J123" s="94"/>
      <c r="K123" s="82"/>
      <c r="L123" s="82"/>
    </row>
    <row r="124" spans="2:12" s="1" customFormat="1" ht="13.35" customHeight="1" x14ac:dyDescent="0.15">
      <c r="B124" s="2"/>
      <c r="C124" s="392" t="s">
        <v>130</v>
      </c>
      <c r="D124" s="392"/>
      <c r="E124" s="392"/>
      <c r="F124" s="184"/>
      <c r="G124" s="200"/>
      <c r="H124" s="9"/>
      <c r="I124" s="218"/>
      <c r="J124" s="94"/>
      <c r="K124" s="82"/>
      <c r="L124" s="82"/>
    </row>
    <row r="125" spans="2:12" s="1" customFormat="1" ht="13.35" customHeight="1" x14ac:dyDescent="0.15">
      <c r="B125" s="2"/>
      <c r="C125" s="167" t="s">
        <v>152</v>
      </c>
      <c r="D125" s="167"/>
      <c r="E125" s="167"/>
      <c r="F125" s="168"/>
      <c r="G125" s="200"/>
      <c r="H125" s="9"/>
      <c r="I125" s="218"/>
      <c r="J125" s="323"/>
      <c r="K125" s="82"/>
      <c r="L125" s="82"/>
    </row>
    <row r="126" spans="2:12" s="1" customFormat="1" ht="12.75" customHeight="1" x14ac:dyDescent="0.15">
      <c r="B126" s="2">
        <v>1</v>
      </c>
      <c r="C126" s="203"/>
      <c r="D126" s="391"/>
      <c r="E126" s="391"/>
      <c r="F126" s="168"/>
      <c r="G126" s="200"/>
      <c r="H126" s="9">
        <v>1</v>
      </c>
      <c r="I126" s="218">
        <f>J126*$C$32</f>
        <v>0</v>
      </c>
      <c r="J126" s="323">
        <f t="shared" ref="J126:J180" si="10">(F126*G126*H126)/$C$32</f>
        <v>0</v>
      </c>
      <c r="K126" s="82"/>
      <c r="L126" s="82"/>
    </row>
    <row r="127" spans="2:12" s="1" customFormat="1" ht="12.75" customHeight="1" x14ac:dyDescent="0.15">
      <c r="B127" s="2">
        <v>2</v>
      </c>
      <c r="C127" s="203"/>
      <c r="D127" s="391"/>
      <c r="E127" s="391"/>
      <c r="F127" s="168"/>
      <c r="G127" s="200"/>
      <c r="H127" s="9">
        <v>1</v>
      </c>
      <c r="I127" s="218">
        <f>J127*$C$32</f>
        <v>0</v>
      </c>
      <c r="J127" s="323">
        <f t="shared" si="10"/>
        <v>0</v>
      </c>
      <c r="K127" s="82"/>
      <c r="L127" s="82"/>
    </row>
    <row r="128" spans="2:12" s="1" customFormat="1" ht="12.75" customHeight="1" x14ac:dyDescent="0.15">
      <c r="B128" s="2">
        <v>3</v>
      </c>
      <c r="C128" s="203"/>
      <c r="D128" s="90"/>
      <c r="E128" s="90"/>
      <c r="F128" s="168"/>
      <c r="G128" s="200"/>
      <c r="H128" s="9">
        <v>1</v>
      </c>
      <c r="I128" s="218">
        <f t="shared" ref="I128:I180" si="11">J128*$C$32</f>
        <v>0</v>
      </c>
      <c r="J128" s="323">
        <f t="shared" si="10"/>
        <v>0</v>
      </c>
      <c r="K128" s="82"/>
      <c r="L128" s="82"/>
    </row>
    <row r="129" spans="2:12" s="1" customFormat="1" ht="12.75" customHeight="1" x14ac:dyDescent="0.15">
      <c r="B129" s="2">
        <v>4</v>
      </c>
      <c r="C129" s="203"/>
      <c r="D129" s="90"/>
      <c r="E129" s="90"/>
      <c r="F129" s="168"/>
      <c r="G129" s="200"/>
      <c r="H129" s="9">
        <v>1</v>
      </c>
      <c r="I129" s="218">
        <f t="shared" si="11"/>
        <v>0</v>
      </c>
      <c r="J129" s="323">
        <f t="shared" si="10"/>
        <v>0</v>
      </c>
      <c r="K129" s="82"/>
      <c r="L129" s="82"/>
    </row>
    <row r="130" spans="2:12" s="1" customFormat="1" ht="12.75" customHeight="1" x14ac:dyDescent="0.15">
      <c r="B130" s="2">
        <v>5</v>
      </c>
      <c r="C130" s="203"/>
      <c r="D130" s="90"/>
      <c r="E130" s="90"/>
      <c r="F130" s="168"/>
      <c r="G130" s="200"/>
      <c r="H130" s="9">
        <v>1</v>
      </c>
      <c r="I130" s="218">
        <f t="shared" si="11"/>
        <v>0</v>
      </c>
      <c r="J130" s="323">
        <f t="shared" si="10"/>
        <v>0</v>
      </c>
      <c r="K130" s="82"/>
      <c r="L130" s="82"/>
    </row>
    <row r="131" spans="2:12" s="1" customFormat="1" ht="12.75" customHeight="1" x14ac:dyDescent="0.15">
      <c r="B131" s="2">
        <v>6</v>
      </c>
      <c r="C131" s="203"/>
      <c r="D131" s="90"/>
      <c r="E131" s="90"/>
      <c r="F131" s="168"/>
      <c r="G131" s="200"/>
      <c r="H131" s="9">
        <v>1</v>
      </c>
      <c r="I131" s="218">
        <f t="shared" si="11"/>
        <v>0</v>
      </c>
      <c r="J131" s="323">
        <f t="shared" si="10"/>
        <v>0</v>
      </c>
      <c r="K131" s="82"/>
      <c r="L131" s="82"/>
    </row>
    <row r="132" spans="2:12" s="1" customFormat="1" ht="12.75" customHeight="1" x14ac:dyDescent="0.15">
      <c r="B132" s="2">
        <v>7</v>
      </c>
      <c r="C132" s="203"/>
      <c r="D132" s="90"/>
      <c r="E132" s="90"/>
      <c r="F132" s="168"/>
      <c r="G132" s="200"/>
      <c r="H132" s="9">
        <v>1</v>
      </c>
      <c r="I132" s="218">
        <f t="shared" si="11"/>
        <v>0</v>
      </c>
      <c r="J132" s="323">
        <f t="shared" si="10"/>
        <v>0</v>
      </c>
      <c r="K132" s="82"/>
      <c r="L132" s="82"/>
    </row>
    <row r="133" spans="2:12" s="1" customFormat="1" ht="12.75" customHeight="1" x14ac:dyDescent="0.15">
      <c r="B133" s="2">
        <v>8</v>
      </c>
      <c r="C133" s="203"/>
      <c r="D133" s="90"/>
      <c r="E133" s="90"/>
      <c r="F133" s="168"/>
      <c r="G133" s="200"/>
      <c r="H133" s="9">
        <v>1</v>
      </c>
      <c r="I133" s="218">
        <f t="shared" si="11"/>
        <v>0</v>
      </c>
      <c r="J133" s="323">
        <f t="shared" si="10"/>
        <v>0</v>
      </c>
      <c r="K133" s="82"/>
      <c r="L133" s="82"/>
    </row>
    <row r="134" spans="2:12" s="1" customFormat="1" ht="12.75" customHeight="1" x14ac:dyDescent="0.15">
      <c r="B134" s="2">
        <v>9</v>
      </c>
      <c r="C134" s="203"/>
      <c r="D134" s="90"/>
      <c r="E134" s="90"/>
      <c r="F134" s="168"/>
      <c r="G134" s="200"/>
      <c r="H134" s="9">
        <v>1</v>
      </c>
      <c r="I134" s="218">
        <f t="shared" si="11"/>
        <v>0</v>
      </c>
      <c r="J134" s="323">
        <f t="shared" si="10"/>
        <v>0</v>
      </c>
      <c r="K134" s="82"/>
      <c r="L134" s="82"/>
    </row>
    <row r="135" spans="2:12" s="1" customFormat="1" ht="12.75" customHeight="1" x14ac:dyDescent="0.15">
      <c r="B135" s="2">
        <v>10</v>
      </c>
      <c r="C135" s="203"/>
      <c r="D135" s="90"/>
      <c r="E135" s="90"/>
      <c r="F135" s="168"/>
      <c r="G135" s="200"/>
      <c r="H135" s="9">
        <v>1</v>
      </c>
      <c r="I135" s="218">
        <f t="shared" si="11"/>
        <v>0</v>
      </c>
      <c r="J135" s="323">
        <f t="shared" si="10"/>
        <v>0</v>
      </c>
      <c r="K135" s="82"/>
      <c r="L135" s="82"/>
    </row>
    <row r="136" spans="2:12" s="1" customFormat="1" ht="12.75" customHeight="1" x14ac:dyDescent="0.15">
      <c r="B136" s="2"/>
      <c r="C136" s="203"/>
      <c r="D136" s="90"/>
      <c r="E136" s="90"/>
      <c r="F136" s="168"/>
      <c r="G136" s="200"/>
      <c r="H136" s="9">
        <v>1</v>
      </c>
      <c r="I136" s="218">
        <f t="shared" si="11"/>
        <v>0</v>
      </c>
      <c r="J136" s="323">
        <f t="shared" si="10"/>
        <v>0</v>
      </c>
      <c r="K136" s="82"/>
      <c r="L136" s="82"/>
    </row>
    <row r="137" spans="2:12" s="1" customFormat="1" ht="12.75" customHeight="1" x14ac:dyDescent="0.15">
      <c r="B137" s="2"/>
      <c r="C137" s="203"/>
      <c r="D137" s="391"/>
      <c r="E137" s="391"/>
      <c r="F137" s="168"/>
      <c r="G137" s="200"/>
      <c r="H137" s="9"/>
      <c r="I137" s="218"/>
      <c r="J137" s="323"/>
      <c r="K137" s="82"/>
      <c r="L137" s="82"/>
    </row>
    <row r="138" spans="2:12" s="1" customFormat="1" ht="12.75" customHeight="1" x14ac:dyDescent="0.15">
      <c r="B138" s="2"/>
      <c r="C138" s="187" t="s">
        <v>153</v>
      </c>
      <c r="D138" s="391"/>
      <c r="E138" s="391"/>
      <c r="F138" s="168"/>
      <c r="G138" s="200"/>
      <c r="H138" s="9"/>
      <c r="I138" s="218"/>
      <c r="J138" s="323"/>
      <c r="K138" s="82"/>
      <c r="L138" s="82"/>
    </row>
    <row r="139" spans="2:12" s="1" customFormat="1" ht="15" customHeight="1" x14ac:dyDescent="0.15">
      <c r="B139" s="2">
        <v>1</v>
      </c>
      <c r="C139" s="188"/>
      <c r="D139" s="204"/>
      <c r="E139" s="204"/>
      <c r="F139" s="168"/>
      <c r="G139" s="200"/>
      <c r="H139" s="9">
        <v>1</v>
      </c>
      <c r="I139" s="218">
        <f t="shared" si="11"/>
        <v>0</v>
      </c>
      <c r="J139" s="323">
        <f t="shared" si="10"/>
        <v>0</v>
      </c>
      <c r="K139" s="82"/>
      <c r="L139" s="82"/>
    </row>
    <row r="140" spans="2:12" s="1" customFormat="1" ht="13.35" customHeight="1" x14ac:dyDescent="0.15">
      <c r="B140" s="2">
        <v>2</v>
      </c>
      <c r="C140" s="188"/>
      <c r="D140" s="204"/>
      <c r="E140" s="204"/>
      <c r="F140" s="168"/>
      <c r="G140" s="200"/>
      <c r="H140" s="9">
        <v>1</v>
      </c>
      <c r="I140" s="218">
        <f t="shared" si="11"/>
        <v>0</v>
      </c>
      <c r="J140" s="323">
        <f t="shared" si="10"/>
        <v>0</v>
      </c>
      <c r="K140" s="82"/>
      <c r="L140" s="82"/>
    </row>
    <row r="141" spans="2:12" s="1" customFormat="1" ht="13.35" customHeight="1" x14ac:dyDescent="0.15">
      <c r="B141" s="2">
        <v>3</v>
      </c>
      <c r="C141" s="189"/>
      <c r="D141" s="204"/>
      <c r="E141" s="204"/>
      <c r="F141" s="168"/>
      <c r="G141" s="200"/>
      <c r="H141" s="9">
        <v>1</v>
      </c>
      <c r="I141" s="218">
        <f t="shared" si="11"/>
        <v>0</v>
      </c>
      <c r="J141" s="323">
        <f t="shared" si="10"/>
        <v>0</v>
      </c>
      <c r="K141" s="82"/>
      <c r="L141" s="82"/>
    </row>
    <row r="142" spans="2:12" s="1" customFormat="1" ht="13.35" customHeight="1" x14ac:dyDescent="0.15">
      <c r="B142" s="2">
        <v>5</v>
      </c>
      <c r="C142" s="188"/>
      <c r="D142" s="205"/>
      <c r="E142" s="205"/>
      <c r="F142" s="168"/>
      <c r="G142" s="200"/>
      <c r="H142" s="9">
        <v>1</v>
      </c>
      <c r="I142" s="218">
        <f t="shared" si="11"/>
        <v>0</v>
      </c>
      <c r="J142" s="323">
        <f t="shared" si="10"/>
        <v>0</v>
      </c>
      <c r="K142" s="82"/>
      <c r="L142" s="82"/>
    </row>
    <row r="143" spans="2:12" s="1" customFormat="1" ht="13.35" customHeight="1" x14ac:dyDescent="0.15">
      <c r="B143" s="2">
        <v>6</v>
      </c>
      <c r="C143" s="188"/>
      <c r="D143" s="204"/>
      <c r="E143" s="204"/>
      <c r="F143" s="168"/>
      <c r="G143" s="200"/>
      <c r="H143" s="9">
        <v>1</v>
      </c>
      <c r="I143" s="218">
        <f t="shared" si="11"/>
        <v>0</v>
      </c>
      <c r="J143" s="323">
        <f t="shared" si="10"/>
        <v>0</v>
      </c>
      <c r="K143" s="82"/>
      <c r="L143" s="82"/>
    </row>
    <row r="144" spans="2:12" s="1" customFormat="1" ht="13.35" customHeight="1" x14ac:dyDescent="0.15">
      <c r="B144" s="2">
        <v>7</v>
      </c>
      <c r="C144" s="188"/>
      <c r="D144" s="204"/>
      <c r="E144" s="204"/>
      <c r="F144" s="168"/>
      <c r="G144" s="200"/>
      <c r="H144" s="9">
        <v>1</v>
      </c>
      <c r="I144" s="168">
        <f t="shared" si="11"/>
        <v>0</v>
      </c>
      <c r="J144" s="323">
        <f t="shared" si="10"/>
        <v>0</v>
      </c>
      <c r="K144" s="82"/>
      <c r="L144" s="82"/>
    </row>
    <row r="145" spans="2:12" s="1" customFormat="1" ht="13.35" customHeight="1" x14ac:dyDescent="0.15">
      <c r="B145" s="2">
        <v>8</v>
      </c>
      <c r="C145" s="188"/>
      <c r="D145" s="206"/>
      <c r="E145" s="206"/>
      <c r="F145" s="168"/>
      <c r="G145" s="200"/>
      <c r="H145" s="9">
        <v>1</v>
      </c>
      <c r="I145" s="168">
        <f t="shared" si="11"/>
        <v>0</v>
      </c>
      <c r="J145" s="323">
        <f t="shared" si="10"/>
        <v>0</v>
      </c>
      <c r="K145" s="82"/>
      <c r="L145" s="82"/>
    </row>
    <row r="146" spans="2:12" s="1" customFormat="1" ht="13.35" customHeight="1" x14ac:dyDescent="0.15">
      <c r="B146" s="2">
        <v>9</v>
      </c>
      <c r="C146" s="113"/>
      <c r="D146" s="206"/>
      <c r="E146" s="206"/>
      <c r="F146" s="168"/>
      <c r="G146" s="200"/>
      <c r="H146" s="9">
        <v>1</v>
      </c>
      <c r="I146" s="168">
        <f>J146*$C$32</f>
        <v>0</v>
      </c>
      <c r="J146" s="323">
        <f t="shared" si="10"/>
        <v>0</v>
      </c>
      <c r="K146" s="82"/>
      <c r="L146" s="82"/>
    </row>
    <row r="147" spans="2:12" s="1" customFormat="1" ht="13.35" customHeight="1" x14ac:dyDescent="0.15">
      <c r="B147" s="2">
        <v>10</v>
      </c>
      <c r="C147" s="188"/>
      <c r="D147" s="204"/>
      <c r="E147" s="204"/>
      <c r="F147" s="168"/>
      <c r="G147" s="200"/>
      <c r="H147" s="9">
        <v>1</v>
      </c>
      <c r="I147" s="168">
        <f t="shared" si="11"/>
        <v>0</v>
      </c>
      <c r="J147" s="323">
        <f t="shared" si="10"/>
        <v>0</v>
      </c>
      <c r="K147" s="82"/>
      <c r="L147" s="82"/>
    </row>
    <row r="148" spans="2:12" s="1" customFormat="1" ht="13.35" customHeight="1" x14ac:dyDescent="0.15">
      <c r="B148" s="2">
        <v>11</v>
      </c>
      <c r="C148" s="188"/>
      <c r="D148" s="204"/>
      <c r="E148" s="204"/>
      <c r="F148" s="168"/>
      <c r="G148" s="200"/>
      <c r="H148" s="9">
        <v>1</v>
      </c>
      <c r="I148" s="168">
        <f t="shared" si="11"/>
        <v>0</v>
      </c>
      <c r="J148" s="323">
        <f t="shared" si="10"/>
        <v>0</v>
      </c>
      <c r="K148" s="82"/>
      <c r="L148" s="82"/>
    </row>
    <row r="149" spans="2:12" s="1" customFormat="1" ht="13.35" customHeight="1" x14ac:dyDescent="0.15">
      <c r="B149" s="2">
        <v>12</v>
      </c>
      <c r="C149" s="188"/>
      <c r="D149" s="204"/>
      <c r="E149" s="204"/>
      <c r="F149" s="168"/>
      <c r="G149" s="200"/>
      <c r="H149" s="9">
        <v>1</v>
      </c>
      <c r="I149" s="168">
        <f t="shared" si="11"/>
        <v>0</v>
      </c>
      <c r="J149" s="323">
        <f t="shared" si="10"/>
        <v>0</v>
      </c>
      <c r="K149" s="82"/>
      <c r="L149" s="82"/>
    </row>
    <row r="150" spans="2:12" s="1" customFormat="1" ht="13.35" customHeight="1" x14ac:dyDescent="0.15">
      <c r="B150" s="2">
        <v>13</v>
      </c>
      <c r="C150" s="188"/>
      <c r="D150" s="204"/>
      <c r="E150" s="204"/>
      <c r="F150" s="168"/>
      <c r="G150" s="200"/>
      <c r="H150" s="9">
        <v>1</v>
      </c>
      <c r="I150" s="168">
        <f t="shared" si="11"/>
        <v>0</v>
      </c>
      <c r="J150" s="323">
        <f t="shared" si="10"/>
        <v>0</v>
      </c>
      <c r="K150" s="82"/>
      <c r="L150" s="82"/>
    </row>
    <row r="151" spans="2:12" s="1" customFormat="1" ht="13.35" customHeight="1" x14ac:dyDescent="0.15">
      <c r="B151" s="2">
        <v>14</v>
      </c>
      <c r="C151" s="188"/>
      <c r="D151" s="204"/>
      <c r="E151" s="204"/>
      <c r="F151" s="168"/>
      <c r="G151" s="200"/>
      <c r="H151" s="9">
        <v>1</v>
      </c>
      <c r="I151" s="168">
        <f t="shared" si="11"/>
        <v>0</v>
      </c>
      <c r="J151" s="323">
        <f t="shared" si="10"/>
        <v>0</v>
      </c>
      <c r="K151" s="82"/>
      <c r="L151" s="82"/>
    </row>
    <row r="152" spans="2:12" s="1" customFormat="1" ht="13.35" customHeight="1" x14ac:dyDescent="0.15">
      <c r="B152" s="2">
        <v>15</v>
      </c>
      <c r="C152" s="189"/>
      <c r="D152" s="204"/>
      <c r="E152" s="206"/>
      <c r="F152" s="168"/>
      <c r="G152" s="200"/>
      <c r="H152" s="9">
        <v>1</v>
      </c>
      <c r="I152" s="168">
        <f t="shared" si="11"/>
        <v>0</v>
      </c>
      <c r="J152" s="323">
        <f t="shared" si="10"/>
        <v>0</v>
      </c>
      <c r="K152" s="82"/>
      <c r="L152" s="82"/>
    </row>
    <row r="153" spans="2:12" s="1" customFormat="1" ht="13.35" customHeight="1" x14ac:dyDescent="0.15">
      <c r="B153" s="2">
        <v>16</v>
      </c>
      <c r="C153" s="189"/>
      <c r="D153" s="206"/>
      <c r="E153" s="206"/>
      <c r="F153" s="168"/>
      <c r="G153" s="200"/>
      <c r="H153" s="9">
        <v>1</v>
      </c>
      <c r="I153" s="168">
        <f t="shared" si="11"/>
        <v>0</v>
      </c>
      <c r="J153" s="323">
        <f t="shared" si="10"/>
        <v>0</v>
      </c>
      <c r="K153" s="82"/>
      <c r="L153" s="82"/>
    </row>
    <row r="154" spans="2:12" s="1" customFormat="1" ht="14.45" customHeight="1" x14ac:dyDescent="0.15">
      <c r="B154" s="2">
        <v>17</v>
      </c>
      <c r="C154" s="189"/>
      <c r="D154" s="206"/>
      <c r="E154" s="206"/>
      <c r="F154" s="219"/>
      <c r="G154" s="200"/>
      <c r="H154" s="9">
        <v>1</v>
      </c>
      <c r="I154" s="168">
        <f t="shared" si="11"/>
        <v>0</v>
      </c>
      <c r="J154" s="323">
        <f t="shared" si="10"/>
        <v>0</v>
      </c>
      <c r="K154" s="82"/>
      <c r="L154" s="82"/>
    </row>
    <row r="155" spans="2:12" s="1" customFormat="1" ht="13.35" customHeight="1" x14ac:dyDescent="0.15">
      <c r="B155" s="2">
        <v>18</v>
      </c>
      <c r="C155" s="189"/>
      <c r="D155" s="206"/>
      <c r="E155" s="206"/>
      <c r="F155" s="168"/>
      <c r="G155" s="200"/>
      <c r="H155" s="9">
        <v>1</v>
      </c>
      <c r="I155" s="168">
        <f t="shared" si="11"/>
        <v>0</v>
      </c>
      <c r="J155" s="323">
        <f t="shared" si="10"/>
        <v>0</v>
      </c>
      <c r="K155" s="82"/>
      <c r="L155" s="82"/>
    </row>
    <row r="156" spans="2:12" s="1" customFormat="1" ht="13.35" customHeight="1" x14ac:dyDescent="0.15">
      <c r="B156" s="2">
        <v>19</v>
      </c>
      <c r="C156" s="189"/>
      <c r="D156" s="206"/>
      <c r="E156" s="206"/>
      <c r="F156" s="168"/>
      <c r="G156" s="200"/>
      <c r="H156" s="9">
        <v>1</v>
      </c>
      <c r="I156" s="168">
        <f t="shared" si="11"/>
        <v>0</v>
      </c>
      <c r="J156" s="323">
        <f t="shared" si="10"/>
        <v>0</v>
      </c>
      <c r="K156" s="82"/>
      <c r="L156" s="82"/>
    </row>
    <row r="157" spans="2:12" s="1" customFormat="1" ht="13.35" customHeight="1" x14ac:dyDescent="0.15">
      <c r="B157" s="2">
        <v>20</v>
      </c>
      <c r="C157" s="189"/>
      <c r="D157" s="206"/>
      <c r="E157" s="206"/>
      <c r="F157" s="168"/>
      <c r="G157" s="200"/>
      <c r="H157" s="9">
        <v>1</v>
      </c>
      <c r="I157" s="168">
        <f t="shared" si="11"/>
        <v>0</v>
      </c>
      <c r="J157" s="323">
        <f t="shared" si="10"/>
        <v>0</v>
      </c>
      <c r="K157" s="82"/>
      <c r="L157" s="82"/>
    </row>
    <row r="158" spans="2:12" s="1" customFormat="1" ht="12.75" x14ac:dyDescent="0.15">
      <c r="B158" s="2"/>
      <c r="C158" s="89"/>
      <c r="D158" s="90"/>
      <c r="E158" s="90"/>
      <c r="F158" s="168"/>
      <c r="G158" s="200"/>
      <c r="H158" s="9"/>
      <c r="I158" s="168"/>
      <c r="J158" s="323"/>
      <c r="K158" s="82"/>
      <c r="L158" s="82"/>
    </row>
    <row r="159" spans="2:12" s="1" customFormat="1" ht="12.75" x14ac:dyDescent="0.15">
      <c r="B159" s="2"/>
      <c r="C159" s="203"/>
      <c r="D159" s="169"/>
      <c r="E159" s="169"/>
      <c r="F159" s="168"/>
      <c r="G159" s="200"/>
      <c r="H159" s="9"/>
      <c r="I159" s="168"/>
      <c r="J159" s="323"/>
      <c r="K159" s="82"/>
      <c r="L159" s="82"/>
    </row>
    <row r="160" spans="2:12" s="1" customFormat="1" ht="12.75" x14ac:dyDescent="0.15">
      <c r="B160" s="2"/>
      <c r="C160" s="167" t="s">
        <v>154</v>
      </c>
      <c r="D160" s="391"/>
      <c r="E160" s="391"/>
      <c r="F160" s="168"/>
      <c r="G160" s="200"/>
      <c r="H160" s="9"/>
      <c r="I160" s="168"/>
      <c r="J160" s="323"/>
      <c r="K160" s="82"/>
      <c r="L160" s="82"/>
    </row>
    <row r="161" spans="2:12" s="1" customFormat="1" ht="12.75" x14ac:dyDescent="0.15">
      <c r="B161" s="2">
        <v>1</v>
      </c>
      <c r="C161" s="207"/>
      <c r="D161" s="391"/>
      <c r="E161" s="391"/>
      <c r="F161" s="168"/>
      <c r="G161" s="200"/>
      <c r="H161" s="9">
        <v>1</v>
      </c>
      <c r="I161" s="168">
        <f t="shared" si="11"/>
        <v>0</v>
      </c>
      <c r="J161" s="323">
        <f t="shared" si="10"/>
        <v>0</v>
      </c>
      <c r="K161" s="82"/>
      <c r="L161" s="82"/>
    </row>
    <row r="162" spans="2:12" s="1" customFormat="1" ht="12.75" x14ac:dyDescent="0.15">
      <c r="B162" s="2">
        <v>2</v>
      </c>
      <c r="C162" s="403"/>
      <c r="D162" s="403"/>
      <c r="E162" s="403"/>
      <c r="F162" s="168"/>
      <c r="G162" s="200"/>
      <c r="H162" s="9">
        <v>1</v>
      </c>
      <c r="I162" s="168">
        <f t="shared" si="11"/>
        <v>0</v>
      </c>
      <c r="J162" s="323">
        <f t="shared" si="10"/>
        <v>0</v>
      </c>
      <c r="K162" s="82"/>
      <c r="L162" s="82"/>
    </row>
    <row r="163" spans="2:12" s="1" customFormat="1" ht="12.75" x14ac:dyDescent="0.15">
      <c r="B163" s="2">
        <f>B162+1</f>
        <v>3</v>
      </c>
      <c r="C163" s="183"/>
      <c r="D163" s="89"/>
      <c r="E163" s="89"/>
      <c r="F163" s="168"/>
      <c r="G163" s="200"/>
      <c r="H163" s="9">
        <v>1</v>
      </c>
      <c r="I163" s="168">
        <f t="shared" si="11"/>
        <v>0</v>
      </c>
      <c r="J163" s="323">
        <f t="shared" si="10"/>
        <v>0</v>
      </c>
      <c r="K163" s="82"/>
      <c r="L163" s="82"/>
    </row>
    <row r="164" spans="2:12" s="1" customFormat="1" ht="12.75" x14ac:dyDescent="0.15">
      <c r="B164" s="2">
        <f>B163+1</f>
        <v>4</v>
      </c>
      <c r="C164" s="89"/>
      <c r="D164" s="89"/>
      <c r="E164" s="89"/>
      <c r="F164" s="168"/>
      <c r="G164" s="200"/>
      <c r="H164" s="9">
        <v>1</v>
      </c>
      <c r="I164" s="168">
        <f t="shared" si="11"/>
        <v>0</v>
      </c>
      <c r="J164" s="323">
        <f t="shared" si="10"/>
        <v>0</v>
      </c>
      <c r="K164" s="82"/>
      <c r="L164" s="82"/>
    </row>
    <row r="165" spans="2:12" s="1" customFormat="1" ht="12.75" x14ac:dyDescent="0.15">
      <c r="B165" s="2">
        <f>B164+1</f>
        <v>5</v>
      </c>
      <c r="C165" s="89"/>
      <c r="D165" s="391"/>
      <c r="E165" s="391"/>
      <c r="F165" s="168"/>
      <c r="G165" s="200"/>
      <c r="H165" s="9">
        <v>1</v>
      </c>
      <c r="I165" s="168">
        <f t="shared" si="11"/>
        <v>0</v>
      </c>
      <c r="J165" s="323">
        <f t="shared" si="10"/>
        <v>0</v>
      </c>
      <c r="K165" s="82"/>
      <c r="L165" s="82"/>
    </row>
    <row r="166" spans="2:12" s="1" customFormat="1" ht="12.75" x14ac:dyDescent="0.15">
      <c r="B166" s="2">
        <f>B165+1</f>
        <v>6</v>
      </c>
      <c r="C166" s="392"/>
      <c r="D166" s="392"/>
      <c r="E166" s="392"/>
      <c r="F166" s="168"/>
      <c r="G166" s="200"/>
      <c r="H166" s="9">
        <v>1</v>
      </c>
      <c r="I166" s="168">
        <f t="shared" si="11"/>
        <v>0</v>
      </c>
      <c r="J166" s="323">
        <f t="shared" si="10"/>
        <v>0</v>
      </c>
      <c r="K166" s="82"/>
      <c r="L166" s="82"/>
    </row>
    <row r="167" spans="2:12" s="1" customFormat="1" ht="12.75" x14ac:dyDescent="0.15">
      <c r="B167" s="2">
        <f t="shared" ref="B167:B169" si="12">B166+1</f>
        <v>7</v>
      </c>
      <c r="C167" s="183"/>
      <c r="D167" s="391"/>
      <c r="E167" s="391"/>
      <c r="F167" s="168"/>
      <c r="G167" s="200"/>
      <c r="H167" s="9">
        <v>1</v>
      </c>
      <c r="I167" s="168">
        <f t="shared" si="11"/>
        <v>0</v>
      </c>
      <c r="J167" s="323">
        <f t="shared" si="10"/>
        <v>0</v>
      </c>
      <c r="K167" s="82"/>
      <c r="L167" s="82"/>
    </row>
    <row r="168" spans="2:12" s="1" customFormat="1" ht="12.75" x14ac:dyDescent="0.15">
      <c r="B168" s="2">
        <f t="shared" si="12"/>
        <v>8</v>
      </c>
      <c r="C168" s="183"/>
      <c r="D168" s="391"/>
      <c r="E168" s="391"/>
      <c r="F168" s="168"/>
      <c r="G168" s="200"/>
      <c r="H168" s="9">
        <v>1</v>
      </c>
      <c r="I168" s="168">
        <f t="shared" si="11"/>
        <v>0</v>
      </c>
      <c r="J168" s="323">
        <f t="shared" si="10"/>
        <v>0</v>
      </c>
      <c r="K168" s="82"/>
      <c r="L168" s="82"/>
    </row>
    <row r="169" spans="2:12" s="1" customFormat="1" ht="12.75" x14ac:dyDescent="0.15">
      <c r="B169" s="2">
        <f t="shared" si="12"/>
        <v>9</v>
      </c>
      <c r="C169" s="183"/>
      <c r="D169" s="391"/>
      <c r="E169" s="391"/>
      <c r="F169" s="168"/>
      <c r="G169" s="200"/>
      <c r="H169" s="9">
        <v>1</v>
      </c>
      <c r="I169" s="168">
        <f t="shared" si="11"/>
        <v>0</v>
      </c>
      <c r="J169" s="323">
        <f t="shared" si="10"/>
        <v>0</v>
      </c>
      <c r="K169" s="82"/>
      <c r="L169" s="82"/>
    </row>
    <row r="170" spans="2:12" s="1" customFormat="1" ht="12.75" x14ac:dyDescent="0.15">
      <c r="B170" s="2">
        <v>10</v>
      </c>
      <c r="C170" s="183"/>
      <c r="D170" s="90"/>
      <c r="E170" s="90"/>
      <c r="F170" s="168"/>
      <c r="G170" s="200"/>
      <c r="H170" s="9">
        <v>1</v>
      </c>
      <c r="I170" s="168">
        <f t="shared" si="11"/>
        <v>0</v>
      </c>
      <c r="J170" s="323">
        <f t="shared" si="10"/>
        <v>0</v>
      </c>
      <c r="K170" s="82"/>
      <c r="L170" s="82"/>
    </row>
    <row r="171" spans="2:12" s="1" customFormat="1" ht="12.75" x14ac:dyDescent="0.15">
      <c r="B171" s="2">
        <v>11</v>
      </c>
      <c r="C171" s="183"/>
      <c r="D171" s="90"/>
      <c r="E171" s="90"/>
      <c r="F171" s="168"/>
      <c r="G171" s="200"/>
      <c r="H171" s="9">
        <v>1</v>
      </c>
      <c r="I171" s="168">
        <f t="shared" si="11"/>
        <v>0</v>
      </c>
      <c r="J171" s="323">
        <f t="shared" si="10"/>
        <v>0</v>
      </c>
      <c r="K171" s="82"/>
      <c r="L171" s="82"/>
    </row>
    <row r="172" spans="2:12" s="1" customFormat="1" ht="12.75" x14ac:dyDescent="0.15">
      <c r="B172" s="2">
        <v>12</v>
      </c>
      <c r="C172" s="183"/>
      <c r="D172" s="90"/>
      <c r="E172" s="90"/>
      <c r="F172" s="168"/>
      <c r="G172" s="200"/>
      <c r="H172" s="9">
        <v>1</v>
      </c>
      <c r="I172" s="168">
        <f t="shared" si="11"/>
        <v>0</v>
      </c>
      <c r="J172" s="323">
        <f t="shared" si="10"/>
        <v>0</v>
      </c>
      <c r="K172" s="82"/>
      <c r="L172" s="82"/>
    </row>
    <row r="173" spans="2:12" s="1" customFormat="1" ht="12.75" x14ac:dyDescent="0.15">
      <c r="B173" s="2">
        <v>13</v>
      </c>
      <c r="C173" s="183"/>
      <c r="D173" s="90"/>
      <c r="E173" s="90"/>
      <c r="F173" s="168"/>
      <c r="G173" s="200"/>
      <c r="H173" s="9">
        <v>1</v>
      </c>
      <c r="I173" s="168">
        <f t="shared" si="11"/>
        <v>0</v>
      </c>
      <c r="J173" s="323">
        <f t="shared" si="10"/>
        <v>0</v>
      </c>
      <c r="K173" s="82"/>
      <c r="L173" s="82"/>
    </row>
    <row r="174" spans="2:12" s="1" customFormat="1" ht="12.75" x14ac:dyDescent="0.15">
      <c r="B174" s="2">
        <v>14</v>
      </c>
      <c r="C174" s="183"/>
      <c r="D174" s="90"/>
      <c r="E174" s="90"/>
      <c r="F174" s="168"/>
      <c r="G174" s="200"/>
      <c r="H174" s="9">
        <v>1</v>
      </c>
      <c r="I174" s="168">
        <f t="shared" si="11"/>
        <v>0</v>
      </c>
      <c r="J174" s="323">
        <f t="shared" si="10"/>
        <v>0</v>
      </c>
      <c r="K174" s="82"/>
      <c r="L174" s="82"/>
    </row>
    <row r="175" spans="2:12" s="1" customFormat="1" ht="12.75" x14ac:dyDescent="0.15">
      <c r="B175" s="2">
        <v>15</v>
      </c>
      <c r="C175" s="183"/>
      <c r="D175" s="90"/>
      <c r="E175" s="90"/>
      <c r="F175" s="168"/>
      <c r="G175" s="200"/>
      <c r="H175" s="9">
        <v>1</v>
      </c>
      <c r="I175" s="168">
        <f t="shared" si="11"/>
        <v>0</v>
      </c>
      <c r="J175" s="323">
        <f t="shared" si="10"/>
        <v>0</v>
      </c>
      <c r="K175" s="82"/>
      <c r="L175" s="82"/>
    </row>
    <row r="176" spans="2:12" s="1" customFormat="1" ht="12.75" x14ac:dyDescent="0.15">
      <c r="B176" s="2">
        <v>16</v>
      </c>
      <c r="C176" s="183"/>
      <c r="D176" s="90"/>
      <c r="E176" s="90"/>
      <c r="F176" s="168"/>
      <c r="G176" s="200"/>
      <c r="H176" s="9">
        <v>1</v>
      </c>
      <c r="I176" s="168">
        <f t="shared" si="11"/>
        <v>0</v>
      </c>
      <c r="J176" s="323">
        <f t="shared" si="10"/>
        <v>0</v>
      </c>
      <c r="K176" s="82"/>
      <c r="L176" s="82"/>
    </row>
    <row r="177" spans="2:12" s="1" customFormat="1" ht="12.75" x14ac:dyDescent="0.15">
      <c r="B177" s="2">
        <v>17</v>
      </c>
      <c r="C177" s="183"/>
      <c r="D177" s="90"/>
      <c r="E177" s="90"/>
      <c r="F177" s="168"/>
      <c r="G177" s="200"/>
      <c r="H177" s="9">
        <v>1</v>
      </c>
      <c r="I177" s="168">
        <f t="shared" si="11"/>
        <v>0</v>
      </c>
      <c r="J177" s="323">
        <f t="shared" si="10"/>
        <v>0</v>
      </c>
      <c r="K177" s="82"/>
      <c r="L177" s="82"/>
    </row>
    <row r="178" spans="2:12" s="1" customFormat="1" ht="12.75" x14ac:dyDescent="0.15">
      <c r="B178" s="2">
        <v>18</v>
      </c>
      <c r="C178" s="183"/>
      <c r="D178" s="90"/>
      <c r="E178" s="90"/>
      <c r="F178" s="168"/>
      <c r="G178" s="200"/>
      <c r="H178" s="9">
        <v>1</v>
      </c>
      <c r="I178" s="168">
        <f t="shared" si="11"/>
        <v>0</v>
      </c>
      <c r="J178" s="323">
        <f t="shared" si="10"/>
        <v>0</v>
      </c>
      <c r="K178" s="82"/>
      <c r="L178" s="82"/>
    </row>
    <row r="179" spans="2:12" s="1" customFormat="1" ht="12.75" x14ac:dyDescent="0.15">
      <c r="B179" s="2">
        <v>19</v>
      </c>
      <c r="C179" s="183"/>
      <c r="D179" s="90"/>
      <c r="E179" s="90"/>
      <c r="F179" s="168"/>
      <c r="G179" s="201"/>
      <c r="H179" s="197">
        <v>1</v>
      </c>
      <c r="I179" s="168">
        <f t="shared" si="11"/>
        <v>0</v>
      </c>
      <c r="J179" s="323">
        <f t="shared" si="10"/>
        <v>0</v>
      </c>
      <c r="K179" s="82"/>
      <c r="L179" s="82"/>
    </row>
    <row r="180" spans="2:12" s="1" customFormat="1" ht="12.75" x14ac:dyDescent="0.15">
      <c r="B180" s="112">
        <v>20</v>
      </c>
      <c r="C180" s="183"/>
      <c r="D180" s="90"/>
      <c r="E180" s="90"/>
      <c r="F180" s="168"/>
      <c r="G180" s="202"/>
      <c r="H180" s="92">
        <v>1</v>
      </c>
      <c r="I180" s="168">
        <f t="shared" si="11"/>
        <v>0</v>
      </c>
      <c r="J180" s="323">
        <f t="shared" si="10"/>
        <v>0</v>
      </c>
      <c r="K180" s="82"/>
      <c r="L180" s="82"/>
    </row>
    <row r="181" spans="2:12" s="1" customFormat="1" ht="12.75" x14ac:dyDescent="0.15">
      <c r="B181" s="82"/>
      <c r="C181" s="183"/>
      <c r="D181" s="90"/>
      <c r="E181" s="90"/>
      <c r="F181" s="168"/>
      <c r="G181" s="92"/>
      <c r="H181" s="92"/>
      <c r="I181" s="168"/>
      <c r="J181" s="94"/>
      <c r="K181" s="82"/>
      <c r="L181" s="82"/>
    </row>
    <row r="182" spans="2:12" s="1" customFormat="1" ht="12.75" x14ac:dyDescent="0.15">
      <c r="B182" s="82"/>
      <c r="C182" s="102"/>
      <c r="D182" s="103"/>
      <c r="E182" s="102"/>
      <c r="F182" s="128">
        <f>SUM(F123:F181)</f>
        <v>0</v>
      </c>
      <c r="G182" s="104"/>
      <c r="H182" s="105"/>
      <c r="I182" s="128">
        <f>SUM(I124:I181)</f>
        <v>0</v>
      </c>
      <c r="J182" s="257">
        <f>SUM(J123:J181)</f>
        <v>0</v>
      </c>
    </row>
    <row r="183" spans="2:12" s="1" customFormat="1" ht="12.75" x14ac:dyDescent="0.15">
      <c r="B183" s="82"/>
      <c r="C183" s="102"/>
      <c r="D183" s="103"/>
      <c r="E183" s="102" t="s">
        <v>147</v>
      </c>
      <c r="F183" s="128">
        <f>100/115*F182</f>
        <v>0</v>
      </c>
      <c r="G183" s="104"/>
      <c r="H183" s="105" t="s">
        <v>147</v>
      </c>
      <c r="I183" s="128">
        <f>100/115*I182</f>
        <v>0</v>
      </c>
      <c r="J183" s="106"/>
    </row>
    <row r="184" spans="2:12" s="1" customFormat="1" ht="12.75" x14ac:dyDescent="0.15"/>
    <row r="185" spans="2:12" s="1" customFormat="1" ht="12.75" x14ac:dyDescent="0.15"/>
    <row r="186" spans="2:12" s="1" customFormat="1" ht="12.75" x14ac:dyDescent="0.15"/>
    <row r="187" spans="2:12" s="1" customFormat="1" ht="12.75" x14ac:dyDescent="0.15"/>
    <row r="188" spans="2:12" s="247" customFormat="1" ht="32.25" x14ac:dyDescent="0.4">
      <c r="B188" s="248"/>
      <c r="C188" s="380" t="s">
        <v>112</v>
      </c>
      <c r="D188" s="380"/>
      <c r="E188" s="428" t="s">
        <v>155</v>
      </c>
      <c r="F188" s="428"/>
      <c r="G188" s="428"/>
      <c r="H188" s="428"/>
      <c r="I188" s="428"/>
      <c r="J188" s="382">
        <v>2026</v>
      </c>
      <c r="K188" s="382"/>
      <c r="L188" s="382"/>
    </row>
    <row r="189" spans="2:12" s="1" customFormat="1" ht="22.5" x14ac:dyDescent="0.15">
      <c r="B189" s="82"/>
      <c r="C189" s="102" t="s">
        <v>114</v>
      </c>
      <c r="D189" s="388" t="s">
        <v>115</v>
      </c>
      <c r="E189" s="388"/>
      <c r="F189" s="102" t="s">
        <v>116</v>
      </c>
      <c r="G189" s="102" t="s">
        <v>117</v>
      </c>
      <c r="H189" s="102" t="s">
        <v>118</v>
      </c>
      <c r="I189" s="102" t="s">
        <v>119</v>
      </c>
      <c r="J189" s="102" t="s">
        <v>120</v>
      </c>
      <c r="K189" s="82"/>
      <c r="L189" s="82"/>
    </row>
    <row r="190" spans="2:12" s="1" customFormat="1" ht="12.75" x14ac:dyDescent="0.15">
      <c r="B190" s="82"/>
      <c r="C190" s="66">
        <f>C121</f>
        <v>450</v>
      </c>
      <c r="D190" s="389">
        <v>19</v>
      </c>
      <c r="E190" s="389"/>
      <c r="F190" s="13">
        <f>F121</f>
        <v>0.8</v>
      </c>
      <c r="G190" s="14">
        <f>G121</f>
        <v>8</v>
      </c>
      <c r="H190" s="142">
        <f>D190*G190*F190</f>
        <v>121.60000000000001</v>
      </c>
      <c r="I190" s="66">
        <f>I252</f>
        <v>0</v>
      </c>
      <c r="J190" s="143">
        <f>H190-J252</f>
        <v>121.60000000000001</v>
      </c>
      <c r="K190" s="82"/>
      <c r="L190" s="82"/>
    </row>
    <row r="191" spans="2:12" s="1" customFormat="1" ht="33.75" x14ac:dyDescent="0.15">
      <c r="B191" s="82"/>
      <c r="C191" s="167" t="s">
        <v>121</v>
      </c>
      <c r="D191" s="395" t="s">
        <v>122</v>
      </c>
      <c r="E191" s="395"/>
      <c r="F191" s="177" t="s">
        <v>123</v>
      </c>
      <c r="G191" s="178" t="s">
        <v>124</v>
      </c>
      <c r="H191" s="179" t="s">
        <v>125</v>
      </c>
      <c r="I191" s="180" t="s">
        <v>126</v>
      </c>
      <c r="J191" s="178" t="s">
        <v>127</v>
      </c>
      <c r="K191" s="114" t="s">
        <v>128</v>
      </c>
      <c r="L191" s="114" t="s">
        <v>129</v>
      </c>
    </row>
    <row r="192" spans="2:12" s="1" customFormat="1" ht="12.75" x14ac:dyDescent="0.15">
      <c r="B192" s="79"/>
      <c r="C192" s="193"/>
      <c r="D192" s="406"/>
      <c r="E192" s="406"/>
      <c r="F192" s="194"/>
      <c r="G192" s="195"/>
      <c r="H192" s="196"/>
      <c r="I192" s="176"/>
      <c r="J192" s="88"/>
      <c r="K192" s="79"/>
      <c r="L192" s="120"/>
    </row>
    <row r="193" spans="2:12" s="1" customFormat="1" ht="12.75" x14ac:dyDescent="0.15">
      <c r="B193" s="80"/>
      <c r="C193" s="392" t="s">
        <v>130</v>
      </c>
      <c r="D193" s="392"/>
      <c r="E193" s="392"/>
      <c r="F193" s="184"/>
      <c r="G193" s="92"/>
      <c r="H193" s="163"/>
      <c r="I193" s="126"/>
      <c r="J193" s="38"/>
      <c r="K193" s="80"/>
      <c r="L193" s="82"/>
    </row>
    <row r="194" spans="2:12" s="1" customFormat="1" ht="12.75" x14ac:dyDescent="0.15">
      <c r="B194" s="80"/>
      <c r="C194" s="167" t="s">
        <v>149</v>
      </c>
      <c r="D194" s="167"/>
      <c r="E194" s="167"/>
      <c r="F194" s="168"/>
      <c r="G194" s="92"/>
      <c r="H194" s="163"/>
      <c r="I194" s="126"/>
      <c r="J194" s="38"/>
      <c r="K194" s="80"/>
      <c r="L194" s="82"/>
    </row>
    <row r="195" spans="2:12" s="1" customFormat="1" ht="12.75" x14ac:dyDescent="0.15">
      <c r="B195" s="80">
        <v>1</v>
      </c>
      <c r="C195" s="89"/>
      <c r="D195" s="167"/>
      <c r="E195" s="167"/>
      <c r="F195" s="168"/>
      <c r="G195" s="92"/>
      <c r="H195" s="163">
        <v>1</v>
      </c>
      <c r="I195" s="126">
        <f>J195*$C$32</f>
        <v>0</v>
      </c>
      <c r="J195" s="38">
        <f>(F195*G195*H195)/$C$32</f>
        <v>0</v>
      </c>
      <c r="K195" s="80"/>
      <c r="L195" s="82"/>
    </row>
    <row r="196" spans="2:12" s="1" customFormat="1" ht="12.75" customHeight="1" x14ac:dyDescent="0.15">
      <c r="B196" s="80">
        <v>2</v>
      </c>
      <c r="C196" s="187"/>
      <c r="D196" s="90"/>
      <c r="E196" s="90"/>
      <c r="F196" s="168"/>
      <c r="G196" s="92"/>
      <c r="H196" s="163">
        <v>1</v>
      </c>
      <c r="I196" s="126">
        <f>J196*$C$32</f>
        <v>0</v>
      </c>
      <c r="J196" s="38">
        <f>(F196*G196*H196)/$C$32</f>
        <v>0</v>
      </c>
      <c r="K196" s="80"/>
      <c r="L196" s="82"/>
    </row>
    <row r="197" spans="2:12" s="1" customFormat="1" ht="12.75" customHeight="1" x14ac:dyDescent="0.15">
      <c r="B197" s="80">
        <v>3</v>
      </c>
      <c r="C197" s="188"/>
      <c r="D197" s="169"/>
      <c r="E197" s="169"/>
      <c r="F197" s="168"/>
      <c r="G197" s="92"/>
      <c r="H197" s="163">
        <v>1</v>
      </c>
      <c r="I197" s="126">
        <f t="shared" ref="I197:I227" si="13">J197*$C$32</f>
        <v>0</v>
      </c>
      <c r="J197" s="38">
        <f t="shared" ref="J197:J227" si="14">(F197*G197*H197)/$C$32</f>
        <v>0</v>
      </c>
      <c r="K197" s="80"/>
      <c r="L197" s="82"/>
    </row>
    <row r="198" spans="2:12" s="1" customFormat="1" ht="12.75" customHeight="1" x14ac:dyDescent="0.15">
      <c r="B198" s="80">
        <v>4</v>
      </c>
      <c r="C198" s="188"/>
      <c r="D198" s="169"/>
      <c r="E198" s="169"/>
      <c r="F198" s="168"/>
      <c r="G198" s="92"/>
      <c r="H198" s="163">
        <v>1</v>
      </c>
      <c r="I198" s="126">
        <f t="shared" si="13"/>
        <v>0</v>
      </c>
      <c r="J198" s="38">
        <f t="shared" si="14"/>
        <v>0</v>
      </c>
      <c r="K198" s="80"/>
      <c r="L198" s="82"/>
    </row>
    <row r="199" spans="2:12" s="1" customFormat="1" ht="12.75" customHeight="1" x14ac:dyDescent="0.15">
      <c r="B199" s="80">
        <v>5</v>
      </c>
      <c r="C199" s="189"/>
      <c r="D199" s="169"/>
      <c r="E199" s="169"/>
      <c r="F199" s="168"/>
      <c r="G199" s="92"/>
      <c r="H199" s="163">
        <v>1</v>
      </c>
      <c r="I199" s="126">
        <f t="shared" si="13"/>
        <v>0</v>
      </c>
      <c r="J199" s="38">
        <f t="shared" si="14"/>
        <v>0</v>
      </c>
      <c r="K199" s="80"/>
      <c r="L199" s="82"/>
    </row>
    <row r="200" spans="2:12" s="1" customFormat="1" ht="12.75" customHeight="1" x14ac:dyDescent="0.15">
      <c r="B200" s="80">
        <v>6</v>
      </c>
      <c r="C200" s="188"/>
      <c r="D200" s="190"/>
      <c r="E200" s="190"/>
      <c r="F200" s="168"/>
      <c r="G200" s="92"/>
      <c r="H200" s="163">
        <v>1</v>
      </c>
      <c r="I200" s="126">
        <f t="shared" si="13"/>
        <v>0</v>
      </c>
      <c r="J200" s="38">
        <f t="shared" si="14"/>
        <v>0</v>
      </c>
      <c r="K200" s="80"/>
      <c r="L200" s="82"/>
    </row>
    <row r="201" spans="2:12" s="1" customFormat="1" ht="12.75" customHeight="1" x14ac:dyDescent="0.15">
      <c r="B201" s="80">
        <v>7</v>
      </c>
      <c r="C201" s="188"/>
      <c r="D201" s="169"/>
      <c r="E201" s="169"/>
      <c r="F201" s="168"/>
      <c r="G201" s="92"/>
      <c r="H201" s="163">
        <v>1</v>
      </c>
      <c r="I201" s="126">
        <f t="shared" si="13"/>
        <v>0</v>
      </c>
      <c r="J201" s="38">
        <f t="shared" si="14"/>
        <v>0</v>
      </c>
      <c r="K201" s="80"/>
      <c r="L201" s="82"/>
    </row>
    <row r="202" spans="2:12" s="1" customFormat="1" ht="12.75" customHeight="1" x14ac:dyDescent="0.15">
      <c r="B202" s="80">
        <v>8</v>
      </c>
      <c r="C202" s="188"/>
      <c r="D202" s="169"/>
      <c r="E202" s="169"/>
      <c r="F202" s="168"/>
      <c r="G202" s="92"/>
      <c r="H202" s="163">
        <v>1</v>
      </c>
      <c r="I202" s="192">
        <f t="shared" si="13"/>
        <v>0</v>
      </c>
      <c r="J202" s="38">
        <f t="shared" si="14"/>
        <v>0</v>
      </c>
      <c r="K202" s="80"/>
      <c r="L202" s="82"/>
    </row>
    <row r="203" spans="2:12" s="1" customFormat="1" ht="12.75" customHeight="1" x14ac:dyDescent="0.15">
      <c r="B203" s="80">
        <v>9</v>
      </c>
      <c r="C203" s="188"/>
      <c r="D203" s="90"/>
      <c r="E203" s="90"/>
      <c r="F203" s="168"/>
      <c r="G203" s="92"/>
      <c r="H203" s="163">
        <v>1</v>
      </c>
      <c r="I203" s="192">
        <f t="shared" si="13"/>
        <v>0</v>
      </c>
      <c r="J203" s="38">
        <f t="shared" si="14"/>
        <v>0</v>
      </c>
      <c r="K203" s="80"/>
      <c r="L203" s="82"/>
    </row>
    <row r="204" spans="2:12" s="1" customFormat="1" ht="12.75" x14ac:dyDescent="0.15">
      <c r="B204" s="80">
        <v>10</v>
      </c>
      <c r="C204" s="113"/>
      <c r="D204" s="90"/>
      <c r="E204" s="90"/>
      <c r="F204" s="168"/>
      <c r="G204" s="92"/>
      <c r="H204" s="163">
        <v>1</v>
      </c>
      <c r="I204" s="192">
        <f t="shared" si="13"/>
        <v>0</v>
      </c>
      <c r="J204" s="38">
        <f t="shared" si="14"/>
        <v>0</v>
      </c>
      <c r="K204" s="80"/>
      <c r="L204" s="82"/>
    </row>
    <row r="205" spans="2:12" s="1" customFormat="1" ht="12.75" x14ac:dyDescent="0.15">
      <c r="B205" s="80"/>
      <c r="C205" s="113"/>
      <c r="D205" s="90"/>
      <c r="E205" s="90"/>
      <c r="F205" s="168"/>
      <c r="G205" s="92"/>
      <c r="H205" s="163"/>
      <c r="I205" s="192"/>
      <c r="J205" s="38"/>
      <c r="K205" s="80"/>
      <c r="L205" s="82"/>
    </row>
    <row r="206" spans="2:12" s="1" customFormat="1" ht="12.75" x14ac:dyDescent="0.15">
      <c r="B206" s="80"/>
      <c r="C206" s="113"/>
      <c r="D206" s="90"/>
      <c r="E206" s="90"/>
      <c r="F206" s="168"/>
      <c r="G206" s="92"/>
      <c r="H206" s="163"/>
      <c r="I206" s="192"/>
      <c r="J206" s="38"/>
      <c r="K206" s="80"/>
      <c r="L206" s="82"/>
    </row>
    <row r="207" spans="2:12" s="1" customFormat="1" ht="12.75" x14ac:dyDescent="0.15">
      <c r="B207" s="80"/>
      <c r="C207" s="117" t="s">
        <v>156</v>
      </c>
      <c r="D207" s="90"/>
      <c r="E207" s="90"/>
      <c r="F207" s="168"/>
      <c r="G207" s="92"/>
      <c r="H207" s="163"/>
      <c r="I207" s="192"/>
      <c r="J207" s="38"/>
      <c r="K207" s="80"/>
      <c r="L207" s="82"/>
    </row>
    <row r="208" spans="2:12" s="1" customFormat="1" ht="12.75" x14ac:dyDescent="0.15">
      <c r="B208" s="80">
        <v>1</v>
      </c>
      <c r="C208" s="188"/>
      <c r="D208" s="169"/>
      <c r="E208" s="169"/>
      <c r="F208" s="168"/>
      <c r="G208" s="92"/>
      <c r="H208" s="163">
        <v>1</v>
      </c>
      <c r="I208" s="192">
        <f t="shared" si="13"/>
        <v>0</v>
      </c>
      <c r="J208" s="38">
        <f t="shared" si="14"/>
        <v>0</v>
      </c>
      <c r="K208" s="80"/>
      <c r="L208" s="82"/>
    </row>
    <row r="209" spans="2:12" s="1" customFormat="1" ht="12.75" x14ac:dyDescent="0.15">
      <c r="B209" s="80">
        <v>2</v>
      </c>
      <c r="C209" s="188"/>
      <c r="D209" s="169"/>
      <c r="E209" s="169"/>
      <c r="F209" s="168"/>
      <c r="G209" s="92"/>
      <c r="H209" s="163">
        <v>1</v>
      </c>
      <c r="I209" s="192">
        <f t="shared" si="13"/>
        <v>0</v>
      </c>
      <c r="J209" s="38">
        <f t="shared" si="14"/>
        <v>0</v>
      </c>
      <c r="K209" s="80"/>
      <c r="L209" s="82"/>
    </row>
    <row r="210" spans="2:12" s="1" customFormat="1" ht="12.75" x14ac:dyDescent="0.15">
      <c r="B210" s="80">
        <v>3</v>
      </c>
      <c r="C210" s="188"/>
      <c r="D210" s="169"/>
      <c r="E210" s="169"/>
      <c r="F210" s="168"/>
      <c r="G210" s="92"/>
      <c r="H210" s="163">
        <v>1</v>
      </c>
      <c r="I210" s="192">
        <f t="shared" si="13"/>
        <v>0</v>
      </c>
      <c r="J210" s="38">
        <f t="shared" si="14"/>
        <v>0</v>
      </c>
      <c r="K210" s="80"/>
      <c r="L210" s="82"/>
    </row>
    <row r="211" spans="2:12" s="1" customFormat="1" ht="13.5" customHeight="1" x14ac:dyDescent="0.15">
      <c r="B211" s="80">
        <v>4</v>
      </c>
      <c r="C211" s="188"/>
      <c r="D211" s="169"/>
      <c r="E211" s="169"/>
      <c r="F211" s="168"/>
      <c r="G211" s="92"/>
      <c r="H211" s="163">
        <v>1</v>
      </c>
      <c r="I211" s="192">
        <f t="shared" si="13"/>
        <v>0</v>
      </c>
      <c r="J211" s="38">
        <f t="shared" si="14"/>
        <v>0</v>
      </c>
      <c r="K211" s="80"/>
      <c r="L211" s="82"/>
    </row>
    <row r="212" spans="2:12" s="1" customFormat="1" ht="13.5" customHeight="1" x14ac:dyDescent="0.15">
      <c r="B212" s="80">
        <v>5</v>
      </c>
      <c r="C212" s="188"/>
      <c r="D212" s="169"/>
      <c r="E212" s="169"/>
      <c r="F212" s="168"/>
      <c r="G212" s="92"/>
      <c r="H212" s="163">
        <v>1</v>
      </c>
      <c r="I212" s="129">
        <f t="shared" si="13"/>
        <v>0</v>
      </c>
      <c r="J212" s="38">
        <f t="shared" si="14"/>
        <v>0</v>
      </c>
      <c r="K212" s="80"/>
      <c r="L212" s="82"/>
    </row>
    <row r="213" spans="2:12" s="1" customFormat="1" ht="13.5" customHeight="1" x14ac:dyDescent="0.15">
      <c r="B213" s="80">
        <v>6</v>
      </c>
      <c r="C213" s="189"/>
      <c r="D213" s="169"/>
      <c r="E213" s="90"/>
      <c r="F213" s="168"/>
      <c r="G213" s="92"/>
      <c r="H213" s="163">
        <v>1</v>
      </c>
      <c r="I213" s="129">
        <f t="shared" si="13"/>
        <v>0</v>
      </c>
      <c r="J213" s="38">
        <f t="shared" si="14"/>
        <v>0</v>
      </c>
      <c r="K213" s="80"/>
      <c r="L213" s="82"/>
    </row>
    <row r="214" spans="2:12" s="1" customFormat="1" ht="13.5" customHeight="1" x14ac:dyDescent="0.15">
      <c r="B214" s="80">
        <v>7</v>
      </c>
      <c r="C214" s="189"/>
      <c r="D214" s="90"/>
      <c r="E214" s="90"/>
      <c r="F214" s="168"/>
      <c r="G214" s="92"/>
      <c r="H214" s="163">
        <v>1</v>
      </c>
      <c r="I214" s="129">
        <f t="shared" si="13"/>
        <v>0</v>
      </c>
      <c r="J214" s="38">
        <f t="shared" si="14"/>
        <v>0</v>
      </c>
      <c r="K214" s="80"/>
      <c r="L214" s="82"/>
    </row>
    <row r="215" spans="2:12" s="1" customFormat="1" ht="13.5" customHeight="1" x14ac:dyDescent="0.15">
      <c r="B215" s="80">
        <v>8</v>
      </c>
      <c r="C215" s="189"/>
      <c r="D215" s="90"/>
      <c r="E215" s="90"/>
      <c r="F215" s="191"/>
      <c r="G215" s="92"/>
      <c r="H215" s="163">
        <v>1</v>
      </c>
      <c r="I215" s="129">
        <f t="shared" si="13"/>
        <v>0</v>
      </c>
      <c r="J215" s="38">
        <f t="shared" si="14"/>
        <v>0</v>
      </c>
      <c r="K215" s="80"/>
      <c r="L215" s="82"/>
    </row>
    <row r="216" spans="2:12" s="1" customFormat="1" ht="13.5" customHeight="1" x14ac:dyDescent="0.15">
      <c r="B216" s="80">
        <v>9</v>
      </c>
      <c r="C216" s="189"/>
      <c r="D216" s="90"/>
      <c r="E216" s="90"/>
      <c r="F216" s="168"/>
      <c r="G216" s="92"/>
      <c r="H216" s="163">
        <v>1</v>
      </c>
      <c r="I216" s="129">
        <f t="shared" si="13"/>
        <v>0</v>
      </c>
      <c r="J216" s="38">
        <f t="shared" si="14"/>
        <v>0</v>
      </c>
      <c r="K216" s="80"/>
      <c r="L216" s="82"/>
    </row>
    <row r="217" spans="2:12" s="1" customFormat="1" ht="13.5" customHeight="1" x14ac:dyDescent="0.15">
      <c r="B217" s="80">
        <v>10</v>
      </c>
      <c r="C217" s="189"/>
      <c r="D217" s="90"/>
      <c r="E217" s="90"/>
      <c r="F217" s="168"/>
      <c r="G217" s="92"/>
      <c r="H217" s="163">
        <v>1</v>
      </c>
      <c r="I217" s="129">
        <f t="shared" si="13"/>
        <v>0</v>
      </c>
      <c r="J217" s="38">
        <f t="shared" si="14"/>
        <v>0</v>
      </c>
      <c r="K217" s="80"/>
      <c r="L217" s="82"/>
    </row>
    <row r="218" spans="2:12" s="1" customFormat="1" ht="12.75" x14ac:dyDescent="0.15">
      <c r="B218" s="80">
        <v>11</v>
      </c>
      <c r="C218" s="189"/>
      <c r="D218" s="90"/>
      <c r="E218" s="90"/>
      <c r="F218" s="168"/>
      <c r="G218" s="92"/>
      <c r="H218" s="163">
        <v>1</v>
      </c>
      <c r="I218" s="129">
        <f t="shared" si="13"/>
        <v>0</v>
      </c>
      <c r="J218" s="38">
        <f t="shared" si="14"/>
        <v>0</v>
      </c>
      <c r="K218" s="80"/>
      <c r="L218" s="82"/>
    </row>
    <row r="219" spans="2:12" s="1" customFormat="1" ht="12.75" x14ac:dyDescent="0.15">
      <c r="B219" s="80">
        <v>12</v>
      </c>
      <c r="C219" s="189"/>
      <c r="D219" s="90"/>
      <c r="E219" s="90"/>
      <c r="F219" s="168"/>
      <c r="G219" s="92"/>
      <c r="H219" s="163">
        <v>1</v>
      </c>
      <c r="I219" s="129">
        <f t="shared" si="13"/>
        <v>0</v>
      </c>
      <c r="J219" s="38">
        <f t="shared" si="14"/>
        <v>0</v>
      </c>
      <c r="K219" s="80"/>
      <c r="L219" s="82"/>
    </row>
    <row r="220" spans="2:12" s="1" customFormat="1" ht="12.75" x14ac:dyDescent="0.15">
      <c r="B220" s="80">
        <v>13</v>
      </c>
      <c r="C220" s="189"/>
      <c r="D220" s="90"/>
      <c r="E220" s="90"/>
      <c r="F220" s="168"/>
      <c r="G220" s="92"/>
      <c r="H220" s="163">
        <v>1</v>
      </c>
      <c r="I220" s="129">
        <f t="shared" si="13"/>
        <v>0</v>
      </c>
      <c r="J220" s="38">
        <f t="shared" si="14"/>
        <v>0</v>
      </c>
      <c r="K220" s="80"/>
      <c r="L220" s="82"/>
    </row>
    <row r="221" spans="2:12" s="1" customFormat="1" ht="12.75" x14ac:dyDescent="0.15">
      <c r="B221" s="80">
        <v>14</v>
      </c>
      <c r="C221" s="189"/>
      <c r="D221" s="90"/>
      <c r="E221" s="90"/>
      <c r="F221" s="168"/>
      <c r="G221" s="92"/>
      <c r="H221" s="163">
        <v>1</v>
      </c>
      <c r="I221" s="129">
        <f t="shared" si="13"/>
        <v>0</v>
      </c>
      <c r="J221" s="38">
        <f t="shared" si="14"/>
        <v>0</v>
      </c>
      <c r="K221" s="80"/>
      <c r="L221" s="82"/>
    </row>
    <row r="222" spans="2:12" s="1" customFormat="1" ht="12.75" x14ac:dyDescent="0.15">
      <c r="B222" s="80">
        <v>15</v>
      </c>
      <c r="C222" s="189"/>
      <c r="D222" s="90"/>
      <c r="E222" s="90"/>
      <c r="F222" s="168"/>
      <c r="G222" s="92"/>
      <c r="H222" s="163">
        <v>1</v>
      </c>
      <c r="I222" s="129">
        <f t="shared" si="13"/>
        <v>0</v>
      </c>
      <c r="J222" s="38">
        <f t="shared" si="14"/>
        <v>0</v>
      </c>
      <c r="K222" s="80"/>
      <c r="L222" s="82"/>
    </row>
    <row r="223" spans="2:12" s="1" customFormat="1" ht="12.75" x14ac:dyDescent="0.15">
      <c r="B223" s="80">
        <v>16</v>
      </c>
      <c r="C223" s="189"/>
      <c r="D223" s="90"/>
      <c r="E223" s="90"/>
      <c r="F223" s="168"/>
      <c r="G223" s="92"/>
      <c r="H223" s="163">
        <v>1</v>
      </c>
      <c r="I223" s="129">
        <f t="shared" si="13"/>
        <v>0</v>
      </c>
      <c r="J223" s="38">
        <f t="shared" si="14"/>
        <v>0</v>
      </c>
      <c r="K223" s="80"/>
      <c r="L223" s="82"/>
    </row>
    <row r="224" spans="2:12" s="1" customFormat="1" ht="12.75" x14ac:dyDescent="0.15">
      <c r="B224" s="80">
        <v>17</v>
      </c>
      <c r="C224" s="189"/>
      <c r="D224" s="90"/>
      <c r="E224" s="90"/>
      <c r="F224" s="168"/>
      <c r="G224" s="92"/>
      <c r="H224" s="163">
        <v>1</v>
      </c>
      <c r="I224" s="129">
        <f t="shared" si="13"/>
        <v>0</v>
      </c>
      <c r="J224" s="38">
        <f t="shared" si="14"/>
        <v>0</v>
      </c>
      <c r="K224" s="80"/>
      <c r="L224" s="82"/>
    </row>
    <row r="225" spans="2:12" s="1" customFormat="1" ht="12.75" x14ac:dyDescent="0.15">
      <c r="B225" s="80">
        <v>18</v>
      </c>
      <c r="C225" s="189"/>
      <c r="D225" s="90"/>
      <c r="E225" s="90"/>
      <c r="F225" s="168"/>
      <c r="G225" s="92"/>
      <c r="H225" s="163">
        <v>1</v>
      </c>
      <c r="I225" s="129">
        <f t="shared" si="13"/>
        <v>0</v>
      </c>
      <c r="J225" s="38">
        <f t="shared" si="14"/>
        <v>0</v>
      </c>
      <c r="K225" s="80"/>
      <c r="L225" s="82"/>
    </row>
    <row r="226" spans="2:12" s="1" customFormat="1" ht="12.75" x14ac:dyDescent="0.15">
      <c r="B226" s="80">
        <v>19</v>
      </c>
      <c r="C226" s="188"/>
      <c r="D226" s="89"/>
      <c r="E226" s="89"/>
      <c r="F226" s="168"/>
      <c r="G226" s="92"/>
      <c r="H226" s="163">
        <v>1</v>
      </c>
      <c r="I226" s="129">
        <f t="shared" si="13"/>
        <v>0</v>
      </c>
      <c r="J226" s="38">
        <f t="shared" si="14"/>
        <v>0</v>
      </c>
      <c r="K226" s="80"/>
      <c r="L226" s="82"/>
    </row>
    <row r="227" spans="2:12" s="1" customFormat="1" ht="12.75" x14ac:dyDescent="0.15">
      <c r="B227" s="80">
        <v>20</v>
      </c>
      <c r="C227" s="188"/>
      <c r="D227" s="90"/>
      <c r="E227" s="90"/>
      <c r="F227" s="168"/>
      <c r="G227" s="92"/>
      <c r="H227" s="163">
        <v>1</v>
      </c>
      <c r="I227" s="129">
        <f t="shared" si="13"/>
        <v>0</v>
      </c>
      <c r="J227" s="38">
        <f t="shared" si="14"/>
        <v>0</v>
      </c>
      <c r="K227" s="80"/>
      <c r="L227" s="82"/>
    </row>
    <row r="228" spans="2:12" s="1" customFormat="1" ht="12.75" x14ac:dyDescent="0.15">
      <c r="B228" s="80"/>
      <c r="C228" s="188"/>
      <c r="D228" s="90"/>
      <c r="E228" s="90"/>
      <c r="F228" s="168"/>
      <c r="G228" s="92"/>
      <c r="H228" s="163"/>
      <c r="I228" s="129"/>
      <c r="J228" s="38"/>
      <c r="K228" s="80"/>
      <c r="L228" s="82"/>
    </row>
    <row r="229" spans="2:12" s="1" customFormat="1" ht="12.75" x14ac:dyDescent="0.15">
      <c r="B229" s="80"/>
      <c r="C229" s="188"/>
      <c r="D229" s="90"/>
      <c r="E229" s="90"/>
      <c r="F229" s="168"/>
      <c r="G229" s="92"/>
      <c r="H229" s="163"/>
      <c r="I229" s="129"/>
      <c r="J229" s="38"/>
      <c r="K229" s="80"/>
      <c r="L229" s="82"/>
    </row>
    <row r="230" spans="2:12" s="1" customFormat="1" ht="12.75" x14ac:dyDescent="0.15">
      <c r="B230" s="80"/>
      <c r="C230" s="167" t="s">
        <v>157</v>
      </c>
      <c r="D230" s="90"/>
      <c r="E230" s="90"/>
      <c r="F230" s="168"/>
      <c r="G230" s="92"/>
      <c r="H230" s="163"/>
      <c r="I230" s="129"/>
      <c r="J230" s="52"/>
      <c r="K230" s="80"/>
      <c r="L230" s="82"/>
    </row>
    <row r="231" spans="2:12" s="1" customFormat="1" ht="12.75" x14ac:dyDescent="0.15">
      <c r="B231" s="80">
        <v>1</v>
      </c>
      <c r="C231" s="89"/>
      <c r="D231" s="90"/>
      <c r="E231" s="90"/>
      <c r="F231" s="168"/>
      <c r="G231" s="92"/>
      <c r="H231" s="163">
        <v>1</v>
      </c>
      <c r="I231" s="129">
        <f t="shared" ref="I231:I250" si="15">J231*$C$32</f>
        <v>0</v>
      </c>
      <c r="J231" s="52">
        <f t="shared" ref="J231:J250" si="16">(F231*G231*H231)/$C$32</f>
        <v>0</v>
      </c>
      <c r="K231" s="80"/>
      <c r="L231" s="82"/>
    </row>
    <row r="232" spans="2:12" s="1" customFormat="1" ht="12.75" x14ac:dyDescent="0.15">
      <c r="B232" s="80">
        <v>2</v>
      </c>
      <c r="C232" s="183"/>
      <c r="D232" s="90"/>
      <c r="E232" s="90"/>
      <c r="F232" s="168"/>
      <c r="G232" s="92"/>
      <c r="H232" s="163">
        <v>1</v>
      </c>
      <c r="I232" s="129">
        <f t="shared" si="15"/>
        <v>0</v>
      </c>
      <c r="J232" s="52">
        <f t="shared" si="16"/>
        <v>0</v>
      </c>
      <c r="K232" s="80"/>
      <c r="L232" s="82"/>
    </row>
    <row r="233" spans="2:12" s="1" customFormat="1" ht="12.75" x14ac:dyDescent="0.15">
      <c r="B233" s="80">
        <v>3</v>
      </c>
      <c r="C233" s="89"/>
      <c r="D233" s="90"/>
      <c r="E233" s="90"/>
      <c r="F233" s="168"/>
      <c r="G233" s="92"/>
      <c r="H233" s="163">
        <v>1</v>
      </c>
      <c r="I233" s="129">
        <f t="shared" si="15"/>
        <v>0</v>
      </c>
      <c r="J233" s="52">
        <f t="shared" si="16"/>
        <v>0</v>
      </c>
      <c r="K233" s="80"/>
      <c r="L233" s="82"/>
    </row>
    <row r="234" spans="2:12" s="1" customFormat="1" ht="12.75" x14ac:dyDescent="0.15">
      <c r="B234" s="80">
        <v>4</v>
      </c>
      <c r="C234" s="169"/>
      <c r="D234" s="90"/>
      <c r="E234" s="90"/>
      <c r="F234" s="168"/>
      <c r="G234" s="92"/>
      <c r="H234" s="163">
        <v>1</v>
      </c>
      <c r="I234" s="129">
        <f t="shared" si="15"/>
        <v>0</v>
      </c>
      <c r="J234" s="52">
        <f t="shared" si="16"/>
        <v>0</v>
      </c>
      <c r="K234" s="80"/>
      <c r="L234" s="82"/>
    </row>
    <row r="235" spans="2:12" s="1" customFormat="1" ht="12.75" x14ac:dyDescent="0.15">
      <c r="B235" s="80">
        <v>5</v>
      </c>
      <c r="C235" s="183"/>
      <c r="D235" s="90"/>
      <c r="E235" s="90"/>
      <c r="F235" s="168"/>
      <c r="G235" s="92"/>
      <c r="H235" s="163">
        <v>1</v>
      </c>
      <c r="I235" s="129">
        <f t="shared" si="15"/>
        <v>0</v>
      </c>
      <c r="J235" s="52">
        <f t="shared" si="16"/>
        <v>0</v>
      </c>
      <c r="K235" s="80"/>
      <c r="L235" s="82"/>
    </row>
    <row r="236" spans="2:12" s="1" customFormat="1" ht="12.75" x14ac:dyDescent="0.15">
      <c r="B236" s="80">
        <v>6</v>
      </c>
      <c r="C236" s="89"/>
      <c r="D236" s="90"/>
      <c r="E236" s="90"/>
      <c r="F236" s="168"/>
      <c r="G236" s="92"/>
      <c r="H236" s="163">
        <v>1</v>
      </c>
      <c r="I236" s="129">
        <f t="shared" si="15"/>
        <v>0</v>
      </c>
      <c r="J236" s="52">
        <f t="shared" si="16"/>
        <v>0</v>
      </c>
      <c r="K236" s="80"/>
      <c r="L236" s="82"/>
    </row>
    <row r="237" spans="2:12" s="1" customFormat="1" ht="12.75" x14ac:dyDescent="0.15">
      <c r="B237" s="80">
        <v>7</v>
      </c>
      <c r="C237" s="183"/>
      <c r="D237" s="90"/>
      <c r="E237" s="90"/>
      <c r="F237" s="168"/>
      <c r="G237" s="92"/>
      <c r="H237" s="163">
        <v>1</v>
      </c>
      <c r="I237" s="129">
        <f t="shared" si="15"/>
        <v>0</v>
      </c>
      <c r="J237" s="52">
        <f t="shared" si="16"/>
        <v>0</v>
      </c>
      <c r="K237" s="80"/>
      <c r="L237" s="82"/>
    </row>
    <row r="238" spans="2:12" s="1" customFormat="1" ht="12.75" x14ac:dyDescent="0.15">
      <c r="B238" s="80">
        <v>8</v>
      </c>
      <c r="C238" s="183"/>
      <c r="D238" s="90"/>
      <c r="E238" s="90"/>
      <c r="F238" s="168"/>
      <c r="G238" s="92"/>
      <c r="H238" s="163">
        <v>1</v>
      </c>
      <c r="I238" s="129">
        <f t="shared" si="15"/>
        <v>0</v>
      </c>
      <c r="J238" s="52">
        <f t="shared" si="16"/>
        <v>0</v>
      </c>
      <c r="K238" s="80"/>
      <c r="L238" s="82"/>
    </row>
    <row r="239" spans="2:12" s="1" customFormat="1" ht="12.75" x14ac:dyDescent="0.15">
      <c r="B239" s="80">
        <v>9</v>
      </c>
      <c r="C239" s="183"/>
      <c r="D239" s="90"/>
      <c r="E239" s="90"/>
      <c r="F239" s="168"/>
      <c r="G239" s="92"/>
      <c r="H239" s="163">
        <v>1</v>
      </c>
      <c r="I239" s="129">
        <f t="shared" si="15"/>
        <v>0</v>
      </c>
      <c r="J239" s="52">
        <f t="shared" si="16"/>
        <v>0</v>
      </c>
      <c r="K239" s="80"/>
      <c r="L239" s="82"/>
    </row>
    <row r="240" spans="2:12" s="1" customFormat="1" ht="12.75" x14ac:dyDescent="0.15">
      <c r="B240" s="80">
        <v>10</v>
      </c>
      <c r="C240" s="183"/>
      <c r="D240" s="90"/>
      <c r="E240" s="90"/>
      <c r="F240" s="168"/>
      <c r="G240" s="92"/>
      <c r="H240" s="163">
        <v>1</v>
      </c>
      <c r="I240" s="129">
        <f t="shared" si="15"/>
        <v>0</v>
      </c>
      <c r="J240" s="52">
        <f t="shared" si="16"/>
        <v>0</v>
      </c>
      <c r="K240" s="80"/>
      <c r="L240" s="82"/>
    </row>
    <row r="241" spans="2:12" s="1" customFormat="1" ht="12.75" x14ac:dyDescent="0.15">
      <c r="B241" s="80">
        <v>11</v>
      </c>
      <c r="C241" s="183"/>
      <c r="D241" s="90"/>
      <c r="E241" s="90"/>
      <c r="F241" s="168"/>
      <c r="G241" s="92"/>
      <c r="H241" s="163">
        <v>1</v>
      </c>
      <c r="I241" s="129">
        <f t="shared" si="15"/>
        <v>0</v>
      </c>
      <c r="J241" s="52">
        <f t="shared" si="16"/>
        <v>0</v>
      </c>
      <c r="K241" s="80"/>
      <c r="L241" s="82"/>
    </row>
    <row r="242" spans="2:12" s="1" customFormat="1" ht="12.75" x14ac:dyDescent="0.15">
      <c r="B242" s="80">
        <v>12</v>
      </c>
      <c r="C242" s="183"/>
      <c r="D242" s="90"/>
      <c r="E242" s="90"/>
      <c r="F242" s="168"/>
      <c r="G242" s="92"/>
      <c r="H242" s="163">
        <v>1</v>
      </c>
      <c r="I242" s="129">
        <f t="shared" si="15"/>
        <v>0</v>
      </c>
      <c r="J242" s="52">
        <f t="shared" si="16"/>
        <v>0</v>
      </c>
      <c r="K242" s="80"/>
      <c r="L242" s="82"/>
    </row>
    <row r="243" spans="2:12" s="1" customFormat="1" ht="12.75" x14ac:dyDescent="0.15">
      <c r="B243" s="80">
        <v>13</v>
      </c>
      <c r="C243" s="183"/>
      <c r="D243" s="90"/>
      <c r="E243" s="90"/>
      <c r="F243" s="168"/>
      <c r="G243" s="92"/>
      <c r="H243" s="163">
        <v>1</v>
      </c>
      <c r="I243" s="129">
        <f t="shared" si="15"/>
        <v>0</v>
      </c>
      <c r="J243" s="52">
        <f t="shared" si="16"/>
        <v>0</v>
      </c>
      <c r="K243" s="80"/>
      <c r="L243" s="82"/>
    </row>
    <row r="244" spans="2:12" s="1" customFormat="1" ht="12.75" x14ac:dyDescent="0.15">
      <c r="B244" s="80">
        <v>14</v>
      </c>
      <c r="C244" s="183"/>
      <c r="D244" s="90"/>
      <c r="E244" s="90"/>
      <c r="F244" s="168"/>
      <c r="G244" s="92"/>
      <c r="H244" s="163">
        <v>1</v>
      </c>
      <c r="I244" s="129">
        <f t="shared" si="15"/>
        <v>0</v>
      </c>
      <c r="J244" s="52">
        <f t="shared" si="16"/>
        <v>0</v>
      </c>
      <c r="K244" s="80"/>
      <c r="L244" s="82"/>
    </row>
    <row r="245" spans="2:12" s="1" customFormat="1" ht="12.75" x14ac:dyDescent="0.15">
      <c r="B245" s="80">
        <v>15</v>
      </c>
      <c r="C245" s="183"/>
      <c r="D245" s="90"/>
      <c r="E245" s="90"/>
      <c r="F245" s="168"/>
      <c r="G245" s="92"/>
      <c r="H245" s="163">
        <v>1</v>
      </c>
      <c r="I245" s="129">
        <f t="shared" si="15"/>
        <v>0</v>
      </c>
      <c r="J245" s="52">
        <f t="shared" si="16"/>
        <v>0</v>
      </c>
      <c r="K245" s="80"/>
      <c r="L245" s="82"/>
    </row>
    <row r="246" spans="2:12" s="1" customFormat="1" ht="12.75" x14ac:dyDescent="0.15">
      <c r="B246" s="80">
        <v>16</v>
      </c>
      <c r="C246" s="183"/>
      <c r="D246" s="90"/>
      <c r="E246" s="90"/>
      <c r="F246" s="168"/>
      <c r="G246" s="92"/>
      <c r="H246" s="163">
        <v>1</v>
      </c>
      <c r="I246" s="129">
        <f t="shared" si="15"/>
        <v>0</v>
      </c>
      <c r="J246" s="52">
        <f t="shared" si="16"/>
        <v>0</v>
      </c>
      <c r="K246" s="80"/>
      <c r="L246" s="82"/>
    </row>
    <row r="247" spans="2:12" s="1" customFormat="1" ht="12.75" x14ac:dyDescent="0.15">
      <c r="B247" s="80">
        <v>17</v>
      </c>
      <c r="C247" s="183"/>
      <c r="D247" s="90"/>
      <c r="E247" s="90"/>
      <c r="F247" s="168"/>
      <c r="G247" s="92"/>
      <c r="H247" s="163">
        <v>1</v>
      </c>
      <c r="I247" s="129">
        <f t="shared" si="15"/>
        <v>0</v>
      </c>
      <c r="J247" s="52">
        <f t="shared" si="16"/>
        <v>0</v>
      </c>
      <c r="K247" s="80"/>
      <c r="L247" s="82"/>
    </row>
    <row r="248" spans="2:12" s="1" customFormat="1" ht="12.75" x14ac:dyDescent="0.15">
      <c r="B248" s="80">
        <v>18</v>
      </c>
      <c r="C248" s="183"/>
      <c r="D248" s="90"/>
      <c r="E248" s="90"/>
      <c r="F248" s="168"/>
      <c r="G248" s="92"/>
      <c r="H248" s="163">
        <v>1</v>
      </c>
      <c r="I248" s="132">
        <f t="shared" si="15"/>
        <v>0</v>
      </c>
      <c r="J248" s="265">
        <f t="shared" si="16"/>
        <v>0</v>
      </c>
      <c r="K248" s="111"/>
      <c r="L248" s="119"/>
    </row>
    <row r="249" spans="2:12" s="1" customFormat="1" ht="12.75" x14ac:dyDescent="0.15">
      <c r="B249" s="16">
        <v>19</v>
      </c>
      <c r="C249" s="186"/>
      <c r="D249" s="85"/>
      <c r="E249" s="85"/>
      <c r="F249" s="166"/>
      <c r="G249" s="87"/>
      <c r="H249" s="267">
        <v>1</v>
      </c>
      <c r="I249" s="168">
        <f t="shared" si="15"/>
        <v>0</v>
      </c>
      <c r="J249" s="266">
        <f t="shared" si="16"/>
        <v>0</v>
      </c>
      <c r="K249" s="82"/>
      <c r="L249" s="82"/>
    </row>
    <row r="250" spans="2:12" s="1" customFormat="1" ht="12.75" x14ac:dyDescent="0.15">
      <c r="B250" s="83">
        <v>20</v>
      </c>
      <c r="C250" s="181"/>
      <c r="D250" s="75"/>
      <c r="E250" s="75"/>
      <c r="F250" s="132"/>
      <c r="G250" s="77"/>
      <c r="H250" s="268">
        <v>1</v>
      </c>
      <c r="I250" s="168">
        <f t="shared" si="15"/>
        <v>0</v>
      </c>
      <c r="J250" s="266">
        <f t="shared" si="16"/>
        <v>0</v>
      </c>
      <c r="K250" s="82"/>
      <c r="L250" s="82"/>
    </row>
    <row r="251" spans="2:12" s="1" customFormat="1" ht="12.75" x14ac:dyDescent="0.15">
      <c r="B251" s="82"/>
      <c r="C251" s="183"/>
      <c r="D251" s="90"/>
      <c r="E251" s="90"/>
      <c r="F251" s="168"/>
      <c r="G251" s="92"/>
      <c r="H251" s="269"/>
      <c r="I251" s="168"/>
      <c r="J251" s="266"/>
      <c r="K251" s="82"/>
      <c r="L251" s="82"/>
    </row>
    <row r="252" spans="2:12" s="1" customFormat="1" ht="12.75" x14ac:dyDescent="0.15">
      <c r="B252" s="82"/>
      <c r="C252" s="102"/>
      <c r="D252" s="103"/>
      <c r="E252" s="102"/>
      <c r="F252" s="128">
        <f>SUM(F192:F251)</f>
        <v>0</v>
      </c>
      <c r="G252" s="104"/>
      <c r="H252" s="253"/>
      <c r="I252" s="128">
        <f>SUM(I193:I251)</f>
        <v>0</v>
      </c>
      <c r="J252" s="257">
        <f>SUM(J196:J237)</f>
        <v>0</v>
      </c>
    </row>
    <row r="253" spans="2:12" s="67" customFormat="1" ht="12.75" x14ac:dyDescent="0.15">
      <c r="B253" s="116"/>
      <c r="C253" s="114"/>
      <c r="D253" s="114"/>
      <c r="E253" s="114" t="s">
        <v>147</v>
      </c>
      <c r="F253" s="162">
        <f>100/115*F252</f>
        <v>0</v>
      </c>
      <c r="G253" s="161"/>
      <c r="H253" s="270" t="s">
        <v>147</v>
      </c>
      <c r="I253" s="162">
        <f>100/115*I252</f>
        <v>0</v>
      </c>
      <c r="J253" s="114"/>
    </row>
    <row r="254" spans="2:12" s="1" customFormat="1" ht="12.75" x14ac:dyDescent="0.15"/>
    <row r="255" spans="2:12" s="1" customFormat="1" ht="12.75" x14ac:dyDescent="0.15"/>
    <row r="256" spans="2:12" s="1" customFormat="1" ht="12.75" x14ac:dyDescent="0.15"/>
    <row r="257" spans="2:12" s="1" customFormat="1" ht="12.75" x14ac:dyDescent="0.15"/>
    <row r="258" spans="2:12" s="247" customFormat="1" ht="32.25" x14ac:dyDescent="0.4">
      <c r="B258" s="248"/>
      <c r="C258" s="380" t="s">
        <v>112</v>
      </c>
      <c r="D258" s="380"/>
      <c r="E258" s="428" t="s">
        <v>104</v>
      </c>
      <c r="F258" s="428"/>
      <c r="G258" s="428"/>
      <c r="H258" s="428"/>
      <c r="I258" s="428"/>
      <c r="J258" s="382">
        <v>2026</v>
      </c>
      <c r="K258" s="382"/>
      <c r="L258" s="382"/>
    </row>
    <row r="259" spans="2:12" s="1" customFormat="1" ht="22.5" x14ac:dyDescent="0.15">
      <c r="B259" s="82"/>
      <c r="C259" s="102" t="s">
        <v>114</v>
      </c>
      <c r="D259" s="388" t="s">
        <v>115</v>
      </c>
      <c r="E259" s="388"/>
      <c r="F259" s="102" t="s">
        <v>116</v>
      </c>
      <c r="G259" s="102" t="s">
        <v>117</v>
      </c>
      <c r="H259" s="102" t="s">
        <v>118</v>
      </c>
      <c r="I259" s="102" t="s">
        <v>119</v>
      </c>
      <c r="J259" s="102" t="s">
        <v>120</v>
      </c>
      <c r="K259" s="82"/>
      <c r="L259" s="82"/>
    </row>
    <row r="260" spans="2:12" s="1" customFormat="1" ht="12.75" x14ac:dyDescent="0.15">
      <c r="B260" s="82"/>
      <c r="C260" s="66">
        <f>C190</f>
        <v>450</v>
      </c>
      <c r="D260" s="389">
        <v>22</v>
      </c>
      <c r="E260" s="389"/>
      <c r="F260" s="13">
        <f>F190</f>
        <v>0.8</v>
      </c>
      <c r="G260" s="14">
        <f>G190</f>
        <v>8</v>
      </c>
      <c r="H260" s="142">
        <f>D260*G260*F260</f>
        <v>140.80000000000001</v>
      </c>
      <c r="I260" s="66">
        <f>I322</f>
        <v>0</v>
      </c>
      <c r="J260" s="143">
        <f>H260-J322</f>
        <v>140.80000000000001</v>
      </c>
      <c r="K260" s="82"/>
      <c r="L260" s="82"/>
    </row>
    <row r="261" spans="2:12" s="1" customFormat="1" ht="33.75" x14ac:dyDescent="0.15">
      <c r="B261" s="82"/>
      <c r="C261" s="167" t="s">
        <v>121</v>
      </c>
      <c r="D261" s="395" t="s">
        <v>122</v>
      </c>
      <c r="E261" s="395"/>
      <c r="F261" s="177" t="s">
        <v>123</v>
      </c>
      <c r="G261" s="178" t="s">
        <v>124</v>
      </c>
      <c r="H261" s="179" t="s">
        <v>125</v>
      </c>
      <c r="I261" s="180" t="s">
        <v>126</v>
      </c>
      <c r="J261" s="178" t="s">
        <v>127</v>
      </c>
      <c r="K261" s="114" t="s">
        <v>128</v>
      </c>
      <c r="L261" s="114" t="s">
        <v>129</v>
      </c>
    </row>
    <row r="262" spans="2:12" s="1" customFormat="1" ht="12.75" x14ac:dyDescent="0.15">
      <c r="B262" s="84"/>
      <c r="C262" s="81"/>
      <c r="D262" s="404"/>
      <c r="E262" s="404"/>
      <c r="F262" s="86"/>
      <c r="G262" s="87"/>
      <c r="H262" s="87"/>
      <c r="I262" s="176"/>
      <c r="J262" s="88"/>
      <c r="K262" s="79"/>
      <c r="L262" s="120"/>
    </row>
    <row r="263" spans="2:12" s="1" customFormat="1" ht="13.35" customHeight="1" x14ac:dyDescent="0.15">
      <c r="B263" s="16"/>
      <c r="C263" s="37" t="s">
        <v>158</v>
      </c>
      <c r="D263" s="24"/>
      <c r="E263" s="24"/>
      <c r="F263" s="129"/>
      <c r="G263" s="20"/>
      <c r="H263" s="20"/>
      <c r="I263" s="126"/>
      <c r="J263" s="38"/>
      <c r="K263" s="80"/>
      <c r="L263" s="82"/>
    </row>
    <row r="264" spans="2:12" s="1" customFormat="1" ht="13.35" customHeight="1" x14ac:dyDescent="0.15">
      <c r="B264" s="16"/>
      <c r="C264" s="37" t="s">
        <v>149</v>
      </c>
      <c r="D264" s="24"/>
      <c r="E264" s="24"/>
      <c r="F264" s="129"/>
      <c r="G264" s="20"/>
      <c r="H264" s="20"/>
      <c r="I264" s="126"/>
      <c r="J264" s="38"/>
      <c r="K264" s="80"/>
      <c r="L264" s="82"/>
    </row>
    <row r="265" spans="2:12" s="1" customFormat="1" ht="13.35" customHeight="1" x14ac:dyDescent="0.15">
      <c r="B265" s="16">
        <v>1</v>
      </c>
      <c r="C265" s="23"/>
      <c r="D265" s="24"/>
      <c r="E265" s="24"/>
      <c r="F265" s="129"/>
      <c r="G265" s="20"/>
      <c r="H265" s="20">
        <v>1</v>
      </c>
      <c r="I265" s="126">
        <f t="shared" ref="I265:I320" si="17">J265*$C$32</f>
        <v>0</v>
      </c>
      <c r="J265" s="38">
        <f t="shared" ref="J265:J280" si="18">(F265*G265*H265)/$C$32</f>
        <v>0</v>
      </c>
      <c r="K265" s="80"/>
      <c r="L265" s="82"/>
    </row>
    <row r="266" spans="2:12" s="1" customFormat="1" ht="13.35" customHeight="1" x14ac:dyDescent="0.15">
      <c r="B266" s="16">
        <v>2</v>
      </c>
      <c r="C266" s="23"/>
      <c r="D266" s="24"/>
      <c r="E266" s="24"/>
      <c r="F266" s="126"/>
      <c r="G266" s="20"/>
      <c r="H266" s="20">
        <v>1</v>
      </c>
      <c r="I266" s="126">
        <f t="shared" si="17"/>
        <v>0</v>
      </c>
      <c r="J266" s="38">
        <f t="shared" si="18"/>
        <v>0</v>
      </c>
      <c r="K266" s="80"/>
      <c r="L266" s="82"/>
    </row>
    <row r="267" spans="2:12" s="1" customFormat="1" ht="13.35" customHeight="1" x14ac:dyDescent="0.15">
      <c r="B267" s="16">
        <v>3</v>
      </c>
      <c r="C267" s="23"/>
      <c r="D267" s="25"/>
      <c r="E267" s="25"/>
      <c r="F267" s="129"/>
      <c r="G267" s="20"/>
      <c r="H267" s="20">
        <v>1</v>
      </c>
      <c r="I267" s="126">
        <f t="shared" si="17"/>
        <v>0</v>
      </c>
      <c r="J267" s="38">
        <f t="shared" si="18"/>
        <v>0</v>
      </c>
      <c r="K267" s="80"/>
      <c r="L267" s="82"/>
    </row>
    <row r="268" spans="2:12" s="1" customFormat="1" ht="13.35" customHeight="1" x14ac:dyDescent="0.15">
      <c r="B268" s="16">
        <v>4</v>
      </c>
      <c r="C268" s="23"/>
      <c r="D268" s="24"/>
      <c r="E268" s="24"/>
      <c r="F268" s="129"/>
      <c r="G268" s="20"/>
      <c r="H268" s="20">
        <v>1</v>
      </c>
      <c r="I268" s="126">
        <f t="shared" si="17"/>
        <v>0</v>
      </c>
      <c r="J268" s="38">
        <f t="shared" si="18"/>
        <v>0</v>
      </c>
      <c r="K268" s="80"/>
      <c r="L268" s="82"/>
    </row>
    <row r="269" spans="2:12" s="1" customFormat="1" ht="13.35" customHeight="1" x14ac:dyDescent="0.15">
      <c r="B269" s="16">
        <v>5</v>
      </c>
      <c r="C269" s="16"/>
      <c r="D269" s="18"/>
      <c r="E269" s="18"/>
      <c r="F269" s="129"/>
      <c r="G269" s="20"/>
      <c r="H269" s="20">
        <v>1</v>
      </c>
      <c r="I269" s="126">
        <f t="shared" si="17"/>
        <v>0</v>
      </c>
      <c r="J269" s="38">
        <f t="shared" si="18"/>
        <v>0</v>
      </c>
      <c r="K269" s="80"/>
      <c r="L269" s="82"/>
    </row>
    <row r="270" spans="2:12" s="1" customFormat="1" ht="13.35" customHeight="1" x14ac:dyDescent="0.15">
      <c r="B270" s="16">
        <v>6</v>
      </c>
      <c r="C270" s="17"/>
      <c r="D270" s="24"/>
      <c r="E270" s="24"/>
      <c r="F270" s="129"/>
      <c r="G270" s="20"/>
      <c r="H270" s="20">
        <v>1</v>
      </c>
      <c r="I270" s="126">
        <f t="shared" si="17"/>
        <v>0</v>
      </c>
      <c r="J270" s="38">
        <f t="shared" si="18"/>
        <v>0</v>
      </c>
      <c r="K270" s="80"/>
      <c r="L270" s="82"/>
    </row>
    <row r="271" spans="2:12" s="1" customFormat="1" ht="13.35" customHeight="1" x14ac:dyDescent="0.15">
      <c r="B271" s="16">
        <v>7</v>
      </c>
      <c r="C271" s="17"/>
      <c r="D271" s="24"/>
      <c r="E271" s="24"/>
      <c r="F271" s="129"/>
      <c r="G271" s="20"/>
      <c r="H271" s="20">
        <v>1</v>
      </c>
      <c r="I271" s="126">
        <f t="shared" si="17"/>
        <v>0</v>
      </c>
      <c r="J271" s="38">
        <f t="shared" si="18"/>
        <v>0</v>
      </c>
      <c r="K271" s="80"/>
      <c r="L271" s="82"/>
    </row>
    <row r="272" spans="2:12" s="1" customFormat="1" ht="13.35" customHeight="1" x14ac:dyDescent="0.15">
      <c r="B272" s="16">
        <v>8</v>
      </c>
      <c r="C272" s="17"/>
      <c r="D272" s="24"/>
      <c r="E272" s="24"/>
      <c r="F272" s="129"/>
      <c r="G272" s="20"/>
      <c r="H272" s="20">
        <v>1</v>
      </c>
      <c r="I272" s="126">
        <f t="shared" si="17"/>
        <v>0</v>
      </c>
      <c r="J272" s="38">
        <f t="shared" si="18"/>
        <v>0</v>
      </c>
      <c r="K272" s="80"/>
      <c r="L272" s="82"/>
    </row>
    <row r="273" spans="2:20" s="1" customFormat="1" ht="13.35" customHeight="1" x14ac:dyDescent="0.15">
      <c r="B273" s="16">
        <v>9</v>
      </c>
      <c r="C273" s="17"/>
      <c r="D273" s="24"/>
      <c r="E273" s="24"/>
      <c r="F273" s="129"/>
      <c r="G273" s="20"/>
      <c r="H273" s="20">
        <v>1</v>
      </c>
      <c r="I273" s="126">
        <f t="shared" si="17"/>
        <v>0</v>
      </c>
      <c r="J273" s="38">
        <f t="shared" si="18"/>
        <v>0</v>
      </c>
      <c r="K273" s="80"/>
      <c r="L273" s="82"/>
    </row>
    <row r="274" spans="2:20" s="1" customFormat="1" ht="13.35" customHeight="1" x14ac:dyDescent="0.15">
      <c r="B274" s="16">
        <v>10</v>
      </c>
      <c r="C274" s="17"/>
      <c r="D274" s="24"/>
      <c r="E274" s="24"/>
      <c r="F274" s="129"/>
      <c r="G274" s="20"/>
      <c r="H274" s="20">
        <v>1</v>
      </c>
      <c r="I274" s="126">
        <f t="shared" si="17"/>
        <v>0</v>
      </c>
      <c r="J274" s="38">
        <f t="shared" si="18"/>
        <v>0</v>
      </c>
      <c r="K274" s="80"/>
      <c r="L274" s="82"/>
    </row>
    <row r="275" spans="2:20" s="1" customFormat="1" ht="13.35" customHeight="1" x14ac:dyDescent="0.15">
      <c r="B275" s="16"/>
      <c r="C275" s="17"/>
      <c r="D275" s="24"/>
      <c r="E275" s="24"/>
      <c r="F275" s="129"/>
      <c r="G275" s="20"/>
      <c r="H275" s="20"/>
      <c r="I275" s="126"/>
      <c r="J275" s="38"/>
      <c r="K275" s="80"/>
      <c r="L275" s="82"/>
      <c r="N275" s="41"/>
    </row>
    <row r="276" spans="2:20" s="1" customFormat="1" ht="13.35" customHeight="1" x14ac:dyDescent="0.15">
      <c r="B276" s="16"/>
      <c r="C276" s="17"/>
      <c r="D276" s="24"/>
      <c r="E276" s="24"/>
      <c r="F276" s="129"/>
      <c r="G276" s="20"/>
      <c r="H276" s="20"/>
      <c r="I276" s="126"/>
      <c r="J276" s="38"/>
      <c r="K276" s="80"/>
      <c r="L276" s="82"/>
    </row>
    <row r="277" spans="2:20" s="1" customFormat="1" ht="13.35" customHeight="1" x14ac:dyDescent="0.15">
      <c r="B277" s="16"/>
      <c r="C277" s="22" t="s">
        <v>156</v>
      </c>
      <c r="D277" s="24"/>
      <c r="E277" s="24"/>
      <c r="F277" s="129"/>
      <c r="G277" s="20"/>
      <c r="H277" s="20"/>
      <c r="I277" s="126"/>
      <c r="J277" s="38"/>
      <c r="K277" s="80"/>
      <c r="L277" s="82"/>
    </row>
    <row r="278" spans="2:20" s="1" customFormat="1" ht="16.5" x14ac:dyDescent="0.15">
      <c r="B278" s="16">
        <v>1</v>
      </c>
      <c r="C278" s="44"/>
      <c r="D278" s="18"/>
      <c r="E278" s="18"/>
      <c r="F278" s="129"/>
      <c r="G278" s="20"/>
      <c r="H278" s="20">
        <v>1</v>
      </c>
      <c r="I278" s="126">
        <f t="shared" si="17"/>
        <v>0</v>
      </c>
      <c r="J278" s="38">
        <f t="shared" si="18"/>
        <v>0</v>
      </c>
      <c r="K278" s="80"/>
      <c r="L278" s="82"/>
      <c r="M278" s="10"/>
      <c r="N278" s="42"/>
      <c r="O278" s="10"/>
      <c r="P278" s="10"/>
      <c r="Q278" s="43"/>
      <c r="R278" s="10"/>
      <c r="T278" s="10"/>
    </row>
    <row r="279" spans="2:20" s="1" customFormat="1" ht="16.5" x14ac:dyDescent="0.15">
      <c r="B279" s="16">
        <v>2</v>
      </c>
      <c r="C279" s="45"/>
      <c r="D279" s="18"/>
      <c r="E279" s="18"/>
      <c r="F279" s="129"/>
      <c r="G279" s="20"/>
      <c r="H279" s="20">
        <v>1</v>
      </c>
      <c r="I279" s="126">
        <f>J279*$C$32</f>
        <v>0</v>
      </c>
      <c r="J279" s="38">
        <f t="shared" si="18"/>
        <v>0</v>
      </c>
      <c r="K279" s="80"/>
      <c r="L279" s="82"/>
      <c r="M279" s="10"/>
      <c r="N279" s="42"/>
      <c r="O279" s="10"/>
      <c r="P279" s="10"/>
      <c r="Q279" s="43"/>
      <c r="R279" s="10"/>
      <c r="T279" s="10"/>
    </row>
    <row r="280" spans="2:20" s="1" customFormat="1" ht="12.95" customHeight="1" x14ac:dyDescent="0.15">
      <c r="B280" s="16">
        <v>3</v>
      </c>
      <c r="C280" s="44"/>
      <c r="D280" s="18"/>
      <c r="E280" s="18"/>
      <c r="F280" s="129"/>
      <c r="G280" s="20"/>
      <c r="H280" s="20">
        <v>1</v>
      </c>
      <c r="I280" s="126">
        <f t="shared" si="17"/>
        <v>0</v>
      </c>
      <c r="J280" s="38">
        <f t="shared" si="18"/>
        <v>0</v>
      </c>
      <c r="K280" s="80"/>
      <c r="L280" s="82"/>
      <c r="M280" s="10"/>
      <c r="N280" s="42"/>
      <c r="O280" s="10"/>
      <c r="P280" s="10"/>
      <c r="Q280" s="43"/>
      <c r="R280" s="10"/>
      <c r="T280" s="10"/>
    </row>
    <row r="281" spans="2:20" s="1" customFormat="1" ht="14.25" x14ac:dyDescent="0.15">
      <c r="B281" s="16">
        <v>4</v>
      </c>
      <c r="C281" s="46"/>
      <c r="D281" s="405"/>
      <c r="E281" s="405"/>
      <c r="F281" s="129"/>
      <c r="G281" s="20"/>
      <c r="H281" s="20">
        <v>1</v>
      </c>
      <c r="I281" s="126">
        <f t="shared" si="17"/>
        <v>0</v>
      </c>
      <c r="J281" s="38">
        <f>(F282*G281*H281)/$C$32</f>
        <v>0</v>
      </c>
      <c r="K281" s="80"/>
      <c r="L281" s="82"/>
      <c r="M281" s="10"/>
      <c r="N281" s="42"/>
      <c r="O281" s="10"/>
      <c r="P281" s="10"/>
      <c r="Q281" s="43"/>
      <c r="R281" s="10"/>
      <c r="T281" s="10"/>
    </row>
    <row r="282" spans="2:20" s="1" customFormat="1" ht="14.25" x14ac:dyDescent="0.15">
      <c r="B282" s="16">
        <v>5</v>
      </c>
      <c r="C282" s="11"/>
      <c r="D282" s="18"/>
      <c r="E282" s="18"/>
      <c r="F282" s="129"/>
      <c r="G282" s="20"/>
      <c r="H282" s="20">
        <v>1</v>
      </c>
      <c r="I282" s="126">
        <f t="shared" si="17"/>
        <v>0</v>
      </c>
      <c r="J282" s="38">
        <f>(F284*G282*H282)/$C$32</f>
        <v>0</v>
      </c>
      <c r="K282" s="80"/>
      <c r="L282" s="82"/>
      <c r="M282" s="10"/>
      <c r="N282" s="42"/>
      <c r="O282" s="10"/>
      <c r="P282" s="10"/>
      <c r="Q282" s="43"/>
      <c r="R282" s="10"/>
      <c r="T282" s="10"/>
    </row>
    <row r="283" spans="2:20" s="1" customFormat="1" ht="14.25" x14ac:dyDescent="0.15">
      <c r="B283" s="16">
        <v>6</v>
      </c>
      <c r="C283" s="11"/>
      <c r="D283" s="18"/>
      <c r="E283" s="18"/>
      <c r="F283" s="129"/>
      <c r="G283" s="20"/>
      <c r="H283" s="20">
        <v>1</v>
      </c>
      <c r="I283" s="126">
        <f t="shared" si="17"/>
        <v>0</v>
      </c>
      <c r="J283" s="38">
        <f>(F285*G283*H283)/$C$32</f>
        <v>0</v>
      </c>
      <c r="K283" s="80"/>
      <c r="L283" s="82"/>
      <c r="M283" s="10"/>
      <c r="N283" s="42"/>
      <c r="O283" s="10"/>
      <c r="P283" s="10"/>
      <c r="Q283" s="43"/>
      <c r="R283" s="10"/>
      <c r="T283" s="10"/>
    </row>
    <row r="284" spans="2:20" s="1" customFormat="1" ht="16.5" x14ac:dyDescent="0.2">
      <c r="B284" s="16">
        <v>7</v>
      </c>
      <c r="C284" s="47"/>
      <c r="D284" s="18"/>
      <c r="E284" s="18"/>
      <c r="F284" s="129"/>
      <c r="G284" s="20"/>
      <c r="H284" s="20">
        <v>1</v>
      </c>
      <c r="I284" s="126">
        <f t="shared" si="17"/>
        <v>0</v>
      </c>
      <c r="J284" s="38">
        <f>(F286*G284*H284)/$C$32</f>
        <v>0</v>
      </c>
      <c r="K284" s="80"/>
      <c r="L284" s="82"/>
      <c r="M284" s="10"/>
      <c r="N284" s="42"/>
      <c r="O284" s="10"/>
      <c r="P284" s="10"/>
      <c r="Q284" s="43"/>
      <c r="R284" s="10"/>
      <c r="T284" s="10"/>
    </row>
    <row r="285" spans="2:20" s="1" customFormat="1" ht="14.25" x14ac:dyDescent="0.15">
      <c r="B285" s="16">
        <v>8</v>
      </c>
      <c r="C285" s="11"/>
      <c r="D285" s="18"/>
      <c r="E285" s="18"/>
      <c r="F285" s="129"/>
      <c r="G285" s="20"/>
      <c r="H285" s="20">
        <v>1</v>
      </c>
      <c r="I285" s="126">
        <f t="shared" si="17"/>
        <v>0</v>
      </c>
      <c r="J285" s="38">
        <f>(F287*G285*H285)/$C$32</f>
        <v>0</v>
      </c>
      <c r="K285" s="80"/>
      <c r="L285" s="82"/>
      <c r="M285" s="10"/>
      <c r="N285" s="42"/>
      <c r="O285" s="10"/>
      <c r="P285" s="10"/>
      <c r="Q285" s="43"/>
      <c r="R285" s="10"/>
      <c r="T285" s="10"/>
    </row>
    <row r="286" spans="2:20" s="1" customFormat="1" ht="14.25" x14ac:dyDescent="0.15">
      <c r="B286" s="16">
        <v>9</v>
      </c>
      <c r="C286" s="11"/>
      <c r="D286" s="18"/>
      <c r="E286" s="18"/>
      <c r="F286" s="129"/>
      <c r="G286" s="20"/>
      <c r="H286" s="20">
        <v>1</v>
      </c>
      <c r="I286" s="126">
        <f t="shared" si="17"/>
        <v>0</v>
      </c>
      <c r="J286" s="38">
        <f t="shared" ref="J286:J287" si="19">(F288*G286*H286)/$C$32</f>
        <v>0</v>
      </c>
      <c r="K286" s="80"/>
      <c r="L286" s="82"/>
      <c r="M286" s="10"/>
      <c r="N286" s="42"/>
      <c r="O286" s="10"/>
      <c r="P286" s="10"/>
      <c r="Q286" s="43"/>
      <c r="R286" s="10"/>
      <c r="T286" s="10"/>
    </row>
    <row r="287" spans="2:20" s="1" customFormat="1" ht="14.25" x14ac:dyDescent="0.15">
      <c r="B287" s="16">
        <v>10</v>
      </c>
      <c r="C287" s="11"/>
      <c r="D287" s="18"/>
      <c r="E287" s="18"/>
      <c r="F287" s="129"/>
      <c r="G287" s="20"/>
      <c r="H287" s="20">
        <v>1</v>
      </c>
      <c r="I287" s="126">
        <f t="shared" si="17"/>
        <v>0</v>
      </c>
      <c r="J287" s="38">
        <f t="shared" si="19"/>
        <v>0</v>
      </c>
      <c r="K287" s="80"/>
      <c r="L287" s="82"/>
      <c r="M287" s="10"/>
      <c r="N287" s="42"/>
      <c r="O287" s="10"/>
      <c r="P287" s="10"/>
      <c r="Q287" s="43"/>
      <c r="R287" s="10"/>
      <c r="T287" s="10"/>
    </row>
    <row r="288" spans="2:20" s="1" customFormat="1" ht="14.25" x14ac:dyDescent="0.15">
      <c r="B288" s="16">
        <v>11</v>
      </c>
      <c r="C288" s="11"/>
      <c r="D288" s="18"/>
      <c r="E288" s="18"/>
      <c r="F288" s="129"/>
      <c r="G288" s="20"/>
      <c r="H288" s="20">
        <v>1</v>
      </c>
      <c r="I288" s="126">
        <f t="shared" si="17"/>
        <v>0</v>
      </c>
      <c r="J288" s="38">
        <f t="shared" ref="J288:J320" si="20">(F288*G288*H288)/$C$32</f>
        <v>0</v>
      </c>
      <c r="K288" s="80"/>
      <c r="L288" s="82"/>
      <c r="M288" s="10"/>
      <c r="N288" s="42"/>
      <c r="O288" s="10"/>
      <c r="P288" s="10"/>
      <c r="Q288" s="43"/>
      <c r="R288" s="10"/>
      <c r="T288" s="10"/>
    </row>
    <row r="289" spans="2:20" s="1" customFormat="1" ht="14.25" x14ac:dyDescent="0.15">
      <c r="B289" s="16">
        <v>12</v>
      </c>
      <c r="C289" s="11"/>
      <c r="D289" s="18"/>
      <c r="E289" s="18"/>
      <c r="F289" s="129"/>
      <c r="G289" s="20"/>
      <c r="H289" s="20">
        <v>1</v>
      </c>
      <c r="I289" s="126">
        <f t="shared" si="17"/>
        <v>0</v>
      </c>
      <c r="J289" s="38">
        <f t="shared" si="20"/>
        <v>0</v>
      </c>
      <c r="K289" s="80"/>
      <c r="L289" s="82"/>
      <c r="M289" s="10"/>
      <c r="N289" s="42"/>
      <c r="O289" s="10"/>
      <c r="P289" s="10"/>
      <c r="Q289" s="43"/>
      <c r="R289" s="10"/>
      <c r="T289" s="10"/>
    </row>
    <row r="290" spans="2:20" s="1" customFormat="1" ht="14.25" x14ac:dyDescent="0.15">
      <c r="B290" s="16">
        <v>13</v>
      </c>
      <c r="C290" s="11"/>
      <c r="D290" s="18"/>
      <c r="E290" s="18"/>
      <c r="F290" s="129"/>
      <c r="G290" s="20"/>
      <c r="H290" s="20">
        <v>1</v>
      </c>
      <c r="I290" s="126">
        <f t="shared" si="17"/>
        <v>0</v>
      </c>
      <c r="J290" s="38">
        <f t="shared" si="20"/>
        <v>0</v>
      </c>
      <c r="K290" s="80"/>
      <c r="L290" s="82"/>
      <c r="M290" s="10"/>
      <c r="N290" s="42"/>
      <c r="O290" s="10"/>
      <c r="P290" s="10"/>
      <c r="Q290" s="43"/>
      <c r="R290" s="10"/>
      <c r="T290" s="10"/>
    </row>
    <row r="291" spans="2:20" s="1" customFormat="1" ht="14.25" x14ac:dyDescent="0.15">
      <c r="B291" s="16">
        <v>14</v>
      </c>
      <c r="C291" s="11"/>
      <c r="D291" s="18"/>
      <c r="E291" s="18"/>
      <c r="F291" s="129"/>
      <c r="G291" s="20"/>
      <c r="H291" s="20">
        <v>1</v>
      </c>
      <c r="I291" s="126">
        <f t="shared" si="17"/>
        <v>0</v>
      </c>
      <c r="J291" s="38">
        <f t="shared" si="20"/>
        <v>0</v>
      </c>
      <c r="K291" s="80"/>
      <c r="L291" s="82"/>
      <c r="M291" s="10"/>
      <c r="N291" s="42"/>
      <c r="O291" s="10"/>
      <c r="P291" s="10"/>
      <c r="Q291" s="43"/>
      <c r="R291" s="10"/>
      <c r="T291" s="10"/>
    </row>
    <row r="292" spans="2:20" s="1" customFormat="1" ht="14.25" x14ac:dyDescent="0.15">
      <c r="B292" s="16">
        <v>15</v>
      </c>
      <c r="C292" s="11"/>
      <c r="D292" s="18"/>
      <c r="E292" s="18"/>
      <c r="F292" s="129"/>
      <c r="G292" s="20"/>
      <c r="H292" s="20">
        <v>1</v>
      </c>
      <c r="I292" s="126">
        <f t="shared" si="17"/>
        <v>0</v>
      </c>
      <c r="J292" s="38">
        <f t="shared" si="20"/>
        <v>0</v>
      </c>
      <c r="K292" s="80"/>
      <c r="L292" s="82"/>
      <c r="M292" s="10"/>
      <c r="N292" s="42"/>
      <c r="O292" s="10"/>
      <c r="P292" s="10"/>
      <c r="Q292" s="43"/>
      <c r="R292" s="10"/>
      <c r="T292" s="10"/>
    </row>
    <row r="293" spans="2:20" s="1" customFormat="1" ht="14.25" x14ac:dyDescent="0.15">
      <c r="B293" s="16">
        <v>16</v>
      </c>
      <c r="C293" s="11"/>
      <c r="D293" s="18"/>
      <c r="E293" s="18"/>
      <c r="F293" s="129"/>
      <c r="G293" s="20"/>
      <c r="H293" s="20">
        <v>1</v>
      </c>
      <c r="I293" s="126">
        <f t="shared" si="17"/>
        <v>0</v>
      </c>
      <c r="J293" s="38">
        <f t="shared" si="20"/>
        <v>0</v>
      </c>
      <c r="K293" s="80"/>
      <c r="L293" s="82"/>
      <c r="M293" s="10"/>
      <c r="N293" s="42"/>
      <c r="O293" s="10"/>
      <c r="P293" s="10"/>
      <c r="Q293" s="43"/>
      <c r="R293" s="10"/>
      <c r="T293" s="10"/>
    </row>
    <row r="294" spans="2:20" s="1" customFormat="1" ht="14.25" x14ac:dyDescent="0.15">
      <c r="B294" s="16">
        <v>17</v>
      </c>
      <c r="C294" s="11"/>
      <c r="D294" s="18"/>
      <c r="E294" s="18"/>
      <c r="F294" s="129"/>
      <c r="G294" s="20"/>
      <c r="H294" s="20">
        <v>1</v>
      </c>
      <c r="I294" s="126">
        <f t="shared" si="17"/>
        <v>0</v>
      </c>
      <c r="J294" s="38">
        <f t="shared" si="20"/>
        <v>0</v>
      </c>
      <c r="K294" s="80"/>
      <c r="L294" s="82"/>
      <c r="M294" s="10"/>
      <c r="N294" s="42"/>
      <c r="O294" s="10"/>
      <c r="P294" s="10"/>
      <c r="Q294" s="43"/>
      <c r="R294" s="10"/>
      <c r="T294" s="10"/>
    </row>
    <row r="295" spans="2:20" s="1" customFormat="1" ht="14.25" x14ac:dyDescent="0.15">
      <c r="B295" s="16">
        <v>18</v>
      </c>
      <c r="C295" s="11"/>
      <c r="D295" s="18"/>
      <c r="E295" s="18"/>
      <c r="F295" s="129"/>
      <c r="G295" s="20"/>
      <c r="H295" s="20">
        <v>1</v>
      </c>
      <c r="I295" s="126">
        <f t="shared" si="17"/>
        <v>0</v>
      </c>
      <c r="J295" s="38">
        <f t="shared" si="20"/>
        <v>0</v>
      </c>
      <c r="K295" s="80"/>
      <c r="L295" s="82"/>
      <c r="M295" s="10"/>
      <c r="N295" s="42"/>
      <c r="O295" s="10"/>
      <c r="P295" s="10"/>
      <c r="Q295" s="43"/>
      <c r="R295" s="10"/>
      <c r="T295" s="10"/>
    </row>
    <row r="296" spans="2:20" s="1" customFormat="1" ht="14.25" x14ac:dyDescent="0.15">
      <c r="B296" s="16">
        <v>19</v>
      </c>
      <c r="C296" s="11"/>
      <c r="D296" s="18"/>
      <c r="E296" s="18"/>
      <c r="F296" s="129"/>
      <c r="G296" s="20"/>
      <c r="H296" s="20">
        <v>1</v>
      </c>
      <c r="I296" s="126">
        <f t="shared" si="17"/>
        <v>0</v>
      </c>
      <c r="J296" s="38">
        <f t="shared" si="20"/>
        <v>0</v>
      </c>
      <c r="K296" s="80"/>
      <c r="L296" s="82"/>
      <c r="M296" s="10"/>
      <c r="N296" s="42"/>
      <c r="O296" s="10"/>
      <c r="P296" s="10"/>
      <c r="Q296" s="43"/>
      <c r="R296" s="10"/>
      <c r="T296" s="10"/>
    </row>
    <row r="297" spans="2:20" s="1" customFormat="1" ht="14.25" x14ac:dyDescent="0.15">
      <c r="B297" s="16">
        <v>20</v>
      </c>
      <c r="C297" s="11"/>
      <c r="D297" s="18"/>
      <c r="E297" s="18"/>
      <c r="F297" s="129"/>
      <c r="G297" s="20"/>
      <c r="H297" s="20">
        <v>1</v>
      </c>
      <c r="I297" s="126">
        <f t="shared" si="17"/>
        <v>0</v>
      </c>
      <c r="J297" s="38">
        <f t="shared" si="20"/>
        <v>0</v>
      </c>
      <c r="K297" s="80"/>
      <c r="L297" s="82"/>
      <c r="M297" s="10"/>
      <c r="N297" s="42"/>
      <c r="O297" s="10"/>
      <c r="P297" s="10"/>
      <c r="Q297" s="43"/>
      <c r="R297" s="10"/>
      <c r="T297" s="10"/>
    </row>
    <row r="298" spans="2:20" s="1" customFormat="1" ht="14.25" x14ac:dyDescent="0.15">
      <c r="B298" s="16"/>
      <c r="C298" s="11"/>
      <c r="D298" s="18"/>
      <c r="E298" s="18"/>
      <c r="F298" s="129"/>
      <c r="G298" s="20"/>
      <c r="H298" s="20"/>
      <c r="I298" s="126"/>
      <c r="J298" s="38"/>
      <c r="K298" s="80"/>
      <c r="L298" s="82"/>
      <c r="M298" s="10"/>
      <c r="N298" s="42"/>
      <c r="O298" s="10"/>
      <c r="P298" s="10"/>
      <c r="Q298" s="43"/>
      <c r="R298" s="10"/>
      <c r="T298" s="10"/>
    </row>
    <row r="299" spans="2:20" s="1" customFormat="1" ht="14.25" x14ac:dyDescent="0.15">
      <c r="B299" s="16"/>
      <c r="C299" s="11"/>
      <c r="D299" s="18"/>
      <c r="E299" s="18"/>
      <c r="F299" s="129"/>
      <c r="G299" s="20"/>
      <c r="H299" s="20"/>
      <c r="I299" s="126"/>
      <c r="J299" s="38"/>
      <c r="K299" s="80"/>
      <c r="L299" s="82"/>
      <c r="M299" s="10"/>
      <c r="N299" s="42"/>
      <c r="O299" s="10"/>
      <c r="P299" s="10"/>
      <c r="Q299" s="43"/>
      <c r="R299" s="10"/>
      <c r="T299" s="10"/>
    </row>
    <row r="300" spans="2:20" s="1" customFormat="1" ht="14.25" x14ac:dyDescent="0.15">
      <c r="B300" s="16"/>
      <c r="C300" s="46" t="s">
        <v>159</v>
      </c>
      <c r="D300" s="18"/>
      <c r="E300" s="18"/>
      <c r="F300" s="129"/>
      <c r="G300" s="20"/>
      <c r="H300" s="20"/>
      <c r="I300" s="126"/>
      <c r="J300" s="38"/>
      <c r="K300" s="80"/>
      <c r="L300" s="82"/>
      <c r="M300" s="10"/>
      <c r="N300" s="10"/>
      <c r="O300" s="10"/>
      <c r="P300" s="10"/>
      <c r="Q300" s="43"/>
      <c r="R300" s="10"/>
      <c r="T300" s="10"/>
    </row>
    <row r="301" spans="2:20" s="1" customFormat="1" ht="14.25" x14ac:dyDescent="0.15">
      <c r="B301" s="16">
        <v>1</v>
      </c>
      <c r="C301" s="11"/>
      <c r="D301" s="18"/>
      <c r="E301" s="18"/>
      <c r="F301" s="129"/>
      <c r="G301" s="20"/>
      <c r="H301" s="20">
        <v>1</v>
      </c>
      <c r="I301" s="126">
        <f t="shared" si="17"/>
        <v>0</v>
      </c>
      <c r="J301" s="38">
        <f t="shared" si="20"/>
        <v>0</v>
      </c>
      <c r="K301" s="80"/>
      <c r="L301" s="82"/>
      <c r="M301" s="10"/>
      <c r="N301" s="10"/>
      <c r="O301" s="10"/>
      <c r="P301" s="10"/>
      <c r="Q301" s="43"/>
      <c r="R301" s="10"/>
      <c r="T301" s="10"/>
    </row>
    <row r="302" spans="2:20" s="1" customFormat="1" ht="14.25" x14ac:dyDescent="0.15">
      <c r="B302" s="16">
        <v>2</v>
      </c>
      <c r="C302" s="11"/>
      <c r="D302" s="18"/>
      <c r="E302" s="18"/>
      <c r="F302" s="129"/>
      <c r="G302" s="20"/>
      <c r="H302" s="20">
        <v>1</v>
      </c>
      <c r="I302" s="126">
        <f t="shared" si="17"/>
        <v>0</v>
      </c>
      <c r="J302" s="38">
        <f t="shared" si="20"/>
        <v>0</v>
      </c>
      <c r="K302" s="80"/>
      <c r="L302" s="82"/>
      <c r="M302" s="10"/>
      <c r="N302" s="10"/>
      <c r="O302" s="10"/>
      <c r="P302" s="10"/>
      <c r="Q302" s="43"/>
      <c r="R302" s="10"/>
      <c r="T302" s="10"/>
    </row>
    <row r="303" spans="2:20" s="1" customFormat="1" ht="14.25" x14ac:dyDescent="0.15">
      <c r="B303" s="16">
        <v>3</v>
      </c>
      <c r="C303" s="11"/>
      <c r="D303" s="18"/>
      <c r="E303" s="18"/>
      <c r="F303" s="129"/>
      <c r="G303" s="20"/>
      <c r="H303" s="20">
        <v>1</v>
      </c>
      <c r="I303" s="126">
        <f t="shared" si="17"/>
        <v>0</v>
      </c>
      <c r="J303" s="38">
        <f t="shared" si="20"/>
        <v>0</v>
      </c>
      <c r="K303" s="80"/>
      <c r="L303" s="82"/>
      <c r="M303" s="10"/>
      <c r="N303" s="10"/>
      <c r="O303" s="10"/>
      <c r="P303" s="10"/>
      <c r="Q303" s="43"/>
      <c r="R303" s="10"/>
      <c r="T303" s="10"/>
    </row>
    <row r="304" spans="2:20" s="1" customFormat="1" ht="14.25" x14ac:dyDescent="0.15">
      <c r="B304" s="16">
        <v>4</v>
      </c>
      <c r="C304" s="11"/>
      <c r="D304" s="18"/>
      <c r="E304" s="18"/>
      <c r="F304" s="129"/>
      <c r="G304" s="20"/>
      <c r="H304" s="20">
        <v>1</v>
      </c>
      <c r="I304" s="126">
        <f t="shared" si="17"/>
        <v>0</v>
      </c>
      <c r="J304" s="38">
        <f t="shared" si="20"/>
        <v>0</v>
      </c>
      <c r="K304" s="80"/>
      <c r="L304" s="82"/>
      <c r="M304" s="10"/>
      <c r="N304" s="10"/>
      <c r="O304" s="10"/>
      <c r="P304" s="10"/>
      <c r="Q304" s="43"/>
      <c r="R304" s="10"/>
      <c r="T304" s="10"/>
    </row>
    <row r="305" spans="2:20" s="1" customFormat="1" ht="14.25" x14ac:dyDescent="0.15">
      <c r="B305" s="16">
        <v>5</v>
      </c>
      <c r="C305" s="11"/>
      <c r="D305" s="18"/>
      <c r="E305" s="18"/>
      <c r="F305" s="129"/>
      <c r="G305" s="20"/>
      <c r="H305" s="20">
        <v>1</v>
      </c>
      <c r="I305" s="126">
        <f t="shared" si="17"/>
        <v>0</v>
      </c>
      <c r="J305" s="38">
        <f t="shared" si="20"/>
        <v>0</v>
      </c>
      <c r="K305" s="80"/>
      <c r="L305" s="82"/>
      <c r="M305" s="10"/>
      <c r="N305" s="10"/>
      <c r="O305" s="10"/>
      <c r="P305" s="10"/>
      <c r="Q305" s="43"/>
      <c r="R305" s="10"/>
      <c r="T305" s="10"/>
    </row>
    <row r="306" spans="2:20" s="1" customFormat="1" ht="14.25" x14ac:dyDescent="0.15">
      <c r="B306" s="16">
        <v>6</v>
      </c>
      <c r="C306" s="11"/>
      <c r="D306" s="18"/>
      <c r="E306" s="18"/>
      <c r="F306" s="129"/>
      <c r="G306" s="20"/>
      <c r="H306" s="20">
        <v>1</v>
      </c>
      <c r="I306" s="126">
        <f t="shared" si="17"/>
        <v>0</v>
      </c>
      <c r="J306" s="38">
        <f t="shared" si="20"/>
        <v>0</v>
      </c>
      <c r="K306" s="80"/>
      <c r="L306" s="82"/>
      <c r="M306" s="10"/>
      <c r="N306" s="10"/>
      <c r="O306" s="10"/>
      <c r="P306" s="10"/>
      <c r="Q306" s="43"/>
      <c r="R306" s="10"/>
      <c r="T306" s="10"/>
    </row>
    <row r="307" spans="2:20" s="1" customFormat="1" ht="14.25" x14ac:dyDescent="0.15">
      <c r="B307" s="16">
        <v>7</v>
      </c>
      <c r="C307" s="11"/>
      <c r="D307" s="18"/>
      <c r="E307" s="18"/>
      <c r="F307" s="129"/>
      <c r="G307" s="20"/>
      <c r="H307" s="20">
        <v>1</v>
      </c>
      <c r="I307" s="126">
        <f t="shared" si="17"/>
        <v>0</v>
      </c>
      <c r="J307" s="38">
        <f t="shared" si="20"/>
        <v>0</v>
      </c>
      <c r="K307" s="80"/>
      <c r="L307" s="82"/>
      <c r="M307" s="10"/>
      <c r="N307" s="10"/>
      <c r="O307" s="10"/>
      <c r="P307" s="10"/>
      <c r="Q307" s="43"/>
      <c r="R307" s="10"/>
      <c r="T307" s="10"/>
    </row>
    <row r="308" spans="2:20" s="1" customFormat="1" ht="14.25" x14ac:dyDescent="0.15">
      <c r="B308" s="16">
        <v>8</v>
      </c>
      <c r="C308" s="11"/>
      <c r="D308" s="18"/>
      <c r="E308" s="18"/>
      <c r="F308" s="129"/>
      <c r="G308" s="20"/>
      <c r="H308" s="20">
        <v>1</v>
      </c>
      <c r="I308" s="126">
        <f t="shared" si="17"/>
        <v>0</v>
      </c>
      <c r="J308" s="38">
        <f t="shared" si="20"/>
        <v>0</v>
      </c>
      <c r="K308" s="80"/>
      <c r="L308" s="82"/>
      <c r="M308" s="10"/>
      <c r="N308" s="10"/>
      <c r="O308" s="10"/>
      <c r="P308" s="10"/>
      <c r="Q308" s="43"/>
      <c r="R308" s="10"/>
      <c r="T308" s="10"/>
    </row>
    <row r="309" spans="2:20" s="1" customFormat="1" ht="14.25" x14ac:dyDescent="0.15">
      <c r="B309" s="16">
        <v>9</v>
      </c>
      <c r="C309" s="11"/>
      <c r="D309" s="18"/>
      <c r="E309" s="18"/>
      <c r="F309" s="129"/>
      <c r="G309" s="20"/>
      <c r="H309" s="20">
        <v>1</v>
      </c>
      <c r="I309" s="126">
        <f t="shared" si="17"/>
        <v>0</v>
      </c>
      <c r="J309" s="38">
        <f t="shared" si="20"/>
        <v>0</v>
      </c>
      <c r="K309" s="80"/>
      <c r="L309" s="82"/>
      <c r="M309" s="10"/>
      <c r="N309" s="10"/>
      <c r="O309" s="10"/>
      <c r="P309" s="10"/>
      <c r="Q309" s="43"/>
      <c r="R309" s="10"/>
      <c r="T309" s="10"/>
    </row>
    <row r="310" spans="2:20" s="1" customFormat="1" ht="14.25" x14ac:dyDescent="0.15">
      <c r="B310" s="16">
        <v>10</v>
      </c>
      <c r="C310" s="11"/>
      <c r="D310" s="18"/>
      <c r="E310" s="18"/>
      <c r="F310" s="129"/>
      <c r="G310" s="20"/>
      <c r="H310" s="20">
        <v>1</v>
      </c>
      <c r="I310" s="126">
        <f t="shared" si="17"/>
        <v>0</v>
      </c>
      <c r="J310" s="38">
        <f t="shared" si="20"/>
        <v>0</v>
      </c>
      <c r="K310" s="80"/>
      <c r="L310" s="82"/>
      <c r="M310" s="10"/>
      <c r="N310" s="10"/>
      <c r="O310" s="10"/>
      <c r="P310" s="10"/>
      <c r="Q310" s="43"/>
      <c r="R310" s="10"/>
      <c r="T310" s="10"/>
    </row>
    <row r="311" spans="2:20" s="1" customFormat="1" ht="14.25" x14ac:dyDescent="0.15">
      <c r="B311" s="16">
        <v>11</v>
      </c>
      <c r="C311" s="11"/>
      <c r="D311" s="18"/>
      <c r="E311" s="18"/>
      <c r="F311" s="129"/>
      <c r="G311" s="20"/>
      <c r="H311" s="20">
        <v>1</v>
      </c>
      <c r="I311" s="126">
        <f t="shared" si="17"/>
        <v>0</v>
      </c>
      <c r="J311" s="38">
        <f t="shared" si="20"/>
        <v>0</v>
      </c>
      <c r="K311" s="80"/>
      <c r="L311" s="82"/>
      <c r="M311" s="10"/>
      <c r="N311" s="10"/>
      <c r="O311" s="10"/>
      <c r="P311" s="10"/>
      <c r="Q311" s="43"/>
      <c r="R311" s="10"/>
      <c r="T311" s="10"/>
    </row>
    <row r="312" spans="2:20" s="1" customFormat="1" ht="14.25" x14ac:dyDescent="0.15">
      <c r="B312" s="16">
        <v>12</v>
      </c>
      <c r="C312" s="11"/>
      <c r="D312" s="18"/>
      <c r="E312" s="18"/>
      <c r="F312" s="129"/>
      <c r="G312" s="20"/>
      <c r="H312" s="20">
        <v>1</v>
      </c>
      <c r="I312" s="126">
        <f t="shared" si="17"/>
        <v>0</v>
      </c>
      <c r="J312" s="38">
        <f t="shared" si="20"/>
        <v>0</v>
      </c>
      <c r="K312" s="80"/>
      <c r="L312" s="82"/>
      <c r="M312" s="10"/>
      <c r="N312" s="10"/>
      <c r="O312" s="10"/>
      <c r="P312" s="10"/>
      <c r="Q312" s="43"/>
      <c r="R312" s="10"/>
      <c r="T312" s="10"/>
    </row>
    <row r="313" spans="2:20" s="1" customFormat="1" ht="14.25" x14ac:dyDescent="0.15">
      <c r="B313" s="16">
        <v>13</v>
      </c>
      <c r="C313" s="11"/>
      <c r="D313" s="18"/>
      <c r="E313" s="18"/>
      <c r="F313" s="129"/>
      <c r="G313" s="20"/>
      <c r="H313" s="20">
        <v>1</v>
      </c>
      <c r="I313" s="126">
        <f t="shared" si="17"/>
        <v>0</v>
      </c>
      <c r="J313" s="38">
        <f t="shared" si="20"/>
        <v>0</v>
      </c>
      <c r="K313" s="80"/>
      <c r="L313" s="82"/>
      <c r="M313" s="10"/>
      <c r="N313" s="10"/>
      <c r="O313" s="10"/>
      <c r="P313" s="10"/>
      <c r="Q313" s="43"/>
      <c r="R313" s="10"/>
      <c r="T313" s="10"/>
    </row>
    <row r="314" spans="2:20" s="1" customFormat="1" ht="14.25" x14ac:dyDescent="0.15">
      <c r="B314" s="16">
        <v>14</v>
      </c>
      <c r="C314" s="11"/>
      <c r="D314" s="18"/>
      <c r="E314" s="18"/>
      <c r="F314" s="129"/>
      <c r="G314" s="20"/>
      <c r="H314" s="20">
        <v>1</v>
      </c>
      <c r="I314" s="126">
        <f t="shared" si="17"/>
        <v>0</v>
      </c>
      <c r="J314" s="38">
        <f t="shared" si="20"/>
        <v>0</v>
      </c>
      <c r="K314" s="80"/>
      <c r="L314" s="82"/>
      <c r="M314" s="10"/>
      <c r="N314" s="10"/>
      <c r="O314" s="10"/>
      <c r="P314" s="10"/>
      <c r="Q314" s="43"/>
      <c r="R314" s="10"/>
      <c r="T314" s="10"/>
    </row>
    <row r="315" spans="2:20" s="1" customFormat="1" ht="14.25" x14ac:dyDescent="0.15">
      <c r="B315" s="16">
        <v>15</v>
      </c>
      <c r="C315" s="11"/>
      <c r="D315" s="18"/>
      <c r="E315" s="18"/>
      <c r="F315" s="129"/>
      <c r="G315" s="20"/>
      <c r="H315" s="20">
        <v>1</v>
      </c>
      <c r="I315" s="126">
        <f t="shared" si="17"/>
        <v>0</v>
      </c>
      <c r="J315" s="38">
        <f t="shared" si="20"/>
        <v>0</v>
      </c>
      <c r="K315" s="80"/>
      <c r="L315" s="82"/>
      <c r="M315" s="10"/>
      <c r="N315" s="10"/>
      <c r="O315" s="10"/>
      <c r="P315" s="10"/>
      <c r="Q315" s="43"/>
      <c r="R315" s="10"/>
      <c r="T315" s="10"/>
    </row>
    <row r="316" spans="2:20" s="1" customFormat="1" ht="14.25" x14ac:dyDescent="0.15">
      <c r="B316" s="16">
        <v>16</v>
      </c>
      <c r="C316" s="11"/>
      <c r="D316" s="18"/>
      <c r="E316" s="18"/>
      <c r="F316" s="129"/>
      <c r="G316" s="20"/>
      <c r="H316" s="20">
        <v>1</v>
      </c>
      <c r="I316" s="126">
        <f t="shared" si="17"/>
        <v>0</v>
      </c>
      <c r="J316" s="38">
        <f t="shared" si="20"/>
        <v>0</v>
      </c>
      <c r="K316" s="80"/>
      <c r="L316" s="82"/>
      <c r="M316" s="10"/>
      <c r="N316" s="10"/>
      <c r="O316" s="10"/>
      <c r="P316" s="10"/>
      <c r="Q316" s="43"/>
      <c r="R316" s="10"/>
      <c r="T316" s="10"/>
    </row>
    <row r="317" spans="2:20" s="1" customFormat="1" ht="14.25" x14ac:dyDescent="0.15">
      <c r="B317" s="16">
        <v>17</v>
      </c>
      <c r="C317" s="11"/>
      <c r="D317" s="18"/>
      <c r="E317" s="18"/>
      <c r="F317" s="129"/>
      <c r="G317" s="20"/>
      <c r="H317" s="20">
        <v>1</v>
      </c>
      <c r="I317" s="126">
        <f t="shared" si="17"/>
        <v>0</v>
      </c>
      <c r="J317" s="38">
        <f t="shared" si="20"/>
        <v>0</v>
      </c>
      <c r="K317" s="80"/>
      <c r="L317" s="82"/>
      <c r="M317" s="10"/>
      <c r="N317" s="10"/>
      <c r="O317" s="10"/>
      <c r="P317" s="10"/>
      <c r="Q317" s="43"/>
      <c r="R317" s="10"/>
      <c r="T317" s="10"/>
    </row>
    <row r="318" spans="2:20" s="1" customFormat="1" ht="14.25" x14ac:dyDescent="0.15">
      <c r="B318" s="16">
        <v>18</v>
      </c>
      <c r="C318" s="11"/>
      <c r="D318" s="18"/>
      <c r="E318" s="18"/>
      <c r="F318" s="129"/>
      <c r="G318" s="20"/>
      <c r="H318" s="20">
        <v>1</v>
      </c>
      <c r="I318" s="126">
        <f t="shared" si="17"/>
        <v>0</v>
      </c>
      <c r="J318" s="324">
        <f t="shared" si="20"/>
        <v>0</v>
      </c>
      <c r="K318" s="111"/>
      <c r="L318" s="119"/>
      <c r="M318" s="10"/>
      <c r="N318" s="10"/>
      <c r="O318" s="10"/>
      <c r="P318" s="10"/>
      <c r="Q318" s="43"/>
      <c r="R318" s="10"/>
      <c r="T318" s="10"/>
    </row>
    <row r="319" spans="2:20" s="1" customFormat="1" ht="14.25" x14ac:dyDescent="0.15">
      <c r="B319" s="16">
        <v>19</v>
      </c>
      <c r="C319" s="11"/>
      <c r="D319" s="18"/>
      <c r="E319" s="18"/>
      <c r="F319" s="129"/>
      <c r="G319" s="20"/>
      <c r="H319" s="20">
        <v>1</v>
      </c>
      <c r="I319" s="254">
        <f t="shared" si="17"/>
        <v>0</v>
      </c>
      <c r="J319" s="323">
        <f t="shared" si="20"/>
        <v>0</v>
      </c>
      <c r="K319" s="82"/>
      <c r="L319" s="82"/>
      <c r="M319" s="10"/>
      <c r="N319" s="10"/>
      <c r="O319" s="10"/>
      <c r="P319" s="10"/>
      <c r="Q319" s="43"/>
      <c r="R319" s="10"/>
      <c r="T319" s="10"/>
    </row>
    <row r="320" spans="2:20" s="1" customFormat="1" ht="14.25" x14ac:dyDescent="0.15">
      <c r="B320" s="16">
        <v>20</v>
      </c>
      <c r="C320" s="11"/>
      <c r="D320" s="18"/>
      <c r="E320" s="18"/>
      <c r="F320" s="129"/>
      <c r="G320" s="20"/>
      <c r="H320" s="20">
        <v>1</v>
      </c>
      <c r="I320" s="254">
        <f t="shared" si="17"/>
        <v>0</v>
      </c>
      <c r="J320" s="323">
        <f t="shared" si="20"/>
        <v>0</v>
      </c>
      <c r="K320" s="82"/>
      <c r="L320" s="82"/>
      <c r="M320" s="10"/>
      <c r="N320" s="10"/>
      <c r="O320" s="10"/>
      <c r="P320" s="10"/>
      <c r="Q320" s="43"/>
      <c r="R320" s="10"/>
      <c r="T320" s="10"/>
    </row>
    <row r="321" spans="2:20" s="1" customFormat="1" ht="14.25" x14ac:dyDescent="0.15">
      <c r="B321" s="83"/>
      <c r="C321" s="160"/>
      <c r="D321" s="75"/>
      <c r="E321" s="75"/>
      <c r="F321" s="132"/>
      <c r="G321" s="77"/>
      <c r="H321" s="77"/>
      <c r="I321" s="255"/>
      <c r="J321" s="323"/>
      <c r="K321" s="82"/>
      <c r="L321" s="82"/>
      <c r="M321" s="10"/>
      <c r="N321" s="10"/>
      <c r="O321" s="10"/>
      <c r="P321" s="10"/>
      <c r="Q321" s="43"/>
      <c r="R321" s="10"/>
      <c r="T321" s="10"/>
    </row>
    <row r="322" spans="2:20" s="1" customFormat="1" ht="14.25" x14ac:dyDescent="0.15">
      <c r="B322" s="82"/>
      <c r="C322" s="102"/>
      <c r="D322" s="103"/>
      <c r="E322" s="102"/>
      <c r="F322" s="128">
        <f>SUM(F262:F321)</f>
        <v>0</v>
      </c>
      <c r="G322" s="104"/>
      <c r="H322" s="105"/>
      <c r="I322" s="256">
        <f>SUM(I263:I321)</f>
        <v>0</v>
      </c>
      <c r="J322" s="257">
        <f>SUM(J262:J281)</f>
        <v>0</v>
      </c>
      <c r="M322" s="10"/>
      <c r="N322" s="10"/>
      <c r="O322" s="10"/>
      <c r="P322" s="10"/>
      <c r="Q322" s="43"/>
      <c r="R322" s="10"/>
      <c r="T322" s="10"/>
    </row>
    <row r="323" spans="2:20" s="67" customFormat="1" ht="14.25" x14ac:dyDescent="0.15">
      <c r="B323" s="116"/>
      <c r="C323" s="114"/>
      <c r="D323" s="114"/>
      <c r="E323" s="114" t="s">
        <v>147</v>
      </c>
      <c r="F323" s="162">
        <f>100/115*F322</f>
        <v>0</v>
      </c>
      <c r="G323" s="161"/>
      <c r="H323" s="161" t="s">
        <v>147</v>
      </c>
      <c r="I323" s="264">
        <f>100/115*I322</f>
        <v>0</v>
      </c>
      <c r="J323" s="114"/>
      <c r="M323" s="68"/>
      <c r="N323" s="68"/>
      <c r="O323" s="68"/>
      <c r="P323" s="68"/>
      <c r="Q323" s="69"/>
      <c r="R323" s="68"/>
      <c r="T323" s="68"/>
    </row>
    <row r="324" spans="2:20" s="1" customFormat="1" ht="14.25" x14ac:dyDescent="0.15">
      <c r="M324" s="10"/>
      <c r="N324" s="10"/>
      <c r="O324" s="10"/>
      <c r="P324" s="10"/>
      <c r="Q324" s="43"/>
      <c r="R324" s="10"/>
      <c r="T324" s="10"/>
    </row>
    <row r="325" spans="2:20" s="1" customFormat="1" ht="14.25" x14ac:dyDescent="0.15">
      <c r="M325" s="10"/>
      <c r="N325" s="10"/>
      <c r="O325" s="10"/>
      <c r="P325" s="10"/>
      <c r="Q325" s="43"/>
      <c r="R325" s="10"/>
      <c r="T325" s="10"/>
    </row>
    <row r="326" spans="2:20" s="1" customFormat="1" ht="14.25" x14ac:dyDescent="0.15">
      <c r="M326" s="10"/>
      <c r="N326" s="10"/>
      <c r="O326" s="10"/>
      <c r="P326" s="10"/>
      <c r="Q326" s="43"/>
      <c r="R326" s="10"/>
      <c r="T326" s="10"/>
    </row>
    <row r="327" spans="2:20" s="1" customFormat="1" ht="14.25" x14ac:dyDescent="0.15">
      <c r="M327" s="10"/>
      <c r="N327" s="10"/>
      <c r="O327" s="10"/>
      <c r="P327" s="10"/>
      <c r="Q327" s="43"/>
      <c r="R327" s="10"/>
      <c r="T327" s="10"/>
    </row>
    <row r="328" spans="2:20" s="247" customFormat="1" ht="32.25" x14ac:dyDescent="0.4">
      <c r="B328" s="248"/>
      <c r="C328" s="380" t="s">
        <v>112</v>
      </c>
      <c r="D328" s="380"/>
      <c r="E328" s="428" t="s">
        <v>108</v>
      </c>
      <c r="F328" s="428"/>
      <c r="G328" s="428"/>
      <c r="H328" s="428"/>
      <c r="I328" s="428"/>
      <c r="J328" s="382">
        <v>2026</v>
      </c>
      <c r="K328" s="382"/>
      <c r="L328" s="382"/>
      <c r="M328" s="249"/>
      <c r="N328" s="249"/>
      <c r="O328" s="249"/>
      <c r="P328" s="249"/>
      <c r="Q328" s="250"/>
      <c r="R328" s="249"/>
      <c r="T328" s="249"/>
    </row>
    <row r="329" spans="2:20" s="1" customFormat="1" ht="22.5" x14ac:dyDescent="0.15">
      <c r="B329" s="82"/>
      <c r="C329" s="102" t="s">
        <v>114</v>
      </c>
      <c r="D329" s="388" t="s">
        <v>115</v>
      </c>
      <c r="E329" s="388"/>
      <c r="F329" s="102" t="s">
        <v>116</v>
      </c>
      <c r="G329" s="102" t="s">
        <v>117</v>
      </c>
      <c r="H329" s="102" t="s">
        <v>118</v>
      </c>
      <c r="I329" s="102" t="s">
        <v>119</v>
      </c>
      <c r="J329" s="102" t="s">
        <v>120</v>
      </c>
      <c r="K329" s="82"/>
      <c r="L329" s="82"/>
      <c r="M329" s="10"/>
      <c r="N329" s="10"/>
      <c r="O329" s="10"/>
      <c r="P329" s="10"/>
      <c r="Q329" s="43"/>
      <c r="R329" s="10"/>
      <c r="T329" s="10"/>
    </row>
    <row r="330" spans="2:20" s="1" customFormat="1" ht="14.25" x14ac:dyDescent="0.15">
      <c r="B330" s="82"/>
      <c r="C330" s="66">
        <f>C260</f>
        <v>450</v>
      </c>
      <c r="D330" s="389">
        <v>20</v>
      </c>
      <c r="E330" s="389"/>
      <c r="F330" s="13">
        <f>F260</f>
        <v>0.8</v>
      </c>
      <c r="G330" s="14">
        <f>G260</f>
        <v>8</v>
      </c>
      <c r="H330" s="142">
        <f>D330*G330*F330</f>
        <v>128</v>
      </c>
      <c r="I330" s="66">
        <f>I392</f>
        <v>0</v>
      </c>
      <c r="J330" s="143">
        <f>H330-J392</f>
        <v>128</v>
      </c>
      <c r="K330" s="82"/>
      <c r="L330" s="82"/>
      <c r="M330" s="10"/>
      <c r="N330" s="10"/>
      <c r="O330" s="10"/>
      <c r="P330" s="10"/>
      <c r="Q330" s="43"/>
      <c r="R330" s="10"/>
      <c r="T330" s="10"/>
    </row>
    <row r="331" spans="2:20" s="1" customFormat="1" ht="33.75" x14ac:dyDescent="0.15">
      <c r="B331" s="82"/>
      <c r="C331" s="167" t="s">
        <v>121</v>
      </c>
      <c r="D331" s="395" t="s">
        <v>122</v>
      </c>
      <c r="E331" s="395"/>
      <c r="F331" s="177" t="s">
        <v>123</v>
      </c>
      <c r="G331" s="178" t="s">
        <v>124</v>
      </c>
      <c r="H331" s="179" t="s">
        <v>125</v>
      </c>
      <c r="I331" s="180" t="s">
        <v>126</v>
      </c>
      <c r="J331" s="178" t="s">
        <v>127</v>
      </c>
      <c r="K331" s="114" t="s">
        <v>128</v>
      </c>
      <c r="L331" s="114" t="s">
        <v>129</v>
      </c>
      <c r="M331" s="10"/>
      <c r="N331" s="10"/>
      <c r="O331" s="10"/>
      <c r="P331" s="10"/>
      <c r="Q331" s="43"/>
      <c r="R331" s="10"/>
      <c r="T331" s="10"/>
    </row>
    <row r="332" spans="2:20" s="1" customFormat="1" ht="14.25" x14ac:dyDescent="0.15">
      <c r="B332" s="84"/>
      <c r="C332" s="81"/>
      <c r="D332" s="404"/>
      <c r="E332" s="404"/>
      <c r="F332" s="175"/>
      <c r="G332" s="87"/>
      <c r="H332" s="87"/>
      <c r="I332" s="176"/>
      <c r="J332" s="325"/>
      <c r="K332" s="79"/>
      <c r="L332" s="120"/>
      <c r="M332" s="10"/>
      <c r="N332" s="10"/>
      <c r="O332" s="10"/>
      <c r="P332" s="10"/>
      <c r="Q332" s="43"/>
      <c r="R332" s="10"/>
      <c r="T332" s="10"/>
    </row>
    <row r="333" spans="2:20" s="1" customFormat="1" ht="12.95" customHeight="1" x14ac:dyDescent="0.15">
      <c r="B333" s="16"/>
      <c r="C333" s="411" t="s">
        <v>130</v>
      </c>
      <c r="D333" s="411"/>
      <c r="E333" s="411"/>
      <c r="F333" s="129"/>
      <c r="G333" s="20"/>
      <c r="H333" s="20"/>
      <c r="I333" s="126"/>
      <c r="J333" s="38"/>
      <c r="K333" s="80"/>
      <c r="L333" s="82"/>
      <c r="M333" s="10"/>
      <c r="N333" s="10"/>
      <c r="O333" s="10"/>
      <c r="P333" s="10"/>
      <c r="Q333" s="43"/>
      <c r="R333" s="10"/>
      <c r="T333" s="10"/>
    </row>
    <row r="334" spans="2:20" s="1" customFormat="1" ht="12.95" customHeight="1" x14ac:dyDescent="0.15">
      <c r="B334" s="16"/>
      <c r="C334" s="37" t="s">
        <v>149</v>
      </c>
      <c r="D334" s="24"/>
      <c r="E334" s="24"/>
      <c r="F334" s="129"/>
      <c r="G334" s="20"/>
      <c r="H334" s="20">
        <v>1</v>
      </c>
      <c r="I334" s="126">
        <f>J334*$C$32</f>
        <v>0</v>
      </c>
      <c r="J334" s="38">
        <f t="shared" ref="J334:J352" si="21">(F334*G334*H334)/$C$32</f>
        <v>0</v>
      </c>
      <c r="K334" s="80"/>
      <c r="L334" s="82"/>
    </row>
    <row r="335" spans="2:20" s="1" customFormat="1" ht="12.95" customHeight="1" x14ac:dyDescent="0.15">
      <c r="B335" s="16">
        <v>1</v>
      </c>
      <c r="C335" s="23"/>
      <c r="D335" s="24"/>
      <c r="E335" s="24"/>
      <c r="F335" s="129"/>
      <c r="G335" s="20"/>
      <c r="H335" s="20">
        <v>1</v>
      </c>
      <c r="I335" s="126">
        <f t="shared" ref="I335:I364" si="22">J335*$C$32</f>
        <v>0</v>
      </c>
      <c r="J335" s="38">
        <f t="shared" si="21"/>
        <v>0</v>
      </c>
      <c r="K335" s="80"/>
      <c r="L335" s="82"/>
    </row>
    <row r="336" spans="2:20" s="1" customFormat="1" ht="12.95" customHeight="1" x14ac:dyDescent="0.15">
      <c r="B336" s="16">
        <v>2</v>
      </c>
      <c r="C336" s="23"/>
      <c r="D336" s="24"/>
      <c r="E336" s="24"/>
      <c r="F336" s="126"/>
      <c r="G336" s="20"/>
      <c r="H336" s="20">
        <v>1</v>
      </c>
      <c r="I336" s="126">
        <f t="shared" si="22"/>
        <v>0</v>
      </c>
      <c r="J336" s="38">
        <f t="shared" si="21"/>
        <v>0</v>
      </c>
      <c r="K336" s="80"/>
      <c r="L336" s="82"/>
    </row>
    <row r="337" spans="2:12" s="1" customFormat="1" ht="12.95" customHeight="1" x14ac:dyDescent="0.15">
      <c r="B337" s="16">
        <v>3</v>
      </c>
      <c r="C337" s="23"/>
      <c r="D337" s="25"/>
      <c r="E337" s="25"/>
      <c r="F337" s="129"/>
      <c r="G337" s="20"/>
      <c r="H337" s="20">
        <v>1</v>
      </c>
      <c r="I337" s="126">
        <f t="shared" si="22"/>
        <v>0</v>
      </c>
      <c r="J337" s="38">
        <f t="shared" si="21"/>
        <v>0</v>
      </c>
      <c r="K337" s="80"/>
      <c r="L337" s="82"/>
    </row>
    <row r="338" spans="2:12" s="1" customFormat="1" ht="12.95" customHeight="1" x14ac:dyDescent="0.15">
      <c r="B338" s="16">
        <v>4</v>
      </c>
      <c r="C338" s="23"/>
      <c r="D338" s="24"/>
      <c r="E338" s="24"/>
      <c r="F338" s="129"/>
      <c r="G338" s="20"/>
      <c r="H338" s="20">
        <v>1</v>
      </c>
      <c r="I338" s="126">
        <f t="shared" si="22"/>
        <v>0</v>
      </c>
      <c r="J338" s="38">
        <f t="shared" si="21"/>
        <v>0</v>
      </c>
      <c r="K338" s="80"/>
      <c r="L338" s="82"/>
    </row>
    <row r="339" spans="2:12" s="1" customFormat="1" ht="12.95" customHeight="1" x14ac:dyDescent="0.15">
      <c r="B339" s="16">
        <v>5</v>
      </c>
      <c r="C339" s="16"/>
      <c r="D339" s="18"/>
      <c r="E339" s="18"/>
      <c r="F339" s="129"/>
      <c r="G339" s="20"/>
      <c r="H339" s="20">
        <v>1</v>
      </c>
      <c r="I339" s="126">
        <f t="shared" si="22"/>
        <v>0</v>
      </c>
      <c r="J339" s="38">
        <f t="shared" si="21"/>
        <v>0</v>
      </c>
      <c r="K339" s="80"/>
      <c r="L339" s="82"/>
    </row>
    <row r="340" spans="2:12" s="1" customFormat="1" ht="12.95" customHeight="1" x14ac:dyDescent="0.15">
      <c r="B340" s="16">
        <v>6</v>
      </c>
      <c r="C340" s="17"/>
      <c r="D340" s="24"/>
      <c r="E340" s="24"/>
      <c r="F340" s="129"/>
      <c r="G340" s="20"/>
      <c r="H340" s="20">
        <v>1</v>
      </c>
      <c r="I340" s="126">
        <f t="shared" si="22"/>
        <v>0</v>
      </c>
      <c r="J340" s="38">
        <f t="shared" si="21"/>
        <v>0</v>
      </c>
      <c r="K340" s="80"/>
      <c r="L340" s="82"/>
    </row>
    <row r="341" spans="2:12" s="1" customFormat="1" ht="12.95" customHeight="1" x14ac:dyDescent="0.15">
      <c r="B341" s="16">
        <v>7</v>
      </c>
      <c r="C341" s="17"/>
      <c r="D341" s="24"/>
      <c r="E341" s="24"/>
      <c r="F341" s="129"/>
      <c r="G341" s="20"/>
      <c r="H341" s="20">
        <v>1</v>
      </c>
      <c r="I341" s="126">
        <f t="shared" si="22"/>
        <v>0</v>
      </c>
      <c r="J341" s="38">
        <f t="shared" si="21"/>
        <v>0</v>
      </c>
      <c r="K341" s="80"/>
      <c r="L341" s="82"/>
    </row>
    <row r="342" spans="2:12" s="1" customFormat="1" ht="12.95" customHeight="1" x14ac:dyDescent="0.15">
      <c r="B342" s="16">
        <v>8</v>
      </c>
      <c r="C342" s="23"/>
      <c r="D342" s="48"/>
      <c r="E342" s="48"/>
      <c r="F342" s="129"/>
      <c r="G342" s="20"/>
      <c r="H342" s="20">
        <v>1</v>
      </c>
      <c r="I342" s="126">
        <f t="shared" si="22"/>
        <v>0</v>
      </c>
      <c r="J342" s="38">
        <f t="shared" si="21"/>
        <v>0</v>
      </c>
      <c r="K342" s="80"/>
      <c r="L342" s="82"/>
    </row>
    <row r="343" spans="2:12" s="1" customFormat="1" ht="12.95" customHeight="1" x14ac:dyDescent="0.15">
      <c r="B343" s="16">
        <v>9</v>
      </c>
      <c r="C343" s="23"/>
      <c r="D343" s="48"/>
      <c r="E343" s="48"/>
      <c r="F343" s="129"/>
      <c r="G343" s="20"/>
      <c r="H343" s="20">
        <v>1</v>
      </c>
      <c r="I343" s="126">
        <f t="shared" si="22"/>
        <v>0</v>
      </c>
      <c r="J343" s="38">
        <f t="shared" si="21"/>
        <v>0</v>
      </c>
      <c r="K343" s="80"/>
      <c r="L343" s="82"/>
    </row>
    <row r="344" spans="2:12" s="1" customFormat="1" ht="12.95" customHeight="1" x14ac:dyDescent="0.15">
      <c r="B344" s="16">
        <v>10</v>
      </c>
      <c r="C344" s="23"/>
      <c r="D344" s="48"/>
      <c r="E344" s="48"/>
      <c r="F344" s="129"/>
      <c r="G344" s="20"/>
      <c r="H344" s="20">
        <v>1</v>
      </c>
      <c r="I344" s="126">
        <f t="shared" si="22"/>
        <v>0</v>
      </c>
      <c r="J344" s="38">
        <f t="shared" si="21"/>
        <v>0</v>
      </c>
      <c r="K344" s="80"/>
      <c r="L344" s="82"/>
    </row>
    <row r="345" spans="2:12" s="1" customFormat="1" ht="12.95" customHeight="1" x14ac:dyDescent="0.15">
      <c r="B345" s="16"/>
      <c r="C345" s="23"/>
      <c r="D345" s="49"/>
      <c r="E345" s="48"/>
      <c r="F345" s="129"/>
      <c r="G345" s="20"/>
      <c r="H345" s="20"/>
      <c r="I345" s="126"/>
      <c r="J345" s="38"/>
      <c r="K345" s="80"/>
      <c r="L345" s="82"/>
    </row>
    <row r="346" spans="2:12" s="1" customFormat="1" ht="12.95" customHeight="1" x14ac:dyDescent="0.15">
      <c r="B346" s="16"/>
      <c r="C346" s="23"/>
      <c r="D346" s="49"/>
      <c r="E346" s="48"/>
      <c r="F346" s="129"/>
      <c r="G346" s="20"/>
      <c r="H346" s="20"/>
      <c r="I346" s="126"/>
      <c r="J346" s="38"/>
      <c r="K346" s="80"/>
      <c r="L346" s="82"/>
    </row>
    <row r="347" spans="2:12" s="1" customFormat="1" ht="12.95" customHeight="1" x14ac:dyDescent="0.15">
      <c r="B347" s="16"/>
      <c r="C347" s="72" t="s">
        <v>153</v>
      </c>
      <c r="D347" s="48"/>
      <c r="E347" s="49"/>
      <c r="F347" s="129"/>
      <c r="G347" s="20"/>
      <c r="H347" s="20"/>
      <c r="I347" s="126"/>
      <c r="J347" s="38"/>
      <c r="K347" s="80"/>
      <c r="L347" s="82"/>
    </row>
    <row r="348" spans="2:12" s="1" customFormat="1" ht="12.95" customHeight="1" x14ac:dyDescent="0.15">
      <c r="B348" s="16">
        <v>1</v>
      </c>
      <c r="C348" s="23"/>
      <c r="D348" s="48"/>
      <c r="E348" s="49"/>
      <c r="F348" s="129"/>
      <c r="G348" s="20"/>
      <c r="H348" s="20">
        <v>1</v>
      </c>
      <c r="I348" s="126">
        <f t="shared" si="22"/>
        <v>0</v>
      </c>
      <c r="J348" s="38">
        <f t="shared" si="21"/>
        <v>0</v>
      </c>
      <c r="K348" s="80"/>
      <c r="L348" s="82"/>
    </row>
    <row r="349" spans="2:12" s="1" customFormat="1" ht="14.85" customHeight="1" x14ac:dyDescent="0.15">
      <c r="B349" s="16">
        <v>2</v>
      </c>
      <c r="C349" s="23"/>
      <c r="D349" s="48"/>
      <c r="E349" s="49"/>
      <c r="F349" s="129"/>
      <c r="G349" s="20"/>
      <c r="H349" s="20">
        <v>1</v>
      </c>
      <c r="I349" s="126">
        <f t="shared" si="22"/>
        <v>0</v>
      </c>
      <c r="J349" s="38">
        <f t="shared" si="21"/>
        <v>0</v>
      </c>
      <c r="K349" s="80"/>
      <c r="L349" s="82"/>
    </row>
    <row r="350" spans="2:12" s="1" customFormat="1" ht="12.95" customHeight="1" x14ac:dyDescent="0.15">
      <c r="B350" s="16">
        <v>3</v>
      </c>
      <c r="C350" s="23"/>
      <c r="D350" s="48"/>
      <c r="E350" s="49"/>
      <c r="F350" s="129"/>
      <c r="G350" s="20"/>
      <c r="H350" s="20">
        <v>1</v>
      </c>
      <c r="I350" s="126">
        <f t="shared" si="22"/>
        <v>0</v>
      </c>
      <c r="J350" s="38">
        <f t="shared" si="21"/>
        <v>0</v>
      </c>
      <c r="K350" s="80"/>
      <c r="L350" s="82"/>
    </row>
    <row r="351" spans="2:12" s="1" customFormat="1" ht="12.95" customHeight="1" x14ac:dyDescent="0.15">
      <c r="B351" s="16">
        <v>4</v>
      </c>
      <c r="C351" s="23"/>
      <c r="D351" s="48"/>
      <c r="E351" s="49"/>
      <c r="F351" s="129"/>
      <c r="G351" s="20"/>
      <c r="H351" s="20">
        <v>1</v>
      </c>
      <c r="I351" s="126">
        <f t="shared" si="22"/>
        <v>0</v>
      </c>
      <c r="J351" s="38">
        <f t="shared" si="21"/>
        <v>0</v>
      </c>
      <c r="K351" s="80"/>
      <c r="L351" s="82"/>
    </row>
    <row r="352" spans="2:12" s="1" customFormat="1" ht="12.95" customHeight="1" x14ac:dyDescent="0.15">
      <c r="B352" s="16">
        <v>5</v>
      </c>
      <c r="C352" s="23"/>
      <c r="D352" s="48"/>
      <c r="E352" s="48"/>
      <c r="F352" s="129"/>
      <c r="G352" s="20"/>
      <c r="H352" s="20">
        <v>1</v>
      </c>
      <c r="I352" s="126">
        <f t="shared" si="22"/>
        <v>0</v>
      </c>
      <c r="J352" s="38">
        <f t="shared" si="21"/>
        <v>0</v>
      </c>
      <c r="K352" s="80"/>
      <c r="L352" s="82"/>
    </row>
    <row r="353" spans="2:20" s="1" customFormat="1" ht="12.95" customHeight="1" x14ac:dyDescent="0.15">
      <c r="B353" s="16">
        <v>6</v>
      </c>
      <c r="C353" s="23"/>
      <c r="D353" s="48"/>
      <c r="E353" s="48"/>
      <c r="F353" s="129"/>
      <c r="G353" s="20"/>
      <c r="H353" s="20">
        <v>1</v>
      </c>
      <c r="I353" s="126">
        <f t="shared" si="22"/>
        <v>0</v>
      </c>
      <c r="J353" s="38">
        <f>(F353*G353*H353)/$C$32</f>
        <v>0</v>
      </c>
      <c r="K353" s="80"/>
      <c r="L353" s="82"/>
    </row>
    <row r="354" spans="2:20" s="1" customFormat="1" ht="12.95" customHeight="1" x14ac:dyDescent="0.15">
      <c r="B354" s="16">
        <v>7</v>
      </c>
      <c r="C354" s="23"/>
      <c r="D354" s="48"/>
      <c r="E354" s="48"/>
      <c r="F354" s="129"/>
      <c r="G354" s="20"/>
      <c r="H354" s="20">
        <v>1</v>
      </c>
      <c r="I354" s="126">
        <f t="shared" si="22"/>
        <v>0</v>
      </c>
      <c r="J354" s="38">
        <f>(F354*G354*H354)/$C$32</f>
        <v>0</v>
      </c>
      <c r="K354" s="80"/>
      <c r="L354" s="82"/>
    </row>
    <row r="355" spans="2:20" s="1" customFormat="1" ht="12.95" customHeight="1" x14ac:dyDescent="0.15">
      <c r="B355" s="16">
        <v>8</v>
      </c>
      <c r="C355" s="23"/>
      <c r="D355" s="48"/>
      <c r="E355" s="48"/>
      <c r="F355" s="129"/>
      <c r="G355" s="20"/>
      <c r="H355" s="20">
        <v>1</v>
      </c>
      <c r="I355" s="126">
        <f t="shared" si="22"/>
        <v>0</v>
      </c>
      <c r="J355" s="38">
        <f t="shared" ref="J355:J390" si="23">(F355*G355*H355)/$C$32</f>
        <v>0</v>
      </c>
      <c r="K355" s="80"/>
      <c r="L355" s="82"/>
      <c r="M355" s="39"/>
      <c r="N355" s="40"/>
      <c r="O355" s="40"/>
    </row>
    <row r="356" spans="2:20" s="1" customFormat="1" ht="12.95" customHeight="1" x14ac:dyDescent="0.15">
      <c r="B356" s="16">
        <v>9</v>
      </c>
      <c r="C356" s="23"/>
      <c r="D356" s="48"/>
      <c r="E356" s="48"/>
      <c r="F356" s="129"/>
      <c r="G356" s="20"/>
      <c r="H356" s="20">
        <v>1</v>
      </c>
      <c r="I356" s="126">
        <f t="shared" si="22"/>
        <v>0</v>
      </c>
      <c r="J356" s="38">
        <f t="shared" si="23"/>
        <v>0</v>
      </c>
      <c r="K356" s="80"/>
      <c r="L356" s="82"/>
    </row>
    <row r="357" spans="2:20" s="1" customFormat="1" ht="12.95" customHeight="1" x14ac:dyDescent="0.15">
      <c r="B357" s="16">
        <v>10</v>
      </c>
      <c r="C357" s="23"/>
      <c r="D357" s="48"/>
      <c r="E357" s="48"/>
      <c r="F357" s="129"/>
      <c r="G357" s="20"/>
      <c r="H357" s="20">
        <v>1</v>
      </c>
      <c r="I357" s="126">
        <f t="shared" si="22"/>
        <v>0</v>
      </c>
      <c r="J357" s="38">
        <f t="shared" si="23"/>
        <v>0</v>
      </c>
      <c r="K357" s="80"/>
      <c r="L357" s="82"/>
    </row>
    <row r="358" spans="2:20" s="1" customFormat="1" ht="12.95" customHeight="1" x14ac:dyDescent="0.15">
      <c r="B358" s="16">
        <v>11</v>
      </c>
      <c r="C358" s="23"/>
      <c r="D358" s="48"/>
      <c r="E358" s="48"/>
      <c r="F358" s="130"/>
      <c r="G358" s="20"/>
      <c r="H358" s="20">
        <v>1</v>
      </c>
      <c r="I358" s="126">
        <f t="shared" si="22"/>
        <v>0</v>
      </c>
      <c r="J358" s="38">
        <f t="shared" si="23"/>
        <v>0</v>
      </c>
      <c r="K358" s="80"/>
      <c r="L358" s="82"/>
    </row>
    <row r="359" spans="2:20" s="1" customFormat="1" ht="12.95" customHeight="1" x14ac:dyDescent="0.15">
      <c r="B359" s="16">
        <v>12</v>
      </c>
      <c r="C359" s="23"/>
      <c r="D359" s="48"/>
      <c r="E359" s="48"/>
      <c r="F359" s="129"/>
      <c r="G359" s="20"/>
      <c r="H359" s="20">
        <v>1</v>
      </c>
      <c r="I359" s="126">
        <f t="shared" si="22"/>
        <v>0</v>
      </c>
      <c r="J359" s="38">
        <f t="shared" si="23"/>
        <v>0</v>
      </c>
      <c r="K359" s="80"/>
      <c r="L359" s="82"/>
    </row>
    <row r="360" spans="2:20" s="1" customFormat="1" ht="12.95" customHeight="1" x14ac:dyDescent="0.15">
      <c r="B360" s="16">
        <v>13</v>
      </c>
      <c r="C360" s="23"/>
      <c r="D360" s="48"/>
      <c r="E360" s="48"/>
      <c r="F360" s="129"/>
      <c r="G360" s="20"/>
      <c r="H360" s="20">
        <v>1</v>
      </c>
      <c r="I360" s="126">
        <f t="shared" si="22"/>
        <v>0</v>
      </c>
      <c r="J360" s="38">
        <f t="shared" si="23"/>
        <v>0</v>
      </c>
      <c r="K360" s="80"/>
      <c r="L360" s="82"/>
    </row>
    <row r="361" spans="2:20" s="1" customFormat="1" ht="12.95" customHeight="1" x14ac:dyDescent="0.15">
      <c r="B361" s="16">
        <v>14</v>
      </c>
      <c r="C361" s="23"/>
      <c r="D361" s="48"/>
      <c r="E361" s="48"/>
      <c r="F361" s="129"/>
      <c r="G361" s="20"/>
      <c r="H361" s="20">
        <v>1</v>
      </c>
      <c r="I361" s="126">
        <f t="shared" si="22"/>
        <v>0</v>
      </c>
      <c r="J361" s="38">
        <f t="shared" si="23"/>
        <v>0</v>
      </c>
      <c r="K361" s="80"/>
      <c r="L361" s="82"/>
    </row>
    <row r="362" spans="2:20" s="1" customFormat="1" ht="12.95" customHeight="1" x14ac:dyDescent="0.15">
      <c r="B362" s="16">
        <v>15</v>
      </c>
      <c r="C362" s="23"/>
      <c r="D362" s="48"/>
      <c r="E362" s="48"/>
      <c r="F362" s="129"/>
      <c r="G362" s="20"/>
      <c r="H362" s="20">
        <v>1</v>
      </c>
      <c r="I362" s="126">
        <f t="shared" si="22"/>
        <v>0</v>
      </c>
      <c r="J362" s="38">
        <f t="shared" si="23"/>
        <v>0</v>
      </c>
      <c r="K362" s="80"/>
      <c r="L362" s="82"/>
    </row>
    <row r="363" spans="2:20" s="1" customFormat="1" ht="12.95" customHeight="1" x14ac:dyDescent="0.15">
      <c r="B363" s="16">
        <v>16</v>
      </c>
      <c r="C363" s="23"/>
      <c r="D363" s="48"/>
      <c r="E363" s="48"/>
      <c r="F363" s="129"/>
      <c r="G363" s="20"/>
      <c r="H363" s="20">
        <v>1</v>
      </c>
      <c r="I363" s="126">
        <f t="shared" si="22"/>
        <v>0</v>
      </c>
      <c r="J363" s="38">
        <f t="shared" si="23"/>
        <v>0</v>
      </c>
      <c r="K363" s="80"/>
      <c r="L363" s="82"/>
    </row>
    <row r="364" spans="2:20" s="1" customFormat="1" ht="12.95" customHeight="1" x14ac:dyDescent="0.2">
      <c r="B364" s="16">
        <v>17</v>
      </c>
      <c r="C364" s="410"/>
      <c r="D364" s="410"/>
      <c r="E364" s="410"/>
      <c r="F364" s="129"/>
      <c r="G364" s="20"/>
      <c r="H364" s="20">
        <v>1</v>
      </c>
      <c r="I364" s="126">
        <f t="shared" si="22"/>
        <v>0</v>
      </c>
      <c r="J364" s="38">
        <f t="shared" si="23"/>
        <v>0</v>
      </c>
      <c r="K364" s="80"/>
      <c r="L364" s="82"/>
      <c r="M364" s="10"/>
      <c r="N364" s="10"/>
      <c r="O364" s="10"/>
      <c r="P364" s="10"/>
      <c r="Q364" s="43"/>
      <c r="R364" s="10"/>
      <c r="T364" s="10"/>
    </row>
    <row r="365" spans="2:20" s="1" customFormat="1" ht="12.95" customHeight="1" x14ac:dyDescent="0.15">
      <c r="B365" s="16">
        <v>18</v>
      </c>
      <c r="C365" s="60"/>
      <c r="D365" s="49"/>
      <c r="E365" s="49"/>
      <c r="F365" s="129"/>
      <c r="G365" s="20"/>
      <c r="H365" s="20">
        <v>1</v>
      </c>
      <c r="I365" s="126">
        <f>J365*$C$32</f>
        <v>0</v>
      </c>
      <c r="J365" s="38">
        <f t="shared" si="23"/>
        <v>0</v>
      </c>
      <c r="K365" s="80"/>
      <c r="L365" s="82"/>
      <c r="M365" s="10"/>
      <c r="N365" s="10"/>
      <c r="O365" s="10"/>
      <c r="P365" s="10"/>
      <c r="Q365" s="43"/>
      <c r="R365" s="10"/>
      <c r="T365" s="10"/>
    </row>
    <row r="366" spans="2:20" s="1" customFormat="1" ht="12.95" customHeight="1" x14ac:dyDescent="0.15">
      <c r="B366" s="16">
        <v>19</v>
      </c>
      <c r="C366" s="59"/>
      <c r="D366" s="49"/>
      <c r="E366" s="49"/>
      <c r="F366" s="129"/>
      <c r="G366" s="20"/>
      <c r="H366" s="20">
        <v>1</v>
      </c>
      <c r="I366" s="126">
        <f t="shared" ref="I366:I380" si="24">J366*$C$32</f>
        <v>0</v>
      </c>
      <c r="J366" s="38">
        <f t="shared" si="23"/>
        <v>0</v>
      </c>
      <c r="K366" s="80"/>
      <c r="L366" s="82"/>
      <c r="M366" s="10"/>
      <c r="N366" s="10"/>
      <c r="O366" s="10"/>
      <c r="P366" s="10"/>
      <c r="Q366" s="43"/>
      <c r="R366" s="10"/>
      <c r="T366" s="10"/>
    </row>
    <row r="367" spans="2:20" s="1" customFormat="1" ht="12.95" customHeight="1" x14ac:dyDescent="0.15">
      <c r="B367" s="16">
        <v>20</v>
      </c>
      <c r="C367" s="70"/>
      <c r="D367" s="49"/>
      <c r="E367" s="49"/>
      <c r="F367" s="129"/>
      <c r="G367" s="20"/>
      <c r="H367" s="20">
        <v>1</v>
      </c>
      <c r="I367" s="126">
        <f t="shared" si="24"/>
        <v>0</v>
      </c>
      <c r="J367" s="38">
        <f t="shared" si="23"/>
        <v>0</v>
      </c>
      <c r="K367" s="80"/>
      <c r="L367" s="82"/>
      <c r="M367" s="10"/>
      <c r="N367" s="10"/>
      <c r="O367" s="10"/>
      <c r="P367" s="10"/>
      <c r="Q367" s="43"/>
      <c r="R367" s="10"/>
      <c r="T367" s="10"/>
    </row>
    <row r="368" spans="2:20" s="1" customFormat="1" ht="12.95" customHeight="1" x14ac:dyDescent="0.15">
      <c r="B368" s="16"/>
      <c r="C368" s="70"/>
      <c r="D368" s="49"/>
      <c r="E368" s="49"/>
      <c r="F368" s="129"/>
      <c r="G368" s="20"/>
      <c r="H368" s="20"/>
      <c r="I368" s="126"/>
      <c r="J368" s="38"/>
      <c r="K368" s="80"/>
      <c r="L368" s="82"/>
      <c r="M368" s="10"/>
      <c r="N368" s="10"/>
      <c r="O368" s="10"/>
      <c r="P368" s="10"/>
      <c r="Q368" s="43"/>
      <c r="R368" s="10"/>
      <c r="T368" s="10"/>
    </row>
    <row r="369" spans="2:20" s="1" customFormat="1" ht="12.95" customHeight="1" x14ac:dyDescent="0.15">
      <c r="B369" s="16"/>
      <c r="C369" s="70"/>
      <c r="D369" s="49"/>
      <c r="E369" s="49"/>
      <c r="F369" s="129"/>
      <c r="G369" s="20"/>
      <c r="H369" s="20"/>
      <c r="I369" s="126"/>
      <c r="J369" s="38"/>
      <c r="K369" s="80"/>
      <c r="L369" s="82"/>
      <c r="M369" s="10"/>
      <c r="N369" s="10"/>
      <c r="O369" s="10"/>
      <c r="P369" s="10"/>
      <c r="Q369" s="43"/>
      <c r="R369" s="10"/>
      <c r="T369" s="10"/>
    </row>
    <row r="370" spans="2:20" s="1" customFormat="1" ht="12.95" customHeight="1" x14ac:dyDescent="0.15">
      <c r="B370" s="16"/>
      <c r="C370" s="70" t="s">
        <v>159</v>
      </c>
      <c r="D370" s="49"/>
      <c r="E370" s="49"/>
      <c r="F370" s="129"/>
      <c r="G370" s="20"/>
      <c r="H370" s="20"/>
      <c r="I370" s="126"/>
      <c r="J370" s="38"/>
      <c r="K370" s="80"/>
      <c r="L370" s="82"/>
      <c r="M370" s="10"/>
      <c r="N370" s="10"/>
      <c r="O370" s="10"/>
      <c r="P370" s="10"/>
      <c r="Q370" s="43"/>
      <c r="R370" s="10"/>
      <c r="T370" s="10"/>
    </row>
    <row r="371" spans="2:20" s="1" customFormat="1" ht="12.95" customHeight="1" x14ac:dyDescent="0.15">
      <c r="B371" s="16">
        <v>1</v>
      </c>
      <c r="C371" s="61"/>
      <c r="D371" s="49"/>
      <c r="E371" s="49"/>
      <c r="F371" s="129"/>
      <c r="G371" s="20"/>
      <c r="H371" s="20">
        <v>1</v>
      </c>
      <c r="I371" s="126">
        <f t="shared" si="24"/>
        <v>0</v>
      </c>
      <c r="J371" s="38">
        <f t="shared" si="23"/>
        <v>0</v>
      </c>
      <c r="K371" s="80"/>
      <c r="L371" s="82"/>
      <c r="M371" s="10"/>
      <c r="N371" s="10"/>
      <c r="O371" s="10"/>
      <c r="P371" s="10"/>
      <c r="Q371" s="43"/>
      <c r="R371" s="10"/>
      <c r="T371" s="10"/>
    </row>
    <row r="372" spans="2:20" s="1" customFormat="1" ht="14.25" x14ac:dyDescent="0.15">
      <c r="B372" s="16">
        <v>2</v>
      </c>
      <c r="C372" s="61"/>
      <c r="D372" s="49"/>
      <c r="E372" s="49"/>
      <c r="F372" s="129"/>
      <c r="G372" s="20"/>
      <c r="H372" s="20">
        <v>1</v>
      </c>
      <c r="I372" s="126">
        <f t="shared" si="24"/>
        <v>0</v>
      </c>
      <c r="J372" s="38">
        <f t="shared" si="23"/>
        <v>0</v>
      </c>
      <c r="K372" s="80"/>
      <c r="L372" s="82"/>
    </row>
    <row r="373" spans="2:20" s="1" customFormat="1" ht="14.25" x14ac:dyDescent="0.15">
      <c r="B373" s="16">
        <v>3</v>
      </c>
      <c r="C373" s="61"/>
      <c r="D373" s="49"/>
      <c r="E373" s="49"/>
      <c r="F373" s="129"/>
      <c r="G373" s="20"/>
      <c r="H373" s="20">
        <v>1</v>
      </c>
      <c r="I373" s="126">
        <f t="shared" si="24"/>
        <v>0</v>
      </c>
      <c r="J373" s="38">
        <f t="shared" si="23"/>
        <v>0</v>
      </c>
      <c r="K373" s="80"/>
      <c r="L373" s="82"/>
    </row>
    <row r="374" spans="2:20" s="1" customFormat="1" ht="14.25" x14ac:dyDescent="0.15">
      <c r="B374" s="16">
        <v>4</v>
      </c>
      <c r="C374" s="61"/>
      <c r="D374" s="49"/>
      <c r="E374" s="49"/>
      <c r="F374" s="129"/>
      <c r="G374" s="20"/>
      <c r="H374" s="20">
        <v>1</v>
      </c>
      <c r="I374" s="126">
        <f t="shared" si="24"/>
        <v>0</v>
      </c>
      <c r="J374" s="38">
        <f t="shared" si="23"/>
        <v>0</v>
      </c>
      <c r="K374" s="80"/>
      <c r="L374" s="82"/>
    </row>
    <row r="375" spans="2:20" s="1" customFormat="1" ht="16.5" x14ac:dyDescent="0.2">
      <c r="B375" s="16">
        <v>5</v>
      </c>
      <c r="C375" s="71"/>
      <c r="D375" s="49"/>
      <c r="E375" s="49"/>
      <c r="F375" s="129"/>
      <c r="G375" s="20"/>
      <c r="H375" s="20">
        <v>1</v>
      </c>
      <c r="I375" s="126">
        <f t="shared" si="24"/>
        <v>0</v>
      </c>
      <c r="J375" s="38">
        <f t="shared" si="23"/>
        <v>0</v>
      </c>
      <c r="K375" s="80"/>
      <c r="L375" s="82"/>
    </row>
    <row r="376" spans="2:20" s="1" customFormat="1" ht="14.25" x14ac:dyDescent="0.15">
      <c r="B376" s="16">
        <v>6</v>
      </c>
      <c r="C376" s="61"/>
      <c r="D376" s="49"/>
      <c r="E376" s="49"/>
      <c r="F376" s="129"/>
      <c r="G376" s="20"/>
      <c r="H376" s="20">
        <v>1</v>
      </c>
      <c r="I376" s="126">
        <f t="shared" si="24"/>
        <v>0</v>
      </c>
      <c r="J376" s="38">
        <f t="shared" si="23"/>
        <v>0</v>
      </c>
      <c r="K376" s="80"/>
      <c r="L376" s="82"/>
    </row>
    <row r="377" spans="2:20" s="1" customFormat="1" ht="14.25" x14ac:dyDescent="0.15">
      <c r="B377" s="16">
        <v>7</v>
      </c>
      <c r="C377" s="61"/>
      <c r="D377" s="49"/>
      <c r="E377" s="49"/>
      <c r="F377" s="129"/>
      <c r="G377" s="20"/>
      <c r="H377" s="20">
        <v>1</v>
      </c>
      <c r="I377" s="126">
        <f t="shared" si="24"/>
        <v>0</v>
      </c>
      <c r="J377" s="38">
        <f t="shared" si="23"/>
        <v>0</v>
      </c>
      <c r="K377" s="80"/>
      <c r="L377" s="82"/>
    </row>
    <row r="378" spans="2:20" s="1" customFormat="1" ht="14.25" x14ac:dyDescent="0.15">
      <c r="B378" s="16">
        <v>8</v>
      </c>
      <c r="C378" s="61"/>
      <c r="D378" s="49"/>
      <c r="E378" s="49"/>
      <c r="F378" s="129"/>
      <c r="G378" s="20"/>
      <c r="H378" s="20">
        <v>1</v>
      </c>
      <c r="I378" s="126">
        <f t="shared" si="24"/>
        <v>0</v>
      </c>
      <c r="J378" s="38">
        <f t="shared" si="23"/>
        <v>0</v>
      </c>
      <c r="K378" s="80"/>
      <c r="L378" s="82"/>
    </row>
    <row r="379" spans="2:20" s="1" customFormat="1" ht="14.25" x14ac:dyDescent="0.15">
      <c r="B379" s="16">
        <v>9</v>
      </c>
      <c r="C379" s="61"/>
      <c r="D379" s="49"/>
      <c r="E379" s="49"/>
      <c r="F379" s="129"/>
      <c r="G379" s="20"/>
      <c r="H379" s="20">
        <v>1</v>
      </c>
      <c r="I379" s="126">
        <f t="shared" si="24"/>
        <v>0</v>
      </c>
      <c r="J379" s="38">
        <f t="shared" si="23"/>
        <v>0</v>
      </c>
      <c r="K379" s="80"/>
      <c r="L379" s="82"/>
    </row>
    <row r="380" spans="2:20" s="1" customFormat="1" ht="14.25" x14ac:dyDescent="0.15">
      <c r="B380" s="16">
        <v>10</v>
      </c>
      <c r="C380" s="61"/>
      <c r="D380" s="49"/>
      <c r="E380" s="49"/>
      <c r="F380" s="129"/>
      <c r="G380" s="20"/>
      <c r="H380" s="20">
        <v>1</v>
      </c>
      <c r="I380" s="126">
        <f t="shared" si="24"/>
        <v>0</v>
      </c>
      <c r="J380" s="38">
        <f t="shared" si="23"/>
        <v>0</v>
      </c>
      <c r="K380" s="80"/>
      <c r="L380" s="82"/>
    </row>
    <row r="381" spans="2:20" s="1" customFormat="1" ht="14.25" x14ac:dyDescent="0.15">
      <c r="B381" s="16">
        <v>11</v>
      </c>
      <c r="C381" s="61"/>
      <c r="D381" s="49"/>
      <c r="E381" s="49"/>
      <c r="F381" s="129"/>
      <c r="G381" s="20"/>
      <c r="H381" s="20">
        <v>1</v>
      </c>
      <c r="I381" s="126">
        <f>J381*$C$32</f>
        <v>0</v>
      </c>
      <c r="J381" s="38">
        <f t="shared" si="23"/>
        <v>0</v>
      </c>
      <c r="K381" s="80"/>
      <c r="L381" s="82"/>
    </row>
    <row r="382" spans="2:20" s="1" customFormat="1" ht="14.25" x14ac:dyDescent="0.15">
      <c r="B382" s="16">
        <v>12</v>
      </c>
      <c r="C382" s="46"/>
      <c r="D382" s="18"/>
      <c r="E382" s="18"/>
      <c r="F382" s="129"/>
      <c r="G382" s="20"/>
      <c r="H382" s="20">
        <v>1</v>
      </c>
      <c r="I382" s="126">
        <f t="shared" ref="I382:I390" si="25">J382*$C$32</f>
        <v>0</v>
      </c>
      <c r="J382" s="38">
        <f t="shared" si="23"/>
        <v>0</v>
      </c>
      <c r="K382" s="80"/>
      <c r="L382" s="82"/>
    </row>
    <row r="383" spans="2:20" s="1" customFormat="1" ht="14.25" x14ac:dyDescent="0.15">
      <c r="B383" s="16">
        <v>13</v>
      </c>
      <c r="C383" s="46"/>
      <c r="D383" s="18"/>
      <c r="E383" s="18"/>
      <c r="F383" s="129"/>
      <c r="G383" s="20"/>
      <c r="H383" s="20">
        <v>1</v>
      </c>
      <c r="I383" s="126">
        <f t="shared" si="25"/>
        <v>0</v>
      </c>
      <c r="J383" s="38">
        <f t="shared" si="23"/>
        <v>0</v>
      </c>
      <c r="K383" s="80"/>
      <c r="L383" s="82"/>
    </row>
    <row r="384" spans="2:20" s="1" customFormat="1" ht="14.25" x14ac:dyDescent="0.15">
      <c r="B384" s="16">
        <v>14</v>
      </c>
      <c r="C384" s="46"/>
      <c r="D384" s="18"/>
      <c r="E384" s="18"/>
      <c r="F384" s="129"/>
      <c r="G384" s="20"/>
      <c r="H384" s="20">
        <v>1</v>
      </c>
      <c r="I384" s="126">
        <f t="shared" si="25"/>
        <v>0</v>
      </c>
      <c r="J384" s="38">
        <f t="shared" si="23"/>
        <v>0</v>
      </c>
      <c r="K384" s="80"/>
      <c r="L384" s="82"/>
    </row>
    <row r="385" spans="2:12" s="1" customFormat="1" ht="14.25" x14ac:dyDescent="0.15">
      <c r="B385" s="16">
        <v>15</v>
      </c>
      <c r="C385" s="46"/>
      <c r="D385" s="18"/>
      <c r="E385" s="18"/>
      <c r="F385" s="129"/>
      <c r="G385" s="20"/>
      <c r="H385" s="20">
        <v>1</v>
      </c>
      <c r="I385" s="126">
        <f t="shared" si="25"/>
        <v>0</v>
      </c>
      <c r="J385" s="38">
        <f t="shared" si="23"/>
        <v>0</v>
      </c>
      <c r="K385" s="80"/>
      <c r="L385" s="82"/>
    </row>
    <row r="386" spans="2:12" s="1" customFormat="1" ht="14.25" x14ac:dyDescent="0.15">
      <c r="B386" s="16">
        <v>16</v>
      </c>
      <c r="C386" s="46"/>
      <c r="D386" s="18"/>
      <c r="E386" s="18"/>
      <c r="F386" s="129"/>
      <c r="G386" s="20"/>
      <c r="H386" s="20">
        <v>1</v>
      </c>
      <c r="I386" s="126">
        <f t="shared" si="25"/>
        <v>0</v>
      </c>
      <c r="J386" s="38">
        <f t="shared" si="23"/>
        <v>0</v>
      </c>
      <c r="K386" s="80"/>
      <c r="L386" s="82"/>
    </row>
    <row r="387" spans="2:12" s="1" customFormat="1" ht="14.25" x14ac:dyDescent="0.15">
      <c r="B387" s="16">
        <v>17</v>
      </c>
      <c r="C387" s="46"/>
      <c r="D387" s="18"/>
      <c r="E387" s="18"/>
      <c r="F387" s="129"/>
      <c r="G387" s="20"/>
      <c r="H387" s="20">
        <v>1</v>
      </c>
      <c r="I387" s="126">
        <f t="shared" si="25"/>
        <v>0</v>
      </c>
      <c r="J387" s="324">
        <f t="shared" si="23"/>
        <v>0</v>
      </c>
      <c r="K387" s="111"/>
      <c r="L387" s="119"/>
    </row>
    <row r="388" spans="2:12" s="1" customFormat="1" ht="14.25" x14ac:dyDescent="0.15">
      <c r="B388" s="16">
        <v>18</v>
      </c>
      <c r="C388" s="46"/>
      <c r="D388" s="18"/>
      <c r="E388" s="18"/>
      <c r="F388" s="129"/>
      <c r="G388" s="20"/>
      <c r="H388" s="20">
        <v>1</v>
      </c>
      <c r="I388" s="254">
        <f t="shared" si="25"/>
        <v>0</v>
      </c>
      <c r="J388" s="323">
        <f t="shared" si="23"/>
        <v>0</v>
      </c>
      <c r="K388" s="82"/>
      <c r="L388" s="82"/>
    </row>
    <row r="389" spans="2:12" s="1" customFormat="1" ht="14.25" x14ac:dyDescent="0.15">
      <c r="B389" s="16">
        <v>19</v>
      </c>
      <c r="C389" s="46"/>
      <c r="D389" s="18"/>
      <c r="E389" s="18"/>
      <c r="F389" s="129"/>
      <c r="G389" s="20"/>
      <c r="H389" s="20">
        <v>1</v>
      </c>
      <c r="I389" s="254">
        <f t="shared" si="25"/>
        <v>0</v>
      </c>
      <c r="J389" s="323">
        <f t="shared" si="23"/>
        <v>0</v>
      </c>
      <c r="K389" s="82"/>
      <c r="L389" s="82"/>
    </row>
    <row r="390" spans="2:12" s="1" customFormat="1" ht="14.25" x14ac:dyDescent="0.15">
      <c r="B390" s="16">
        <v>20</v>
      </c>
      <c r="C390" s="46"/>
      <c r="D390" s="18"/>
      <c r="E390" s="18"/>
      <c r="F390" s="129"/>
      <c r="G390" s="20"/>
      <c r="H390" s="20">
        <v>1</v>
      </c>
      <c r="I390" s="254">
        <f t="shared" si="25"/>
        <v>0</v>
      </c>
      <c r="J390" s="323">
        <f t="shared" si="23"/>
        <v>0</v>
      </c>
      <c r="K390" s="82"/>
      <c r="L390" s="82"/>
    </row>
    <row r="391" spans="2:12" s="1" customFormat="1" ht="14.25" x14ac:dyDescent="0.15">
      <c r="B391" s="83"/>
      <c r="C391" s="174"/>
      <c r="D391" s="75"/>
      <c r="E391" s="75"/>
      <c r="F391" s="132"/>
      <c r="G391" s="77"/>
      <c r="H391" s="77"/>
      <c r="I391" s="255"/>
      <c r="J391" s="323"/>
      <c r="K391" s="82"/>
      <c r="L391" s="82"/>
    </row>
    <row r="392" spans="2:12" s="1" customFormat="1" ht="12.75" x14ac:dyDescent="0.15">
      <c r="B392" s="82"/>
      <c r="C392" s="102"/>
      <c r="D392" s="103"/>
      <c r="E392" s="102"/>
      <c r="F392" s="128">
        <f>SUM(F332:F391)</f>
        <v>0</v>
      </c>
      <c r="G392" s="104"/>
      <c r="H392" s="105"/>
      <c r="I392" s="256">
        <f>SUM(I333:I391)</f>
        <v>0</v>
      </c>
      <c r="J392" s="257">
        <f>SUM(J332:J391)</f>
        <v>0</v>
      </c>
    </row>
    <row r="393" spans="2:12" s="67" customFormat="1" ht="12.75" x14ac:dyDescent="0.15">
      <c r="B393" s="116"/>
      <c r="C393" s="114"/>
      <c r="D393" s="114"/>
      <c r="E393" s="114" t="s">
        <v>147</v>
      </c>
      <c r="F393" s="162">
        <f>100/115*F392</f>
        <v>0</v>
      </c>
      <c r="G393" s="114"/>
      <c r="H393" s="114" t="s">
        <v>147</v>
      </c>
      <c r="I393" s="264">
        <f>100/115*I392</f>
        <v>0</v>
      </c>
      <c r="J393" s="114"/>
    </row>
    <row r="394" spans="2:12" s="1" customFormat="1" ht="12.75" x14ac:dyDescent="0.15"/>
    <row r="395" spans="2:12" s="1" customFormat="1" ht="12.75" x14ac:dyDescent="0.15"/>
    <row r="396" spans="2:12" s="1" customFormat="1" ht="12.75" x14ac:dyDescent="0.15"/>
    <row r="397" spans="2:12" s="1" customFormat="1" ht="12.75" x14ac:dyDescent="0.15"/>
    <row r="398" spans="2:12" s="247" customFormat="1" ht="32.25" x14ac:dyDescent="0.4">
      <c r="B398" s="248"/>
      <c r="C398" s="380" t="s">
        <v>112</v>
      </c>
      <c r="D398" s="380"/>
      <c r="E398" s="428" t="s">
        <v>101</v>
      </c>
      <c r="F398" s="428"/>
      <c r="G398" s="428"/>
      <c r="H398" s="428"/>
      <c r="I398" s="428"/>
      <c r="J398" s="382">
        <v>2026</v>
      </c>
      <c r="K398" s="382"/>
      <c r="L398" s="382"/>
    </row>
    <row r="399" spans="2:12" s="1" customFormat="1" ht="22.5" x14ac:dyDescent="0.15">
      <c r="B399" s="82"/>
      <c r="C399" s="102" t="s">
        <v>114</v>
      </c>
      <c r="D399" s="388" t="s">
        <v>115</v>
      </c>
      <c r="E399" s="388"/>
      <c r="F399" s="102" t="s">
        <v>116</v>
      </c>
      <c r="G399" s="102" t="s">
        <v>117</v>
      </c>
      <c r="H399" s="102" t="s">
        <v>118</v>
      </c>
      <c r="I399" s="102" t="s">
        <v>119</v>
      </c>
      <c r="J399" s="102" t="s">
        <v>120</v>
      </c>
      <c r="K399" s="82"/>
      <c r="L399" s="82"/>
    </row>
    <row r="400" spans="2:12" s="1" customFormat="1" ht="12.75" x14ac:dyDescent="0.15">
      <c r="B400" s="82"/>
      <c r="C400" s="66">
        <f>C330</f>
        <v>450</v>
      </c>
      <c r="D400" s="389">
        <v>21</v>
      </c>
      <c r="E400" s="389"/>
      <c r="F400" s="13">
        <f>F330</f>
        <v>0.8</v>
      </c>
      <c r="G400" s="14">
        <f>G330</f>
        <v>8</v>
      </c>
      <c r="H400" s="142">
        <f>D400*G400*F400</f>
        <v>134.4</v>
      </c>
      <c r="I400" s="66">
        <f>I462</f>
        <v>0</v>
      </c>
      <c r="J400" s="143">
        <f>H400-J462</f>
        <v>134.4</v>
      </c>
      <c r="K400" s="82"/>
      <c r="L400" s="82"/>
    </row>
    <row r="401" spans="2:12" s="1" customFormat="1" ht="33.75" x14ac:dyDescent="0.15">
      <c r="B401" s="84"/>
      <c r="C401" s="136" t="s">
        <v>121</v>
      </c>
      <c r="D401" s="414" t="s">
        <v>122</v>
      </c>
      <c r="E401" s="414"/>
      <c r="F401" s="137" t="s">
        <v>123</v>
      </c>
      <c r="G401" s="138" t="s">
        <v>124</v>
      </c>
      <c r="H401" s="139" t="s">
        <v>125</v>
      </c>
      <c r="I401" s="140" t="s">
        <v>126</v>
      </c>
      <c r="J401" s="138" t="s">
        <v>127</v>
      </c>
      <c r="K401" s="122" t="s">
        <v>128</v>
      </c>
      <c r="L401" s="123" t="s">
        <v>129</v>
      </c>
    </row>
    <row r="402" spans="2:12" s="1" customFormat="1" ht="12.75" x14ac:dyDescent="0.15">
      <c r="B402" s="16"/>
      <c r="C402" s="17"/>
      <c r="D402" s="405"/>
      <c r="E402" s="405"/>
      <c r="F402" s="36"/>
      <c r="G402" s="20"/>
      <c r="H402" s="20"/>
      <c r="I402" s="126"/>
      <c r="J402" s="21"/>
      <c r="K402" s="80"/>
      <c r="L402" s="82"/>
    </row>
    <row r="403" spans="2:12" s="1" customFormat="1" ht="12.95" customHeight="1" x14ac:dyDescent="0.15">
      <c r="B403" s="16"/>
      <c r="C403" s="411" t="s">
        <v>130</v>
      </c>
      <c r="D403" s="411"/>
      <c r="E403" s="411"/>
      <c r="F403" s="129"/>
      <c r="G403" s="20"/>
      <c r="H403" s="20"/>
      <c r="I403" s="126"/>
      <c r="J403" s="38"/>
      <c r="K403" s="80"/>
      <c r="L403" s="82"/>
    </row>
    <row r="404" spans="2:12" s="1" customFormat="1" ht="12.75" customHeight="1" x14ac:dyDescent="0.15">
      <c r="B404" s="16"/>
      <c r="C404" s="37" t="s">
        <v>149</v>
      </c>
      <c r="D404" s="24"/>
      <c r="E404" s="24"/>
      <c r="F404" s="129"/>
      <c r="G404" s="20"/>
      <c r="H404" s="20"/>
      <c r="I404" s="126"/>
      <c r="J404" s="38"/>
      <c r="K404" s="80"/>
      <c r="L404" s="82"/>
    </row>
    <row r="405" spans="2:12" s="1" customFormat="1" ht="12.75" x14ac:dyDescent="0.15">
      <c r="B405" s="16">
        <v>1</v>
      </c>
      <c r="C405" s="23"/>
      <c r="D405" s="24"/>
      <c r="E405" s="24"/>
      <c r="F405" s="129"/>
      <c r="G405" s="20"/>
      <c r="H405" s="20">
        <v>1</v>
      </c>
      <c r="I405" s="126">
        <f t="shared" ref="I405:I460" si="26">J405*$C$32</f>
        <v>0</v>
      </c>
      <c r="J405" s="38">
        <f t="shared" ref="J405:J424" si="27">(F405*G405*H405)/$C$32</f>
        <v>0</v>
      </c>
      <c r="K405" s="80"/>
      <c r="L405" s="82"/>
    </row>
    <row r="406" spans="2:12" s="1" customFormat="1" ht="12.75" customHeight="1" x14ac:dyDescent="0.15">
      <c r="B406" s="16">
        <v>2</v>
      </c>
      <c r="C406" s="23"/>
      <c r="D406" s="24"/>
      <c r="E406" s="24"/>
      <c r="F406" s="126"/>
      <c r="G406" s="20"/>
      <c r="H406" s="20">
        <v>1</v>
      </c>
      <c r="I406" s="126">
        <f t="shared" si="26"/>
        <v>0</v>
      </c>
      <c r="J406" s="38">
        <f t="shared" si="27"/>
        <v>0</v>
      </c>
      <c r="K406" s="80"/>
      <c r="L406" s="82"/>
    </row>
    <row r="407" spans="2:12" s="1" customFormat="1" ht="12.95" customHeight="1" x14ac:dyDescent="0.15">
      <c r="B407" s="16">
        <v>3</v>
      </c>
      <c r="C407" s="23"/>
      <c r="D407" s="25"/>
      <c r="E407" s="25"/>
      <c r="F407" s="129"/>
      <c r="G407" s="20"/>
      <c r="H407" s="20">
        <v>1</v>
      </c>
      <c r="I407" s="126">
        <f t="shared" si="26"/>
        <v>0</v>
      </c>
      <c r="J407" s="38">
        <f t="shared" si="27"/>
        <v>0</v>
      </c>
      <c r="K407" s="80"/>
      <c r="L407" s="82"/>
    </row>
    <row r="408" spans="2:12" s="1" customFormat="1" ht="12.95" customHeight="1" x14ac:dyDescent="0.15">
      <c r="B408" s="16">
        <v>4</v>
      </c>
      <c r="C408" s="23"/>
      <c r="D408" s="24"/>
      <c r="E408" s="24"/>
      <c r="F408" s="129"/>
      <c r="G408" s="20"/>
      <c r="H408" s="20">
        <v>1</v>
      </c>
      <c r="I408" s="126">
        <f t="shared" si="26"/>
        <v>0</v>
      </c>
      <c r="J408" s="38">
        <f t="shared" si="27"/>
        <v>0</v>
      </c>
      <c r="K408" s="80"/>
      <c r="L408" s="82"/>
    </row>
    <row r="409" spans="2:12" s="1" customFormat="1" ht="12.95" customHeight="1" x14ac:dyDescent="0.15">
      <c r="B409" s="16">
        <v>5</v>
      </c>
      <c r="C409" s="16"/>
      <c r="D409" s="18"/>
      <c r="E409" s="18"/>
      <c r="F409" s="129"/>
      <c r="G409" s="20"/>
      <c r="H409" s="20">
        <v>1</v>
      </c>
      <c r="I409" s="126">
        <f t="shared" si="26"/>
        <v>0</v>
      </c>
      <c r="J409" s="38">
        <f t="shared" si="27"/>
        <v>0</v>
      </c>
      <c r="K409" s="80"/>
      <c r="L409" s="82"/>
    </row>
    <row r="410" spans="2:12" s="1" customFormat="1" ht="12.95" customHeight="1" x14ac:dyDescent="0.15">
      <c r="B410" s="16">
        <v>6</v>
      </c>
      <c r="C410" s="17"/>
      <c r="D410" s="24"/>
      <c r="E410" s="24"/>
      <c r="F410" s="129"/>
      <c r="G410" s="20"/>
      <c r="H410" s="20">
        <v>1</v>
      </c>
      <c r="I410" s="126">
        <f t="shared" si="26"/>
        <v>0</v>
      </c>
      <c r="J410" s="38">
        <f t="shared" si="27"/>
        <v>0</v>
      </c>
      <c r="K410" s="80"/>
      <c r="L410" s="82"/>
    </row>
    <row r="411" spans="2:12" s="1" customFormat="1" ht="12.95" customHeight="1" x14ac:dyDescent="0.15">
      <c r="B411" s="16">
        <v>7</v>
      </c>
      <c r="C411" s="17"/>
      <c r="D411" s="24"/>
      <c r="E411" s="24"/>
      <c r="F411" s="129"/>
      <c r="G411" s="20"/>
      <c r="H411" s="20">
        <v>1</v>
      </c>
      <c r="I411" s="126">
        <f t="shared" si="26"/>
        <v>0</v>
      </c>
      <c r="J411" s="38">
        <f t="shared" si="27"/>
        <v>0</v>
      </c>
      <c r="K411" s="80"/>
      <c r="L411" s="82"/>
    </row>
    <row r="412" spans="2:12" s="1" customFormat="1" ht="12.95" customHeight="1" x14ac:dyDescent="0.15">
      <c r="B412" s="16">
        <v>8</v>
      </c>
      <c r="C412" s="17"/>
      <c r="D412" s="24"/>
      <c r="E412" s="24"/>
      <c r="F412" s="129"/>
      <c r="G412" s="20"/>
      <c r="H412" s="20">
        <v>1</v>
      </c>
      <c r="I412" s="126">
        <f t="shared" si="26"/>
        <v>0</v>
      </c>
      <c r="J412" s="38">
        <f t="shared" si="27"/>
        <v>0</v>
      </c>
      <c r="K412" s="80"/>
      <c r="L412" s="82"/>
    </row>
    <row r="413" spans="2:12" s="1" customFormat="1" ht="12.95" customHeight="1" x14ac:dyDescent="0.15">
      <c r="B413" s="16">
        <v>9</v>
      </c>
      <c r="C413" s="17"/>
      <c r="D413" s="24"/>
      <c r="E413" s="24"/>
      <c r="F413" s="129"/>
      <c r="G413" s="20"/>
      <c r="H413" s="20">
        <v>1</v>
      </c>
      <c r="I413" s="126">
        <f t="shared" si="26"/>
        <v>0</v>
      </c>
      <c r="J413" s="38">
        <f t="shared" si="27"/>
        <v>0</v>
      </c>
      <c r="K413" s="80"/>
      <c r="L413" s="82"/>
    </row>
    <row r="414" spans="2:12" s="1" customFormat="1" ht="12.95" customHeight="1" x14ac:dyDescent="0.15">
      <c r="B414" s="16">
        <v>10</v>
      </c>
      <c r="C414" s="17"/>
      <c r="D414" s="24"/>
      <c r="E414" s="24"/>
      <c r="F414" s="129"/>
      <c r="G414" s="20"/>
      <c r="H414" s="20">
        <v>1</v>
      </c>
      <c r="I414" s="126">
        <f t="shared" si="26"/>
        <v>0</v>
      </c>
      <c r="J414" s="38">
        <f t="shared" si="27"/>
        <v>0</v>
      </c>
      <c r="K414" s="80"/>
      <c r="L414" s="82"/>
    </row>
    <row r="415" spans="2:12" s="1" customFormat="1" ht="12.95" customHeight="1" x14ac:dyDescent="0.15">
      <c r="B415" s="16"/>
      <c r="C415" s="17"/>
      <c r="D415" s="24"/>
      <c r="E415" s="24"/>
      <c r="F415" s="129"/>
      <c r="G415" s="20"/>
      <c r="H415" s="20"/>
      <c r="I415" s="126"/>
      <c r="J415" s="38"/>
      <c r="K415" s="80"/>
      <c r="L415" s="82"/>
    </row>
    <row r="416" spans="2:12" s="1" customFormat="1" ht="12.95" customHeight="1" x14ac:dyDescent="0.15">
      <c r="B416" s="16"/>
      <c r="C416" s="17"/>
      <c r="D416" s="24"/>
      <c r="E416" s="24"/>
      <c r="F416" s="129"/>
      <c r="G416" s="20"/>
      <c r="H416" s="20"/>
      <c r="I416" s="126"/>
      <c r="J416" s="38"/>
      <c r="K416" s="80"/>
      <c r="L416" s="82"/>
    </row>
    <row r="417" spans="2:15" s="1" customFormat="1" ht="12.95" customHeight="1" x14ac:dyDescent="0.15">
      <c r="B417" s="16"/>
      <c r="C417" s="22" t="s">
        <v>153</v>
      </c>
      <c r="D417" s="24"/>
      <c r="E417" s="24"/>
      <c r="F417" s="129"/>
      <c r="G417" s="20"/>
      <c r="H417" s="20"/>
      <c r="I417" s="126"/>
      <c r="J417" s="38"/>
      <c r="K417" s="80"/>
      <c r="L417" s="82"/>
    </row>
    <row r="418" spans="2:15" s="1" customFormat="1" ht="12.95" customHeight="1" x14ac:dyDescent="0.15">
      <c r="B418" s="16">
        <v>1</v>
      </c>
      <c r="C418" s="17"/>
      <c r="D418" s="18"/>
      <c r="E418" s="24"/>
      <c r="F418" s="129"/>
      <c r="G418" s="20"/>
      <c r="H418" s="20">
        <v>1</v>
      </c>
      <c r="I418" s="126">
        <f t="shared" si="26"/>
        <v>0</v>
      </c>
      <c r="J418" s="38">
        <f t="shared" si="27"/>
        <v>0</v>
      </c>
      <c r="K418" s="80"/>
      <c r="L418" s="82"/>
    </row>
    <row r="419" spans="2:15" s="1" customFormat="1" ht="12.95" customHeight="1" x14ac:dyDescent="0.15">
      <c r="B419" s="16">
        <v>2</v>
      </c>
      <c r="C419" s="17"/>
      <c r="D419" s="18"/>
      <c r="E419" s="24"/>
      <c r="F419" s="129"/>
      <c r="G419" s="20"/>
      <c r="H419" s="20">
        <v>1</v>
      </c>
      <c r="I419" s="126">
        <f t="shared" si="26"/>
        <v>0</v>
      </c>
      <c r="J419" s="38">
        <f t="shared" si="27"/>
        <v>0</v>
      </c>
      <c r="K419" s="80"/>
      <c r="L419" s="82"/>
    </row>
    <row r="420" spans="2:15" s="1" customFormat="1" ht="12.95" customHeight="1" x14ac:dyDescent="0.15">
      <c r="B420" s="16">
        <v>3</v>
      </c>
      <c r="C420" s="17"/>
      <c r="D420" s="24"/>
      <c r="E420" s="18"/>
      <c r="F420" s="129"/>
      <c r="G420" s="20"/>
      <c r="H420" s="20">
        <v>1</v>
      </c>
      <c r="I420" s="126">
        <f t="shared" si="26"/>
        <v>0</v>
      </c>
      <c r="J420" s="38">
        <f t="shared" si="27"/>
        <v>0</v>
      </c>
      <c r="K420" s="80"/>
      <c r="L420" s="82"/>
    </row>
    <row r="421" spans="2:15" s="4" customFormat="1" ht="12.95" customHeight="1" x14ac:dyDescent="0.15">
      <c r="B421" s="26">
        <v>4</v>
      </c>
      <c r="C421" s="23"/>
      <c r="D421" s="48"/>
      <c r="E421" s="49"/>
      <c r="F421" s="126"/>
      <c r="G421" s="50"/>
      <c r="H421" s="50">
        <v>1</v>
      </c>
      <c r="I421" s="126">
        <f t="shared" si="26"/>
        <v>0</v>
      </c>
      <c r="J421" s="38">
        <f t="shared" si="27"/>
        <v>0</v>
      </c>
      <c r="K421" s="108"/>
      <c r="L421" s="113"/>
    </row>
    <row r="422" spans="2:15" s="1" customFormat="1" ht="12.95" customHeight="1" x14ac:dyDescent="0.15">
      <c r="B422" s="16">
        <v>5</v>
      </c>
      <c r="C422" s="17"/>
      <c r="D422" s="24"/>
      <c r="E422" s="18"/>
      <c r="F422" s="129"/>
      <c r="G422" s="20"/>
      <c r="H422" s="20">
        <v>1</v>
      </c>
      <c r="I422" s="126">
        <f t="shared" si="26"/>
        <v>0</v>
      </c>
      <c r="J422" s="38">
        <f t="shared" si="27"/>
        <v>0</v>
      </c>
      <c r="K422" s="80"/>
      <c r="L422" s="82"/>
    </row>
    <row r="423" spans="2:15" s="1" customFormat="1" ht="12.95" customHeight="1" x14ac:dyDescent="0.15">
      <c r="B423" s="16">
        <v>6</v>
      </c>
      <c r="C423" s="17"/>
      <c r="D423" s="24"/>
      <c r="E423" s="18"/>
      <c r="F423" s="129"/>
      <c r="G423" s="20"/>
      <c r="H423" s="20">
        <v>1</v>
      </c>
      <c r="I423" s="126">
        <f t="shared" si="26"/>
        <v>0</v>
      </c>
      <c r="J423" s="38">
        <f t="shared" si="27"/>
        <v>0</v>
      </c>
      <c r="K423" s="80"/>
      <c r="L423" s="82"/>
    </row>
    <row r="424" spans="2:15" s="1" customFormat="1" ht="12.95" customHeight="1" x14ac:dyDescent="0.15">
      <c r="B424" s="16">
        <v>7</v>
      </c>
      <c r="C424" s="17"/>
      <c r="D424" s="24"/>
      <c r="E424" s="24"/>
      <c r="F424" s="129"/>
      <c r="G424" s="20"/>
      <c r="H424" s="20">
        <v>1</v>
      </c>
      <c r="I424" s="126">
        <f t="shared" si="26"/>
        <v>0</v>
      </c>
      <c r="J424" s="38">
        <f t="shared" si="27"/>
        <v>0</v>
      </c>
      <c r="K424" s="80"/>
      <c r="L424" s="82"/>
    </row>
    <row r="425" spans="2:15" s="1" customFormat="1" ht="12.95" customHeight="1" x14ac:dyDescent="0.15">
      <c r="B425" s="16">
        <v>8</v>
      </c>
      <c r="C425" s="17"/>
      <c r="D425" s="24"/>
      <c r="E425" s="24"/>
      <c r="F425" s="129"/>
      <c r="G425" s="20"/>
      <c r="H425" s="20">
        <v>1</v>
      </c>
      <c r="I425" s="126">
        <f t="shared" si="26"/>
        <v>0</v>
      </c>
      <c r="J425" s="38">
        <f>(F425*G425*H425)/$C$32</f>
        <v>0</v>
      </c>
      <c r="K425" s="80"/>
      <c r="L425" s="82"/>
    </row>
    <row r="426" spans="2:15" s="1" customFormat="1" ht="14.85" customHeight="1" x14ac:dyDescent="0.15">
      <c r="B426" s="16">
        <v>9</v>
      </c>
      <c r="C426" s="17"/>
      <c r="D426" s="24"/>
      <c r="E426" s="24"/>
      <c r="F426" s="129"/>
      <c r="G426" s="20"/>
      <c r="H426" s="20">
        <v>1</v>
      </c>
      <c r="I426" s="126">
        <f t="shared" si="26"/>
        <v>0</v>
      </c>
      <c r="J426" s="38">
        <f>(F426*G426*H426)/$C$32</f>
        <v>0</v>
      </c>
      <c r="K426" s="80"/>
      <c r="L426" s="82"/>
    </row>
    <row r="427" spans="2:15" s="1" customFormat="1" ht="12.95" customHeight="1" x14ac:dyDescent="0.15">
      <c r="B427" s="16">
        <v>10</v>
      </c>
      <c r="C427" s="17"/>
      <c r="D427" s="24"/>
      <c r="E427" s="24"/>
      <c r="F427" s="129"/>
      <c r="G427" s="20"/>
      <c r="H427" s="20">
        <v>1</v>
      </c>
      <c r="I427" s="126">
        <f t="shared" si="26"/>
        <v>0</v>
      </c>
      <c r="J427" s="38">
        <f t="shared" ref="J427:J460" si="28">(F427*G427*H427)/$C$32</f>
        <v>0</v>
      </c>
      <c r="K427" s="80"/>
      <c r="L427" s="82"/>
      <c r="M427" s="39"/>
      <c r="N427" s="40"/>
      <c r="O427" s="40"/>
    </row>
    <row r="428" spans="2:15" s="1" customFormat="1" ht="12.95" customHeight="1" x14ac:dyDescent="0.15">
      <c r="B428" s="16">
        <v>11</v>
      </c>
      <c r="C428" s="17"/>
      <c r="D428" s="24"/>
      <c r="E428" s="24"/>
      <c r="F428" s="129"/>
      <c r="G428" s="20"/>
      <c r="H428" s="20">
        <v>1</v>
      </c>
      <c r="I428" s="126">
        <f t="shared" si="26"/>
        <v>0</v>
      </c>
      <c r="J428" s="38">
        <f t="shared" si="28"/>
        <v>0</v>
      </c>
      <c r="K428" s="80"/>
      <c r="L428" s="82"/>
    </row>
    <row r="429" spans="2:15" s="1" customFormat="1" ht="12.95" customHeight="1" x14ac:dyDescent="0.15">
      <c r="B429" s="16">
        <v>12</v>
      </c>
      <c r="C429" s="17"/>
      <c r="D429" s="24"/>
      <c r="E429" s="24"/>
      <c r="F429" s="129"/>
      <c r="G429" s="20"/>
      <c r="H429" s="20">
        <v>1</v>
      </c>
      <c r="I429" s="126">
        <f t="shared" si="26"/>
        <v>0</v>
      </c>
      <c r="J429" s="38">
        <f t="shared" si="28"/>
        <v>0</v>
      </c>
      <c r="K429" s="80"/>
      <c r="L429" s="82"/>
    </row>
    <row r="430" spans="2:15" s="1" customFormat="1" ht="12.95" customHeight="1" x14ac:dyDescent="0.15">
      <c r="B430" s="16">
        <v>13</v>
      </c>
      <c r="C430" s="17"/>
      <c r="D430" s="24"/>
      <c r="E430" s="24"/>
      <c r="F430" s="130"/>
      <c r="G430" s="20"/>
      <c r="H430" s="20">
        <v>1</v>
      </c>
      <c r="I430" s="126">
        <f t="shared" si="26"/>
        <v>0</v>
      </c>
      <c r="J430" s="38">
        <f t="shared" si="28"/>
        <v>0</v>
      </c>
      <c r="K430" s="80"/>
      <c r="L430" s="82"/>
    </row>
    <row r="431" spans="2:15" s="1" customFormat="1" ht="12.95" customHeight="1" x14ac:dyDescent="0.15">
      <c r="B431" s="16">
        <v>14</v>
      </c>
      <c r="C431" s="17"/>
      <c r="D431" s="24"/>
      <c r="E431" s="24"/>
      <c r="F431" s="129"/>
      <c r="G431" s="20"/>
      <c r="H431" s="20">
        <v>1</v>
      </c>
      <c r="I431" s="126">
        <f t="shared" si="26"/>
        <v>0</v>
      </c>
      <c r="J431" s="38">
        <f t="shared" si="28"/>
        <v>0</v>
      </c>
      <c r="K431" s="80"/>
      <c r="L431" s="82"/>
    </row>
    <row r="432" spans="2:15" s="1" customFormat="1" ht="12.95" customHeight="1" x14ac:dyDescent="0.15">
      <c r="B432" s="16">
        <v>15</v>
      </c>
      <c r="C432" s="17"/>
      <c r="D432" s="24"/>
      <c r="E432" s="24"/>
      <c r="F432" s="129"/>
      <c r="G432" s="20"/>
      <c r="H432" s="20">
        <v>1</v>
      </c>
      <c r="I432" s="126">
        <f t="shared" si="26"/>
        <v>0</v>
      </c>
      <c r="J432" s="38">
        <f t="shared" si="28"/>
        <v>0</v>
      </c>
      <c r="K432" s="80"/>
      <c r="L432" s="82"/>
    </row>
    <row r="433" spans="2:20" s="1" customFormat="1" ht="12.95" customHeight="1" x14ac:dyDescent="0.15">
      <c r="B433" s="16">
        <v>16</v>
      </c>
      <c r="C433" s="17"/>
      <c r="D433" s="24"/>
      <c r="E433" s="24"/>
      <c r="F433" s="129"/>
      <c r="G433" s="20"/>
      <c r="H433" s="20">
        <v>1</v>
      </c>
      <c r="I433" s="126">
        <f t="shared" si="26"/>
        <v>0</v>
      </c>
      <c r="J433" s="38">
        <f t="shared" si="28"/>
        <v>0</v>
      </c>
      <c r="K433" s="80"/>
      <c r="L433" s="82"/>
    </row>
    <row r="434" spans="2:20" s="1" customFormat="1" ht="12.95" customHeight="1" x14ac:dyDescent="0.15">
      <c r="B434" s="16">
        <v>17</v>
      </c>
      <c r="C434" s="17"/>
      <c r="D434" s="24"/>
      <c r="E434" s="24"/>
      <c r="F434" s="129"/>
      <c r="G434" s="20"/>
      <c r="H434" s="20">
        <v>1</v>
      </c>
      <c r="I434" s="126">
        <f t="shared" si="26"/>
        <v>0</v>
      </c>
      <c r="J434" s="38">
        <f t="shared" si="28"/>
        <v>0</v>
      </c>
      <c r="K434" s="80"/>
      <c r="L434" s="82"/>
    </row>
    <row r="435" spans="2:20" s="1" customFormat="1" ht="12.95" customHeight="1" x14ac:dyDescent="0.15">
      <c r="B435" s="16">
        <v>18</v>
      </c>
      <c r="C435" s="17"/>
      <c r="D435" s="24"/>
      <c r="E435" s="24"/>
      <c r="F435" s="129"/>
      <c r="G435" s="20"/>
      <c r="H435" s="20">
        <v>1</v>
      </c>
      <c r="I435" s="126">
        <f t="shared" si="26"/>
        <v>0</v>
      </c>
      <c r="J435" s="38">
        <f t="shared" si="28"/>
        <v>0</v>
      </c>
      <c r="K435" s="80"/>
      <c r="L435" s="82"/>
    </row>
    <row r="436" spans="2:20" s="1" customFormat="1" ht="12.95" customHeight="1" x14ac:dyDescent="0.15">
      <c r="B436" s="16">
        <v>19</v>
      </c>
      <c r="C436" s="17"/>
      <c r="D436" s="18"/>
      <c r="E436" s="18"/>
      <c r="F436" s="129"/>
      <c r="G436" s="20"/>
      <c r="H436" s="20">
        <v>1</v>
      </c>
      <c r="I436" s="126">
        <f t="shared" si="26"/>
        <v>0</v>
      </c>
      <c r="J436" s="38">
        <f t="shared" si="28"/>
        <v>0</v>
      </c>
      <c r="K436" s="80"/>
      <c r="L436" s="82"/>
      <c r="M436" s="10"/>
      <c r="N436" s="10"/>
      <c r="O436" s="10"/>
      <c r="P436" s="10"/>
      <c r="Q436" s="43"/>
      <c r="R436" s="10"/>
      <c r="T436" s="10"/>
    </row>
    <row r="437" spans="2:20" s="1" customFormat="1" ht="12.95" customHeight="1" x14ac:dyDescent="0.15">
      <c r="B437" s="16">
        <v>20</v>
      </c>
      <c r="C437" s="17"/>
      <c r="D437" s="18"/>
      <c r="E437" s="18"/>
      <c r="F437" s="129"/>
      <c r="G437" s="20"/>
      <c r="H437" s="20">
        <v>1</v>
      </c>
      <c r="I437" s="126">
        <f t="shared" si="26"/>
        <v>0</v>
      </c>
      <c r="J437" s="38">
        <f t="shared" si="28"/>
        <v>0</v>
      </c>
      <c r="K437" s="80"/>
      <c r="L437" s="82"/>
      <c r="M437" s="10"/>
      <c r="N437" s="10"/>
      <c r="O437" s="10"/>
      <c r="P437" s="10"/>
      <c r="Q437" s="43"/>
      <c r="R437" s="10"/>
      <c r="T437" s="10"/>
    </row>
    <row r="438" spans="2:20" s="1" customFormat="1" ht="12.95" customHeight="1" x14ac:dyDescent="0.15">
      <c r="B438" s="16"/>
      <c r="C438" s="17"/>
      <c r="D438" s="18"/>
      <c r="E438" s="18"/>
      <c r="F438" s="129"/>
      <c r="G438" s="20"/>
      <c r="H438" s="20"/>
      <c r="I438" s="126"/>
      <c r="J438" s="38"/>
      <c r="K438" s="80"/>
      <c r="L438" s="82"/>
      <c r="M438" s="10"/>
      <c r="N438" s="10"/>
      <c r="O438" s="10"/>
      <c r="P438" s="10"/>
      <c r="Q438" s="43"/>
      <c r="R438" s="10"/>
      <c r="T438" s="10"/>
    </row>
    <row r="439" spans="2:20" s="1" customFormat="1" ht="12.95" customHeight="1" x14ac:dyDescent="0.15">
      <c r="B439" s="16"/>
      <c r="C439" s="17"/>
      <c r="D439" s="18"/>
      <c r="E439" s="18"/>
      <c r="F439" s="129"/>
      <c r="G439" s="20"/>
      <c r="H439" s="20"/>
      <c r="I439" s="126"/>
      <c r="J439" s="38"/>
      <c r="K439" s="80"/>
      <c r="L439" s="82"/>
      <c r="M439" s="10"/>
      <c r="N439" s="10"/>
      <c r="O439" s="10"/>
      <c r="P439" s="10"/>
      <c r="Q439" s="43"/>
      <c r="R439" s="10"/>
      <c r="T439" s="10"/>
    </row>
    <row r="440" spans="2:20" s="1" customFormat="1" ht="12.95" customHeight="1" x14ac:dyDescent="0.15">
      <c r="B440" s="16"/>
      <c r="C440" s="22" t="s">
        <v>160</v>
      </c>
      <c r="D440" s="18"/>
      <c r="E440" s="18"/>
      <c r="F440" s="129"/>
      <c r="G440" s="20"/>
      <c r="H440" s="20"/>
      <c r="I440" s="126"/>
      <c r="J440" s="38"/>
      <c r="K440" s="80"/>
      <c r="L440" s="82"/>
      <c r="M440" s="10"/>
      <c r="N440" s="10"/>
      <c r="O440" s="10"/>
      <c r="P440" s="10"/>
      <c r="Q440" s="43"/>
      <c r="R440" s="10"/>
      <c r="T440" s="10"/>
    </row>
    <row r="441" spans="2:20" s="1" customFormat="1" ht="12.95" customHeight="1" x14ac:dyDescent="0.15">
      <c r="B441" s="16">
        <v>1</v>
      </c>
      <c r="C441" s="22"/>
      <c r="D441" s="18"/>
      <c r="E441" s="18"/>
      <c r="F441" s="129"/>
      <c r="G441" s="20"/>
      <c r="H441" s="20">
        <v>1</v>
      </c>
      <c r="I441" s="126">
        <f t="shared" si="26"/>
        <v>0</v>
      </c>
      <c r="J441" s="38">
        <f t="shared" si="28"/>
        <v>0</v>
      </c>
      <c r="K441" s="80"/>
      <c r="L441" s="82"/>
      <c r="M441" s="10"/>
      <c r="N441" s="10"/>
      <c r="O441" s="10"/>
      <c r="P441" s="10"/>
      <c r="Q441" s="43"/>
      <c r="R441" s="10"/>
      <c r="T441" s="10"/>
    </row>
    <row r="442" spans="2:20" s="1" customFormat="1" ht="12.95" customHeight="1" x14ac:dyDescent="0.15">
      <c r="B442" s="16">
        <v>2</v>
      </c>
      <c r="C442" s="22"/>
      <c r="D442" s="18"/>
      <c r="E442" s="18"/>
      <c r="F442" s="129"/>
      <c r="G442" s="20"/>
      <c r="H442" s="20">
        <v>1</v>
      </c>
      <c r="I442" s="126">
        <f t="shared" si="26"/>
        <v>0</v>
      </c>
      <c r="J442" s="38">
        <f t="shared" si="28"/>
        <v>0</v>
      </c>
      <c r="K442" s="80"/>
      <c r="L442" s="82"/>
      <c r="M442" s="10"/>
      <c r="N442" s="10"/>
      <c r="O442" s="10"/>
      <c r="P442" s="10"/>
      <c r="Q442" s="43"/>
      <c r="R442" s="10"/>
      <c r="T442" s="10"/>
    </row>
    <row r="443" spans="2:20" s="1" customFormat="1" ht="12.95" customHeight="1" x14ac:dyDescent="0.15">
      <c r="B443" s="16">
        <v>3</v>
      </c>
      <c r="C443" s="22"/>
      <c r="D443" s="18"/>
      <c r="E443" s="18"/>
      <c r="F443" s="129"/>
      <c r="G443" s="20"/>
      <c r="H443" s="20">
        <v>1</v>
      </c>
      <c r="I443" s="126">
        <f t="shared" si="26"/>
        <v>0</v>
      </c>
      <c r="J443" s="38">
        <f t="shared" si="28"/>
        <v>0</v>
      </c>
      <c r="K443" s="80"/>
      <c r="L443" s="82"/>
      <c r="M443" s="10"/>
      <c r="N443" s="10"/>
      <c r="O443" s="10"/>
      <c r="P443" s="10"/>
      <c r="Q443" s="43"/>
      <c r="R443" s="10"/>
      <c r="T443" s="10"/>
    </row>
    <row r="444" spans="2:20" s="1" customFormat="1" ht="12.95" customHeight="1" x14ac:dyDescent="0.15">
      <c r="B444" s="16">
        <v>4</v>
      </c>
      <c r="C444" s="22"/>
      <c r="D444" s="18"/>
      <c r="E444" s="18"/>
      <c r="F444" s="129"/>
      <c r="G444" s="20"/>
      <c r="H444" s="20">
        <v>1</v>
      </c>
      <c r="I444" s="126">
        <f t="shared" si="26"/>
        <v>0</v>
      </c>
      <c r="J444" s="38">
        <f t="shared" si="28"/>
        <v>0</v>
      </c>
      <c r="K444" s="80"/>
      <c r="L444" s="82"/>
      <c r="M444" s="10"/>
      <c r="N444" s="10"/>
      <c r="O444" s="10"/>
      <c r="P444" s="10"/>
      <c r="Q444" s="43"/>
      <c r="R444" s="10"/>
      <c r="T444" s="10"/>
    </row>
    <row r="445" spans="2:20" s="1" customFormat="1" ht="12.95" customHeight="1" x14ac:dyDescent="0.15">
      <c r="B445" s="16">
        <v>5</v>
      </c>
      <c r="C445" s="22"/>
      <c r="D445" s="18"/>
      <c r="E445" s="18"/>
      <c r="F445" s="129"/>
      <c r="G445" s="20"/>
      <c r="H445" s="20">
        <v>1</v>
      </c>
      <c r="I445" s="126">
        <f t="shared" si="26"/>
        <v>0</v>
      </c>
      <c r="J445" s="38">
        <f t="shared" si="28"/>
        <v>0</v>
      </c>
      <c r="K445" s="80"/>
      <c r="L445" s="82"/>
      <c r="M445" s="10"/>
      <c r="N445" s="10"/>
      <c r="O445" s="10"/>
      <c r="P445" s="10"/>
      <c r="Q445" s="43"/>
      <c r="R445" s="10"/>
      <c r="T445" s="10"/>
    </row>
    <row r="446" spans="2:20" s="1" customFormat="1" ht="12.95" customHeight="1" x14ac:dyDescent="0.15">
      <c r="B446" s="16">
        <v>6</v>
      </c>
      <c r="C446" s="22"/>
      <c r="D446" s="18"/>
      <c r="E446" s="18"/>
      <c r="F446" s="129"/>
      <c r="G446" s="20"/>
      <c r="H446" s="20">
        <v>1</v>
      </c>
      <c r="I446" s="126">
        <f t="shared" si="26"/>
        <v>0</v>
      </c>
      <c r="J446" s="38">
        <f t="shared" si="28"/>
        <v>0</v>
      </c>
      <c r="K446" s="80"/>
      <c r="L446" s="82"/>
      <c r="M446" s="10"/>
      <c r="N446" s="10"/>
      <c r="O446" s="10"/>
      <c r="P446" s="10"/>
      <c r="Q446" s="43"/>
      <c r="R446" s="10"/>
      <c r="T446" s="10"/>
    </row>
    <row r="447" spans="2:20" s="1" customFormat="1" ht="12.95" customHeight="1" x14ac:dyDescent="0.15">
      <c r="B447" s="16">
        <v>7</v>
      </c>
      <c r="C447" s="22"/>
      <c r="D447" s="18"/>
      <c r="E447" s="18"/>
      <c r="F447" s="129"/>
      <c r="G447" s="20"/>
      <c r="H447" s="20">
        <v>1</v>
      </c>
      <c r="I447" s="126">
        <f t="shared" si="26"/>
        <v>0</v>
      </c>
      <c r="J447" s="38">
        <f t="shared" si="28"/>
        <v>0</v>
      </c>
      <c r="K447" s="80"/>
      <c r="L447" s="82"/>
      <c r="M447" s="10"/>
      <c r="N447" s="10"/>
      <c r="O447" s="10"/>
      <c r="P447" s="10"/>
      <c r="Q447" s="43"/>
      <c r="R447" s="10"/>
      <c r="T447" s="10"/>
    </row>
    <row r="448" spans="2:20" s="1" customFormat="1" ht="12.95" customHeight="1" x14ac:dyDescent="0.15">
      <c r="B448" s="16">
        <v>8</v>
      </c>
      <c r="C448" s="22"/>
      <c r="D448" s="18"/>
      <c r="E448" s="18"/>
      <c r="F448" s="129"/>
      <c r="G448" s="20"/>
      <c r="H448" s="20">
        <v>1</v>
      </c>
      <c r="I448" s="126">
        <f t="shared" si="26"/>
        <v>0</v>
      </c>
      <c r="J448" s="38">
        <f t="shared" si="28"/>
        <v>0</v>
      </c>
      <c r="K448" s="80"/>
      <c r="L448" s="82"/>
      <c r="M448" s="10"/>
      <c r="N448" s="10"/>
      <c r="O448" s="10"/>
      <c r="P448" s="10"/>
      <c r="Q448" s="43"/>
      <c r="R448" s="10"/>
      <c r="T448" s="10"/>
    </row>
    <row r="449" spans="2:20" s="1" customFormat="1" ht="12.95" customHeight="1" x14ac:dyDescent="0.15">
      <c r="B449" s="16">
        <v>9</v>
      </c>
      <c r="C449" s="22"/>
      <c r="D449" s="18"/>
      <c r="E449" s="18"/>
      <c r="F449" s="129"/>
      <c r="G449" s="20"/>
      <c r="H449" s="20">
        <v>1</v>
      </c>
      <c r="I449" s="126">
        <f t="shared" si="26"/>
        <v>0</v>
      </c>
      <c r="J449" s="38">
        <f t="shared" si="28"/>
        <v>0</v>
      </c>
      <c r="K449" s="80"/>
      <c r="L449" s="82"/>
      <c r="M449" s="10"/>
      <c r="N449" s="10"/>
      <c r="O449" s="10"/>
      <c r="P449" s="10"/>
      <c r="Q449" s="43"/>
      <c r="R449" s="10"/>
      <c r="T449" s="10"/>
    </row>
    <row r="450" spans="2:20" s="1" customFormat="1" ht="12.95" customHeight="1" x14ac:dyDescent="0.15">
      <c r="B450" s="16">
        <v>10</v>
      </c>
      <c r="C450" s="22"/>
      <c r="D450" s="18"/>
      <c r="E450" s="18"/>
      <c r="F450" s="129"/>
      <c r="G450" s="20"/>
      <c r="H450" s="20">
        <v>1</v>
      </c>
      <c r="I450" s="126">
        <f t="shared" si="26"/>
        <v>0</v>
      </c>
      <c r="J450" s="38">
        <f t="shared" si="28"/>
        <v>0</v>
      </c>
      <c r="K450" s="80"/>
      <c r="L450" s="82"/>
      <c r="M450" s="10"/>
      <c r="N450" s="10"/>
      <c r="O450" s="10"/>
      <c r="P450" s="10"/>
      <c r="Q450" s="43"/>
      <c r="R450" s="10"/>
      <c r="T450" s="10"/>
    </row>
    <row r="451" spans="2:20" s="1" customFormat="1" ht="12.95" customHeight="1" x14ac:dyDescent="0.15">
      <c r="B451" s="16">
        <v>11</v>
      </c>
      <c r="C451" s="22"/>
      <c r="D451" s="18"/>
      <c r="E451" s="18"/>
      <c r="F451" s="129"/>
      <c r="G451" s="20"/>
      <c r="H451" s="20">
        <v>1</v>
      </c>
      <c r="I451" s="126">
        <f t="shared" si="26"/>
        <v>0</v>
      </c>
      <c r="J451" s="38">
        <f t="shared" si="28"/>
        <v>0</v>
      </c>
      <c r="K451" s="80"/>
      <c r="L451" s="82"/>
      <c r="M451" s="10"/>
      <c r="N451" s="10"/>
      <c r="O451" s="10"/>
      <c r="P451" s="10"/>
      <c r="Q451" s="43"/>
      <c r="R451" s="10"/>
      <c r="T451" s="10"/>
    </row>
    <row r="452" spans="2:20" s="1" customFormat="1" ht="12.95" customHeight="1" x14ac:dyDescent="0.2">
      <c r="B452" s="16">
        <v>12</v>
      </c>
      <c r="C452" s="45"/>
      <c r="D452" s="18"/>
      <c r="E452" s="18"/>
      <c r="F452" s="51"/>
      <c r="G452" s="20"/>
      <c r="H452" s="20">
        <v>1</v>
      </c>
      <c r="I452" s="126">
        <f t="shared" si="26"/>
        <v>0</v>
      </c>
      <c r="J452" s="38">
        <f t="shared" si="28"/>
        <v>0</v>
      </c>
      <c r="K452" s="80"/>
      <c r="L452" s="82"/>
      <c r="N452" s="10"/>
      <c r="O452" s="10"/>
      <c r="P452" s="10"/>
      <c r="Q452" s="43"/>
      <c r="R452" s="10"/>
      <c r="T452" s="10"/>
    </row>
    <row r="453" spans="2:20" s="1" customFormat="1" ht="12.95" customHeight="1" x14ac:dyDescent="0.2">
      <c r="B453" s="16">
        <v>13</v>
      </c>
      <c r="C453" s="45"/>
      <c r="D453" s="18"/>
      <c r="E453" s="18"/>
      <c r="F453" s="51"/>
      <c r="G453" s="20"/>
      <c r="H453" s="20">
        <v>1</v>
      </c>
      <c r="I453" s="126">
        <f t="shared" si="26"/>
        <v>0</v>
      </c>
      <c r="J453" s="38">
        <f t="shared" si="28"/>
        <v>0</v>
      </c>
      <c r="K453" s="80"/>
      <c r="L453" s="82"/>
      <c r="N453" s="10"/>
      <c r="O453" s="10"/>
      <c r="P453" s="10"/>
      <c r="Q453" s="43"/>
      <c r="R453" s="10"/>
      <c r="T453" s="10"/>
    </row>
    <row r="454" spans="2:20" s="1" customFormat="1" ht="12.95" customHeight="1" x14ac:dyDescent="0.2">
      <c r="B454" s="16">
        <v>14</v>
      </c>
      <c r="C454" s="45"/>
      <c r="D454" s="18"/>
      <c r="E454" s="18"/>
      <c r="F454" s="51"/>
      <c r="G454" s="20"/>
      <c r="H454" s="20">
        <v>1</v>
      </c>
      <c r="I454" s="126">
        <f t="shared" si="26"/>
        <v>0</v>
      </c>
      <c r="J454" s="38">
        <f t="shared" si="28"/>
        <v>0</v>
      </c>
      <c r="K454" s="80"/>
      <c r="L454" s="82"/>
      <c r="N454" s="10"/>
      <c r="O454" s="10"/>
      <c r="P454" s="10"/>
      <c r="Q454" s="43"/>
      <c r="R454" s="10"/>
      <c r="T454" s="10"/>
    </row>
    <row r="455" spans="2:20" s="1" customFormat="1" ht="12.95" customHeight="1" x14ac:dyDescent="0.2">
      <c r="B455" s="16">
        <v>15</v>
      </c>
      <c r="C455" s="45"/>
      <c r="D455" s="18"/>
      <c r="E455" s="18"/>
      <c r="F455" s="51"/>
      <c r="G455" s="20"/>
      <c r="H455" s="20">
        <v>1</v>
      </c>
      <c r="I455" s="126">
        <f t="shared" si="26"/>
        <v>0</v>
      </c>
      <c r="J455" s="38">
        <f t="shared" si="28"/>
        <v>0</v>
      </c>
      <c r="K455" s="80"/>
      <c r="L455" s="82"/>
      <c r="N455" s="10"/>
      <c r="O455" s="10"/>
      <c r="P455" s="10"/>
      <c r="Q455" s="43"/>
      <c r="R455" s="10"/>
      <c r="T455" s="10"/>
    </row>
    <row r="456" spans="2:20" s="1" customFormat="1" ht="12.95" customHeight="1" x14ac:dyDescent="0.2">
      <c r="B456" s="16">
        <v>16</v>
      </c>
      <c r="C456" s="45"/>
      <c r="D456" s="18"/>
      <c r="E456" s="18"/>
      <c r="F456" s="51"/>
      <c r="G456" s="20"/>
      <c r="H456" s="20">
        <v>1</v>
      </c>
      <c r="I456" s="126">
        <f t="shared" si="26"/>
        <v>0</v>
      </c>
      <c r="J456" s="38">
        <f t="shared" si="28"/>
        <v>0</v>
      </c>
      <c r="K456" s="80"/>
      <c r="L456" s="82"/>
      <c r="N456" s="10"/>
      <c r="O456" s="10"/>
      <c r="P456" s="10"/>
      <c r="Q456" s="43"/>
      <c r="R456" s="10"/>
      <c r="T456" s="10"/>
    </row>
    <row r="457" spans="2:20" s="1" customFormat="1" ht="12.95" customHeight="1" x14ac:dyDescent="0.2">
      <c r="B457" s="16">
        <v>17</v>
      </c>
      <c r="C457" s="45"/>
      <c r="D457" s="18"/>
      <c r="E457" s="18"/>
      <c r="F457" s="51"/>
      <c r="G457" s="20"/>
      <c r="H457" s="20">
        <v>1</v>
      </c>
      <c r="I457" s="126">
        <f t="shared" si="26"/>
        <v>0</v>
      </c>
      <c r="J457" s="38">
        <f t="shared" si="28"/>
        <v>0</v>
      </c>
      <c r="K457" s="80"/>
      <c r="L457" s="82"/>
      <c r="N457" s="10"/>
      <c r="O457" s="10"/>
      <c r="P457" s="10"/>
      <c r="Q457" s="43"/>
      <c r="R457" s="10"/>
      <c r="T457" s="10"/>
    </row>
    <row r="458" spans="2:20" s="1" customFormat="1" ht="12.95" customHeight="1" x14ac:dyDescent="0.2">
      <c r="B458" s="16">
        <v>18</v>
      </c>
      <c r="C458" s="45"/>
      <c r="D458" s="18"/>
      <c r="E458" s="18"/>
      <c r="F458" s="51"/>
      <c r="G458" s="20"/>
      <c r="H458" s="20">
        <v>1</v>
      </c>
      <c r="I458" s="126">
        <f t="shared" si="26"/>
        <v>0</v>
      </c>
      <c r="J458" s="38">
        <f t="shared" si="28"/>
        <v>0</v>
      </c>
      <c r="K458" s="80"/>
      <c r="L458" s="82"/>
      <c r="N458" s="10"/>
      <c r="O458" s="10"/>
      <c r="P458" s="10"/>
      <c r="Q458" s="43"/>
      <c r="R458" s="10"/>
      <c r="T458" s="10"/>
    </row>
    <row r="459" spans="2:20" s="1" customFormat="1" ht="12.95" customHeight="1" x14ac:dyDescent="0.2">
      <c r="B459" s="16">
        <v>19</v>
      </c>
      <c r="C459" s="45"/>
      <c r="D459" s="18"/>
      <c r="E459" s="18"/>
      <c r="F459" s="51"/>
      <c r="G459" s="20"/>
      <c r="H459" s="20">
        <v>1</v>
      </c>
      <c r="I459" s="126">
        <f t="shared" si="26"/>
        <v>0</v>
      </c>
      <c r="J459" s="324">
        <f t="shared" si="28"/>
        <v>0</v>
      </c>
      <c r="K459" s="111"/>
      <c r="L459" s="119"/>
      <c r="N459" s="10"/>
      <c r="O459" s="10"/>
      <c r="P459" s="10"/>
      <c r="Q459" s="43"/>
      <c r="R459" s="10"/>
      <c r="T459" s="10"/>
    </row>
    <row r="460" spans="2:20" s="1" customFormat="1" ht="12.95" customHeight="1" x14ac:dyDescent="0.2">
      <c r="B460" s="16">
        <v>20</v>
      </c>
      <c r="C460" s="45"/>
      <c r="D460" s="18"/>
      <c r="E460" s="18"/>
      <c r="F460" s="51"/>
      <c r="G460" s="20"/>
      <c r="H460" s="20">
        <v>1</v>
      </c>
      <c r="I460" s="254">
        <f t="shared" si="26"/>
        <v>0</v>
      </c>
      <c r="J460" s="323">
        <f t="shared" si="28"/>
        <v>0</v>
      </c>
      <c r="K460" s="82"/>
      <c r="L460" s="82"/>
      <c r="N460" s="10"/>
      <c r="O460" s="10"/>
      <c r="P460" s="10"/>
      <c r="Q460" s="43"/>
      <c r="R460" s="10"/>
      <c r="T460" s="10"/>
    </row>
    <row r="461" spans="2:20" s="1" customFormat="1" ht="12.95" customHeight="1" x14ac:dyDescent="0.2">
      <c r="B461" s="83"/>
      <c r="C461" s="171"/>
      <c r="D461" s="75"/>
      <c r="E461" s="75"/>
      <c r="F461" s="172"/>
      <c r="G461" s="77"/>
      <c r="H461" s="77"/>
      <c r="I461" s="255"/>
      <c r="J461" s="323"/>
      <c r="K461" s="82"/>
      <c r="L461" s="82"/>
      <c r="N461" s="10"/>
      <c r="O461" s="10"/>
      <c r="P461" s="10"/>
      <c r="Q461" s="43"/>
      <c r="R461" s="10"/>
      <c r="T461" s="10"/>
    </row>
    <row r="462" spans="2:20" s="1" customFormat="1" ht="12.95" customHeight="1" x14ac:dyDescent="0.15">
      <c r="B462" s="82"/>
      <c r="C462" s="102"/>
      <c r="D462" s="103"/>
      <c r="E462" s="102"/>
      <c r="F462" s="128">
        <f>SUM(F402:F461)</f>
        <v>0</v>
      </c>
      <c r="G462" s="104"/>
      <c r="H462" s="105"/>
      <c r="I462" s="256">
        <f>SUM(I403:I461)</f>
        <v>0</v>
      </c>
      <c r="J462" s="257">
        <f>SUM(J402:J461)</f>
        <v>0</v>
      </c>
    </row>
    <row r="463" spans="2:20" s="67" customFormat="1" ht="12.95" customHeight="1" x14ac:dyDescent="0.15">
      <c r="B463" s="116"/>
      <c r="C463" s="114"/>
      <c r="D463" s="114"/>
      <c r="E463" s="114" t="s">
        <v>147</v>
      </c>
      <c r="F463" s="162">
        <f>100/115*F462</f>
        <v>0</v>
      </c>
      <c r="G463" s="114"/>
      <c r="H463" s="114" t="s">
        <v>147</v>
      </c>
      <c r="I463" s="264">
        <f>100/115*I462</f>
        <v>0</v>
      </c>
      <c r="J463" s="114"/>
    </row>
    <row r="464" spans="2:20" s="1" customFormat="1" ht="12.95" customHeight="1" x14ac:dyDescent="0.15"/>
    <row r="465" spans="2:12" s="1" customFormat="1" ht="12.95" customHeight="1" x14ac:dyDescent="0.15"/>
    <row r="466" spans="2:12" s="1" customFormat="1" ht="12.95" customHeight="1" x14ac:dyDescent="0.15"/>
    <row r="467" spans="2:12" s="1" customFormat="1" ht="12.95" customHeight="1" x14ac:dyDescent="0.15"/>
    <row r="468" spans="2:12" s="247" customFormat="1" ht="32.25" x14ac:dyDescent="0.4">
      <c r="B468" s="248"/>
      <c r="C468" s="380" t="s">
        <v>112</v>
      </c>
      <c r="D468" s="380"/>
      <c r="E468" s="400" t="s">
        <v>161</v>
      </c>
      <c r="F468" s="401"/>
      <c r="G468" s="401"/>
      <c r="H468" s="401"/>
      <c r="I468" s="402"/>
      <c r="J468" s="407">
        <v>2026</v>
      </c>
      <c r="K468" s="408"/>
      <c r="L468" s="409"/>
    </row>
    <row r="469" spans="2:12" s="1" customFormat="1" ht="42" customHeight="1" x14ac:dyDescent="0.15">
      <c r="B469" s="82"/>
      <c r="C469" s="102" t="s">
        <v>114</v>
      </c>
      <c r="D469" s="388" t="s">
        <v>115</v>
      </c>
      <c r="E469" s="388"/>
      <c r="F469" s="102" t="s">
        <v>116</v>
      </c>
      <c r="G469" s="102" t="s">
        <v>117</v>
      </c>
      <c r="H469" s="102" t="s">
        <v>118</v>
      </c>
      <c r="I469" s="173" t="s">
        <v>119</v>
      </c>
      <c r="J469" s="102" t="s">
        <v>120</v>
      </c>
      <c r="K469" s="82"/>
      <c r="L469" s="82"/>
    </row>
    <row r="470" spans="2:12" s="1" customFormat="1" ht="12.95" customHeight="1" x14ac:dyDescent="0.15">
      <c r="B470" s="84"/>
      <c r="C470" s="149">
        <f>C400</f>
        <v>450</v>
      </c>
      <c r="D470" s="412">
        <v>21</v>
      </c>
      <c r="E470" s="412"/>
      <c r="F470" s="146">
        <f>F400</f>
        <v>0.8</v>
      </c>
      <c r="G470" s="147">
        <f>G400</f>
        <v>8</v>
      </c>
      <c r="H470" s="148">
        <f>D470*G470*F470</f>
        <v>134.4</v>
      </c>
      <c r="I470" s="149">
        <f>I532</f>
        <v>0</v>
      </c>
      <c r="J470" s="150">
        <f>H470-J532</f>
        <v>134.4</v>
      </c>
      <c r="K470" s="79"/>
      <c r="L470" s="120"/>
    </row>
    <row r="471" spans="2:12" s="1" customFormat="1" ht="69.95" customHeight="1" x14ac:dyDescent="0.15">
      <c r="B471" s="16"/>
      <c r="C471" s="22" t="s">
        <v>121</v>
      </c>
      <c r="D471" s="413" t="s">
        <v>122</v>
      </c>
      <c r="E471" s="413"/>
      <c r="F471" s="33" t="s">
        <v>123</v>
      </c>
      <c r="G471" s="34" t="s">
        <v>124</v>
      </c>
      <c r="H471" s="35" t="s">
        <v>125</v>
      </c>
      <c r="I471" s="125" t="s">
        <v>126</v>
      </c>
      <c r="J471" s="34" t="s">
        <v>127</v>
      </c>
      <c r="K471" s="107" t="s">
        <v>128</v>
      </c>
      <c r="L471" s="123" t="s">
        <v>129</v>
      </c>
    </row>
    <row r="472" spans="2:12" s="1" customFormat="1" ht="12.75" customHeight="1" x14ac:dyDescent="0.15">
      <c r="B472" s="83"/>
      <c r="C472" s="159"/>
      <c r="D472" s="164"/>
      <c r="E472" s="164"/>
      <c r="F472" s="76"/>
      <c r="G472" s="20"/>
      <c r="H472" s="20"/>
      <c r="I472" s="126"/>
      <c r="J472" s="38"/>
      <c r="K472" s="80"/>
      <c r="L472" s="82"/>
    </row>
    <row r="473" spans="2:12" s="1" customFormat="1" ht="12.75" x14ac:dyDescent="0.15">
      <c r="B473" s="82"/>
      <c r="C473" s="392" t="s">
        <v>130</v>
      </c>
      <c r="D473" s="392"/>
      <c r="E473" s="392"/>
      <c r="F473" s="168"/>
      <c r="G473" s="163"/>
      <c r="H473" s="20"/>
      <c r="I473" s="126"/>
      <c r="J473" s="38"/>
      <c r="K473" s="80"/>
      <c r="L473" s="82"/>
    </row>
    <row r="474" spans="2:12" s="1" customFormat="1" ht="12.95" customHeight="1" x14ac:dyDescent="0.15">
      <c r="B474" s="82"/>
      <c r="C474" s="116" t="s">
        <v>149</v>
      </c>
      <c r="D474" s="169"/>
      <c r="E474" s="169"/>
      <c r="F474" s="168"/>
      <c r="G474" s="163"/>
      <c r="H474" s="20"/>
      <c r="I474" s="126"/>
      <c r="J474" s="38"/>
      <c r="K474" s="80"/>
      <c r="L474" s="82"/>
    </row>
    <row r="475" spans="2:12" s="1" customFormat="1" ht="12.95" customHeight="1" x14ac:dyDescent="0.15">
      <c r="B475" s="82">
        <v>1</v>
      </c>
      <c r="C475" s="89"/>
      <c r="D475" s="169"/>
      <c r="E475" s="169"/>
      <c r="F475" s="168"/>
      <c r="G475" s="163"/>
      <c r="H475" s="20">
        <v>1</v>
      </c>
      <c r="I475" s="129">
        <f t="shared" ref="I475:I507" si="29">J475*$C$32</f>
        <v>0</v>
      </c>
      <c r="J475" s="52">
        <f t="shared" ref="J475:J488" si="30">(F475*G475*H475)/$C$32</f>
        <v>0</v>
      </c>
      <c r="K475" s="80"/>
      <c r="L475" s="82"/>
    </row>
    <row r="476" spans="2:12" s="1" customFormat="1" ht="12.95" customHeight="1" x14ac:dyDescent="0.15">
      <c r="B476" s="82">
        <v>2</v>
      </c>
      <c r="C476" s="89"/>
      <c r="D476" s="169"/>
      <c r="E476" s="169"/>
      <c r="F476" s="168"/>
      <c r="G476" s="163"/>
      <c r="H476" s="20">
        <v>1</v>
      </c>
      <c r="I476" s="129">
        <f t="shared" si="29"/>
        <v>0</v>
      </c>
      <c r="J476" s="52">
        <f t="shared" si="30"/>
        <v>0</v>
      </c>
      <c r="K476" s="80"/>
      <c r="L476" s="82"/>
    </row>
    <row r="477" spans="2:12" s="1" customFormat="1" ht="12.95" customHeight="1" x14ac:dyDescent="0.15">
      <c r="B477" s="82">
        <v>3</v>
      </c>
      <c r="C477" s="89"/>
      <c r="D477" s="169"/>
      <c r="E477" s="169"/>
      <c r="F477" s="168"/>
      <c r="G477" s="163"/>
      <c r="H477" s="20">
        <v>1</v>
      </c>
      <c r="I477" s="129">
        <f t="shared" si="29"/>
        <v>0</v>
      </c>
      <c r="J477" s="52">
        <f t="shared" si="30"/>
        <v>0</v>
      </c>
      <c r="K477" s="80"/>
      <c r="L477" s="82"/>
    </row>
    <row r="478" spans="2:12" s="1" customFormat="1" ht="12.95" customHeight="1" x14ac:dyDescent="0.15">
      <c r="B478" s="82">
        <v>4</v>
      </c>
      <c r="C478" s="82"/>
      <c r="D478" s="90"/>
      <c r="E478" s="90"/>
      <c r="F478" s="168"/>
      <c r="G478" s="163"/>
      <c r="H478" s="20">
        <v>1</v>
      </c>
      <c r="I478" s="129">
        <f t="shared" si="29"/>
        <v>0</v>
      </c>
      <c r="J478" s="52">
        <f t="shared" si="30"/>
        <v>0</v>
      </c>
      <c r="K478" s="80"/>
      <c r="L478" s="82"/>
    </row>
    <row r="479" spans="2:12" s="1" customFormat="1" ht="12.95" customHeight="1" x14ac:dyDescent="0.15">
      <c r="B479" s="82">
        <v>5</v>
      </c>
      <c r="C479" s="89"/>
      <c r="D479" s="170"/>
      <c r="E479" s="170"/>
      <c r="F479" s="168"/>
      <c r="G479" s="163"/>
      <c r="H479" s="20">
        <v>1</v>
      </c>
      <c r="I479" s="129">
        <f t="shared" si="29"/>
        <v>0</v>
      </c>
      <c r="J479" s="52">
        <f t="shared" si="30"/>
        <v>0</v>
      </c>
      <c r="K479" s="80"/>
      <c r="L479" s="82"/>
    </row>
    <row r="480" spans="2:12" s="1" customFormat="1" ht="12.95" customHeight="1" x14ac:dyDescent="0.15">
      <c r="B480" s="82">
        <v>6</v>
      </c>
      <c r="C480" s="89"/>
      <c r="D480" s="169"/>
      <c r="E480" s="169"/>
      <c r="F480" s="168"/>
      <c r="G480" s="163"/>
      <c r="H480" s="20">
        <v>1</v>
      </c>
      <c r="I480" s="129">
        <f t="shared" si="29"/>
        <v>0</v>
      </c>
      <c r="J480" s="52">
        <f t="shared" si="30"/>
        <v>0</v>
      </c>
      <c r="K480" s="80"/>
      <c r="L480" s="82"/>
    </row>
    <row r="481" spans="2:20" s="1" customFormat="1" ht="12.95" customHeight="1" x14ac:dyDescent="0.15">
      <c r="B481" s="82">
        <v>7</v>
      </c>
      <c r="C481" s="89"/>
      <c r="D481" s="167"/>
      <c r="E481" s="167"/>
      <c r="F481" s="168"/>
      <c r="G481" s="163"/>
      <c r="H481" s="20">
        <v>1</v>
      </c>
      <c r="I481" s="129">
        <f t="shared" si="29"/>
        <v>0</v>
      </c>
      <c r="J481" s="52">
        <f t="shared" si="30"/>
        <v>0</v>
      </c>
      <c r="K481" s="80"/>
      <c r="L481" s="82"/>
    </row>
    <row r="482" spans="2:20" s="1" customFormat="1" ht="12.95" customHeight="1" x14ac:dyDescent="0.15">
      <c r="B482" s="84">
        <v>8</v>
      </c>
      <c r="C482" s="81"/>
      <c r="D482" s="85"/>
      <c r="E482" s="165"/>
      <c r="F482" s="166"/>
      <c r="G482" s="20"/>
      <c r="H482" s="20">
        <v>1</v>
      </c>
      <c r="I482" s="129">
        <f t="shared" si="29"/>
        <v>0</v>
      </c>
      <c r="J482" s="52">
        <f t="shared" si="30"/>
        <v>0</v>
      </c>
      <c r="K482" s="80"/>
      <c r="L482" s="82"/>
    </row>
    <row r="483" spans="2:20" s="1" customFormat="1" ht="12.95" customHeight="1" x14ac:dyDescent="0.15">
      <c r="B483" s="16">
        <v>9</v>
      </c>
      <c r="C483" s="17"/>
      <c r="D483" s="18"/>
      <c r="E483" s="24"/>
      <c r="F483" s="129"/>
      <c r="G483" s="20"/>
      <c r="H483" s="20">
        <v>1</v>
      </c>
      <c r="I483" s="129">
        <f t="shared" si="29"/>
        <v>0</v>
      </c>
      <c r="J483" s="52">
        <f t="shared" si="30"/>
        <v>0</v>
      </c>
      <c r="K483" s="80"/>
      <c r="L483" s="82"/>
    </row>
    <row r="484" spans="2:20" s="1" customFormat="1" ht="12.95" customHeight="1" x14ac:dyDescent="0.15">
      <c r="B484" s="16">
        <v>10</v>
      </c>
      <c r="C484" s="17"/>
      <c r="D484" s="24"/>
      <c r="E484" s="18"/>
      <c r="F484" s="129"/>
      <c r="G484" s="20"/>
      <c r="H484" s="20">
        <v>1</v>
      </c>
      <c r="I484" s="129">
        <f t="shared" si="29"/>
        <v>0</v>
      </c>
      <c r="J484" s="52">
        <f t="shared" si="30"/>
        <v>0</v>
      </c>
      <c r="K484" s="80"/>
      <c r="L484" s="82"/>
    </row>
    <row r="485" spans="2:20" s="1" customFormat="1" ht="12.95" customHeight="1" x14ac:dyDescent="0.15">
      <c r="B485" s="16"/>
      <c r="C485" s="17"/>
      <c r="D485" s="24"/>
      <c r="E485" s="18"/>
      <c r="F485" s="129"/>
      <c r="G485" s="20"/>
      <c r="H485" s="20"/>
      <c r="I485" s="129"/>
      <c r="J485" s="52"/>
      <c r="K485" s="80"/>
      <c r="L485" s="82"/>
    </row>
    <row r="486" spans="2:20" s="1" customFormat="1" ht="12.95" customHeight="1" x14ac:dyDescent="0.15">
      <c r="B486" s="16"/>
      <c r="C486" s="17"/>
      <c r="D486" s="24"/>
      <c r="E486" s="18"/>
      <c r="F486" s="129"/>
      <c r="G486" s="20"/>
      <c r="H486" s="20"/>
      <c r="I486" s="129"/>
      <c r="J486" s="52"/>
      <c r="K486" s="80"/>
      <c r="L486" s="82"/>
    </row>
    <row r="487" spans="2:20" s="1" customFormat="1" ht="12.95" customHeight="1" x14ac:dyDescent="0.15">
      <c r="B487" s="16"/>
      <c r="C487" s="22" t="s">
        <v>153</v>
      </c>
      <c r="D487" s="24"/>
      <c r="E487" s="18"/>
      <c r="F487" s="129"/>
      <c r="G487" s="20"/>
      <c r="H487" s="20"/>
      <c r="I487" s="129"/>
      <c r="J487" s="52"/>
      <c r="K487" s="80"/>
      <c r="L487" s="82"/>
    </row>
    <row r="488" spans="2:20" s="1" customFormat="1" ht="12.95" customHeight="1" x14ac:dyDescent="0.15">
      <c r="B488" s="16">
        <v>1</v>
      </c>
      <c r="C488" s="17"/>
      <c r="D488" s="24"/>
      <c r="E488" s="24"/>
      <c r="F488" s="129"/>
      <c r="G488" s="20"/>
      <c r="H488" s="20">
        <v>1</v>
      </c>
      <c r="I488" s="129">
        <f t="shared" si="29"/>
        <v>0</v>
      </c>
      <c r="J488" s="52">
        <f t="shared" si="30"/>
        <v>0</v>
      </c>
      <c r="K488" s="80"/>
      <c r="L488" s="82"/>
    </row>
    <row r="489" spans="2:20" s="1" customFormat="1" ht="12.95" customHeight="1" x14ac:dyDescent="0.15">
      <c r="B489" s="16">
        <v>2</v>
      </c>
      <c r="C489" s="17"/>
      <c r="D489" s="24"/>
      <c r="E489" s="24"/>
      <c r="F489" s="129"/>
      <c r="G489" s="20"/>
      <c r="H489" s="20">
        <v>1</v>
      </c>
      <c r="I489" s="129">
        <f t="shared" si="29"/>
        <v>0</v>
      </c>
      <c r="J489" s="52">
        <f>(F489*G489*H489)/$C$32</f>
        <v>0</v>
      </c>
      <c r="K489" s="80"/>
      <c r="L489" s="82"/>
    </row>
    <row r="490" spans="2:20" s="1" customFormat="1" ht="12.95" customHeight="1" x14ac:dyDescent="0.15">
      <c r="B490" s="16">
        <v>3</v>
      </c>
      <c r="C490" s="24"/>
      <c r="D490" s="24"/>
      <c r="E490" s="24"/>
      <c r="F490" s="129"/>
      <c r="G490" s="20"/>
      <c r="H490" s="20">
        <v>1</v>
      </c>
      <c r="I490" s="129">
        <f t="shared" si="29"/>
        <v>0</v>
      </c>
      <c r="J490" s="52">
        <f>(F490*G490*H490)/$C$32</f>
        <v>0</v>
      </c>
      <c r="K490" s="80"/>
      <c r="L490" s="82"/>
    </row>
    <row r="491" spans="2:20" s="1" customFormat="1" ht="12.95" customHeight="1" x14ac:dyDescent="0.15">
      <c r="B491" s="16">
        <v>4</v>
      </c>
      <c r="C491" s="24"/>
      <c r="D491" s="18"/>
      <c r="E491" s="18"/>
      <c r="F491" s="129"/>
      <c r="G491" s="20"/>
      <c r="H491" s="20">
        <v>1</v>
      </c>
      <c r="I491" s="129">
        <f t="shared" si="29"/>
        <v>0</v>
      </c>
      <c r="J491" s="52">
        <f t="shared" ref="J491:J517" si="31">(F491*G491*H491)/$C$32</f>
        <v>0</v>
      </c>
      <c r="K491" s="80"/>
      <c r="L491" s="82"/>
      <c r="M491" s="10"/>
      <c r="N491" s="10"/>
      <c r="O491" s="10"/>
      <c r="P491" s="10"/>
      <c r="Q491" s="43"/>
      <c r="R491" s="10"/>
      <c r="T491" s="10"/>
    </row>
    <row r="492" spans="2:20" s="1" customFormat="1" ht="12.95" customHeight="1" x14ac:dyDescent="0.15">
      <c r="B492" s="16">
        <v>5</v>
      </c>
      <c r="C492" s="24"/>
      <c r="D492" s="24"/>
      <c r="E492" s="24"/>
      <c r="F492" s="129"/>
      <c r="G492" s="20"/>
      <c r="H492" s="20">
        <v>1</v>
      </c>
      <c r="I492" s="129">
        <f t="shared" si="29"/>
        <v>0</v>
      </c>
      <c r="J492" s="52">
        <f t="shared" si="31"/>
        <v>0</v>
      </c>
      <c r="K492" s="80"/>
      <c r="L492" s="82"/>
      <c r="M492" s="39"/>
      <c r="N492" s="40"/>
      <c r="O492" s="40"/>
    </row>
    <row r="493" spans="2:20" s="1" customFormat="1" ht="12.95" customHeight="1" x14ac:dyDescent="0.15">
      <c r="B493" s="16">
        <v>6</v>
      </c>
      <c r="C493" s="17"/>
      <c r="D493" s="18"/>
      <c r="E493" s="18"/>
      <c r="F493" s="129"/>
      <c r="G493" s="20"/>
      <c r="H493" s="20">
        <v>1</v>
      </c>
      <c r="I493" s="129">
        <f>J493*$C$32</f>
        <v>0</v>
      </c>
      <c r="J493" s="52">
        <f t="shared" si="31"/>
        <v>0</v>
      </c>
      <c r="K493" s="80"/>
      <c r="L493" s="82"/>
      <c r="N493" s="10"/>
      <c r="O493" s="10"/>
      <c r="P493" s="10"/>
      <c r="Q493" s="43"/>
      <c r="R493" s="10"/>
      <c r="T493" s="10"/>
    </row>
    <row r="494" spans="2:20" s="1" customFormat="1" ht="12.95" customHeight="1" x14ac:dyDescent="0.15">
      <c r="B494" s="16">
        <v>7</v>
      </c>
      <c r="C494" s="17"/>
      <c r="D494" s="24"/>
      <c r="E494" s="24"/>
      <c r="F494" s="129"/>
      <c r="G494" s="20"/>
      <c r="H494" s="20">
        <v>1</v>
      </c>
      <c r="I494" s="129">
        <f t="shared" si="29"/>
        <v>0</v>
      </c>
      <c r="J494" s="54">
        <f>(F494*G494*H494)/$C$32</f>
        <v>0</v>
      </c>
      <c r="K494" s="80"/>
      <c r="L494" s="82"/>
    </row>
    <row r="495" spans="2:20" s="1" customFormat="1" ht="12.95" customHeight="1" x14ac:dyDescent="0.15">
      <c r="B495" s="16">
        <v>8</v>
      </c>
      <c r="C495" s="17"/>
      <c r="D495" s="24"/>
      <c r="E495" s="24"/>
      <c r="F495" s="129"/>
      <c r="G495" s="20"/>
      <c r="H495" s="20">
        <v>1</v>
      </c>
      <c r="I495" s="129">
        <f>J495*$C$32</f>
        <v>0</v>
      </c>
      <c r="J495" s="54">
        <f>(F495*G495*H495)/$C$32</f>
        <v>0</v>
      </c>
      <c r="K495" s="80"/>
      <c r="L495" s="82"/>
    </row>
    <row r="496" spans="2:20" s="1" customFormat="1" ht="12.95" customHeight="1" x14ac:dyDescent="0.15">
      <c r="B496" s="16">
        <v>9</v>
      </c>
      <c r="C496" s="17"/>
      <c r="D496" s="24"/>
      <c r="E496" s="24"/>
      <c r="F496" s="129"/>
      <c r="G496" s="20"/>
      <c r="H496" s="20">
        <v>1</v>
      </c>
      <c r="I496" s="129">
        <f t="shared" si="29"/>
        <v>0</v>
      </c>
      <c r="J496" s="52">
        <f t="shared" si="31"/>
        <v>0</v>
      </c>
      <c r="K496" s="80"/>
      <c r="L496" s="82"/>
    </row>
    <row r="497" spans="2:20" s="1" customFormat="1" ht="12.95" customHeight="1" x14ac:dyDescent="0.15">
      <c r="B497" s="16">
        <v>10</v>
      </c>
      <c r="C497" s="17"/>
      <c r="D497" s="24"/>
      <c r="E497" s="24"/>
      <c r="F497" s="129"/>
      <c r="G497" s="20"/>
      <c r="H497" s="20">
        <v>1</v>
      </c>
      <c r="I497" s="129">
        <f t="shared" si="29"/>
        <v>0</v>
      </c>
      <c r="J497" s="52">
        <f t="shared" si="31"/>
        <v>0</v>
      </c>
      <c r="K497" s="80"/>
      <c r="L497" s="82"/>
    </row>
    <row r="498" spans="2:20" s="1" customFormat="1" ht="12" customHeight="1" x14ac:dyDescent="0.15">
      <c r="B498" s="16">
        <v>11</v>
      </c>
      <c r="C498" s="17"/>
      <c r="D498" s="24"/>
      <c r="E498" s="24"/>
      <c r="F498" s="129"/>
      <c r="G498" s="20"/>
      <c r="H498" s="20">
        <v>1</v>
      </c>
      <c r="I498" s="129">
        <f t="shared" si="29"/>
        <v>0</v>
      </c>
      <c r="J498" s="52">
        <f t="shared" si="31"/>
        <v>0</v>
      </c>
      <c r="K498" s="80"/>
      <c r="L498" s="82"/>
    </row>
    <row r="499" spans="2:20" s="1" customFormat="1" ht="12.95" customHeight="1" x14ac:dyDescent="0.15">
      <c r="B499" s="16">
        <v>12</v>
      </c>
      <c r="C499" s="17"/>
      <c r="D499" s="24"/>
      <c r="E499" s="24"/>
      <c r="F499" s="129"/>
      <c r="G499" s="20"/>
      <c r="H499" s="20">
        <v>1</v>
      </c>
      <c r="I499" s="129">
        <f t="shared" si="29"/>
        <v>0</v>
      </c>
      <c r="J499" s="52">
        <f t="shared" si="31"/>
        <v>0</v>
      </c>
      <c r="K499" s="80"/>
      <c r="L499" s="82"/>
    </row>
    <row r="500" spans="2:20" s="1" customFormat="1" ht="12.95" customHeight="1" x14ac:dyDescent="0.15">
      <c r="B500" s="16">
        <v>13</v>
      </c>
      <c r="C500" s="17"/>
      <c r="D500" s="18"/>
      <c r="E500" s="18"/>
      <c r="F500" s="129"/>
      <c r="G500" s="20"/>
      <c r="H500" s="20">
        <v>1</v>
      </c>
      <c r="I500" s="129">
        <f t="shared" si="29"/>
        <v>0</v>
      </c>
      <c r="J500" s="52">
        <f t="shared" si="31"/>
        <v>0</v>
      </c>
      <c r="K500" s="80"/>
      <c r="L500" s="82"/>
      <c r="M500" s="10"/>
      <c r="N500" s="10"/>
      <c r="O500" s="10"/>
      <c r="P500" s="10"/>
      <c r="Q500" s="43"/>
      <c r="R500" s="10"/>
      <c r="T500" s="10"/>
    </row>
    <row r="501" spans="2:20" s="1" customFormat="1" ht="12.95" customHeight="1" x14ac:dyDescent="0.15">
      <c r="B501" s="16">
        <v>14</v>
      </c>
      <c r="C501" s="17"/>
      <c r="D501" s="18"/>
      <c r="E501" s="18"/>
      <c r="F501" s="129"/>
      <c r="G501" s="20"/>
      <c r="H501" s="20">
        <v>1</v>
      </c>
      <c r="I501" s="129">
        <f t="shared" si="29"/>
        <v>0</v>
      </c>
      <c r="J501" s="52">
        <f t="shared" si="31"/>
        <v>0</v>
      </c>
      <c r="K501" s="80"/>
      <c r="L501" s="82"/>
      <c r="M501" s="10"/>
      <c r="N501" s="10"/>
      <c r="O501" s="10"/>
      <c r="P501" s="10"/>
      <c r="Q501" s="43"/>
      <c r="R501" s="10"/>
      <c r="T501" s="10"/>
    </row>
    <row r="502" spans="2:20" s="1" customFormat="1" ht="12.95" customHeight="1" x14ac:dyDescent="0.15">
      <c r="B502" s="16">
        <v>15</v>
      </c>
      <c r="C502" s="17"/>
      <c r="D502" s="18"/>
      <c r="E502" s="18"/>
      <c r="F502" s="129"/>
      <c r="G502" s="20"/>
      <c r="H502" s="20">
        <v>1</v>
      </c>
      <c r="I502" s="129">
        <f t="shared" si="29"/>
        <v>0</v>
      </c>
      <c r="J502" s="52">
        <f t="shared" si="31"/>
        <v>0</v>
      </c>
      <c r="K502" s="80"/>
      <c r="L502" s="82"/>
      <c r="M502" s="10"/>
      <c r="N502" s="10"/>
      <c r="O502" s="10"/>
      <c r="P502" s="10"/>
      <c r="Q502" s="43"/>
      <c r="R502" s="10"/>
      <c r="T502" s="10"/>
    </row>
    <row r="503" spans="2:20" s="1" customFormat="1" ht="12.95" customHeight="1" x14ac:dyDescent="0.15">
      <c r="B503" s="16">
        <v>16</v>
      </c>
      <c r="C503" s="17"/>
      <c r="D503" s="18"/>
      <c r="E503" s="18"/>
      <c r="F503" s="129"/>
      <c r="G503" s="20"/>
      <c r="H503" s="20">
        <v>1</v>
      </c>
      <c r="I503" s="129">
        <f t="shared" si="29"/>
        <v>0</v>
      </c>
      <c r="J503" s="52">
        <f t="shared" si="31"/>
        <v>0</v>
      </c>
      <c r="K503" s="80"/>
      <c r="L503" s="82"/>
      <c r="M503" s="10"/>
      <c r="N503" s="10"/>
      <c r="O503" s="10"/>
      <c r="P503" s="10"/>
      <c r="Q503" s="43"/>
      <c r="R503" s="10"/>
      <c r="T503" s="10"/>
    </row>
    <row r="504" spans="2:20" s="1" customFormat="1" ht="12.95" customHeight="1" x14ac:dyDescent="0.15">
      <c r="B504" s="16">
        <v>17</v>
      </c>
      <c r="C504" s="17"/>
      <c r="D504" s="18"/>
      <c r="E504" s="18"/>
      <c r="F504" s="129"/>
      <c r="G504" s="20"/>
      <c r="H504" s="20">
        <v>1</v>
      </c>
      <c r="I504" s="129">
        <f t="shared" si="29"/>
        <v>0</v>
      </c>
      <c r="J504" s="52">
        <f t="shared" si="31"/>
        <v>0</v>
      </c>
      <c r="K504" s="80"/>
      <c r="L504" s="82"/>
      <c r="M504" s="10"/>
      <c r="N504" s="10"/>
      <c r="O504" s="10"/>
      <c r="P504" s="10"/>
      <c r="Q504" s="43"/>
      <c r="R504" s="10"/>
      <c r="T504" s="10"/>
    </row>
    <row r="505" spans="2:20" s="1" customFormat="1" ht="12.95" customHeight="1" x14ac:dyDescent="0.15">
      <c r="B505" s="16">
        <v>18</v>
      </c>
      <c r="C505" s="17"/>
      <c r="D505" s="18"/>
      <c r="E505" s="18"/>
      <c r="F505" s="129"/>
      <c r="G505" s="20"/>
      <c r="H505" s="20">
        <v>1</v>
      </c>
      <c r="I505" s="129">
        <f t="shared" si="29"/>
        <v>0</v>
      </c>
      <c r="J505" s="52">
        <f t="shared" si="31"/>
        <v>0</v>
      </c>
      <c r="K505" s="80"/>
      <c r="L505" s="82"/>
      <c r="M505" s="10"/>
      <c r="N505" s="10"/>
      <c r="O505" s="10"/>
      <c r="P505" s="10"/>
      <c r="Q505" s="43"/>
      <c r="R505" s="10"/>
      <c r="T505" s="10"/>
    </row>
    <row r="506" spans="2:20" s="1" customFormat="1" ht="12.95" customHeight="1" x14ac:dyDescent="0.15">
      <c r="B506" s="16">
        <v>19</v>
      </c>
      <c r="C506" s="17"/>
      <c r="D506" s="18"/>
      <c r="E506" s="18"/>
      <c r="F506" s="129"/>
      <c r="G506" s="20"/>
      <c r="H506" s="20">
        <v>1</v>
      </c>
      <c r="I506" s="129">
        <f t="shared" si="29"/>
        <v>0</v>
      </c>
      <c r="J506" s="52">
        <f t="shared" si="31"/>
        <v>0</v>
      </c>
      <c r="K506" s="80"/>
      <c r="L506" s="82"/>
      <c r="M506" s="10"/>
      <c r="N506" s="10"/>
      <c r="O506" s="10"/>
      <c r="P506" s="10"/>
      <c r="Q506" s="43"/>
      <c r="R506" s="10"/>
      <c r="T506" s="10"/>
    </row>
    <row r="507" spans="2:20" s="1" customFormat="1" ht="12.95" customHeight="1" x14ac:dyDescent="0.15">
      <c r="B507" s="16">
        <v>20</v>
      </c>
      <c r="C507" s="17"/>
      <c r="D507" s="18"/>
      <c r="E507" s="18"/>
      <c r="F507" s="129"/>
      <c r="G507" s="20"/>
      <c r="H507" s="20">
        <v>1</v>
      </c>
      <c r="I507" s="129">
        <f t="shared" si="29"/>
        <v>0</v>
      </c>
      <c r="J507" s="52">
        <f t="shared" si="31"/>
        <v>0</v>
      </c>
      <c r="K507" s="80"/>
      <c r="L507" s="82"/>
      <c r="M507" s="10"/>
      <c r="N507" s="10"/>
      <c r="O507" s="10"/>
      <c r="P507" s="10"/>
      <c r="Q507" s="43"/>
      <c r="R507" s="10"/>
      <c r="T507" s="10"/>
    </row>
    <row r="508" spans="2:20" s="1" customFormat="1" ht="12.95" customHeight="1" x14ac:dyDescent="0.15">
      <c r="B508" s="16"/>
      <c r="C508" s="17"/>
      <c r="D508" s="18"/>
      <c r="E508" s="18"/>
      <c r="F508" s="129"/>
      <c r="G508" s="20"/>
      <c r="H508" s="20"/>
      <c r="I508" s="129"/>
      <c r="J508" s="52"/>
      <c r="K508" s="80"/>
      <c r="L508" s="82"/>
      <c r="M508" s="10"/>
      <c r="N508" s="10"/>
      <c r="O508" s="10"/>
      <c r="P508" s="10"/>
      <c r="Q508" s="43"/>
      <c r="R508" s="10"/>
      <c r="T508" s="10"/>
    </row>
    <row r="509" spans="2:20" s="1" customFormat="1" ht="12.95" customHeight="1" x14ac:dyDescent="0.15">
      <c r="B509" s="16"/>
      <c r="C509" s="17"/>
      <c r="D509" s="18"/>
      <c r="E509" s="18"/>
      <c r="F509" s="129"/>
      <c r="G509" s="20"/>
      <c r="H509" s="20"/>
      <c r="I509" s="129"/>
      <c r="J509" s="52"/>
      <c r="K509" s="80"/>
      <c r="L509" s="82"/>
      <c r="M509" s="10"/>
      <c r="N509" s="10"/>
      <c r="O509" s="10"/>
      <c r="P509" s="10"/>
      <c r="Q509" s="43"/>
      <c r="R509" s="10"/>
      <c r="T509" s="10"/>
    </row>
    <row r="510" spans="2:20" s="1" customFormat="1" ht="12.95" customHeight="1" x14ac:dyDescent="0.15">
      <c r="B510" s="16"/>
      <c r="C510" s="73" t="s">
        <v>132</v>
      </c>
      <c r="D510" s="18"/>
      <c r="E510" s="18"/>
      <c r="F510" s="129"/>
      <c r="G510" s="55"/>
      <c r="H510" s="20"/>
      <c r="I510" s="129"/>
      <c r="J510" s="52"/>
      <c r="K510" s="80"/>
      <c r="L510" s="82"/>
      <c r="N510" s="10"/>
      <c r="O510" s="10"/>
      <c r="P510" s="10"/>
      <c r="Q510" s="43"/>
      <c r="R510" s="10"/>
      <c r="T510" s="10"/>
    </row>
    <row r="511" spans="2:20" s="1" customFormat="1" ht="12.95" customHeight="1" x14ac:dyDescent="0.15">
      <c r="B511" s="16">
        <v>1</v>
      </c>
      <c r="C511" s="45"/>
      <c r="D511" s="18"/>
      <c r="E511" s="18"/>
      <c r="F511" s="129"/>
      <c r="G511" s="20"/>
      <c r="H511" s="20">
        <v>1</v>
      </c>
      <c r="I511" s="129">
        <f>J511*$C$32</f>
        <v>0</v>
      </c>
      <c r="J511" s="52">
        <f t="shared" si="31"/>
        <v>0</v>
      </c>
      <c r="K511" s="80"/>
      <c r="L511" s="82"/>
      <c r="N511" s="10"/>
      <c r="O511" s="10"/>
      <c r="P511" s="10"/>
      <c r="Q511" s="43"/>
      <c r="R511" s="10"/>
      <c r="T511" s="10"/>
    </row>
    <row r="512" spans="2:20" s="1" customFormat="1" ht="12.95" customHeight="1" x14ac:dyDescent="0.15">
      <c r="B512" s="16">
        <v>2</v>
      </c>
      <c r="C512" s="44"/>
      <c r="D512" s="18"/>
      <c r="E512" s="18"/>
      <c r="F512" s="129"/>
      <c r="G512" s="20"/>
      <c r="H512" s="20">
        <v>1</v>
      </c>
      <c r="I512" s="129">
        <f>J512*$C$32</f>
        <v>0</v>
      </c>
      <c r="J512" s="52">
        <f t="shared" si="31"/>
        <v>0</v>
      </c>
      <c r="K512" s="80"/>
      <c r="L512" s="82"/>
      <c r="N512" s="10"/>
      <c r="O512" s="10"/>
      <c r="P512" s="10"/>
      <c r="Q512" s="43"/>
      <c r="R512" s="10"/>
      <c r="T512" s="10"/>
    </row>
    <row r="513" spans="2:20" s="1" customFormat="1" ht="12.95" customHeight="1" x14ac:dyDescent="0.15">
      <c r="B513" s="16">
        <v>3</v>
      </c>
      <c r="C513" s="11"/>
      <c r="D513" s="18"/>
      <c r="E513" s="18"/>
      <c r="F513" s="129"/>
      <c r="G513" s="20"/>
      <c r="H513" s="20">
        <v>1</v>
      </c>
      <c r="I513" s="129">
        <f t="shared" ref="I513:I530" si="32">J513*$C$32</f>
        <v>0</v>
      </c>
      <c r="J513" s="52">
        <f t="shared" si="31"/>
        <v>0</v>
      </c>
      <c r="K513" s="80"/>
      <c r="L513" s="82"/>
      <c r="N513" s="10"/>
      <c r="O513" s="10"/>
      <c r="P513" s="10"/>
      <c r="Q513" s="43"/>
      <c r="R513" s="10"/>
      <c r="T513" s="10"/>
    </row>
    <row r="514" spans="2:20" s="1" customFormat="1" ht="12.95" customHeight="1" x14ac:dyDescent="0.2">
      <c r="B514" s="16">
        <v>4</v>
      </c>
      <c r="C514" s="56"/>
      <c r="D514" s="17"/>
      <c r="E514" s="17"/>
      <c r="F514" s="129"/>
      <c r="G514" s="20"/>
      <c r="H514" s="20">
        <v>1</v>
      </c>
      <c r="I514" s="129">
        <f t="shared" si="32"/>
        <v>0</v>
      </c>
      <c r="J514" s="52">
        <f t="shared" si="31"/>
        <v>0</v>
      </c>
      <c r="K514" s="80"/>
      <c r="L514" s="82"/>
      <c r="M514" s="10"/>
      <c r="N514" s="10"/>
      <c r="O514" s="10"/>
      <c r="P514" s="10"/>
      <c r="Q514" s="43"/>
      <c r="R514" s="10"/>
      <c r="T514" s="10"/>
    </row>
    <row r="515" spans="2:20" s="1" customFormat="1" ht="12.95" customHeight="1" x14ac:dyDescent="0.15">
      <c r="B515" s="16">
        <v>5</v>
      </c>
      <c r="C515" s="17"/>
      <c r="D515" s="17"/>
      <c r="E515" s="17"/>
      <c r="F515" s="129"/>
      <c r="G515" s="20"/>
      <c r="H515" s="20">
        <v>1</v>
      </c>
      <c r="I515" s="129">
        <f t="shared" si="32"/>
        <v>0</v>
      </c>
      <c r="J515" s="52">
        <f t="shared" si="31"/>
        <v>0</v>
      </c>
      <c r="K515" s="80"/>
      <c r="L515" s="82"/>
      <c r="M515" s="10"/>
      <c r="N515" s="10"/>
      <c r="O515" s="10"/>
      <c r="P515" s="10"/>
      <c r="Q515" s="43"/>
      <c r="R515" s="10"/>
      <c r="T515" s="10"/>
    </row>
    <row r="516" spans="2:20" s="1" customFormat="1" ht="12.95" customHeight="1" x14ac:dyDescent="0.15">
      <c r="B516" s="16">
        <v>6</v>
      </c>
      <c r="C516" s="17"/>
      <c r="D516" s="17"/>
      <c r="E516" s="17"/>
      <c r="F516" s="129"/>
      <c r="G516" s="20"/>
      <c r="H516" s="20">
        <v>1</v>
      </c>
      <c r="I516" s="129">
        <f t="shared" si="32"/>
        <v>0</v>
      </c>
      <c r="J516" s="52">
        <f t="shared" si="31"/>
        <v>0</v>
      </c>
      <c r="K516" s="80"/>
      <c r="L516" s="82"/>
      <c r="M516" s="10"/>
      <c r="N516" s="10"/>
      <c r="O516" s="10"/>
      <c r="P516" s="10"/>
      <c r="Q516" s="43"/>
      <c r="R516" s="10"/>
      <c r="T516" s="10"/>
    </row>
    <row r="517" spans="2:20" s="1" customFormat="1" ht="12.95" customHeight="1" x14ac:dyDescent="0.15">
      <c r="B517" s="16">
        <v>7</v>
      </c>
      <c r="C517" s="17"/>
      <c r="D517" s="17"/>
      <c r="E517" s="17"/>
      <c r="F517" s="129"/>
      <c r="G517" s="20"/>
      <c r="H517" s="20">
        <v>1</v>
      </c>
      <c r="I517" s="129">
        <f t="shared" si="32"/>
        <v>0</v>
      </c>
      <c r="J517" s="52">
        <f t="shared" si="31"/>
        <v>0</v>
      </c>
      <c r="K517" s="80"/>
      <c r="L517" s="82"/>
      <c r="M517" s="10"/>
      <c r="N517" s="10"/>
      <c r="O517" s="10"/>
      <c r="P517" s="10"/>
      <c r="Q517" s="43"/>
      <c r="R517" s="10"/>
      <c r="T517" s="10"/>
    </row>
    <row r="518" spans="2:20" s="1" customFormat="1" ht="12.95" customHeight="1" x14ac:dyDescent="0.15">
      <c r="B518" s="16">
        <v>8</v>
      </c>
      <c r="C518" s="17"/>
      <c r="D518" s="17"/>
      <c r="E518" s="17"/>
      <c r="F518" s="129"/>
      <c r="G518" s="20"/>
      <c r="H518" s="20">
        <v>1</v>
      </c>
      <c r="I518" s="129">
        <f t="shared" si="32"/>
        <v>0</v>
      </c>
      <c r="J518" s="52">
        <f>(F518*G518*H518)/$C$32</f>
        <v>0</v>
      </c>
      <c r="K518" s="80"/>
      <c r="L518" s="82"/>
    </row>
    <row r="519" spans="2:20" s="1" customFormat="1" ht="12.95" customHeight="1" x14ac:dyDescent="0.15">
      <c r="B519" s="16">
        <v>9</v>
      </c>
      <c r="C519" s="17"/>
      <c r="D519" s="17"/>
      <c r="E519" s="17"/>
      <c r="F519" s="129"/>
      <c r="G519" s="20"/>
      <c r="H519" s="20">
        <v>1</v>
      </c>
      <c r="I519" s="129">
        <f t="shared" si="32"/>
        <v>0</v>
      </c>
      <c r="J519" s="52">
        <f>(F519*G519*H519)/$C$32</f>
        <v>0</v>
      </c>
      <c r="K519" s="80"/>
      <c r="L519" s="82"/>
    </row>
    <row r="520" spans="2:20" s="1" customFormat="1" ht="12.95" customHeight="1" x14ac:dyDescent="0.15">
      <c r="B520" s="16">
        <v>10</v>
      </c>
      <c r="C520" s="17"/>
      <c r="D520" s="17"/>
      <c r="E520" s="17"/>
      <c r="F520" s="129"/>
      <c r="G520" s="20"/>
      <c r="H520" s="20">
        <v>1</v>
      </c>
      <c r="I520" s="129">
        <f t="shared" si="32"/>
        <v>0</v>
      </c>
      <c r="J520" s="52">
        <f t="shared" ref="J520:J530" si="33">(F520*G520*H520)/$C$32</f>
        <v>0</v>
      </c>
      <c r="K520" s="80"/>
      <c r="L520" s="82"/>
      <c r="M520" s="10"/>
      <c r="N520" s="10"/>
      <c r="O520" s="10"/>
      <c r="P520" s="10"/>
      <c r="Q520" s="43"/>
      <c r="R520" s="10"/>
      <c r="T520" s="10"/>
    </row>
    <row r="521" spans="2:20" s="1" customFormat="1" ht="12.95" customHeight="1" x14ac:dyDescent="0.15">
      <c r="B521" s="16">
        <v>11</v>
      </c>
      <c r="C521" s="17"/>
      <c r="D521" s="17"/>
      <c r="E521" s="17"/>
      <c r="F521" s="129"/>
      <c r="G521" s="20"/>
      <c r="H521" s="20">
        <v>1</v>
      </c>
      <c r="I521" s="129">
        <f t="shared" si="32"/>
        <v>0</v>
      </c>
      <c r="J521" s="52">
        <f t="shared" si="33"/>
        <v>0</v>
      </c>
      <c r="K521" s="80"/>
      <c r="L521" s="82"/>
      <c r="M521" s="10"/>
      <c r="N521" s="10"/>
      <c r="O521" s="10"/>
      <c r="P521" s="10"/>
      <c r="Q521" s="43"/>
      <c r="R521" s="10"/>
      <c r="T521" s="10"/>
    </row>
    <row r="522" spans="2:20" s="1" customFormat="1" ht="12.95" customHeight="1" x14ac:dyDescent="0.15">
      <c r="B522" s="16">
        <v>12</v>
      </c>
      <c r="C522" s="17"/>
      <c r="D522" s="17"/>
      <c r="E522" s="17"/>
      <c r="F522" s="129"/>
      <c r="G522" s="20"/>
      <c r="H522" s="20">
        <v>1</v>
      </c>
      <c r="I522" s="129">
        <f t="shared" si="32"/>
        <v>0</v>
      </c>
      <c r="J522" s="52">
        <f t="shared" si="33"/>
        <v>0</v>
      </c>
      <c r="K522" s="80"/>
      <c r="L522" s="82"/>
      <c r="M522" s="10"/>
      <c r="N522" s="10"/>
      <c r="O522" s="10"/>
      <c r="P522" s="10"/>
      <c r="Q522" s="43"/>
      <c r="R522" s="10"/>
      <c r="T522" s="10"/>
    </row>
    <row r="523" spans="2:20" s="1" customFormat="1" ht="12.95" customHeight="1" x14ac:dyDescent="0.15">
      <c r="B523" s="16">
        <v>13</v>
      </c>
      <c r="C523" s="17"/>
      <c r="D523" s="17"/>
      <c r="E523" s="17"/>
      <c r="F523" s="129"/>
      <c r="G523" s="20"/>
      <c r="H523" s="20">
        <v>1</v>
      </c>
      <c r="I523" s="129">
        <f t="shared" si="32"/>
        <v>0</v>
      </c>
      <c r="J523" s="52">
        <f t="shared" si="33"/>
        <v>0</v>
      </c>
      <c r="K523" s="80"/>
      <c r="L523" s="82"/>
      <c r="M523" s="10"/>
      <c r="N523" s="10"/>
      <c r="O523" s="10"/>
      <c r="P523" s="10"/>
      <c r="Q523" s="43"/>
      <c r="R523" s="10"/>
      <c r="T523" s="10"/>
    </row>
    <row r="524" spans="2:20" s="1" customFormat="1" ht="12.95" customHeight="1" x14ac:dyDescent="0.15">
      <c r="B524" s="16">
        <v>14</v>
      </c>
      <c r="C524" s="17"/>
      <c r="D524" s="17"/>
      <c r="E524" s="17"/>
      <c r="F524" s="129"/>
      <c r="G524" s="20"/>
      <c r="H524" s="20">
        <v>1</v>
      </c>
      <c r="I524" s="129">
        <f t="shared" si="32"/>
        <v>0</v>
      </c>
      <c r="J524" s="52">
        <f t="shared" si="33"/>
        <v>0</v>
      </c>
      <c r="K524" s="80"/>
      <c r="L524" s="82"/>
      <c r="M524" s="10"/>
      <c r="N524" s="10"/>
      <c r="O524" s="10"/>
      <c r="P524" s="10"/>
      <c r="Q524" s="43"/>
      <c r="R524" s="10"/>
      <c r="T524" s="10"/>
    </row>
    <row r="525" spans="2:20" s="1" customFormat="1" ht="12.95" customHeight="1" x14ac:dyDescent="0.15">
      <c r="B525" s="16">
        <v>15</v>
      </c>
      <c r="C525" s="17"/>
      <c r="D525" s="17"/>
      <c r="E525" s="17"/>
      <c r="F525" s="129"/>
      <c r="G525" s="20"/>
      <c r="H525" s="20">
        <v>1</v>
      </c>
      <c r="I525" s="129">
        <f t="shared" si="32"/>
        <v>0</v>
      </c>
      <c r="J525" s="52">
        <f t="shared" si="33"/>
        <v>0</v>
      </c>
      <c r="K525" s="80"/>
      <c r="L525" s="82"/>
      <c r="M525" s="10"/>
      <c r="N525" s="10"/>
      <c r="O525" s="10"/>
      <c r="P525" s="10"/>
      <c r="Q525" s="43"/>
      <c r="R525" s="10"/>
      <c r="T525" s="10"/>
    </row>
    <row r="526" spans="2:20" s="1" customFormat="1" ht="12.95" customHeight="1" x14ac:dyDescent="0.15">
      <c r="B526" s="16">
        <v>16</v>
      </c>
      <c r="C526" s="17"/>
      <c r="D526" s="17"/>
      <c r="E526" s="17"/>
      <c r="F526" s="129"/>
      <c r="G526" s="20"/>
      <c r="H526" s="20">
        <v>1</v>
      </c>
      <c r="I526" s="129">
        <f t="shared" si="32"/>
        <v>0</v>
      </c>
      <c r="J526" s="52">
        <f t="shared" si="33"/>
        <v>0</v>
      </c>
      <c r="K526" s="80"/>
      <c r="L526" s="82"/>
      <c r="M526" s="10"/>
      <c r="N526" s="10"/>
      <c r="O526" s="10"/>
      <c r="P526" s="10"/>
      <c r="Q526" s="43"/>
      <c r="R526" s="10"/>
      <c r="T526" s="10"/>
    </row>
    <row r="527" spans="2:20" s="1" customFormat="1" ht="12.95" customHeight="1" x14ac:dyDescent="0.15">
      <c r="B527" s="16">
        <v>17</v>
      </c>
      <c r="C527" s="17"/>
      <c r="D527" s="17"/>
      <c r="E527" s="17"/>
      <c r="F527" s="129"/>
      <c r="G527" s="20"/>
      <c r="H527" s="20">
        <v>1</v>
      </c>
      <c r="I527" s="129">
        <f t="shared" si="32"/>
        <v>0</v>
      </c>
      <c r="J527" s="52">
        <f t="shared" si="33"/>
        <v>0</v>
      </c>
      <c r="K527" s="80"/>
      <c r="L527" s="82"/>
      <c r="M527" s="10"/>
      <c r="N527" s="10"/>
      <c r="O527" s="10"/>
      <c r="P527" s="10"/>
      <c r="Q527" s="43"/>
      <c r="R527" s="10"/>
      <c r="T527" s="10"/>
    </row>
    <row r="528" spans="2:20" s="1" customFormat="1" ht="12.95" customHeight="1" x14ac:dyDescent="0.15">
      <c r="B528" s="16">
        <v>18</v>
      </c>
      <c r="C528" s="17"/>
      <c r="D528" s="17"/>
      <c r="E528" s="17"/>
      <c r="F528" s="129"/>
      <c r="G528" s="20"/>
      <c r="H528" s="20">
        <v>1</v>
      </c>
      <c r="I528" s="129">
        <f t="shared" si="32"/>
        <v>0</v>
      </c>
      <c r="J528" s="265">
        <f t="shared" si="33"/>
        <v>0</v>
      </c>
      <c r="K528" s="111"/>
      <c r="L528" s="119"/>
      <c r="M528" s="10"/>
      <c r="N528" s="10"/>
      <c r="O528" s="10"/>
      <c r="P528" s="10"/>
      <c r="Q528" s="43"/>
      <c r="R528" s="10"/>
      <c r="T528" s="10"/>
    </row>
    <row r="529" spans="2:20" s="1" customFormat="1" ht="12.95" customHeight="1" x14ac:dyDescent="0.15">
      <c r="B529" s="16">
        <v>19</v>
      </c>
      <c r="C529" s="17"/>
      <c r="D529" s="17"/>
      <c r="E529" s="17"/>
      <c r="F529" s="129"/>
      <c r="G529" s="20"/>
      <c r="H529" s="20">
        <v>1</v>
      </c>
      <c r="I529" s="262">
        <f t="shared" si="32"/>
        <v>0</v>
      </c>
      <c r="J529" s="266">
        <f t="shared" si="33"/>
        <v>0</v>
      </c>
      <c r="K529" s="82"/>
      <c r="L529" s="82"/>
      <c r="M529" s="10"/>
      <c r="N529" s="10"/>
      <c r="O529" s="10"/>
      <c r="P529" s="10"/>
      <c r="Q529" s="43"/>
      <c r="R529" s="10"/>
      <c r="T529" s="10"/>
    </row>
    <row r="530" spans="2:20" s="1" customFormat="1" ht="12.95" customHeight="1" x14ac:dyDescent="0.15">
      <c r="B530" s="16">
        <v>20</v>
      </c>
      <c r="C530" s="17"/>
      <c r="D530" s="17"/>
      <c r="E530" s="17"/>
      <c r="F530" s="129"/>
      <c r="G530" s="20"/>
      <c r="H530" s="20">
        <v>1</v>
      </c>
      <c r="I530" s="262">
        <f t="shared" si="32"/>
        <v>0</v>
      </c>
      <c r="J530" s="266">
        <f t="shared" si="33"/>
        <v>0</v>
      </c>
      <c r="K530" s="82"/>
      <c r="L530" s="82"/>
      <c r="M530" s="10"/>
      <c r="N530" s="10"/>
      <c r="O530" s="10"/>
      <c r="P530" s="10"/>
      <c r="Q530" s="43"/>
      <c r="R530" s="10"/>
      <c r="T530" s="10"/>
    </row>
    <row r="531" spans="2:20" s="1" customFormat="1" ht="12.95" customHeight="1" x14ac:dyDescent="0.15">
      <c r="B531" s="83"/>
      <c r="C531" s="160"/>
      <c r="D531" s="160"/>
      <c r="E531" s="160"/>
      <c r="F531" s="132"/>
      <c r="G531" s="76"/>
      <c r="H531" s="76"/>
      <c r="I531" s="263"/>
      <c r="J531" s="326"/>
      <c r="K531" s="82"/>
      <c r="L531" s="82"/>
      <c r="M531" s="10"/>
      <c r="N531" s="10"/>
      <c r="O531" s="10"/>
      <c r="P531" s="10"/>
      <c r="Q531" s="43"/>
      <c r="R531" s="10"/>
      <c r="T531" s="10"/>
    </row>
    <row r="532" spans="2:20" s="1" customFormat="1" ht="12.75" x14ac:dyDescent="0.15">
      <c r="B532" s="82"/>
      <c r="C532" s="102"/>
      <c r="D532" s="103"/>
      <c r="E532" s="102"/>
      <c r="F532" s="128">
        <f>SUM(F472:F531)</f>
        <v>0</v>
      </c>
      <c r="G532" s="104"/>
      <c r="H532" s="105"/>
      <c r="I532" s="256">
        <f>SUM(I474:I531)</f>
        <v>0</v>
      </c>
      <c r="J532" s="257">
        <f>SUM(J472:J531)</f>
        <v>0</v>
      </c>
    </row>
    <row r="533" spans="2:20" s="67" customFormat="1" ht="12.75" x14ac:dyDescent="0.15">
      <c r="B533" s="116"/>
      <c r="C533" s="114"/>
      <c r="D533" s="114"/>
      <c r="E533" s="114" t="s">
        <v>147</v>
      </c>
      <c r="F533" s="162">
        <f>100/115*F532</f>
        <v>0</v>
      </c>
      <c r="G533" s="114"/>
      <c r="H533" s="114" t="s">
        <v>147</v>
      </c>
      <c r="I533" s="264">
        <f>100/115*I532</f>
        <v>0</v>
      </c>
      <c r="J533" s="114"/>
    </row>
    <row r="534" spans="2:20" s="1" customFormat="1" ht="13.5" customHeight="1" x14ac:dyDescent="0.15"/>
    <row r="535" spans="2:20" s="1" customFormat="1" ht="16.899999999999999" customHeight="1" x14ac:dyDescent="0.15"/>
    <row r="536" spans="2:20" s="1" customFormat="1" ht="13.5" customHeight="1" x14ac:dyDescent="0.15"/>
    <row r="537" spans="2:20" s="1" customFormat="1" ht="13.5" customHeight="1" x14ac:dyDescent="0.15"/>
    <row r="538" spans="2:20" s="247" customFormat="1" ht="32.25" x14ac:dyDescent="0.4">
      <c r="B538" s="248"/>
      <c r="C538" s="380" t="s">
        <v>112</v>
      </c>
      <c r="D538" s="380"/>
      <c r="E538" s="428" t="s">
        <v>162</v>
      </c>
      <c r="F538" s="428"/>
      <c r="G538" s="428"/>
      <c r="H538" s="428"/>
      <c r="I538" s="428"/>
      <c r="J538" s="382">
        <v>2026</v>
      </c>
      <c r="K538" s="382"/>
      <c r="L538" s="382"/>
    </row>
    <row r="539" spans="2:20" s="1" customFormat="1" ht="42" customHeight="1" x14ac:dyDescent="0.15">
      <c r="B539" s="82"/>
      <c r="C539" s="102" t="s">
        <v>114</v>
      </c>
      <c r="D539" s="388" t="s">
        <v>115</v>
      </c>
      <c r="E539" s="388"/>
      <c r="F539" s="102" t="s">
        <v>116</v>
      </c>
      <c r="G539" s="102" t="s">
        <v>117</v>
      </c>
      <c r="H539" s="102" t="s">
        <v>118</v>
      </c>
      <c r="I539" s="102" t="s">
        <v>119</v>
      </c>
      <c r="J539" s="102" t="s">
        <v>120</v>
      </c>
      <c r="K539" s="82"/>
      <c r="L539" s="82"/>
    </row>
    <row r="540" spans="2:20" s="1" customFormat="1" ht="12.95" customHeight="1" x14ac:dyDescent="0.15">
      <c r="B540" s="84"/>
      <c r="C540" s="149">
        <f>C470</f>
        <v>450</v>
      </c>
      <c r="D540" s="412">
        <v>21</v>
      </c>
      <c r="E540" s="412"/>
      <c r="F540" s="146">
        <f>F470</f>
        <v>0.8</v>
      </c>
      <c r="G540" s="147">
        <f>G470</f>
        <v>8</v>
      </c>
      <c r="H540" s="148">
        <f>D540*G540*F540</f>
        <v>134.4</v>
      </c>
      <c r="I540" s="149">
        <f>I602</f>
        <v>0</v>
      </c>
      <c r="J540" s="150">
        <f>H540-J602</f>
        <v>134.4</v>
      </c>
      <c r="K540" s="79"/>
      <c r="L540" s="120"/>
    </row>
    <row r="541" spans="2:20" s="1" customFormat="1" ht="33.75" x14ac:dyDescent="0.15">
      <c r="B541" s="16"/>
      <c r="C541" s="22" t="s">
        <v>121</v>
      </c>
      <c r="D541" s="413" t="s">
        <v>122</v>
      </c>
      <c r="E541" s="413"/>
      <c r="F541" s="33" t="s">
        <v>123</v>
      </c>
      <c r="G541" s="34" t="s">
        <v>124</v>
      </c>
      <c r="H541" s="35" t="s">
        <v>125</v>
      </c>
      <c r="I541" s="125" t="s">
        <v>126</v>
      </c>
      <c r="J541" s="34" t="s">
        <v>127</v>
      </c>
      <c r="K541" s="107" t="s">
        <v>128</v>
      </c>
      <c r="L541" s="123" t="s">
        <v>129</v>
      </c>
    </row>
    <row r="542" spans="2:20" s="1" customFormat="1" ht="12.75" x14ac:dyDescent="0.15">
      <c r="B542" s="16"/>
      <c r="C542" s="22"/>
      <c r="D542" s="32"/>
      <c r="E542" s="32"/>
      <c r="F542" s="33"/>
      <c r="G542" s="34"/>
      <c r="H542" s="35"/>
      <c r="I542" s="125"/>
      <c r="J542" s="34"/>
      <c r="K542" s="110"/>
      <c r="L542" s="117"/>
    </row>
    <row r="543" spans="2:20" s="1" customFormat="1" ht="12.75" x14ac:dyDescent="0.15">
      <c r="B543" s="16"/>
      <c r="C543" s="22" t="s">
        <v>130</v>
      </c>
      <c r="D543" s="32"/>
      <c r="E543" s="32"/>
      <c r="F543" s="151"/>
      <c r="G543" s="34"/>
      <c r="H543" s="35"/>
      <c r="I543" s="125"/>
      <c r="J543" s="327"/>
      <c r="K543" s="110"/>
      <c r="L543" s="117"/>
    </row>
    <row r="544" spans="2:20" s="1" customFormat="1" ht="12.75" customHeight="1" x14ac:dyDescent="0.15">
      <c r="B544" s="16"/>
      <c r="C544" s="37" t="s">
        <v>149</v>
      </c>
      <c r="D544" s="24"/>
      <c r="E544" s="24"/>
      <c r="F544" s="129"/>
      <c r="G544" s="20"/>
      <c r="H544" s="20"/>
      <c r="I544" s="126"/>
      <c r="J544" s="38"/>
      <c r="K544" s="80"/>
      <c r="L544" s="82"/>
    </row>
    <row r="545" spans="2:13" s="4" customFormat="1" ht="12.75" customHeight="1" x14ac:dyDescent="0.15">
      <c r="B545" s="26">
        <v>1</v>
      </c>
      <c r="C545" s="17"/>
      <c r="D545" s="24"/>
      <c r="E545" s="24"/>
      <c r="F545" s="129"/>
      <c r="G545" s="20"/>
      <c r="H545" s="20">
        <v>1</v>
      </c>
      <c r="I545" s="129">
        <f t="shared" ref="I545:I562" si="34">J545*$C$32</f>
        <v>0</v>
      </c>
      <c r="J545" s="52">
        <f t="shared" ref="J545:J558" si="35">(F545*G545*H545)/$C$32</f>
        <v>0</v>
      </c>
      <c r="K545" s="108"/>
      <c r="L545" s="113"/>
    </row>
    <row r="546" spans="2:13" s="4" customFormat="1" ht="12.75" customHeight="1" x14ac:dyDescent="0.15">
      <c r="B546" s="26">
        <v>2</v>
      </c>
      <c r="C546" s="17"/>
      <c r="D546" s="24"/>
      <c r="E546" s="24"/>
      <c r="F546" s="129"/>
      <c r="G546" s="20"/>
      <c r="H546" s="20">
        <v>1</v>
      </c>
      <c r="I546" s="129">
        <f t="shared" si="34"/>
        <v>0</v>
      </c>
      <c r="J546" s="52">
        <f t="shared" si="35"/>
        <v>0</v>
      </c>
      <c r="K546" s="108"/>
      <c r="L546" s="113"/>
      <c r="M546" s="144"/>
    </row>
    <row r="547" spans="2:13" s="4" customFormat="1" ht="12.95" customHeight="1" x14ac:dyDescent="0.15">
      <c r="B547" s="26">
        <v>3</v>
      </c>
      <c r="C547" s="17"/>
      <c r="D547" s="24"/>
      <c r="E547" s="24"/>
      <c r="F547" s="129"/>
      <c r="G547" s="20"/>
      <c r="H547" s="20">
        <v>1</v>
      </c>
      <c r="I547" s="129">
        <f t="shared" si="34"/>
        <v>0</v>
      </c>
      <c r="J547" s="52">
        <f t="shared" si="35"/>
        <v>0</v>
      </c>
      <c r="K547" s="108"/>
      <c r="L547" s="113"/>
      <c r="M547" s="145"/>
    </row>
    <row r="548" spans="2:13" s="4" customFormat="1" ht="12.95" customHeight="1" x14ac:dyDescent="0.15">
      <c r="B548" s="26">
        <v>4</v>
      </c>
      <c r="C548" s="16"/>
      <c r="D548" s="18"/>
      <c r="E548" s="18"/>
      <c r="F548" s="129"/>
      <c r="G548" s="20"/>
      <c r="H548" s="20">
        <v>1</v>
      </c>
      <c r="I548" s="129">
        <f t="shared" si="34"/>
        <v>0</v>
      </c>
      <c r="J548" s="52">
        <f t="shared" si="35"/>
        <v>0</v>
      </c>
      <c r="K548" s="108"/>
      <c r="L548" s="113"/>
    </row>
    <row r="549" spans="2:13" s="4" customFormat="1" ht="12.95" customHeight="1" x14ac:dyDescent="0.15">
      <c r="B549" s="26">
        <v>5</v>
      </c>
      <c r="C549" s="17"/>
      <c r="D549" s="53"/>
      <c r="E549" s="53"/>
      <c r="F549" s="129"/>
      <c r="G549" s="20"/>
      <c r="H549" s="20">
        <v>1</v>
      </c>
      <c r="I549" s="129">
        <f t="shared" si="34"/>
        <v>0</v>
      </c>
      <c r="J549" s="52">
        <f t="shared" si="35"/>
        <v>0</v>
      </c>
      <c r="K549" s="108"/>
      <c r="L549" s="113"/>
    </row>
    <row r="550" spans="2:13" s="4" customFormat="1" ht="12.95" customHeight="1" x14ac:dyDescent="0.15">
      <c r="B550" s="26">
        <v>6</v>
      </c>
      <c r="C550" s="17"/>
      <c r="D550" s="24"/>
      <c r="E550" s="24"/>
      <c r="F550" s="129"/>
      <c r="G550" s="20"/>
      <c r="H550" s="20">
        <v>1</v>
      </c>
      <c r="I550" s="129">
        <f t="shared" si="34"/>
        <v>0</v>
      </c>
      <c r="J550" s="52">
        <f t="shared" si="35"/>
        <v>0</v>
      </c>
      <c r="K550" s="108"/>
      <c r="L550" s="113"/>
    </row>
    <row r="551" spans="2:13" s="4" customFormat="1" ht="12.95" customHeight="1" x14ac:dyDescent="0.15">
      <c r="B551" s="26">
        <v>7</v>
      </c>
      <c r="C551" s="17"/>
      <c r="D551" s="22"/>
      <c r="E551" s="22"/>
      <c r="F551" s="129"/>
      <c r="G551" s="20"/>
      <c r="H551" s="20">
        <v>1</v>
      </c>
      <c r="I551" s="129">
        <f t="shared" si="34"/>
        <v>0</v>
      </c>
      <c r="J551" s="52">
        <f t="shared" si="35"/>
        <v>0</v>
      </c>
      <c r="K551" s="108"/>
      <c r="L551" s="113"/>
    </row>
    <row r="552" spans="2:13" s="4" customFormat="1" ht="12.95" customHeight="1" x14ac:dyDescent="0.15">
      <c r="B552" s="26">
        <v>8</v>
      </c>
      <c r="C552" s="17"/>
      <c r="D552" s="18"/>
      <c r="E552" s="24"/>
      <c r="F552" s="129"/>
      <c r="G552" s="20"/>
      <c r="H552" s="20">
        <v>1</v>
      </c>
      <c r="I552" s="129">
        <f t="shared" si="34"/>
        <v>0</v>
      </c>
      <c r="J552" s="52">
        <f t="shared" si="35"/>
        <v>0</v>
      </c>
      <c r="K552" s="108"/>
      <c r="L552" s="113"/>
    </row>
    <row r="553" spans="2:13" s="4" customFormat="1" ht="12.95" customHeight="1" x14ac:dyDescent="0.15">
      <c r="B553" s="26">
        <v>9</v>
      </c>
      <c r="C553" s="17"/>
      <c r="D553" s="18"/>
      <c r="E553" s="24"/>
      <c r="F553" s="129"/>
      <c r="G553" s="20"/>
      <c r="H553" s="20">
        <v>1</v>
      </c>
      <c r="I553" s="129">
        <f t="shared" si="34"/>
        <v>0</v>
      </c>
      <c r="J553" s="52">
        <f t="shared" si="35"/>
        <v>0</v>
      </c>
      <c r="K553" s="108"/>
      <c r="L553" s="113"/>
    </row>
    <row r="554" spans="2:13" s="4" customFormat="1" ht="12.95" customHeight="1" x14ac:dyDescent="0.15">
      <c r="B554" s="26">
        <v>10</v>
      </c>
      <c r="C554" s="17"/>
      <c r="D554" s="24"/>
      <c r="E554" s="18"/>
      <c r="F554" s="129"/>
      <c r="G554" s="20"/>
      <c r="H554" s="20">
        <v>1</v>
      </c>
      <c r="I554" s="129">
        <f t="shared" si="34"/>
        <v>0</v>
      </c>
      <c r="J554" s="52">
        <f t="shared" si="35"/>
        <v>0</v>
      </c>
      <c r="K554" s="108"/>
      <c r="L554" s="113"/>
    </row>
    <row r="555" spans="2:13" s="4" customFormat="1" ht="12.95" customHeight="1" x14ac:dyDescent="0.15">
      <c r="B555" s="26"/>
      <c r="C555" s="17"/>
      <c r="D555" s="24"/>
      <c r="E555" s="18"/>
      <c r="F555" s="129"/>
      <c r="G555" s="20"/>
      <c r="H555" s="20"/>
      <c r="I555" s="129"/>
      <c r="J555" s="52"/>
      <c r="K555" s="108"/>
      <c r="L555" s="113"/>
    </row>
    <row r="556" spans="2:13" s="4" customFormat="1" ht="12.95" customHeight="1" x14ac:dyDescent="0.15">
      <c r="B556" s="26"/>
      <c r="C556" s="17"/>
      <c r="D556" s="24"/>
      <c r="E556" s="18"/>
      <c r="F556" s="129"/>
      <c r="G556" s="20"/>
      <c r="H556" s="20"/>
      <c r="I556" s="129"/>
      <c r="J556" s="52"/>
      <c r="K556" s="108"/>
      <c r="L556" s="113"/>
    </row>
    <row r="557" spans="2:13" s="4" customFormat="1" ht="12.95" customHeight="1" x14ac:dyDescent="0.15">
      <c r="B557" s="26"/>
      <c r="C557" s="22" t="s">
        <v>153</v>
      </c>
      <c r="D557" s="24"/>
      <c r="E557" s="18"/>
      <c r="F557" s="129"/>
      <c r="G557" s="20"/>
      <c r="H557" s="20"/>
      <c r="I557" s="129"/>
      <c r="J557" s="52"/>
      <c r="K557" s="108"/>
      <c r="L557" s="113"/>
    </row>
    <row r="558" spans="2:13" s="4" customFormat="1" ht="12.95" customHeight="1" x14ac:dyDescent="0.15">
      <c r="B558" s="26">
        <v>1</v>
      </c>
      <c r="C558" s="17"/>
      <c r="D558" s="24"/>
      <c r="E558" s="24"/>
      <c r="F558" s="129"/>
      <c r="G558" s="20"/>
      <c r="H558" s="20">
        <v>1</v>
      </c>
      <c r="I558" s="129">
        <f t="shared" si="34"/>
        <v>0</v>
      </c>
      <c r="J558" s="52">
        <f t="shared" si="35"/>
        <v>0</v>
      </c>
      <c r="K558" s="108"/>
      <c r="L558" s="113"/>
    </row>
    <row r="559" spans="2:13" s="4" customFormat="1" ht="12.95" customHeight="1" x14ac:dyDescent="0.15">
      <c r="B559" s="26">
        <v>2</v>
      </c>
      <c r="C559" s="17"/>
      <c r="D559" s="24"/>
      <c r="E559" s="24"/>
      <c r="F559" s="129"/>
      <c r="G559" s="20"/>
      <c r="H559" s="20">
        <v>1</v>
      </c>
      <c r="I559" s="129">
        <f t="shared" si="34"/>
        <v>0</v>
      </c>
      <c r="J559" s="52">
        <f>(F559*G559*H559)/$C$32</f>
        <v>0</v>
      </c>
      <c r="K559" s="108"/>
      <c r="L559" s="113"/>
    </row>
    <row r="560" spans="2:13" s="4" customFormat="1" ht="12.95" customHeight="1" x14ac:dyDescent="0.15">
      <c r="B560" s="26">
        <v>3</v>
      </c>
      <c r="C560" s="24"/>
      <c r="D560" s="24"/>
      <c r="E560" s="24"/>
      <c r="F560" s="129"/>
      <c r="G560" s="20"/>
      <c r="H560" s="20">
        <v>1</v>
      </c>
      <c r="I560" s="129">
        <f t="shared" si="34"/>
        <v>0</v>
      </c>
      <c r="J560" s="52">
        <f>(F560*G560*H560)/$C$32</f>
        <v>0</v>
      </c>
      <c r="K560" s="108"/>
      <c r="L560" s="113"/>
    </row>
    <row r="561" spans="2:12" s="4" customFormat="1" ht="12.95" customHeight="1" x14ac:dyDescent="0.15">
      <c r="B561" s="26">
        <v>4</v>
      </c>
      <c r="C561" s="24"/>
      <c r="D561" s="18"/>
      <c r="E561" s="18"/>
      <c r="F561" s="129"/>
      <c r="G561" s="20"/>
      <c r="H561" s="20">
        <v>1</v>
      </c>
      <c r="I561" s="129">
        <f t="shared" si="34"/>
        <v>0</v>
      </c>
      <c r="J561" s="52">
        <f t="shared" ref="J561:J563" si="36">(F561*G561*H561)/$C$32</f>
        <v>0</v>
      </c>
      <c r="K561" s="108"/>
      <c r="L561" s="113"/>
    </row>
    <row r="562" spans="2:12" s="4" customFormat="1" ht="14.85" customHeight="1" x14ac:dyDescent="0.15">
      <c r="B562" s="26">
        <v>5</v>
      </c>
      <c r="C562" s="24"/>
      <c r="D562" s="24"/>
      <c r="E562" s="24"/>
      <c r="F562" s="129"/>
      <c r="G562" s="20"/>
      <c r="H562" s="20">
        <v>1</v>
      </c>
      <c r="I562" s="129">
        <f t="shared" si="34"/>
        <v>0</v>
      </c>
      <c r="J562" s="52">
        <f t="shared" si="36"/>
        <v>0</v>
      </c>
      <c r="K562" s="108"/>
      <c r="L562" s="113"/>
    </row>
    <row r="563" spans="2:12" s="4" customFormat="1" ht="12.95" customHeight="1" x14ac:dyDescent="0.15">
      <c r="B563" s="26">
        <v>6</v>
      </c>
      <c r="C563" s="17"/>
      <c r="D563" s="18"/>
      <c r="E563" s="18"/>
      <c r="F563" s="129"/>
      <c r="G563" s="20"/>
      <c r="H563" s="20">
        <v>1</v>
      </c>
      <c r="I563" s="129">
        <f>J563*$C$32</f>
        <v>0</v>
      </c>
      <c r="J563" s="52">
        <f t="shared" si="36"/>
        <v>0</v>
      </c>
      <c r="K563" s="108"/>
      <c r="L563" s="113"/>
    </row>
    <row r="564" spans="2:12" s="4" customFormat="1" ht="12.95" customHeight="1" x14ac:dyDescent="0.15">
      <c r="B564" s="26">
        <v>7</v>
      </c>
      <c r="C564" s="17"/>
      <c r="D564" s="24"/>
      <c r="E564" s="24"/>
      <c r="F564" s="129"/>
      <c r="G564" s="20"/>
      <c r="H564" s="20">
        <v>1</v>
      </c>
      <c r="I564" s="129">
        <f t="shared" ref="I564" si="37">J564*$C$32</f>
        <v>0</v>
      </c>
      <c r="J564" s="54">
        <f>(F564*G564*H564)/$C$32</f>
        <v>0</v>
      </c>
      <c r="K564" s="108"/>
      <c r="L564" s="113"/>
    </row>
    <row r="565" spans="2:12" s="4" customFormat="1" ht="12.95" customHeight="1" x14ac:dyDescent="0.15">
      <c r="B565" s="26">
        <v>8</v>
      </c>
      <c r="C565" s="17"/>
      <c r="D565" s="24"/>
      <c r="E565" s="24"/>
      <c r="F565" s="129"/>
      <c r="G565" s="20"/>
      <c r="H565" s="20">
        <v>1</v>
      </c>
      <c r="I565" s="129">
        <f>J565*$C$32</f>
        <v>0</v>
      </c>
      <c r="J565" s="54">
        <f>(F565*G565*H565)/$C$32</f>
        <v>0</v>
      </c>
      <c r="K565" s="108"/>
      <c r="L565" s="113"/>
    </row>
    <row r="566" spans="2:12" s="4" customFormat="1" ht="12.95" customHeight="1" x14ac:dyDescent="0.15">
      <c r="B566" s="26">
        <v>9</v>
      </c>
      <c r="C566" s="17"/>
      <c r="D566" s="24"/>
      <c r="E566" s="24"/>
      <c r="F566" s="129"/>
      <c r="G566" s="20"/>
      <c r="H566" s="20">
        <v>1</v>
      </c>
      <c r="I566" s="129">
        <f t="shared" ref="I566:I577" si="38">J566*$C$32</f>
        <v>0</v>
      </c>
      <c r="J566" s="52">
        <f t="shared" ref="J566:J577" si="39">(F566*G566*H566)/$C$32</f>
        <v>0</v>
      </c>
      <c r="K566" s="108"/>
      <c r="L566" s="113"/>
    </row>
    <row r="567" spans="2:12" s="4" customFormat="1" ht="12.95" customHeight="1" x14ac:dyDescent="0.15">
      <c r="B567" s="26">
        <v>10</v>
      </c>
      <c r="C567" s="17"/>
      <c r="D567" s="24"/>
      <c r="E567" s="24"/>
      <c r="F567" s="129"/>
      <c r="G567" s="20"/>
      <c r="H567" s="20">
        <v>1</v>
      </c>
      <c r="I567" s="129">
        <f t="shared" si="38"/>
        <v>0</v>
      </c>
      <c r="J567" s="52">
        <f t="shared" si="39"/>
        <v>0</v>
      </c>
      <c r="K567" s="108"/>
      <c r="L567" s="113"/>
    </row>
    <row r="568" spans="2:12" s="4" customFormat="1" ht="12.95" customHeight="1" x14ac:dyDescent="0.15">
      <c r="B568" s="26">
        <v>11</v>
      </c>
      <c r="C568" s="17"/>
      <c r="D568" s="24"/>
      <c r="E568" s="24"/>
      <c r="F568" s="129"/>
      <c r="G568" s="20"/>
      <c r="H568" s="20">
        <v>1</v>
      </c>
      <c r="I568" s="129">
        <f t="shared" si="38"/>
        <v>0</v>
      </c>
      <c r="J568" s="52">
        <f t="shared" si="39"/>
        <v>0</v>
      </c>
      <c r="K568" s="108"/>
      <c r="L568" s="113"/>
    </row>
    <row r="569" spans="2:12" s="4" customFormat="1" ht="12.95" customHeight="1" x14ac:dyDescent="0.15">
      <c r="B569" s="26">
        <v>12</v>
      </c>
      <c r="C569" s="17"/>
      <c r="D569" s="24"/>
      <c r="E569" s="24"/>
      <c r="F569" s="129"/>
      <c r="G569" s="20"/>
      <c r="H569" s="20">
        <v>1</v>
      </c>
      <c r="I569" s="129">
        <f t="shared" si="38"/>
        <v>0</v>
      </c>
      <c r="J569" s="52">
        <f t="shared" si="39"/>
        <v>0</v>
      </c>
      <c r="K569" s="108"/>
      <c r="L569" s="113"/>
    </row>
    <row r="570" spans="2:12" s="4" customFormat="1" ht="12.95" customHeight="1" x14ac:dyDescent="0.15">
      <c r="B570" s="26">
        <v>13</v>
      </c>
      <c r="C570" s="17"/>
      <c r="D570" s="18"/>
      <c r="E570" s="18"/>
      <c r="F570" s="129"/>
      <c r="G570" s="20"/>
      <c r="H570" s="20">
        <v>1</v>
      </c>
      <c r="I570" s="129">
        <f t="shared" si="38"/>
        <v>0</v>
      </c>
      <c r="J570" s="52">
        <f t="shared" si="39"/>
        <v>0</v>
      </c>
      <c r="K570" s="108"/>
      <c r="L570" s="113"/>
    </row>
    <row r="571" spans="2:12" s="4" customFormat="1" ht="12.95" customHeight="1" x14ac:dyDescent="0.15">
      <c r="B571" s="26">
        <v>14</v>
      </c>
      <c r="C571" s="17"/>
      <c r="D571" s="18"/>
      <c r="E571" s="18"/>
      <c r="F571" s="129"/>
      <c r="G571" s="20"/>
      <c r="H571" s="20">
        <v>1</v>
      </c>
      <c r="I571" s="129">
        <f t="shared" si="38"/>
        <v>0</v>
      </c>
      <c r="J571" s="52">
        <f t="shared" si="39"/>
        <v>0</v>
      </c>
      <c r="K571" s="108"/>
      <c r="L571" s="113"/>
    </row>
    <row r="572" spans="2:12" s="4" customFormat="1" ht="12.95" customHeight="1" x14ac:dyDescent="0.15">
      <c r="B572" s="26">
        <v>15</v>
      </c>
      <c r="C572" s="17"/>
      <c r="D572" s="18"/>
      <c r="E572" s="18"/>
      <c r="F572" s="129"/>
      <c r="G572" s="20"/>
      <c r="H572" s="20">
        <v>1</v>
      </c>
      <c r="I572" s="129">
        <f t="shared" si="38"/>
        <v>0</v>
      </c>
      <c r="J572" s="52">
        <f t="shared" si="39"/>
        <v>0</v>
      </c>
      <c r="K572" s="108"/>
      <c r="L572" s="113"/>
    </row>
    <row r="573" spans="2:12" s="4" customFormat="1" ht="12.95" customHeight="1" x14ac:dyDescent="0.15">
      <c r="B573" s="26">
        <v>16</v>
      </c>
      <c r="C573" s="11"/>
      <c r="D573" s="18"/>
      <c r="E573" s="18"/>
      <c r="F573" s="129"/>
      <c r="G573" s="20"/>
      <c r="H573" s="20">
        <v>1</v>
      </c>
      <c r="I573" s="126">
        <f t="shared" si="38"/>
        <v>0</v>
      </c>
      <c r="J573" s="38">
        <f t="shared" si="39"/>
        <v>0</v>
      </c>
      <c r="K573" s="108"/>
      <c r="L573" s="113"/>
    </row>
    <row r="574" spans="2:12" s="4" customFormat="1" ht="12.95" customHeight="1" x14ac:dyDescent="0.15">
      <c r="B574" s="26">
        <v>17</v>
      </c>
      <c r="C574" s="23"/>
      <c r="D574" s="48"/>
      <c r="E574" s="48"/>
      <c r="F574" s="126"/>
      <c r="G574" s="50"/>
      <c r="H574" s="20">
        <v>1</v>
      </c>
      <c r="I574" s="126">
        <f t="shared" si="38"/>
        <v>0</v>
      </c>
      <c r="J574" s="38">
        <f t="shared" si="39"/>
        <v>0</v>
      </c>
      <c r="K574" s="108"/>
      <c r="L574" s="113"/>
    </row>
    <row r="575" spans="2:12" s="4" customFormat="1" ht="12.95" customHeight="1" x14ac:dyDescent="0.15">
      <c r="B575" s="26">
        <v>18</v>
      </c>
      <c r="C575" s="23"/>
      <c r="D575" s="48"/>
      <c r="E575" s="48"/>
      <c r="F575" s="126"/>
      <c r="G575" s="50"/>
      <c r="H575" s="20">
        <v>1</v>
      </c>
      <c r="I575" s="126">
        <f t="shared" si="38"/>
        <v>0</v>
      </c>
      <c r="J575" s="38">
        <f t="shared" si="39"/>
        <v>0</v>
      </c>
      <c r="K575" s="108"/>
      <c r="L575" s="113"/>
    </row>
    <row r="576" spans="2:12" s="4" customFormat="1" ht="12.95" customHeight="1" x14ac:dyDescent="0.15">
      <c r="B576" s="26">
        <v>19</v>
      </c>
      <c r="C576" s="23"/>
      <c r="D576" s="48"/>
      <c r="E576" s="48"/>
      <c r="F576" s="126"/>
      <c r="G576" s="50"/>
      <c r="H576" s="20">
        <v>1</v>
      </c>
      <c r="I576" s="126">
        <f t="shared" si="38"/>
        <v>0</v>
      </c>
      <c r="J576" s="38">
        <f t="shared" si="39"/>
        <v>0</v>
      </c>
      <c r="K576" s="108"/>
      <c r="L576" s="113"/>
    </row>
    <row r="577" spans="2:20" s="4" customFormat="1" ht="12.95" customHeight="1" x14ac:dyDescent="0.15">
      <c r="B577" s="26">
        <v>20</v>
      </c>
      <c r="C577" s="23"/>
      <c r="D577" s="48"/>
      <c r="E577" s="48"/>
      <c r="F577" s="126"/>
      <c r="G577" s="50"/>
      <c r="H577" s="20">
        <v>1</v>
      </c>
      <c r="I577" s="126">
        <f t="shared" si="38"/>
        <v>0</v>
      </c>
      <c r="J577" s="38">
        <f t="shared" si="39"/>
        <v>0</v>
      </c>
      <c r="K577" s="108"/>
      <c r="L577" s="113"/>
    </row>
    <row r="578" spans="2:20" s="4" customFormat="1" ht="12.95" customHeight="1" x14ac:dyDescent="0.15">
      <c r="B578" s="26"/>
      <c r="C578" s="23"/>
      <c r="D578" s="48"/>
      <c r="E578" s="48"/>
      <c r="F578" s="126"/>
      <c r="G578" s="50"/>
      <c r="H578" s="50"/>
      <c r="I578" s="126"/>
      <c r="J578" s="38"/>
      <c r="K578" s="108"/>
      <c r="L578" s="113"/>
    </row>
    <row r="579" spans="2:20" s="4" customFormat="1" ht="12.95" customHeight="1" x14ac:dyDescent="0.15">
      <c r="B579" s="26"/>
      <c r="C579" s="23"/>
      <c r="D579" s="48"/>
      <c r="E579" s="48"/>
      <c r="F579" s="126"/>
      <c r="G579" s="50"/>
      <c r="H579" s="50"/>
      <c r="I579" s="126"/>
      <c r="J579" s="38"/>
      <c r="K579" s="108"/>
      <c r="L579" s="113"/>
    </row>
    <row r="580" spans="2:20" s="4" customFormat="1" ht="12.95" customHeight="1" x14ac:dyDescent="0.15">
      <c r="B580" s="26"/>
      <c r="C580" s="72" t="s">
        <v>132</v>
      </c>
      <c r="D580" s="48"/>
      <c r="E580" s="48"/>
      <c r="F580" s="126"/>
      <c r="G580" s="50"/>
      <c r="H580" s="50"/>
      <c r="I580" s="126"/>
      <c r="J580" s="38"/>
      <c r="K580" s="108"/>
      <c r="L580" s="113"/>
    </row>
    <row r="581" spans="2:20" s="4" customFormat="1" ht="12.95" customHeight="1" x14ac:dyDescent="0.15">
      <c r="B581" s="26">
        <v>1</v>
      </c>
      <c r="C581" s="59"/>
      <c r="D581" s="49"/>
      <c r="E581" s="49"/>
      <c r="F581" s="126"/>
      <c r="G581" s="50"/>
      <c r="H581" s="50">
        <v>1</v>
      </c>
      <c r="I581" s="126">
        <f t="shared" ref="I581" si="40">J581*$C$32</f>
        <v>0</v>
      </c>
      <c r="J581" s="38">
        <f t="shared" ref="J581:J600" si="41">(F581*G581*H581)/$C$32</f>
        <v>0</v>
      </c>
      <c r="K581" s="108"/>
      <c r="L581" s="113"/>
      <c r="M581" s="57"/>
      <c r="N581" s="57"/>
      <c r="O581" s="57"/>
      <c r="P581" s="57"/>
      <c r="Q581" s="58"/>
      <c r="R581" s="57"/>
      <c r="T581" s="57"/>
    </row>
    <row r="582" spans="2:20" s="4" customFormat="1" ht="12.95" customHeight="1" x14ac:dyDescent="0.15">
      <c r="B582" s="26">
        <v>2</v>
      </c>
      <c r="C582" s="60"/>
      <c r="D582" s="49"/>
      <c r="E582" s="49"/>
      <c r="F582" s="126"/>
      <c r="G582" s="50"/>
      <c r="H582" s="50">
        <v>1</v>
      </c>
      <c r="I582" s="126">
        <f>J582*$C$32</f>
        <v>0</v>
      </c>
      <c r="J582" s="38">
        <f t="shared" si="41"/>
        <v>0</v>
      </c>
      <c r="K582" s="108"/>
      <c r="L582" s="113"/>
      <c r="M582" s="57"/>
      <c r="N582" s="57"/>
      <c r="O582" s="57"/>
      <c r="P582" s="57"/>
      <c r="Q582" s="58"/>
      <c r="R582" s="57"/>
      <c r="T582" s="57"/>
    </row>
    <row r="583" spans="2:20" s="4" customFormat="1" ht="12.95" customHeight="1" x14ac:dyDescent="0.15">
      <c r="B583" s="26">
        <v>3</v>
      </c>
      <c r="C583" s="59"/>
      <c r="D583" s="49"/>
      <c r="E583" s="49"/>
      <c r="F583" s="126"/>
      <c r="G583" s="50"/>
      <c r="H583" s="50">
        <v>1</v>
      </c>
      <c r="I583" s="126">
        <f t="shared" ref="I583:I600" si="42">J583*$C$32</f>
        <v>0</v>
      </c>
      <c r="J583" s="38">
        <f t="shared" si="41"/>
        <v>0</v>
      </c>
      <c r="K583" s="108"/>
      <c r="L583" s="113"/>
      <c r="M583" s="57"/>
      <c r="N583" s="57"/>
      <c r="O583" s="57"/>
      <c r="P583" s="57"/>
      <c r="Q583" s="58"/>
      <c r="R583" s="57"/>
      <c r="T583" s="57"/>
    </row>
    <row r="584" spans="2:20" s="4" customFormat="1" ht="12.95" customHeight="1" x14ac:dyDescent="0.15">
      <c r="B584" s="26">
        <v>4</v>
      </c>
      <c r="C584" s="61"/>
      <c r="D584" s="49"/>
      <c r="E584" s="49"/>
      <c r="F584" s="126"/>
      <c r="G584" s="50"/>
      <c r="H584" s="50">
        <v>1</v>
      </c>
      <c r="I584" s="126">
        <f t="shared" si="42"/>
        <v>0</v>
      </c>
      <c r="J584" s="38">
        <f t="shared" si="41"/>
        <v>0</v>
      </c>
      <c r="K584" s="108"/>
      <c r="L584" s="113"/>
      <c r="M584" s="57"/>
      <c r="N584" s="57"/>
      <c r="O584" s="57"/>
      <c r="P584" s="57"/>
      <c r="Q584" s="58"/>
      <c r="R584" s="57"/>
      <c r="T584" s="57"/>
    </row>
    <row r="585" spans="2:20" s="1" customFormat="1" ht="12.95" customHeight="1" x14ac:dyDescent="0.15">
      <c r="B585" s="16">
        <v>5</v>
      </c>
      <c r="C585" s="11"/>
      <c r="D585" s="18"/>
      <c r="E585" s="18"/>
      <c r="F585" s="129"/>
      <c r="G585" s="20"/>
      <c r="H585" s="20">
        <v>1</v>
      </c>
      <c r="I585" s="126">
        <f t="shared" si="42"/>
        <v>0</v>
      </c>
      <c r="J585" s="38">
        <f t="shared" si="41"/>
        <v>0</v>
      </c>
      <c r="K585" s="80"/>
      <c r="L585" s="82"/>
      <c r="M585" s="10"/>
      <c r="N585" s="10"/>
      <c r="O585" s="10"/>
      <c r="P585" s="10"/>
      <c r="Q585" s="43"/>
      <c r="R585" s="10"/>
      <c r="T585" s="10"/>
    </row>
    <row r="586" spans="2:20" s="1" customFormat="1" ht="12.95" customHeight="1" x14ac:dyDescent="0.15">
      <c r="B586" s="16">
        <v>6</v>
      </c>
      <c r="C586" s="46"/>
      <c r="D586" s="18"/>
      <c r="E586" s="18"/>
      <c r="F586" s="129"/>
      <c r="G586" s="20"/>
      <c r="H586" s="20">
        <v>1</v>
      </c>
      <c r="I586" s="126">
        <f t="shared" si="42"/>
        <v>0</v>
      </c>
      <c r="J586" s="38">
        <f t="shared" si="41"/>
        <v>0</v>
      </c>
      <c r="K586" s="80"/>
      <c r="L586" s="82"/>
      <c r="M586" s="10"/>
      <c r="N586" s="10"/>
      <c r="O586" s="10"/>
      <c r="P586" s="10"/>
      <c r="Q586" s="43"/>
      <c r="R586" s="10"/>
      <c r="T586" s="10"/>
    </row>
    <row r="587" spans="2:20" s="1" customFormat="1" ht="12.95" customHeight="1" x14ac:dyDescent="0.15">
      <c r="B587" s="16">
        <v>7</v>
      </c>
      <c r="C587" s="11"/>
      <c r="D587" s="18"/>
      <c r="E587" s="18"/>
      <c r="F587" s="129"/>
      <c r="G587" s="20"/>
      <c r="H587" s="20">
        <v>1</v>
      </c>
      <c r="I587" s="126">
        <f t="shared" si="42"/>
        <v>0</v>
      </c>
      <c r="J587" s="38">
        <f t="shared" si="41"/>
        <v>0</v>
      </c>
      <c r="K587" s="80"/>
      <c r="L587" s="82"/>
      <c r="M587" s="10"/>
      <c r="N587" s="10"/>
      <c r="O587" s="10"/>
      <c r="P587" s="10"/>
      <c r="Q587" s="43"/>
      <c r="R587" s="10"/>
      <c r="T587" s="10"/>
    </row>
    <row r="588" spans="2:20" s="1" customFormat="1" ht="12.95" customHeight="1" x14ac:dyDescent="0.15">
      <c r="B588" s="16">
        <v>8</v>
      </c>
      <c r="C588" s="11"/>
      <c r="D588" s="18"/>
      <c r="E588" s="18"/>
      <c r="F588" s="129"/>
      <c r="G588" s="20"/>
      <c r="H588" s="20">
        <v>1</v>
      </c>
      <c r="I588" s="126">
        <f t="shared" si="42"/>
        <v>0</v>
      </c>
      <c r="J588" s="38">
        <f t="shared" si="41"/>
        <v>0</v>
      </c>
      <c r="K588" s="80"/>
      <c r="L588" s="82"/>
      <c r="M588" s="10"/>
      <c r="N588" s="10"/>
      <c r="O588" s="10"/>
      <c r="P588" s="10"/>
      <c r="Q588" s="43"/>
      <c r="R588" s="10"/>
      <c r="T588" s="10"/>
    </row>
    <row r="589" spans="2:20" s="1" customFormat="1" ht="12.95" customHeight="1" x14ac:dyDescent="0.15">
      <c r="B589" s="16">
        <v>9</v>
      </c>
      <c r="C589" s="11"/>
      <c r="D589" s="18"/>
      <c r="E589" s="18"/>
      <c r="F589" s="129"/>
      <c r="G589" s="20"/>
      <c r="H589" s="20">
        <v>1</v>
      </c>
      <c r="I589" s="126">
        <f t="shared" si="42"/>
        <v>0</v>
      </c>
      <c r="J589" s="38">
        <f t="shared" si="41"/>
        <v>0</v>
      </c>
      <c r="K589" s="80"/>
      <c r="L589" s="82"/>
      <c r="M589" s="10"/>
      <c r="N589" s="10"/>
      <c r="O589" s="10"/>
      <c r="P589" s="10"/>
      <c r="Q589" s="43"/>
      <c r="R589" s="10"/>
      <c r="T589" s="10"/>
    </row>
    <row r="590" spans="2:20" s="1" customFormat="1" ht="12.95" customHeight="1" x14ac:dyDescent="0.15">
      <c r="B590" s="16">
        <v>10</v>
      </c>
      <c r="C590" s="11"/>
      <c r="D590" s="18"/>
      <c r="E590" s="18"/>
      <c r="F590" s="129"/>
      <c r="G590" s="20"/>
      <c r="H590" s="20">
        <v>1</v>
      </c>
      <c r="I590" s="126">
        <f t="shared" si="42"/>
        <v>0</v>
      </c>
      <c r="J590" s="38">
        <f t="shared" si="41"/>
        <v>0</v>
      </c>
      <c r="K590" s="80"/>
      <c r="L590" s="82"/>
      <c r="M590" s="10"/>
      <c r="N590" s="10"/>
      <c r="O590" s="10"/>
      <c r="P590" s="10"/>
      <c r="Q590" s="43"/>
      <c r="R590" s="10"/>
      <c r="T590" s="10"/>
    </row>
    <row r="591" spans="2:20" s="1" customFormat="1" ht="12.95" customHeight="1" x14ac:dyDescent="0.15">
      <c r="B591" s="16">
        <v>11</v>
      </c>
      <c r="C591" s="11"/>
      <c r="D591" s="18"/>
      <c r="E591" s="18"/>
      <c r="F591" s="129"/>
      <c r="G591" s="20"/>
      <c r="H591" s="20">
        <v>1</v>
      </c>
      <c r="I591" s="126">
        <f t="shared" si="42"/>
        <v>0</v>
      </c>
      <c r="J591" s="38">
        <f t="shared" si="41"/>
        <v>0</v>
      </c>
      <c r="K591" s="80"/>
      <c r="L591" s="82"/>
      <c r="M591" s="10"/>
      <c r="N591" s="10"/>
      <c r="O591" s="10"/>
      <c r="P591" s="10"/>
      <c r="Q591" s="43"/>
      <c r="R591" s="10"/>
      <c r="T591" s="10"/>
    </row>
    <row r="592" spans="2:20" s="1" customFormat="1" ht="12.95" customHeight="1" x14ac:dyDescent="0.15">
      <c r="B592" s="16">
        <v>12</v>
      </c>
      <c r="C592" s="11"/>
      <c r="D592" s="18"/>
      <c r="E592" s="18"/>
      <c r="F592" s="129"/>
      <c r="G592" s="20"/>
      <c r="H592" s="20">
        <v>1</v>
      </c>
      <c r="I592" s="126">
        <f t="shared" si="42"/>
        <v>0</v>
      </c>
      <c r="J592" s="38">
        <f t="shared" si="41"/>
        <v>0</v>
      </c>
      <c r="K592" s="80"/>
      <c r="L592" s="82"/>
      <c r="M592" s="10"/>
      <c r="N592" s="10"/>
      <c r="O592" s="10"/>
      <c r="P592" s="10"/>
      <c r="Q592" s="43"/>
      <c r="R592" s="10"/>
      <c r="T592" s="10"/>
    </row>
    <row r="593" spans="2:20" s="1" customFormat="1" ht="12.95" customHeight="1" x14ac:dyDescent="0.15">
      <c r="B593" s="16">
        <v>13</v>
      </c>
      <c r="C593" s="11"/>
      <c r="D593" s="18"/>
      <c r="E593" s="18"/>
      <c r="F593" s="129"/>
      <c r="G593" s="20"/>
      <c r="H593" s="20">
        <v>1</v>
      </c>
      <c r="I593" s="126">
        <f t="shared" si="42"/>
        <v>0</v>
      </c>
      <c r="J593" s="38">
        <f t="shared" si="41"/>
        <v>0</v>
      </c>
      <c r="K593" s="80"/>
      <c r="L593" s="82"/>
      <c r="M593" s="10"/>
      <c r="N593" s="10"/>
      <c r="O593" s="10"/>
      <c r="P593" s="10"/>
      <c r="Q593" s="43"/>
      <c r="R593" s="10"/>
      <c r="T593" s="10"/>
    </row>
    <row r="594" spans="2:20" s="1" customFormat="1" ht="12.95" customHeight="1" x14ac:dyDescent="0.15">
      <c r="B594" s="16">
        <v>14</v>
      </c>
      <c r="C594" s="11"/>
      <c r="D594" s="18"/>
      <c r="E594" s="18"/>
      <c r="F594" s="129"/>
      <c r="G594" s="20"/>
      <c r="H594" s="20">
        <v>1</v>
      </c>
      <c r="I594" s="126">
        <f t="shared" si="42"/>
        <v>0</v>
      </c>
      <c r="J594" s="38">
        <f t="shared" si="41"/>
        <v>0</v>
      </c>
      <c r="K594" s="80"/>
      <c r="L594" s="82"/>
      <c r="M594" s="10"/>
      <c r="N594" s="10"/>
      <c r="O594" s="10"/>
      <c r="P594" s="10"/>
      <c r="Q594" s="43"/>
      <c r="R594" s="10"/>
      <c r="T594" s="10"/>
    </row>
    <row r="595" spans="2:20" s="1" customFormat="1" ht="12.95" customHeight="1" x14ac:dyDescent="0.15">
      <c r="B595" s="16">
        <v>15</v>
      </c>
      <c r="C595" s="11"/>
      <c r="D595" s="18"/>
      <c r="E595" s="18"/>
      <c r="F595" s="129"/>
      <c r="G595" s="20"/>
      <c r="H595" s="20">
        <v>1</v>
      </c>
      <c r="I595" s="126">
        <f t="shared" si="42"/>
        <v>0</v>
      </c>
      <c r="J595" s="38">
        <f t="shared" si="41"/>
        <v>0</v>
      </c>
      <c r="K595" s="80"/>
      <c r="L595" s="82"/>
      <c r="M595" s="10"/>
      <c r="N595" s="10"/>
      <c r="O595" s="10"/>
      <c r="P595" s="10"/>
      <c r="Q595" s="43"/>
      <c r="R595" s="10"/>
      <c r="T595" s="10"/>
    </row>
    <row r="596" spans="2:20" s="1" customFormat="1" ht="12.95" customHeight="1" x14ac:dyDescent="0.15">
      <c r="B596" s="16">
        <v>16</v>
      </c>
      <c r="C596" s="74"/>
      <c r="D596" s="75"/>
      <c r="E596" s="75"/>
      <c r="F596" s="132"/>
      <c r="G596" s="77"/>
      <c r="H596" s="77">
        <v>1</v>
      </c>
      <c r="I596" s="131">
        <f t="shared" si="42"/>
        <v>0</v>
      </c>
      <c r="J596" s="324">
        <f t="shared" si="41"/>
        <v>0</v>
      </c>
      <c r="K596" s="80"/>
      <c r="L596" s="82"/>
      <c r="M596" s="10"/>
      <c r="N596" s="10"/>
      <c r="O596" s="10"/>
      <c r="P596" s="10"/>
      <c r="Q596" s="43"/>
      <c r="R596" s="10"/>
      <c r="T596" s="10"/>
    </row>
    <row r="597" spans="2:20" s="1" customFormat="1" ht="12.95" customHeight="1" x14ac:dyDescent="0.15">
      <c r="B597" s="80">
        <v>17</v>
      </c>
      <c r="C597" s="82"/>
      <c r="D597" s="82"/>
      <c r="E597" s="82"/>
      <c r="F597" s="156"/>
      <c r="G597" s="82"/>
      <c r="H597" s="77">
        <v>1</v>
      </c>
      <c r="I597" s="131">
        <f t="shared" si="42"/>
        <v>0</v>
      </c>
      <c r="J597" s="324">
        <f t="shared" si="41"/>
        <v>0</v>
      </c>
      <c r="K597" s="109"/>
      <c r="L597" s="82"/>
      <c r="M597" s="10"/>
      <c r="N597" s="10"/>
      <c r="O597" s="10"/>
      <c r="P597" s="10"/>
      <c r="Q597" s="43"/>
      <c r="R597" s="10"/>
      <c r="T597" s="10"/>
    </row>
    <row r="598" spans="2:20" s="1" customFormat="1" ht="12.95" customHeight="1" x14ac:dyDescent="0.15">
      <c r="B598" s="80">
        <v>18</v>
      </c>
      <c r="C598" s="82"/>
      <c r="D598" s="82"/>
      <c r="E598" s="82"/>
      <c r="F598" s="156"/>
      <c r="G598" s="82"/>
      <c r="H598" s="77">
        <v>1</v>
      </c>
      <c r="I598" s="131">
        <f t="shared" si="42"/>
        <v>0</v>
      </c>
      <c r="J598" s="324">
        <f t="shared" si="41"/>
        <v>0</v>
      </c>
      <c r="K598" s="155"/>
      <c r="L598" s="119"/>
      <c r="M598" s="10"/>
      <c r="N598" s="10"/>
      <c r="O598" s="10"/>
      <c r="P598" s="10"/>
      <c r="Q598" s="43"/>
      <c r="R598" s="10"/>
      <c r="T598" s="10"/>
    </row>
    <row r="599" spans="2:20" s="1" customFormat="1" ht="12.95" customHeight="1" x14ac:dyDescent="0.15">
      <c r="B599" s="80">
        <v>19</v>
      </c>
      <c r="C599" s="82"/>
      <c r="D599" s="82"/>
      <c r="E599" s="82"/>
      <c r="F599" s="156"/>
      <c r="G599" s="82"/>
      <c r="H599" s="77">
        <v>1</v>
      </c>
      <c r="I599" s="131">
        <f t="shared" si="42"/>
        <v>0</v>
      </c>
      <c r="J599" s="328">
        <f t="shared" si="41"/>
        <v>0</v>
      </c>
      <c r="K599" s="82"/>
      <c r="L599" s="82"/>
      <c r="M599" s="10"/>
      <c r="N599" s="10"/>
      <c r="O599" s="10"/>
      <c r="P599" s="10"/>
      <c r="Q599" s="43"/>
      <c r="R599" s="10"/>
      <c r="T599" s="10"/>
    </row>
    <row r="600" spans="2:20" s="1" customFormat="1" ht="12.95" customHeight="1" x14ac:dyDescent="0.15">
      <c r="B600" s="80">
        <v>20</v>
      </c>
      <c r="C600" s="82"/>
      <c r="D600" s="82"/>
      <c r="E600" s="82"/>
      <c r="F600" s="156"/>
      <c r="G600" s="82"/>
      <c r="H600" s="77">
        <v>1</v>
      </c>
      <c r="I600" s="131">
        <f t="shared" si="42"/>
        <v>0</v>
      </c>
      <c r="J600" s="328">
        <f t="shared" si="41"/>
        <v>0</v>
      </c>
      <c r="K600" s="82"/>
      <c r="L600" s="82"/>
      <c r="M600" s="10"/>
      <c r="N600" s="10"/>
      <c r="O600" s="10"/>
      <c r="P600" s="10"/>
      <c r="Q600" s="43"/>
      <c r="R600" s="10"/>
      <c r="T600" s="10"/>
    </row>
    <row r="601" spans="2:20" s="1" customFormat="1" ht="12.95" customHeight="1" x14ac:dyDescent="0.15">
      <c r="B601" s="111"/>
      <c r="C601" s="152"/>
      <c r="D601" s="153"/>
      <c r="E601" s="153"/>
      <c r="F601" s="157"/>
      <c r="G601" s="154"/>
      <c r="H601" s="154"/>
      <c r="I601" s="158"/>
      <c r="J601" s="329"/>
      <c r="K601" s="82"/>
      <c r="L601" s="82"/>
      <c r="M601" s="10"/>
      <c r="N601" s="10"/>
      <c r="O601" s="10"/>
      <c r="P601" s="10"/>
      <c r="Q601" s="43"/>
      <c r="R601" s="10"/>
      <c r="T601" s="10"/>
    </row>
    <row r="602" spans="2:20" s="1" customFormat="1" ht="12.75" x14ac:dyDescent="0.15">
      <c r="B602" s="82"/>
      <c r="C602" s="102"/>
      <c r="D602" s="103"/>
      <c r="E602" s="102"/>
      <c r="F602" s="128">
        <f>SUM(F544:F601)</f>
        <v>0</v>
      </c>
      <c r="G602" s="104"/>
      <c r="H602" s="105"/>
      <c r="I602" s="128">
        <f>SUM(I544:I601)</f>
        <v>0</v>
      </c>
      <c r="J602" s="106">
        <f>SUM(J544:J601)</f>
        <v>0</v>
      </c>
    </row>
    <row r="603" spans="2:20" s="1" customFormat="1" ht="12.75" x14ac:dyDescent="0.15">
      <c r="B603" s="82"/>
      <c r="C603" s="102"/>
      <c r="D603" s="103"/>
      <c r="E603" s="102" t="s">
        <v>147</v>
      </c>
      <c r="F603" s="128">
        <f>100/115*F602</f>
        <v>0</v>
      </c>
      <c r="G603" s="104"/>
      <c r="H603" s="105" t="s">
        <v>147</v>
      </c>
      <c r="I603" s="128">
        <f>100/115*I602</f>
        <v>0</v>
      </c>
      <c r="J603" s="106"/>
    </row>
    <row r="604" spans="2:20" s="1" customFormat="1" ht="12.75" x14ac:dyDescent="0.15"/>
    <row r="605" spans="2:20" s="1" customFormat="1" ht="12.75" x14ac:dyDescent="0.15"/>
    <row r="606" spans="2:20" s="1" customFormat="1" ht="12.75" x14ac:dyDescent="0.15"/>
    <row r="607" spans="2:20" s="1" customFormat="1" ht="12.75" x14ac:dyDescent="0.15"/>
    <row r="608" spans="2:20" s="247" customFormat="1" ht="32.25" x14ac:dyDescent="0.4">
      <c r="B608" s="248"/>
      <c r="C608" s="380" t="s">
        <v>112</v>
      </c>
      <c r="D608" s="380"/>
      <c r="E608" s="428" t="s">
        <v>163</v>
      </c>
      <c r="F608" s="428"/>
      <c r="G608" s="428"/>
      <c r="H608" s="428"/>
      <c r="I608" s="428"/>
      <c r="J608" s="382">
        <v>2026</v>
      </c>
      <c r="K608" s="382"/>
      <c r="L608" s="382"/>
    </row>
    <row r="609" spans="2:20" s="1" customFormat="1" ht="22.5" x14ac:dyDescent="0.15">
      <c r="B609" s="82"/>
      <c r="C609" s="102" t="s">
        <v>114</v>
      </c>
      <c r="D609" s="388" t="s">
        <v>115</v>
      </c>
      <c r="E609" s="388"/>
      <c r="F609" s="102" t="s">
        <v>116</v>
      </c>
      <c r="G609" s="102" t="s">
        <v>117</v>
      </c>
      <c r="H609" s="102" t="s">
        <v>118</v>
      </c>
      <c r="I609" s="102" t="s">
        <v>119</v>
      </c>
      <c r="J609" s="102" t="s">
        <v>120</v>
      </c>
      <c r="K609" s="82"/>
      <c r="L609" s="82"/>
    </row>
    <row r="610" spans="2:20" s="1" customFormat="1" ht="12.75" x14ac:dyDescent="0.15">
      <c r="B610" s="84"/>
      <c r="C610" s="149">
        <f>C540</f>
        <v>450</v>
      </c>
      <c r="D610" s="412">
        <v>23</v>
      </c>
      <c r="E610" s="412"/>
      <c r="F610" s="146">
        <f>F540</f>
        <v>0.8</v>
      </c>
      <c r="G610" s="147">
        <f>G540</f>
        <v>8</v>
      </c>
      <c r="H610" s="148">
        <f>D610*G610*F610</f>
        <v>147.20000000000002</v>
      </c>
      <c r="I610" s="149">
        <f>I672</f>
        <v>0</v>
      </c>
      <c r="J610" s="150">
        <f>H610-J672</f>
        <v>147.20000000000002</v>
      </c>
      <c r="K610" s="79"/>
      <c r="L610" s="120"/>
    </row>
    <row r="611" spans="2:20" s="1" customFormat="1" ht="33.75" x14ac:dyDescent="0.15">
      <c r="B611" s="16"/>
      <c r="C611" s="22" t="s">
        <v>121</v>
      </c>
      <c r="D611" s="413" t="s">
        <v>122</v>
      </c>
      <c r="E611" s="413"/>
      <c r="F611" s="33" t="s">
        <v>123</v>
      </c>
      <c r="G611" s="34" t="s">
        <v>124</v>
      </c>
      <c r="H611" s="35" t="s">
        <v>125</v>
      </c>
      <c r="I611" s="125" t="s">
        <v>126</v>
      </c>
      <c r="J611" s="34" t="s">
        <v>127</v>
      </c>
      <c r="K611" s="107" t="s">
        <v>128</v>
      </c>
      <c r="L611" s="123" t="s">
        <v>129</v>
      </c>
    </row>
    <row r="612" spans="2:20" s="1" customFormat="1" ht="12.75" x14ac:dyDescent="0.15">
      <c r="B612" s="16"/>
      <c r="C612" s="22"/>
      <c r="D612" s="32"/>
      <c r="E612" s="32"/>
      <c r="F612" s="33"/>
      <c r="G612" s="34"/>
      <c r="H612" s="35"/>
      <c r="I612" s="125"/>
      <c r="J612" s="34"/>
      <c r="K612" s="110"/>
      <c r="L612" s="82"/>
    </row>
    <row r="613" spans="2:20" s="1" customFormat="1" ht="12.75" x14ac:dyDescent="0.15">
      <c r="B613" s="16"/>
      <c r="C613" s="22" t="s">
        <v>130</v>
      </c>
      <c r="D613" s="32"/>
      <c r="E613" s="32"/>
      <c r="F613" s="151"/>
      <c r="G613" s="34"/>
      <c r="H613" s="35"/>
      <c r="I613" s="125"/>
      <c r="J613" s="34"/>
      <c r="K613" s="110"/>
      <c r="L613" s="82"/>
    </row>
    <row r="614" spans="2:20" s="1" customFormat="1" ht="12.75" x14ac:dyDescent="0.15">
      <c r="B614" s="16"/>
      <c r="C614" s="22" t="s">
        <v>149</v>
      </c>
      <c r="D614" s="32"/>
      <c r="E614" s="32"/>
      <c r="F614" s="151"/>
      <c r="G614" s="34"/>
      <c r="H614" s="35"/>
      <c r="I614" s="125"/>
      <c r="J614" s="34"/>
      <c r="K614" s="110"/>
      <c r="L614" s="82"/>
    </row>
    <row r="615" spans="2:20" s="1" customFormat="1" ht="13.15" customHeight="1" x14ac:dyDescent="0.15">
      <c r="B615" s="26">
        <v>1</v>
      </c>
      <c r="C615" s="17"/>
      <c r="D615" s="24"/>
      <c r="E615" s="24"/>
      <c r="F615" s="129"/>
      <c r="G615" s="20"/>
      <c r="H615" s="20">
        <v>1</v>
      </c>
      <c r="I615" s="129">
        <f t="shared" ref="I615:I631" si="43">J615*$C$32</f>
        <v>0</v>
      </c>
      <c r="J615" s="52">
        <f t="shared" ref="J615:J628" si="44">(F615*G615*H615)/$C$32</f>
        <v>0</v>
      </c>
      <c r="K615" s="108"/>
      <c r="L615" s="113"/>
      <c r="M615" s="4"/>
      <c r="N615" s="4"/>
      <c r="O615" s="4"/>
      <c r="P615" s="4"/>
      <c r="Q615" s="4"/>
      <c r="R615" s="4"/>
      <c r="S615" s="4"/>
      <c r="T615" s="4"/>
    </row>
    <row r="616" spans="2:20" s="1" customFormat="1" ht="12.75" customHeight="1" x14ac:dyDescent="0.15">
      <c r="B616" s="26">
        <v>2</v>
      </c>
      <c r="C616" s="17"/>
      <c r="D616" s="24"/>
      <c r="E616" s="24"/>
      <c r="F616" s="129"/>
      <c r="G616" s="20"/>
      <c r="H616" s="20">
        <v>1</v>
      </c>
      <c r="I616" s="129">
        <f t="shared" si="43"/>
        <v>0</v>
      </c>
      <c r="J616" s="52">
        <f t="shared" si="44"/>
        <v>0</v>
      </c>
      <c r="K616" s="108"/>
      <c r="L616" s="113"/>
      <c r="M616" s="144"/>
      <c r="N616" s="4"/>
      <c r="O616" s="4"/>
      <c r="P616" s="4"/>
      <c r="Q616" s="4"/>
      <c r="R616" s="4"/>
      <c r="S616" s="4"/>
      <c r="T616" s="4"/>
    </row>
    <row r="617" spans="2:20" s="1" customFormat="1" ht="16.5" x14ac:dyDescent="0.15">
      <c r="B617" s="26">
        <v>3</v>
      </c>
      <c r="C617" s="17"/>
      <c r="D617" s="24"/>
      <c r="E617" s="24"/>
      <c r="F617" s="129"/>
      <c r="G617" s="20"/>
      <c r="H617" s="20">
        <v>1</v>
      </c>
      <c r="I617" s="129">
        <f t="shared" si="43"/>
        <v>0</v>
      </c>
      <c r="J617" s="52">
        <f t="shared" si="44"/>
        <v>0</v>
      </c>
      <c r="K617" s="108"/>
      <c r="L617" s="113"/>
      <c r="M617" s="145"/>
      <c r="N617" s="4"/>
      <c r="O617" s="4"/>
      <c r="P617" s="4"/>
      <c r="Q617" s="4"/>
      <c r="R617" s="4"/>
      <c r="S617" s="4"/>
      <c r="T617" s="4"/>
    </row>
    <row r="618" spans="2:20" s="1" customFormat="1" ht="12.75" customHeight="1" x14ac:dyDescent="0.15">
      <c r="B618" s="26">
        <v>4</v>
      </c>
      <c r="C618" s="16"/>
      <c r="D618" s="18"/>
      <c r="E618" s="18"/>
      <c r="F618" s="129"/>
      <c r="G618" s="20"/>
      <c r="H618" s="20">
        <v>1</v>
      </c>
      <c r="I618" s="129">
        <f t="shared" si="43"/>
        <v>0</v>
      </c>
      <c r="J618" s="52">
        <f t="shared" si="44"/>
        <v>0</v>
      </c>
      <c r="K618" s="108"/>
      <c r="L618" s="113"/>
      <c r="M618" s="4"/>
      <c r="N618" s="4"/>
      <c r="O618" s="4"/>
      <c r="P618" s="4"/>
      <c r="Q618" s="4"/>
      <c r="R618" s="4"/>
      <c r="S618" s="4"/>
      <c r="T618" s="4"/>
    </row>
    <row r="619" spans="2:20" s="1" customFormat="1" ht="12.75" customHeight="1" x14ac:dyDescent="0.15">
      <c r="B619" s="26">
        <v>5</v>
      </c>
      <c r="C619" s="17"/>
      <c r="D619" s="53"/>
      <c r="E619" s="53"/>
      <c r="F619" s="129"/>
      <c r="G619" s="20"/>
      <c r="H619" s="20">
        <v>1</v>
      </c>
      <c r="I619" s="129">
        <f t="shared" si="43"/>
        <v>0</v>
      </c>
      <c r="J619" s="27">
        <f t="shared" si="44"/>
        <v>0</v>
      </c>
      <c r="K619" s="108"/>
      <c r="L619" s="113"/>
      <c r="M619" s="4"/>
      <c r="N619" s="4"/>
      <c r="O619" s="4"/>
      <c r="P619" s="4"/>
      <c r="Q619" s="4"/>
      <c r="R619" s="4"/>
      <c r="S619" s="4"/>
      <c r="T619" s="4"/>
    </row>
    <row r="620" spans="2:20" s="1" customFormat="1" ht="12.75" x14ac:dyDescent="0.15">
      <c r="B620" s="26">
        <v>6</v>
      </c>
      <c r="C620" s="17"/>
      <c r="D620" s="24"/>
      <c r="E620" s="24"/>
      <c r="F620" s="129"/>
      <c r="G620" s="20"/>
      <c r="H620" s="20">
        <v>1</v>
      </c>
      <c r="I620" s="129">
        <f t="shared" si="43"/>
        <v>0</v>
      </c>
      <c r="J620" s="52">
        <f t="shared" si="44"/>
        <v>0</v>
      </c>
      <c r="K620" s="108"/>
      <c r="L620" s="113"/>
      <c r="M620" s="4"/>
      <c r="N620" s="4"/>
      <c r="O620" s="4"/>
      <c r="P620" s="4"/>
      <c r="Q620" s="4"/>
      <c r="R620" s="4"/>
      <c r="S620" s="4"/>
      <c r="T620" s="4"/>
    </row>
    <row r="621" spans="2:20" s="1" customFormat="1" ht="12.75" customHeight="1" x14ac:dyDescent="0.15">
      <c r="B621" s="26">
        <v>7</v>
      </c>
      <c r="C621" s="17"/>
      <c r="D621" s="22"/>
      <c r="E621" s="22"/>
      <c r="F621" s="129"/>
      <c r="G621" s="20"/>
      <c r="H621" s="20">
        <v>1</v>
      </c>
      <c r="I621" s="129">
        <f t="shared" si="43"/>
        <v>0</v>
      </c>
      <c r="J621" s="27">
        <f t="shared" si="44"/>
        <v>0</v>
      </c>
      <c r="K621" s="108"/>
      <c r="L621" s="113"/>
      <c r="M621" s="4"/>
      <c r="N621" s="4"/>
      <c r="O621" s="4"/>
      <c r="P621" s="4"/>
      <c r="Q621" s="4"/>
      <c r="R621" s="4"/>
      <c r="S621" s="4"/>
      <c r="T621" s="4"/>
    </row>
    <row r="622" spans="2:20" s="1" customFormat="1" ht="12.95" customHeight="1" x14ac:dyDescent="0.15">
      <c r="B622" s="26">
        <v>8</v>
      </c>
      <c r="C622" s="17"/>
      <c r="D622" s="18"/>
      <c r="E622" s="24"/>
      <c r="F622" s="129"/>
      <c r="G622" s="20"/>
      <c r="H622" s="20">
        <v>1</v>
      </c>
      <c r="I622" s="129">
        <f t="shared" si="43"/>
        <v>0</v>
      </c>
      <c r="J622" s="52">
        <f t="shared" si="44"/>
        <v>0</v>
      </c>
      <c r="K622" s="108"/>
      <c r="L622" s="113"/>
      <c r="M622" s="4"/>
      <c r="N622" s="4"/>
      <c r="O622" s="4"/>
      <c r="P622" s="4"/>
      <c r="Q622" s="4"/>
      <c r="R622" s="4"/>
      <c r="S622" s="4"/>
      <c r="T622" s="4"/>
    </row>
    <row r="623" spans="2:20" s="1" customFormat="1" ht="12.95" customHeight="1" x14ac:dyDescent="0.15">
      <c r="B623" s="26">
        <v>9</v>
      </c>
      <c r="C623" s="17"/>
      <c r="D623" s="18"/>
      <c r="E623" s="24"/>
      <c r="F623" s="129"/>
      <c r="G623" s="20"/>
      <c r="H623" s="20">
        <v>1</v>
      </c>
      <c r="I623" s="129">
        <f t="shared" si="43"/>
        <v>0</v>
      </c>
      <c r="J623" s="52">
        <f t="shared" si="44"/>
        <v>0</v>
      </c>
      <c r="K623" s="108"/>
      <c r="L623" s="113"/>
      <c r="M623" s="4"/>
      <c r="N623" s="4"/>
      <c r="O623" s="4"/>
      <c r="P623" s="4"/>
      <c r="Q623" s="4"/>
      <c r="R623" s="4"/>
      <c r="S623" s="4"/>
      <c r="T623" s="4"/>
    </row>
    <row r="624" spans="2:20" s="1" customFormat="1" ht="12.95" customHeight="1" x14ac:dyDescent="0.15">
      <c r="B624" s="26">
        <v>10</v>
      </c>
      <c r="C624" s="17"/>
      <c r="D624" s="24"/>
      <c r="E624" s="18"/>
      <c r="F624" s="129"/>
      <c r="G624" s="20"/>
      <c r="H624" s="20">
        <v>1</v>
      </c>
      <c r="I624" s="129">
        <f t="shared" si="43"/>
        <v>0</v>
      </c>
      <c r="J624" s="52">
        <f t="shared" si="44"/>
        <v>0</v>
      </c>
      <c r="K624" s="108"/>
      <c r="L624" s="113"/>
      <c r="M624" s="4"/>
      <c r="N624" s="4"/>
      <c r="O624" s="4"/>
      <c r="P624" s="4"/>
      <c r="Q624" s="4"/>
      <c r="R624" s="4"/>
      <c r="S624" s="4"/>
      <c r="T624" s="4"/>
    </row>
    <row r="625" spans="2:20" s="1" customFormat="1" ht="12.95" customHeight="1" x14ac:dyDescent="0.15">
      <c r="B625" s="26"/>
      <c r="C625" s="17"/>
      <c r="D625" s="24"/>
      <c r="E625" s="18"/>
      <c r="F625" s="129"/>
      <c r="G625" s="20"/>
      <c r="H625" s="20"/>
      <c r="I625" s="129"/>
      <c r="J625" s="52"/>
      <c r="K625" s="108"/>
      <c r="L625" s="113"/>
      <c r="M625" s="4"/>
      <c r="N625" s="4"/>
      <c r="O625" s="4"/>
      <c r="P625" s="4"/>
      <c r="Q625" s="4"/>
      <c r="R625" s="4"/>
      <c r="S625" s="4"/>
      <c r="T625" s="4"/>
    </row>
    <row r="626" spans="2:20" s="1" customFormat="1" ht="12.95" customHeight="1" x14ac:dyDescent="0.15">
      <c r="B626" s="26"/>
      <c r="C626" s="17"/>
      <c r="D626" s="24"/>
      <c r="E626" s="18"/>
      <c r="F626" s="129"/>
      <c r="G626" s="20"/>
      <c r="H626" s="20"/>
      <c r="I626" s="129"/>
      <c r="J626" s="52"/>
      <c r="K626" s="108"/>
      <c r="L626" s="113"/>
      <c r="M626" s="4"/>
      <c r="N626" s="4"/>
      <c r="O626" s="4"/>
      <c r="P626" s="4"/>
      <c r="Q626" s="4"/>
      <c r="R626" s="4"/>
      <c r="S626" s="4"/>
      <c r="T626" s="4"/>
    </row>
    <row r="627" spans="2:20" s="1" customFormat="1" ht="12.95" customHeight="1" x14ac:dyDescent="0.15">
      <c r="B627" s="26"/>
      <c r="C627" s="22" t="s">
        <v>153</v>
      </c>
      <c r="D627" s="24"/>
      <c r="E627" s="18"/>
      <c r="F627" s="129"/>
      <c r="G627" s="20"/>
      <c r="H627" s="20"/>
      <c r="I627" s="129"/>
      <c r="J627" s="52"/>
      <c r="K627" s="108"/>
      <c r="L627" s="113"/>
      <c r="M627" s="4"/>
      <c r="N627" s="4"/>
      <c r="O627" s="4"/>
      <c r="P627" s="4"/>
      <c r="Q627" s="4"/>
      <c r="R627" s="4"/>
      <c r="S627" s="4"/>
      <c r="T627" s="4"/>
    </row>
    <row r="628" spans="2:20" s="1" customFormat="1" ht="12.95" customHeight="1" x14ac:dyDescent="0.15">
      <c r="B628" s="26">
        <v>1</v>
      </c>
      <c r="C628" s="17"/>
      <c r="D628" s="24"/>
      <c r="E628" s="24"/>
      <c r="F628" s="129"/>
      <c r="G628" s="20"/>
      <c r="H628" s="20">
        <v>1</v>
      </c>
      <c r="I628" s="129">
        <f t="shared" si="43"/>
        <v>0</v>
      </c>
      <c r="J628" s="52">
        <f t="shared" si="44"/>
        <v>0</v>
      </c>
      <c r="K628" s="108"/>
      <c r="L628" s="113"/>
      <c r="M628" s="4"/>
      <c r="N628" s="4"/>
      <c r="O628" s="4"/>
      <c r="P628" s="4"/>
      <c r="Q628" s="4"/>
      <c r="R628" s="4"/>
      <c r="S628" s="4"/>
      <c r="T628" s="4"/>
    </row>
    <row r="629" spans="2:20" s="1" customFormat="1" ht="12.95" customHeight="1" x14ac:dyDescent="0.15">
      <c r="B629" s="26">
        <v>2</v>
      </c>
      <c r="C629" s="17"/>
      <c r="D629" s="24"/>
      <c r="E629" s="24"/>
      <c r="F629" s="129"/>
      <c r="G629" s="20"/>
      <c r="H629" s="20">
        <v>1</v>
      </c>
      <c r="I629" s="129">
        <f t="shared" si="43"/>
        <v>0</v>
      </c>
      <c r="J629" s="52">
        <f>(F629*G629*H629)/$C$32</f>
        <v>0</v>
      </c>
      <c r="K629" s="108"/>
      <c r="L629" s="113"/>
      <c r="M629" s="4"/>
      <c r="N629" s="4"/>
      <c r="O629" s="4"/>
      <c r="P629" s="4"/>
      <c r="Q629" s="4"/>
      <c r="R629" s="4"/>
      <c r="S629" s="4"/>
      <c r="T629" s="4"/>
    </row>
    <row r="630" spans="2:20" s="1" customFormat="1" ht="12.95" customHeight="1" x14ac:dyDescent="0.15">
      <c r="B630" s="26">
        <v>3</v>
      </c>
      <c r="C630" s="24"/>
      <c r="D630" s="24"/>
      <c r="E630" s="24"/>
      <c r="F630" s="129"/>
      <c r="G630" s="20"/>
      <c r="H630" s="20">
        <v>1</v>
      </c>
      <c r="I630" s="129">
        <f t="shared" si="43"/>
        <v>0</v>
      </c>
      <c r="J630" s="52">
        <f>(F630*G630*H630)/$C$32</f>
        <v>0</v>
      </c>
      <c r="K630" s="108"/>
      <c r="L630" s="113"/>
      <c r="M630" s="4"/>
      <c r="N630" s="4"/>
      <c r="O630" s="4"/>
      <c r="P630" s="4"/>
      <c r="Q630" s="4"/>
      <c r="R630" s="4"/>
      <c r="S630" s="4"/>
      <c r="T630" s="4"/>
    </row>
    <row r="631" spans="2:20" s="1" customFormat="1" ht="12.95" customHeight="1" x14ac:dyDescent="0.15">
      <c r="B631" s="26">
        <v>4</v>
      </c>
      <c r="C631" s="24"/>
      <c r="D631" s="24"/>
      <c r="E631" s="24"/>
      <c r="F631" s="129"/>
      <c r="G631" s="20"/>
      <c r="H631" s="20">
        <v>1</v>
      </c>
      <c r="I631" s="129">
        <f t="shared" si="43"/>
        <v>0</v>
      </c>
      <c r="J631" s="52">
        <f t="shared" ref="J631:J632" si="45">(F631*G631*H631)/$C$32</f>
        <v>0</v>
      </c>
      <c r="K631" s="108"/>
      <c r="L631" s="113"/>
      <c r="M631" s="4"/>
      <c r="N631" s="4"/>
      <c r="O631" s="4"/>
      <c r="P631" s="4"/>
      <c r="Q631" s="4"/>
      <c r="R631" s="4"/>
      <c r="S631" s="4"/>
      <c r="T631" s="4"/>
    </row>
    <row r="632" spans="2:20" s="1" customFormat="1" ht="12.95" customHeight="1" x14ac:dyDescent="0.15">
      <c r="B632" s="26">
        <v>5</v>
      </c>
      <c r="C632" s="17"/>
      <c r="D632" s="18"/>
      <c r="E632" s="18"/>
      <c r="F632" s="129"/>
      <c r="G632" s="20"/>
      <c r="H632" s="20">
        <v>1</v>
      </c>
      <c r="I632" s="129">
        <f>J632*$C$32</f>
        <v>0</v>
      </c>
      <c r="J632" s="27">
        <f t="shared" si="45"/>
        <v>0</v>
      </c>
      <c r="K632" s="108"/>
      <c r="L632" s="113"/>
      <c r="M632" s="4"/>
      <c r="N632" s="4"/>
      <c r="O632" s="4"/>
      <c r="P632" s="4"/>
      <c r="Q632" s="4"/>
      <c r="R632" s="4"/>
      <c r="S632" s="4"/>
      <c r="T632" s="4"/>
    </row>
    <row r="633" spans="2:20" s="1" customFormat="1" ht="12.95" customHeight="1" x14ac:dyDescent="0.15">
      <c r="B633" s="26">
        <v>6</v>
      </c>
      <c r="C633" s="17"/>
      <c r="D633" s="24"/>
      <c r="E633" s="24"/>
      <c r="F633" s="129"/>
      <c r="G633" s="20"/>
      <c r="H633" s="20">
        <v>1</v>
      </c>
      <c r="I633" s="129">
        <f t="shared" ref="I633" si="46">J633*$C$32</f>
        <v>0</v>
      </c>
      <c r="J633" s="54">
        <f>(F633*G633*H633)/$C$32</f>
        <v>0</v>
      </c>
      <c r="K633" s="108"/>
      <c r="L633" s="113"/>
      <c r="M633" s="4"/>
      <c r="N633" s="4"/>
      <c r="O633" s="4"/>
      <c r="P633" s="4"/>
      <c r="Q633" s="4"/>
      <c r="R633" s="4"/>
      <c r="S633" s="4"/>
      <c r="T633" s="4"/>
    </row>
    <row r="634" spans="2:20" s="1" customFormat="1" ht="12.95" customHeight="1" x14ac:dyDescent="0.15">
      <c r="B634" s="26">
        <v>7</v>
      </c>
      <c r="C634" s="17"/>
      <c r="D634" s="24"/>
      <c r="E634" s="24"/>
      <c r="F634" s="129"/>
      <c r="G634" s="20"/>
      <c r="H634" s="20">
        <v>1</v>
      </c>
      <c r="I634" s="129">
        <f>J634*$C$32</f>
        <v>0</v>
      </c>
      <c r="J634" s="54">
        <f>(F634*G634*H634)/$C$32</f>
        <v>0</v>
      </c>
      <c r="K634" s="108"/>
      <c r="L634" s="113"/>
      <c r="M634" s="4"/>
      <c r="N634" s="4"/>
      <c r="O634" s="4"/>
      <c r="P634" s="4"/>
      <c r="Q634" s="4"/>
      <c r="R634" s="4"/>
      <c r="S634" s="4"/>
      <c r="T634" s="4"/>
    </row>
    <row r="635" spans="2:20" s="1" customFormat="1" ht="14.85" customHeight="1" x14ac:dyDescent="0.15">
      <c r="B635" s="26">
        <v>8</v>
      </c>
      <c r="C635" s="17"/>
      <c r="D635" s="24"/>
      <c r="E635" s="24"/>
      <c r="F635" s="129"/>
      <c r="G635" s="20"/>
      <c r="H635" s="20">
        <v>1</v>
      </c>
      <c r="I635" s="129">
        <f t="shared" ref="I635:I647" si="47">J635*$C$32</f>
        <v>0</v>
      </c>
      <c r="J635" s="52">
        <f t="shared" ref="J635:J647" si="48">(F635*G635*H635)/$C$32</f>
        <v>0</v>
      </c>
      <c r="K635" s="108"/>
      <c r="L635" s="113"/>
      <c r="M635" s="4"/>
      <c r="N635" s="4"/>
      <c r="O635" s="4"/>
      <c r="P635" s="4"/>
      <c r="Q635" s="4"/>
      <c r="R635" s="4"/>
      <c r="S635" s="4"/>
      <c r="T635" s="4"/>
    </row>
    <row r="636" spans="2:20" s="1" customFormat="1" ht="12.95" customHeight="1" x14ac:dyDescent="0.15">
      <c r="B636" s="26">
        <v>9</v>
      </c>
      <c r="C636" s="17"/>
      <c r="D636" s="24"/>
      <c r="E636" s="24"/>
      <c r="F636" s="129"/>
      <c r="G636" s="20"/>
      <c r="H636" s="20">
        <v>1</v>
      </c>
      <c r="I636" s="129">
        <f t="shared" si="47"/>
        <v>0</v>
      </c>
      <c r="J636" s="52">
        <f t="shared" si="48"/>
        <v>0</v>
      </c>
      <c r="K636" s="108"/>
      <c r="L636" s="113"/>
      <c r="M636" s="4"/>
      <c r="N636" s="4"/>
      <c r="O636" s="4"/>
      <c r="P636" s="4"/>
      <c r="Q636" s="4"/>
      <c r="R636" s="4"/>
      <c r="S636" s="4"/>
      <c r="T636" s="4"/>
    </row>
    <row r="637" spans="2:20" s="1" customFormat="1" ht="12.95" customHeight="1" x14ac:dyDescent="0.15">
      <c r="B637" s="26">
        <v>10</v>
      </c>
      <c r="C637" s="17"/>
      <c r="D637" s="24"/>
      <c r="E637" s="24"/>
      <c r="F637" s="129"/>
      <c r="G637" s="20"/>
      <c r="H637" s="20">
        <v>1</v>
      </c>
      <c r="I637" s="129">
        <f t="shared" si="47"/>
        <v>0</v>
      </c>
      <c r="J637" s="52">
        <f t="shared" si="48"/>
        <v>0</v>
      </c>
      <c r="K637" s="108"/>
      <c r="L637" s="113"/>
      <c r="M637" s="4"/>
      <c r="N637" s="4"/>
      <c r="O637" s="4"/>
      <c r="P637" s="4"/>
      <c r="Q637" s="4"/>
      <c r="R637" s="4"/>
      <c r="S637" s="4"/>
      <c r="T637" s="4"/>
    </row>
    <row r="638" spans="2:20" s="1" customFormat="1" ht="12.95" customHeight="1" x14ac:dyDescent="0.15">
      <c r="B638" s="26">
        <v>11</v>
      </c>
      <c r="C638" s="17"/>
      <c r="D638" s="24"/>
      <c r="E638" s="24"/>
      <c r="F638" s="129"/>
      <c r="G638" s="20"/>
      <c r="H638" s="20">
        <v>1</v>
      </c>
      <c r="I638" s="129">
        <f t="shared" si="47"/>
        <v>0</v>
      </c>
      <c r="J638" s="52">
        <f t="shared" si="48"/>
        <v>0</v>
      </c>
      <c r="K638" s="108"/>
      <c r="L638" s="113"/>
      <c r="M638" s="4"/>
      <c r="N638" s="4"/>
      <c r="O638" s="4"/>
      <c r="P638" s="4"/>
      <c r="Q638" s="4"/>
      <c r="R638" s="4"/>
      <c r="S638" s="4"/>
      <c r="T638" s="4"/>
    </row>
    <row r="639" spans="2:20" s="1" customFormat="1" ht="12.95" customHeight="1" x14ac:dyDescent="0.15">
      <c r="B639" s="26">
        <v>12</v>
      </c>
      <c r="C639" s="17"/>
      <c r="D639" s="18"/>
      <c r="E639" s="18"/>
      <c r="F639" s="129"/>
      <c r="G639" s="20"/>
      <c r="H639" s="20">
        <v>1</v>
      </c>
      <c r="I639" s="129">
        <f t="shared" si="47"/>
        <v>0</v>
      </c>
      <c r="J639" s="52">
        <f t="shared" si="48"/>
        <v>0</v>
      </c>
      <c r="K639" s="108"/>
      <c r="L639" s="113"/>
      <c r="M639" s="4"/>
      <c r="N639" s="4"/>
      <c r="O639" s="4"/>
      <c r="P639" s="4"/>
      <c r="Q639" s="4"/>
      <c r="R639" s="4"/>
      <c r="S639" s="4"/>
      <c r="T639" s="4"/>
    </row>
    <row r="640" spans="2:20" s="1" customFormat="1" ht="12.95" customHeight="1" x14ac:dyDescent="0.15">
      <c r="B640" s="26">
        <v>13</v>
      </c>
      <c r="C640" s="17"/>
      <c r="D640" s="18"/>
      <c r="E640" s="18"/>
      <c r="F640" s="129"/>
      <c r="G640" s="20"/>
      <c r="H640" s="20">
        <v>1</v>
      </c>
      <c r="I640" s="129">
        <f t="shared" si="47"/>
        <v>0</v>
      </c>
      <c r="J640" s="52">
        <f t="shared" si="48"/>
        <v>0</v>
      </c>
      <c r="K640" s="108"/>
      <c r="L640" s="113"/>
      <c r="M640" s="4"/>
      <c r="N640" s="4"/>
      <c r="O640" s="4"/>
      <c r="P640" s="4"/>
      <c r="Q640" s="4"/>
      <c r="R640" s="4"/>
      <c r="S640" s="4"/>
      <c r="T640" s="4"/>
    </row>
    <row r="641" spans="2:20" s="1" customFormat="1" ht="12.95" customHeight="1" x14ac:dyDescent="0.15">
      <c r="B641" s="26">
        <v>14</v>
      </c>
      <c r="C641" s="17"/>
      <c r="D641" s="18"/>
      <c r="E641" s="18"/>
      <c r="F641" s="129"/>
      <c r="G641" s="20"/>
      <c r="H641" s="20">
        <v>1</v>
      </c>
      <c r="I641" s="129">
        <f t="shared" si="47"/>
        <v>0</v>
      </c>
      <c r="J641" s="52">
        <f t="shared" si="48"/>
        <v>0</v>
      </c>
      <c r="K641" s="108"/>
      <c r="L641" s="113"/>
      <c r="M641" s="4"/>
      <c r="N641" s="4"/>
      <c r="O641" s="4"/>
      <c r="P641" s="4"/>
      <c r="Q641" s="4"/>
      <c r="R641" s="4"/>
      <c r="S641" s="4"/>
      <c r="T641" s="4"/>
    </row>
    <row r="642" spans="2:20" s="1" customFormat="1" ht="12.95" customHeight="1" x14ac:dyDescent="0.15">
      <c r="B642" s="26">
        <v>15</v>
      </c>
      <c r="C642" s="11"/>
      <c r="D642" s="18"/>
      <c r="E642" s="18"/>
      <c r="F642" s="129"/>
      <c r="G642" s="20"/>
      <c r="H642" s="20">
        <v>1</v>
      </c>
      <c r="I642" s="126">
        <f t="shared" si="47"/>
        <v>0</v>
      </c>
      <c r="J642" s="21">
        <f t="shared" si="48"/>
        <v>0</v>
      </c>
      <c r="K642" s="108"/>
      <c r="L642" s="113"/>
      <c r="M642" s="4"/>
      <c r="N642" s="4"/>
      <c r="O642" s="4"/>
      <c r="P642" s="4"/>
      <c r="Q642" s="4"/>
      <c r="R642" s="4"/>
      <c r="S642" s="4"/>
      <c r="T642" s="4"/>
    </row>
    <row r="643" spans="2:20" s="1" customFormat="1" ht="12.95" customHeight="1" x14ac:dyDescent="0.15">
      <c r="B643" s="26">
        <v>16</v>
      </c>
      <c r="C643" s="23"/>
      <c r="D643" s="49"/>
      <c r="E643" s="49"/>
      <c r="F643" s="126"/>
      <c r="G643" s="50"/>
      <c r="H643" s="20">
        <v>1</v>
      </c>
      <c r="I643" s="126">
        <f t="shared" si="47"/>
        <v>0</v>
      </c>
      <c r="J643" s="21">
        <f t="shared" si="48"/>
        <v>0</v>
      </c>
      <c r="K643" s="108"/>
      <c r="L643" s="113"/>
      <c r="M643" s="4"/>
      <c r="N643" s="4"/>
      <c r="O643" s="4"/>
      <c r="P643" s="4"/>
      <c r="Q643" s="4"/>
      <c r="R643" s="4"/>
      <c r="S643" s="4"/>
      <c r="T643" s="4"/>
    </row>
    <row r="644" spans="2:20" s="1" customFormat="1" ht="12.95" customHeight="1" x14ac:dyDescent="0.15">
      <c r="B644" s="26">
        <v>17</v>
      </c>
      <c r="C644" s="23"/>
      <c r="D644" s="48"/>
      <c r="E644" s="48"/>
      <c r="F644" s="126"/>
      <c r="G644" s="50"/>
      <c r="H644" s="20">
        <v>1</v>
      </c>
      <c r="I644" s="126">
        <f t="shared" si="47"/>
        <v>0</v>
      </c>
      <c r="J644" s="21">
        <f t="shared" si="48"/>
        <v>0</v>
      </c>
      <c r="K644" s="108"/>
      <c r="L644" s="113"/>
      <c r="M644" s="4"/>
      <c r="N644" s="4"/>
      <c r="O644" s="4"/>
      <c r="P644" s="4"/>
      <c r="Q644" s="4"/>
      <c r="R644" s="4"/>
      <c r="S644" s="4"/>
      <c r="T644" s="4"/>
    </row>
    <row r="645" spans="2:20" s="1" customFormat="1" ht="12.95" customHeight="1" x14ac:dyDescent="0.15">
      <c r="B645" s="26">
        <v>18</v>
      </c>
      <c r="C645" s="23"/>
      <c r="D645" s="48"/>
      <c r="E645" s="48"/>
      <c r="F645" s="126"/>
      <c r="G645" s="50"/>
      <c r="H645" s="20">
        <v>1</v>
      </c>
      <c r="I645" s="126">
        <f t="shared" si="47"/>
        <v>0</v>
      </c>
      <c r="J645" s="21">
        <f t="shared" si="48"/>
        <v>0</v>
      </c>
      <c r="K645" s="108"/>
      <c r="L645" s="113"/>
      <c r="M645" s="4"/>
      <c r="N645" s="4"/>
      <c r="O645" s="4"/>
      <c r="P645" s="4"/>
      <c r="Q645" s="4"/>
      <c r="R645" s="4"/>
      <c r="S645" s="4"/>
      <c r="T645" s="4"/>
    </row>
    <row r="646" spans="2:20" s="1" customFormat="1" ht="12.95" customHeight="1" x14ac:dyDescent="0.15">
      <c r="B646" s="26">
        <v>19</v>
      </c>
      <c r="C646" s="23"/>
      <c r="D646" s="48"/>
      <c r="E646" s="48"/>
      <c r="F646" s="126"/>
      <c r="G646" s="50"/>
      <c r="H646" s="20">
        <v>1</v>
      </c>
      <c r="I646" s="126">
        <f t="shared" si="47"/>
        <v>0</v>
      </c>
      <c r="J646" s="21">
        <f t="shared" si="48"/>
        <v>0</v>
      </c>
      <c r="K646" s="108"/>
      <c r="L646" s="113"/>
      <c r="M646" s="4"/>
      <c r="N646" s="4"/>
      <c r="O646" s="4"/>
      <c r="P646" s="4"/>
      <c r="Q646" s="4"/>
      <c r="R646" s="4"/>
      <c r="S646" s="4"/>
      <c r="T646" s="4"/>
    </row>
    <row r="647" spans="2:20" s="1" customFormat="1" ht="12.95" customHeight="1" x14ac:dyDescent="0.15">
      <c r="B647" s="26">
        <v>20</v>
      </c>
      <c r="C647" s="23"/>
      <c r="D647" s="48"/>
      <c r="E647" s="48"/>
      <c r="F647" s="126"/>
      <c r="G647" s="50"/>
      <c r="H647" s="20">
        <v>1</v>
      </c>
      <c r="I647" s="126">
        <f t="shared" si="47"/>
        <v>0</v>
      </c>
      <c r="J647" s="21">
        <f t="shared" si="48"/>
        <v>0</v>
      </c>
      <c r="K647" s="108"/>
      <c r="L647" s="113"/>
      <c r="M647" s="4"/>
      <c r="N647" s="4"/>
      <c r="O647" s="4"/>
      <c r="P647" s="4"/>
      <c r="Q647" s="4"/>
      <c r="R647" s="4"/>
      <c r="S647" s="4"/>
      <c r="T647" s="4"/>
    </row>
    <row r="648" spans="2:20" s="1" customFormat="1" ht="12.95" customHeight="1" x14ac:dyDescent="0.15">
      <c r="B648" s="26"/>
      <c r="C648" s="23"/>
      <c r="D648" s="48"/>
      <c r="E648" s="48"/>
      <c r="F648" s="126"/>
      <c r="G648" s="50"/>
      <c r="H648" s="50"/>
      <c r="I648" s="126"/>
      <c r="J648" s="38"/>
      <c r="K648" s="108"/>
      <c r="L648" s="113"/>
      <c r="M648" s="4"/>
      <c r="N648" s="4"/>
      <c r="O648" s="4"/>
      <c r="P648" s="4"/>
      <c r="Q648" s="4"/>
      <c r="R648" s="4"/>
      <c r="S648" s="4"/>
      <c r="T648" s="4"/>
    </row>
    <row r="649" spans="2:20" s="1" customFormat="1" ht="12.95" customHeight="1" x14ac:dyDescent="0.15">
      <c r="B649" s="26"/>
      <c r="C649" s="23"/>
      <c r="D649" s="48"/>
      <c r="E649" s="48"/>
      <c r="F649" s="126"/>
      <c r="G649" s="50"/>
      <c r="H649" s="50"/>
      <c r="I649" s="126"/>
      <c r="J649" s="38"/>
      <c r="K649" s="108"/>
      <c r="L649" s="113"/>
      <c r="M649" s="4"/>
      <c r="N649" s="4"/>
      <c r="O649" s="4"/>
      <c r="P649" s="4"/>
      <c r="Q649" s="4"/>
      <c r="R649" s="4"/>
      <c r="S649" s="4"/>
      <c r="T649" s="4"/>
    </row>
    <row r="650" spans="2:20" s="1" customFormat="1" ht="12.95" customHeight="1" x14ac:dyDescent="0.15">
      <c r="B650" s="26"/>
      <c r="C650" s="95" t="s">
        <v>132</v>
      </c>
      <c r="D650" s="49"/>
      <c r="E650" s="49"/>
      <c r="F650" s="126"/>
      <c r="G650" s="50"/>
      <c r="H650" s="50"/>
      <c r="I650" s="126"/>
      <c r="J650" s="21"/>
      <c r="K650" s="108"/>
      <c r="L650" s="113"/>
      <c r="M650" s="57"/>
      <c r="N650" s="57"/>
      <c r="O650" s="57"/>
      <c r="P650" s="57"/>
      <c r="Q650" s="58"/>
      <c r="R650" s="57"/>
      <c r="S650" s="4"/>
      <c r="T650" s="57"/>
    </row>
    <row r="651" spans="2:20" s="1" customFormat="1" ht="12.95" customHeight="1" x14ac:dyDescent="0.15">
      <c r="B651" s="26">
        <v>1</v>
      </c>
      <c r="C651" s="60"/>
      <c r="D651" s="49"/>
      <c r="E651" s="49"/>
      <c r="F651" s="126"/>
      <c r="G651" s="50"/>
      <c r="H651" s="50">
        <v>1</v>
      </c>
      <c r="I651" s="126">
        <f>J651*$C$32</f>
        <v>0</v>
      </c>
      <c r="J651" s="21">
        <f t="shared" ref="J651:J670" si="49">(F651*G651*H651)/$C$32</f>
        <v>0</v>
      </c>
      <c r="K651" s="108"/>
      <c r="L651" s="113"/>
      <c r="M651" s="57"/>
      <c r="N651" s="57"/>
      <c r="O651" s="57"/>
      <c r="P651" s="57"/>
      <c r="Q651" s="58"/>
      <c r="R651" s="57"/>
      <c r="S651" s="4"/>
      <c r="T651" s="57"/>
    </row>
    <row r="652" spans="2:20" s="1" customFormat="1" ht="12.95" customHeight="1" x14ac:dyDescent="0.15">
      <c r="B652" s="26">
        <v>2</v>
      </c>
      <c r="C652" s="59"/>
      <c r="D652" s="49"/>
      <c r="E652" s="49"/>
      <c r="F652" s="126"/>
      <c r="G652" s="50"/>
      <c r="H652" s="50">
        <v>1</v>
      </c>
      <c r="I652" s="126">
        <f t="shared" ref="I652:I670" si="50">J652*$C$32</f>
        <v>0</v>
      </c>
      <c r="J652" s="21">
        <f t="shared" si="49"/>
        <v>0</v>
      </c>
      <c r="K652" s="108"/>
      <c r="L652" s="113"/>
      <c r="M652" s="57"/>
      <c r="N652" s="57"/>
      <c r="O652" s="57"/>
      <c r="P652" s="57"/>
      <c r="Q652" s="58"/>
      <c r="R652" s="57"/>
      <c r="S652" s="4"/>
      <c r="T652" s="57"/>
    </row>
    <row r="653" spans="2:20" s="1" customFormat="1" ht="12.95" customHeight="1" x14ac:dyDescent="0.15">
      <c r="B653" s="26">
        <v>3</v>
      </c>
      <c r="C653" s="61"/>
      <c r="D653" s="49"/>
      <c r="E653" s="49"/>
      <c r="F653" s="126"/>
      <c r="G653" s="50"/>
      <c r="H653" s="50">
        <v>1</v>
      </c>
      <c r="I653" s="126">
        <f t="shared" si="50"/>
        <v>0</v>
      </c>
      <c r="J653" s="21">
        <f t="shared" si="49"/>
        <v>0</v>
      </c>
      <c r="K653" s="108"/>
      <c r="L653" s="113"/>
      <c r="M653" s="57"/>
      <c r="N653" s="57"/>
      <c r="O653" s="57"/>
      <c r="P653" s="57"/>
      <c r="Q653" s="58"/>
      <c r="R653" s="57"/>
      <c r="S653" s="4"/>
      <c r="T653" s="57"/>
    </row>
    <row r="654" spans="2:20" s="1" customFormat="1" ht="12.95" customHeight="1" x14ac:dyDescent="0.15">
      <c r="B654" s="16">
        <v>4</v>
      </c>
      <c r="C654" s="11"/>
      <c r="D654" s="18"/>
      <c r="E654" s="18"/>
      <c r="F654" s="129"/>
      <c r="G654" s="20"/>
      <c r="H654" s="20">
        <v>1</v>
      </c>
      <c r="I654" s="126">
        <f t="shared" si="50"/>
        <v>0</v>
      </c>
      <c r="J654" s="21">
        <f t="shared" si="49"/>
        <v>0</v>
      </c>
      <c r="K654" s="80"/>
      <c r="L654" s="82"/>
      <c r="M654" s="10"/>
      <c r="N654" s="10"/>
      <c r="O654" s="10"/>
      <c r="P654" s="10"/>
      <c r="Q654" s="43"/>
      <c r="R654" s="10"/>
      <c r="T654" s="10"/>
    </row>
    <row r="655" spans="2:20" s="1" customFormat="1" ht="12.95" customHeight="1" x14ac:dyDescent="0.15">
      <c r="B655" s="16">
        <v>5</v>
      </c>
      <c r="C655" s="46"/>
      <c r="D655" s="18"/>
      <c r="E655" s="18"/>
      <c r="F655" s="129"/>
      <c r="G655" s="20"/>
      <c r="H655" s="20">
        <v>1</v>
      </c>
      <c r="I655" s="126">
        <f t="shared" si="50"/>
        <v>0</v>
      </c>
      <c r="J655" s="21">
        <f t="shared" si="49"/>
        <v>0</v>
      </c>
      <c r="K655" s="80"/>
      <c r="L655" s="82"/>
      <c r="M655" s="10"/>
      <c r="N655" s="10"/>
      <c r="O655" s="10"/>
      <c r="P655" s="10"/>
      <c r="Q655" s="43"/>
      <c r="R655" s="10"/>
      <c r="T655" s="10"/>
    </row>
    <row r="656" spans="2:20" s="1" customFormat="1" ht="12.95" customHeight="1" x14ac:dyDescent="0.15">
      <c r="B656" s="16">
        <v>6</v>
      </c>
      <c r="C656" s="11"/>
      <c r="D656" s="18"/>
      <c r="E656" s="18"/>
      <c r="F656" s="129"/>
      <c r="G656" s="20"/>
      <c r="H656" s="20">
        <v>1</v>
      </c>
      <c r="I656" s="126">
        <f t="shared" si="50"/>
        <v>0</v>
      </c>
      <c r="J656" s="21">
        <f t="shared" si="49"/>
        <v>0</v>
      </c>
      <c r="K656" s="80"/>
      <c r="L656" s="82"/>
      <c r="M656" s="10"/>
      <c r="N656" s="10"/>
      <c r="O656" s="10"/>
      <c r="P656" s="10"/>
      <c r="Q656" s="43"/>
      <c r="R656" s="10"/>
      <c r="T656" s="10"/>
    </row>
    <row r="657" spans="2:20" s="1" customFormat="1" ht="12.95" customHeight="1" x14ac:dyDescent="0.15">
      <c r="B657" s="16">
        <v>7</v>
      </c>
      <c r="C657" s="11"/>
      <c r="D657" s="18"/>
      <c r="E657" s="18"/>
      <c r="F657" s="129"/>
      <c r="G657" s="20"/>
      <c r="H657" s="20">
        <v>1</v>
      </c>
      <c r="I657" s="126">
        <f t="shared" si="50"/>
        <v>0</v>
      </c>
      <c r="J657" s="21">
        <f t="shared" si="49"/>
        <v>0</v>
      </c>
      <c r="K657" s="80"/>
      <c r="L657" s="82"/>
      <c r="M657" s="10"/>
      <c r="N657" s="10"/>
      <c r="O657" s="10"/>
      <c r="P657" s="10"/>
      <c r="Q657" s="43"/>
      <c r="R657" s="10"/>
      <c r="T657" s="10"/>
    </row>
    <row r="658" spans="2:20" s="1" customFormat="1" ht="12.95" customHeight="1" x14ac:dyDescent="0.15">
      <c r="B658" s="16">
        <v>8</v>
      </c>
      <c r="C658" s="11"/>
      <c r="D658" s="18"/>
      <c r="E658" s="18"/>
      <c r="F658" s="129"/>
      <c r="G658" s="20"/>
      <c r="H658" s="20">
        <v>1</v>
      </c>
      <c r="I658" s="126">
        <f t="shared" si="50"/>
        <v>0</v>
      </c>
      <c r="J658" s="21">
        <f t="shared" si="49"/>
        <v>0</v>
      </c>
      <c r="K658" s="80"/>
      <c r="L658" s="82"/>
      <c r="M658" s="10"/>
      <c r="N658" s="10"/>
      <c r="O658" s="10"/>
      <c r="P658" s="10"/>
      <c r="Q658" s="43"/>
      <c r="R658" s="10"/>
      <c r="T658" s="10"/>
    </row>
    <row r="659" spans="2:20" s="1" customFormat="1" ht="12.95" customHeight="1" x14ac:dyDescent="0.15">
      <c r="B659" s="16">
        <v>9</v>
      </c>
      <c r="C659" s="11"/>
      <c r="D659" s="18"/>
      <c r="E659" s="18"/>
      <c r="F659" s="129"/>
      <c r="G659" s="20"/>
      <c r="H659" s="20">
        <v>1</v>
      </c>
      <c r="I659" s="126">
        <f t="shared" si="50"/>
        <v>0</v>
      </c>
      <c r="J659" s="21">
        <f t="shared" si="49"/>
        <v>0</v>
      </c>
      <c r="K659" s="80"/>
      <c r="L659" s="82"/>
      <c r="M659" s="10"/>
      <c r="N659" s="10"/>
      <c r="O659" s="10"/>
      <c r="P659" s="10"/>
      <c r="Q659" s="43"/>
      <c r="R659" s="10"/>
      <c r="T659" s="10"/>
    </row>
    <row r="660" spans="2:20" s="1" customFormat="1" ht="12.95" customHeight="1" x14ac:dyDescent="0.15">
      <c r="B660" s="16">
        <v>10</v>
      </c>
      <c r="C660" s="11"/>
      <c r="D660" s="18"/>
      <c r="E660" s="18"/>
      <c r="F660" s="129"/>
      <c r="G660" s="20"/>
      <c r="H660" s="20">
        <v>1</v>
      </c>
      <c r="I660" s="126">
        <f t="shared" si="50"/>
        <v>0</v>
      </c>
      <c r="J660" s="21">
        <f t="shared" si="49"/>
        <v>0</v>
      </c>
      <c r="K660" s="80"/>
      <c r="L660" s="82"/>
      <c r="M660" s="10"/>
      <c r="N660" s="10"/>
      <c r="O660" s="10"/>
      <c r="P660" s="10"/>
      <c r="Q660" s="43"/>
      <c r="R660" s="10"/>
      <c r="T660" s="10"/>
    </row>
    <row r="661" spans="2:20" s="1" customFormat="1" ht="12.95" customHeight="1" x14ac:dyDescent="0.15">
      <c r="B661" s="16">
        <v>11</v>
      </c>
      <c r="C661" s="11"/>
      <c r="D661" s="18"/>
      <c r="E661" s="18"/>
      <c r="F661" s="129"/>
      <c r="G661" s="20"/>
      <c r="H661" s="20">
        <v>1</v>
      </c>
      <c r="I661" s="126">
        <f t="shared" si="50"/>
        <v>0</v>
      </c>
      <c r="J661" s="21">
        <f t="shared" si="49"/>
        <v>0</v>
      </c>
      <c r="K661" s="80"/>
      <c r="L661" s="82"/>
      <c r="M661" s="10"/>
      <c r="N661" s="10"/>
      <c r="O661" s="10"/>
      <c r="P661" s="10"/>
      <c r="Q661" s="43"/>
      <c r="R661" s="10"/>
      <c r="T661" s="10"/>
    </row>
    <row r="662" spans="2:20" s="1" customFormat="1" ht="12.95" customHeight="1" x14ac:dyDescent="0.15">
      <c r="B662" s="16">
        <v>12</v>
      </c>
      <c r="C662" s="11"/>
      <c r="D662" s="18"/>
      <c r="E662" s="18"/>
      <c r="F662" s="129"/>
      <c r="G662" s="20"/>
      <c r="H662" s="20">
        <v>1</v>
      </c>
      <c r="I662" s="126">
        <f t="shared" si="50"/>
        <v>0</v>
      </c>
      <c r="J662" s="21">
        <f t="shared" si="49"/>
        <v>0</v>
      </c>
      <c r="K662" s="80"/>
      <c r="L662" s="82"/>
      <c r="M662" s="10"/>
      <c r="N662" s="10"/>
      <c r="O662" s="10"/>
      <c r="P662" s="10"/>
      <c r="Q662" s="43"/>
      <c r="R662" s="10"/>
      <c r="T662" s="10"/>
    </row>
    <row r="663" spans="2:20" s="1" customFormat="1" ht="12.95" customHeight="1" x14ac:dyDescent="0.15">
      <c r="B663" s="16">
        <v>13</v>
      </c>
      <c r="C663" s="11"/>
      <c r="D663" s="18"/>
      <c r="E663" s="18"/>
      <c r="F663" s="129"/>
      <c r="G663" s="20"/>
      <c r="H663" s="20">
        <v>1</v>
      </c>
      <c r="I663" s="126">
        <f t="shared" si="50"/>
        <v>0</v>
      </c>
      <c r="J663" s="21">
        <f t="shared" si="49"/>
        <v>0</v>
      </c>
      <c r="K663" s="80"/>
      <c r="L663" s="82"/>
      <c r="M663" s="10"/>
      <c r="N663" s="10"/>
      <c r="O663" s="10"/>
      <c r="P663" s="10"/>
      <c r="Q663" s="43"/>
      <c r="R663" s="10"/>
      <c r="T663" s="10"/>
    </row>
    <row r="664" spans="2:20" s="1" customFormat="1" ht="12.95" customHeight="1" x14ac:dyDescent="0.15">
      <c r="B664" s="16">
        <v>14</v>
      </c>
      <c r="C664" s="11"/>
      <c r="D664" s="18"/>
      <c r="E664" s="18"/>
      <c r="F664" s="129"/>
      <c r="G664" s="20"/>
      <c r="H664" s="20">
        <v>1</v>
      </c>
      <c r="I664" s="126">
        <f t="shared" si="50"/>
        <v>0</v>
      </c>
      <c r="J664" s="21">
        <f t="shared" si="49"/>
        <v>0</v>
      </c>
      <c r="K664" s="80"/>
      <c r="L664" s="82"/>
      <c r="M664" s="10"/>
      <c r="N664" s="10"/>
      <c r="O664" s="10"/>
      <c r="P664" s="10"/>
      <c r="Q664" s="43"/>
      <c r="R664" s="10"/>
      <c r="T664" s="10"/>
    </row>
    <row r="665" spans="2:20" s="1" customFormat="1" ht="12.95" customHeight="1" x14ac:dyDescent="0.15">
      <c r="B665" s="16">
        <v>15</v>
      </c>
      <c r="C665" s="11"/>
      <c r="D665" s="18"/>
      <c r="E665" s="18"/>
      <c r="F665" s="129"/>
      <c r="G665" s="20"/>
      <c r="H665" s="20">
        <v>1</v>
      </c>
      <c r="I665" s="126">
        <f t="shared" si="50"/>
        <v>0</v>
      </c>
      <c r="J665" s="21">
        <f t="shared" si="49"/>
        <v>0</v>
      </c>
      <c r="K665" s="80"/>
      <c r="L665" s="82"/>
      <c r="M665" s="10"/>
      <c r="N665" s="10"/>
      <c r="O665" s="10"/>
      <c r="P665" s="10"/>
      <c r="Q665" s="43"/>
      <c r="R665" s="10"/>
      <c r="T665" s="10"/>
    </row>
    <row r="666" spans="2:20" s="1" customFormat="1" ht="12.95" customHeight="1" x14ac:dyDescent="0.15">
      <c r="B666" s="16">
        <v>16</v>
      </c>
      <c r="C666" s="11"/>
      <c r="D666" s="18"/>
      <c r="E666" s="18"/>
      <c r="F666" s="129"/>
      <c r="G666" s="20"/>
      <c r="H666" s="20">
        <v>1</v>
      </c>
      <c r="I666" s="126">
        <f t="shared" si="50"/>
        <v>0</v>
      </c>
      <c r="J666" s="21">
        <f t="shared" si="49"/>
        <v>0</v>
      </c>
      <c r="K666" s="80"/>
      <c r="L666" s="82"/>
      <c r="M666" s="10"/>
      <c r="N666" s="10"/>
      <c r="O666" s="10"/>
      <c r="P666" s="10"/>
      <c r="Q666" s="43"/>
      <c r="R666" s="10"/>
      <c r="T666" s="10"/>
    </row>
    <row r="667" spans="2:20" s="1" customFormat="1" ht="12.95" customHeight="1" x14ac:dyDescent="0.15">
      <c r="B667" s="16">
        <v>17</v>
      </c>
      <c r="C667" s="11"/>
      <c r="D667" s="18"/>
      <c r="E667" s="18"/>
      <c r="F667" s="129"/>
      <c r="G667" s="20"/>
      <c r="H667" s="20">
        <v>1</v>
      </c>
      <c r="I667" s="126">
        <f t="shared" si="50"/>
        <v>0</v>
      </c>
      <c r="J667" s="21">
        <f t="shared" si="49"/>
        <v>0</v>
      </c>
      <c r="K667" s="80"/>
      <c r="L667" s="82"/>
      <c r="M667" s="10"/>
      <c r="N667" s="10"/>
      <c r="O667" s="10"/>
      <c r="P667" s="10"/>
      <c r="Q667" s="43"/>
      <c r="R667" s="10"/>
      <c r="T667" s="10"/>
    </row>
    <row r="668" spans="2:20" s="1" customFormat="1" ht="12.95" customHeight="1" x14ac:dyDescent="0.15">
      <c r="B668" s="16">
        <v>18</v>
      </c>
      <c r="C668" s="11"/>
      <c r="D668" s="18"/>
      <c r="E668" s="18"/>
      <c r="F668" s="129"/>
      <c r="G668" s="20"/>
      <c r="H668" s="20">
        <v>1</v>
      </c>
      <c r="I668" s="126">
        <f t="shared" si="50"/>
        <v>0</v>
      </c>
      <c r="J668" s="21">
        <f t="shared" si="49"/>
        <v>0</v>
      </c>
      <c r="K668" s="111"/>
      <c r="L668" s="119"/>
      <c r="M668" s="10"/>
      <c r="N668" s="10"/>
      <c r="O668" s="10"/>
      <c r="P668" s="10"/>
      <c r="Q668" s="43"/>
      <c r="R668" s="10"/>
      <c r="T668" s="10"/>
    </row>
    <row r="669" spans="2:20" s="1" customFormat="1" ht="12.95" customHeight="1" x14ac:dyDescent="0.15">
      <c r="B669" s="16">
        <v>19</v>
      </c>
      <c r="C669" s="16"/>
      <c r="D669" s="18"/>
      <c r="E669" s="18"/>
      <c r="F669" s="129"/>
      <c r="G669" s="20"/>
      <c r="H669" s="20">
        <v>1</v>
      </c>
      <c r="I669" s="126">
        <f t="shared" si="50"/>
        <v>0</v>
      </c>
      <c r="J669" s="259">
        <f t="shared" si="49"/>
        <v>0</v>
      </c>
      <c r="K669" s="82"/>
      <c r="L669" s="82"/>
      <c r="M669" s="10"/>
      <c r="N669" s="10"/>
      <c r="O669" s="10"/>
      <c r="P669" s="10"/>
      <c r="Q669" s="43"/>
      <c r="R669" s="10"/>
      <c r="T669" s="10"/>
    </row>
    <row r="670" spans="2:20" s="1" customFormat="1" ht="12.95" customHeight="1" x14ac:dyDescent="0.15">
      <c r="B670" s="16">
        <v>20</v>
      </c>
      <c r="C670" s="11"/>
      <c r="D670" s="18"/>
      <c r="E670" s="18"/>
      <c r="F670" s="129"/>
      <c r="G670" s="20"/>
      <c r="H670" s="20">
        <v>1</v>
      </c>
      <c r="I670" s="126">
        <f t="shared" si="50"/>
        <v>0</v>
      </c>
      <c r="J670" s="260">
        <f t="shared" si="49"/>
        <v>0</v>
      </c>
      <c r="K670" s="82"/>
      <c r="L670" s="82"/>
      <c r="M670" s="10"/>
      <c r="N670" s="10"/>
      <c r="O670" s="10"/>
      <c r="P670" s="10"/>
      <c r="Q670" s="43"/>
      <c r="R670" s="10"/>
      <c r="T670" s="10"/>
    </row>
    <row r="671" spans="2:20" s="1" customFormat="1" ht="12.95" customHeight="1" x14ac:dyDescent="0.15">
      <c r="B671" s="16"/>
      <c r="C671" s="17"/>
      <c r="D671" s="62"/>
      <c r="E671" s="63"/>
      <c r="F671" s="129"/>
      <c r="G671" s="20"/>
      <c r="H671" s="20"/>
      <c r="I671" s="254"/>
      <c r="J671" s="261"/>
      <c r="K671" s="82"/>
      <c r="L671" s="82"/>
    </row>
    <row r="672" spans="2:20" s="1" customFormat="1" ht="13.15" customHeight="1" x14ac:dyDescent="0.15">
      <c r="B672" s="83"/>
      <c r="C672" s="98"/>
      <c r="D672" s="99"/>
      <c r="E672" s="98"/>
      <c r="F672" s="127">
        <f>SUM(F613:F671)</f>
        <v>0</v>
      </c>
      <c r="G672" s="100"/>
      <c r="H672" s="101"/>
      <c r="I672" s="258">
        <f>SUM(I613:I671)</f>
        <v>0</v>
      </c>
      <c r="J672" s="106">
        <f>SUM(J615:J651)</f>
        <v>0</v>
      </c>
    </row>
    <row r="673" spans="2:13" s="1" customFormat="1" ht="13.15" customHeight="1" x14ac:dyDescent="0.15">
      <c r="B673" s="82"/>
      <c r="C673" s="102"/>
      <c r="D673" s="103"/>
      <c r="E673" s="102" t="s">
        <v>147</v>
      </c>
      <c r="F673" s="128">
        <f>100/115*F672</f>
        <v>0</v>
      </c>
      <c r="G673" s="104"/>
      <c r="H673" s="105" t="s">
        <v>147</v>
      </c>
      <c r="I673" s="256">
        <f>100/115*I672</f>
        <v>0</v>
      </c>
      <c r="J673" s="106">
        <f>SUM(J616:J652)</f>
        <v>0</v>
      </c>
    </row>
    <row r="674" spans="2:13" s="1" customFormat="1" ht="13.15" customHeight="1" x14ac:dyDescent="0.15">
      <c r="I674" s="135"/>
    </row>
    <row r="675" spans="2:13" s="1" customFormat="1" ht="13.15" customHeight="1" x14ac:dyDescent="0.15">
      <c r="I675" s="135"/>
    </row>
    <row r="676" spans="2:13" s="1" customFormat="1" ht="13.15" customHeight="1" x14ac:dyDescent="0.15">
      <c r="I676" s="135"/>
    </row>
    <row r="677" spans="2:13" s="1" customFormat="1" ht="13.15" customHeight="1" x14ac:dyDescent="0.15">
      <c r="I677" s="135"/>
    </row>
    <row r="678" spans="2:13" s="247" customFormat="1" ht="32.25" x14ac:dyDescent="0.4">
      <c r="B678" s="248"/>
      <c r="C678" s="380" t="s">
        <v>112</v>
      </c>
      <c r="D678" s="380"/>
      <c r="E678" s="428" t="s">
        <v>164</v>
      </c>
      <c r="F678" s="428"/>
      <c r="G678" s="428"/>
      <c r="H678" s="428"/>
      <c r="I678" s="428"/>
      <c r="J678" s="382">
        <v>2026</v>
      </c>
      <c r="K678" s="382"/>
      <c r="L678" s="382"/>
    </row>
    <row r="679" spans="2:13" s="1" customFormat="1" ht="39.6" customHeight="1" x14ac:dyDescent="0.15">
      <c r="B679" s="82"/>
      <c r="C679" s="102" t="s">
        <v>114</v>
      </c>
      <c r="D679" s="388" t="s">
        <v>115</v>
      </c>
      <c r="E679" s="388"/>
      <c r="F679" s="102" t="s">
        <v>116</v>
      </c>
      <c r="G679" s="102" t="s">
        <v>117</v>
      </c>
      <c r="H679" s="102" t="s">
        <v>118</v>
      </c>
      <c r="I679" s="141" t="s">
        <v>119</v>
      </c>
      <c r="J679" s="102" t="s">
        <v>120</v>
      </c>
      <c r="K679" s="82"/>
      <c r="L679" s="82"/>
    </row>
    <row r="680" spans="2:13" s="1" customFormat="1" ht="13.15" customHeight="1" x14ac:dyDescent="0.15">
      <c r="B680" s="82"/>
      <c r="C680" s="66">
        <f>C610</f>
        <v>450</v>
      </c>
      <c r="D680" s="389">
        <v>20</v>
      </c>
      <c r="E680" s="389"/>
      <c r="F680" s="13">
        <f>F610</f>
        <v>0.8</v>
      </c>
      <c r="G680" s="14">
        <f>G610</f>
        <v>8</v>
      </c>
      <c r="H680" s="142">
        <f>D680*G680*F680</f>
        <v>128</v>
      </c>
      <c r="I680" s="66">
        <f>I742</f>
        <v>0</v>
      </c>
      <c r="J680" s="143">
        <f>H680-J742</f>
        <v>128</v>
      </c>
      <c r="K680" s="82"/>
      <c r="L680" s="82"/>
    </row>
    <row r="681" spans="2:13" s="1" customFormat="1" ht="66" customHeight="1" x14ac:dyDescent="0.15">
      <c r="B681" s="84"/>
      <c r="C681" s="136" t="s">
        <v>121</v>
      </c>
      <c r="D681" s="420" t="s">
        <v>122</v>
      </c>
      <c r="E681" s="421"/>
      <c r="F681" s="137" t="s">
        <v>123</v>
      </c>
      <c r="G681" s="138" t="s">
        <v>124</v>
      </c>
      <c r="H681" s="139" t="s">
        <v>125</v>
      </c>
      <c r="I681" s="140" t="s">
        <v>126</v>
      </c>
      <c r="J681" s="138" t="s">
        <v>127</v>
      </c>
      <c r="K681" s="122" t="s">
        <v>128</v>
      </c>
      <c r="L681" s="123" t="s">
        <v>129</v>
      </c>
    </row>
    <row r="682" spans="2:13" s="1" customFormat="1" ht="12.95" customHeight="1" x14ac:dyDescent="0.15">
      <c r="B682" s="16"/>
      <c r="C682" s="17"/>
      <c r="D682" s="422"/>
      <c r="E682" s="423"/>
      <c r="F682" s="36"/>
      <c r="G682" s="20"/>
      <c r="H682" s="20"/>
      <c r="I682" s="126"/>
      <c r="J682" s="21"/>
      <c r="K682" s="80"/>
      <c r="L682" s="82"/>
    </row>
    <row r="683" spans="2:13" s="1" customFormat="1" ht="12.95" customHeight="1" x14ac:dyDescent="0.15">
      <c r="B683" s="16"/>
      <c r="C683" s="37" t="s">
        <v>130</v>
      </c>
      <c r="D683" s="24"/>
      <c r="E683" s="24"/>
      <c r="F683" s="129"/>
      <c r="G683" s="20"/>
      <c r="H683" s="20"/>
      <c r="I683" s="126"/>
      <c r="J683" s="38"/>
      <c r="K683" s="80"/>
      <c r="L683" s="82"/>
    </row>
    <row r="684" spans="2:13" s="1" customFormat="1" ht="12.75" customHeight="1" x14ac:dyDescent="0.15">
      <c r="B684" s="16"/>
      <c r="C684" s="72" t="s">
        <v>149</v>
      </c>
      <c r="D684" s="24"/>
      <c r="E684" s="24"/>
      <c r="F684" s="129"/>
      <c r="G684" s="20"/>
      <c r="H684" s="20"/>
      <c r="I684" s="126"/>
      <c r="J684" s="38"/>
      <c r="K684" s="80"/>
      <c r="L684" s="82"/>
    </row>
    <row r="685" spans="2:13" s="1" customFormat="1" ht="16.5" x14ac:dyDescent="0.15">
      <c r="B685" s="16">
        <v>1</v>
      </c>
      <c r="C685" s="23"/>
      <c r="D685" s="48"/>
      <c r="E685" s="48"/>
      <c r="F685" s="126"/>
      <c r="G685" s="50"/>
      <c r="H685" s="20">
        <v>1</v>
      </c>
      <c r="I685" s="126">
        <f t="shared" ref="I685:I707" si="51">J685*$C$32</f>
        <v>0</v>
      </c>
      <c r="J685" s="38">
        <f t="shared" ref="J685:J701" si="52">(F685*G685*H685)/$C$32</f>
        <v>0</v>
      </c>
      <c r="K685" s="80"/>
      <c r="L685" s="82"/>
      <c r="M685" s="133"/>
    </row>
    <row r="686" spans="2:13" s="1" customFormat="1" ht="12.75" customHeight="1" x14ac:dyDescent="0.15">
      <c r="B686" s="16">
        <v>2</v>
      </c>
      <c r="C686" s="23"/>
      <c r="D686" s="97"/>
      <c r="E686" s="97"/>
      <c r="F686" s="126"/>
      <c r="G686" s="50"/>
      <c r="H686" s="20">
        <v>1</v>
      </c>
      <c r="I686" s="126">
        <f t="shared" si="51"/>
        <v>0</v>
      </c>
      <c r="J686" s="38">
        <f t="shared" si="52"/>
        <v>0</v>
      </c>
      <c r="K686" s="80"/>
      <c r="L686" s="82"/>
      <c r="M686" s="134"/>
    </row>
    <row r="687" spans="2:13" s="1" customFormat="1" ht="12.75" customHeight="1" x14ac:dyDescent="0.15">
      <c r="B687" s="16">
        <v>3</v>
      </c>
      <c r="C687" s="23"/>
      <c r="D687" s="48"/>
      <c r="E687" s="48"/>
      <c r="F687" s="126"/>
      <c r="G687" s="50"/>
      <c r="H687" s="20">
        <v>1</v>
      </c>
      <c r="I687" s="126">
        <f t="shared" si="51"/>
        <v>0</v>
      </c>
      <c r="J687" s="38">
        <f t="shared" si="52"/>
        <v>0</v>
      </c>
      <c r="K687" s="80"/>
      <c r="L687" s="82"/>
    </row>
    <row r="688" spans="2:13" s="1" customFormat="1" ht="12.75" x14ac:dyDescent="0.15">
      <c r="B688" s="16">
        <v>4</v>
      </c>
      <c r="C688" s="26"/>
      <c r="D688" s="49"/>
      <c r="E688" s="49"/>
      <c r="F688" s="126"/>
      <c r="G688" s="50"/>
      <c r="H688" s="20">
        <v>1</v>
      </c>
      <c r="I688" s="126">
        <f t="shared" si="51"/>
        <v>0</v>
      </c>
      <c r="J688" s="38">
        <f t="shared" si="52"/>
        <v>0</v>
      </c>
      <c r="K688" s="80"/>
      <c r="L688" s="82"/>
    </row>
    <row r="689" spans="2:12" s="1" customFormat="1" ht="12.75" customHeight="1" x14ac:dyDescent="0.15">
      <c r="B689" s="16">
        <v>5</v>
      </c>
      <c r="C689" s="23"/>
      <c r="D689" s="48"/>
      <c r="E689" s="48"/>
      <c r="F689" s="126"/>
      <c r="G689" s="50"/>
      <c r="H689" s="20">
        <v>1</v>
      </c>
      <c r="I689" s="126">
        <f t="shared" si="51"/>
        <v>0</v>
      </c>
      <c r="J689" s="38">
        <f t="shared" si="52"/>
        <v>0</v>
      </c>
      <c r="K689" s="80"/>
      <c r="L689" s="82"/>
    </row>
    <row r="690" spans="2:12" s="1" customFormat="1" ht="12.95" customHeight="1" x14ac:dyDescent="0.15">
      <c r="B690" s="16">
        <v>6</v>
      </c>
      <c r="C690" s="23"/>
      <c r="D690" s="48"/>
      <c r="E690" s="48"/>
      <c r="F690" s="126"/>
      <c r="G690" s="50"/>
      <c r="H690" s="20">
        <v>1</v>
      </c>
      <c r="I690" s="126">
        <f t="shared" si="51"/>
        <v>0</v>
      </c>
      <c r="J690" s="38">
        <f t="shared" si="52"/>
        <v>0</v>
      </c>
      <c r="K690" s="80"/>
      <c r="L690" s="82"/>
    </row>
    <row r="691" spans="2:12" s="1" customFormat="1" ht="12.95" customHeight="1" x14ac:dyDescent="0.15">
      <c r="B691" s="16">
        <v>7</v>
      </c>
      <c r="C691" s="23"/>
      <c r="D691" s="48"/>
      <c r="E691" s="48"/>
      <c r="F691" s="126"/>
      <c r="G691" s="50"/>
      <c r="H691" s="20">
        <v>1</v>
      </c>
      <c r="I691" s="126">
        <f t="shared" si="51"/>
        <v>0</v>
      </c>
      <c r="J691" s="38">
        <f t="shared" si="52"/>
        <v>0</v>
      </c>
      <c r="K691" s="80"/>
      <c r="L691" s="82"/>
    </row>
    <row r="692" spans="2:12" s="1" customFormat="1" ht="12.95" customHeight="1" x14ac:dyDescent="0.15">
      <c r="B692" s="16">
        <v>8</v>
      </c>
      <c r="C692" s="23"/>
      <c r="D692" s="48"/>
      <c r="E692" s="48"/>
      <c r="F692" s="126"/>
      <c r="G692" s="50"/>
      <c r="H692" s="20">
        <v>1</v>
      </c>
      <c r="I692" s="126">
        <f t="shared" si="51"/>
        <v>0</v>
      </c>
      <c r="J692" s="38">
        <f t="shared" si="52"/>
        <v>0</v>
      </c>
      <c r="K692" s="80"/>
      <c r="L692" s="82"/>
    </row>
    <row r="693" spans="2:12" s="1" customFormat="1" ht="12.95" customHeight="1" x14ac:dyDescent="0.15">
      <c r="B693" s="16">
        <v>9</v>
      </c>
      <c r="C693" s="23"/>
      <c r="D693" s="48"/>
      <c r="E693" s="48"/>
      <c r="F693" s="126"/>
      <c r="G693" s="50"/>
      <c r="H693" s="20">
        <v>1</v>
      </c>
      <c r="I693" s="126">
        <f t="shared" si="51"/>
        <v>0</v>
      </c>
      <c r="J693" s="38">
        <f t="shared" si="52"/>
        <v>0</v>
      </c>
      <c r="K693" s="80"/>
      <c r="L693" s="82"/>
    </row>
    <row r="694" spans="2:12" s="1" customFormat="1" ht="12.95" customHeight="1" x14ac:dyDescent="0.15">
      <c r="B694" s="16">
        <v>10</v>
      </c>
      <c r="C694" s="23"/>
      <c r="D694" s="49"/>
      <c r="E694" s="48"/>
      <c r="F694" s="126"/>
      <c r="G694" s="50"/>
      <c r="H694" s="20">
        <v>1</v>
      </c>
      <c r="I694" s="126">
        <f t="shared" si="51"/>
        <v>0</v>
      </c>
      <c r="J694" s="38">
        <f t="shared" si="52"/>
        <v>0</v>
      </c>
      <c r="K694" s="80"/>
      <c r="L694" s="82"/>
    </row>
    <row r="695" spans="2:12" s="1" customFormat="1" ht="12.95" customHeight="1" x14ac:dyDescent="0.15">
      <c r="B695" s="16"/>
      <c r="C695" s="23"/>
      <c r="D695" s="49"/>
      <c r="E695" s="48"/>
      <c r="F695" s="126"/>
      <c r="G695" s="50"/>
      <c r="H695" s="20"/>
      <c r="I695" s="126"/>
      <c r="J695" s="38"/>
      <c r="K695" s="80"/>
      <c r="L695" s="82"/>
    </row>
    <row r="696" spans="2:12" s="1" customFormat="1" ht="12.95" customHeight="1" x14ac:dyDescent="0.15">
      <c r="B696" s="16"/>
      <c r="C696" s="23"/>
      <c r="D696" s="48"/>
      <c r="E696" s="49"/>
      <c r="F696" s="126"/>
      <c r="G696" s="50"/>
      <c r="H696" s="20"/>
      <c r="I696" s="126"/>
      <c r="J696" s="38"/>
      <c r="K696" s="80"/>
      <c r="L696" s="82"/>
    </row>
    <row r="697" spans="2:12" s="1" customFormat="1" ht="12.95" customHeight="1" x14ac:dyDescent="0.15">
      <c r="B697" s="16"/>
      <c r="C697" s="22" t="s">
        <v>156</v>
      </c>
      <c r="D697" s="24"/>
      <c r="E697" s="18"/>
      <c r="F697" s="129"/>
      <c r="G697" s="20"/>
      <c r="H697" s="20"/>
      <c r="I697" s="126"/>
      <c r="J697" s="38"/>
      <c r="K697" s="80"/>
      <c r="L697" s="82"/>
    </row>
    <row r="698" spans="2:12" s="1" customFormat="1" ht="12.95" customHeight="1" x14ac:dyDescent="0.15">
      <c r="B698" s="16">
        <v>1</v>
      </c>
      <c r="C698" s="17"/>
      <c r="D698" s="24"/>
      <c r="E698" s="18"/>
      <c r="F698" s="129"/>
      <c r="G698" s="20"/>
      <c r="H698" s="20">
        <v>1</v>
      </c>
      <c r="I698" s="126">
        <f t="shared" si="51"/>
        <v>0</v>
      </c>
      <c r="J698" s="38">
        <f t="shared" si="52"/>
        <v>0</v>
      </c>
      <c r="K698" s="80"/>
      <c r="L698" s="82"/>
    </row>
    <row r="699" spans="2:12" s="1" customFormat="1" ht="12.95" customHeight="1" x14ac:dyDescent="0.15">
      <c r="B699" s="16">
        <v>2</v>
      </c>
      <c r="C699" s="17"/>
      <c r="D699" s="24"/>
      <c r="E699" s="18"/>
      <c r="F699" s="129"/>
      <c r="G699" s="20"/>
      <c r="H699" s="20">
        <v>1</v>
      </c>
      <c r="I699" s="126">
        <f t="shared" si="51"/>
        <v>0</v>
      </c>
      <c r="J699" s="38">
        <f t="shared" si="52"/>
        <v>0</v>
      </c>
      <c r="K699" s="80"/>
      <c r="L699" s="82"/>
    </row>
    <row r="700" spans="2:12" s="1" customFormat="1" ht="12.95" customHeight="1" x14ac:dyDescent="0.15">
      <c r="B700" s="16">
        <v>3</v>
      </c>
      <c r="C700" s="17"/>
      <c r="D700" s="24"/>
      <c r="E700" s="18"/>
      <c r="F700" s="129"/>
      <c r="G700" s="20"/>
      <c r="H700" s="20">
        <v>1</v>
      </c>
      <c r="I700" s="126">
        <f t="shared" si="51"/>
        <v>0</v>
      </c>
      <c r="J700" s="38">
        <f t="shared" si="52"/>
        <v>0</v>
      </c>
      <c r="K700" s="80"/>
      <c r="L700" s="82"/>
    </row>
    <row r="701" spans="2:12" s="1" customFormat="1" ht="12.95" customHeight="1" x14ac:dyDescent="0.15">
      <c r="B701" s="16">
        <v>4</v>
      </c>
      <c r="C701" s="17"/>
      <c r="D701" s="24"/>
      <c r="E701" s="24"/>
      <c r="F701" s="129"/>
      <c r="G701" s="20"/>
      <c r="H701" s="20">
        <v>1</v>
      </c>
      <c r="I701" s="126">
        <f t="shared" si="51"/>
        <v>0</v>
      </c>
      <c r="J701" s="38">
        <f t="shared" si="52"/>
        <v>0</v>
      </c>
      <c r="K701" s="80"/>
      <c r="L701" s="82"/>
    </row>
    <row r="702" spans="2:12" s="1" customFormat="1" ht="12.95" customHeight="1" x14ac:dyDescent="0.15">
      <c r="B702" s="16">
        <v>5</v>
      </c>
      <c r="C702" s="17"/>
      <c r="D702" s="24"/>
      <c r="E702" s="24"/>
      <c r="F702" s="129"/>
      <c r="G702" s="20"/>
      <c r="H702" s="20">
        <v>1</v>
      </c>
      <c r="I702" s="126">
        <f t="shared" si="51"/>
        <v>0</v>
      </c>
      <c r="J702" s="38">
        <f>(F702*G702*H702)/$C$32</f>
        <v>0</v>
      </c>
      <c r="K702" s="80"/>
      <c r="L702" s="82"/>
    </row>
    <row r="703" spans="2:12" s="1" customFormat="1" ht="12.95" customHeight="1" x14ac:dyDescent="0.15">
      <c r="B703" s="16">
        <v>6</v>
      </c>
      <c r="C703" s="17"/>
      <c r="D703" s="24"/>
      <c r="E703" s="24"/>
      <c r="F703" s="129"/>
      <c r="G703" s="20"/>
      <c r="H703" s="20">
        <v>1</v>
      </c>
      <c r="I703" s="126">
        <f t="shared" si="51"/>
        <v>0</v>
      </c>
      <c r="J703" s="38">
        <f>(F703*G703*H703)/$C$32</f>
        <v>0</v>
      </c>
      <c r="K703" s="80"/>
      <c r="L703" s="82"/>
    </row>
    <row r="704" spans="2:12" s="1" customFormat="1" ht="12.95" customHeight="1" x14ac:dyDescent="0.15">
      <c r="B704" s="16">
        <v>7</v>
      </c>
      <c r="C704" s="17"/>
      <c r="D704" s="24"/>
      <c r="E704" s="24"/>
      <c r="F704" s="129"/>
      <c r="G704" s="20"/>
      <c r="H704" s="20">
        <v>1</v>
      </c>
      <c r="I704" s="126">
        <f t="shared" si="51"/>
        <v>0</v>
      </c>
      <c r="J704" s="21">
        <f t="shared" ref="J704:J740" si="53">(F704*G704*H704)/$C$32</f>
        <v>0</v>
      </c>
      <c r="K704" s="80"/>
      <c r="L704" s="82"/>
    </row>
    <row r="705" spans="2:20" s="1" customFormat="1" ht="12.95" customHeight="1" x14ac:dyDescent="0.15">
      <c r="B705" s="16">
        <v>8</v>
      </c>
      <c r="C705" s="17"/>
      <c r="D705" s="24"/>
      <c r="E705" s="24"/>
      <c r="F705" s="129"/>
      <c r="G705" s="20"/>
      <c r="H705" s="20">
        <v>1</v>
      </c>
      <c r="I705" s="126">
        <f t="shared" si="51"/>
        <v>0</v>
      </c>
      <c r="J705" s="38">
        <f t="shared" si="53"/>
        <v>0</v>
      </c>
      <c r="K705" s="80"/>
      <c r="L705" s="82"/>
    </row>
    <row r="706" spans="2:20" s="1" customFormat="1" ht="12.95" customHeight="1" x14ac:dyDescent="0.15">
      <c r="B706" s="16">
        <v>9</v>
      </c>
      <c r="C706" s="17"/>
      <c r="D706" s="24"/>
      <c r="E706" s="24"/>
      <c r="F706" s="129"/>
      <c r="G706" s="20"/>
      <c r="H706" s="20">
        <v>1</v>
      </c>
      <c r="I706" s="126">
        <f t="shared" si="51"/>
        <v>0</v>
      </c>
      <c r="J706" s="38">
        <f t="shared" si="53"/>
        <v>0</v>
      </c>
      <c r="K706" s="80"/>
      <c r="L706" s="82"/>
    </row>
    <row r="707" spans="2:20" s="1" customFormat="1" ht="12.95" customHeight="1" x14ac:dyDescent="0.15">
      <c r="B707" s="16">
        <v>10</v>
      </c>
      <c r="C707" s="44"/>
      <c r="D707" s="18"/>
      <c r="E707" s="18"/>
      <c r="F707" s="129"/>
      <c r="G707" s="20"/>
      <c r="H707" s="20">
        <v>1</v>
      </c>
      <c r="I707" s="126">
        <f t="shared" si="51"/>
        <v>0</v>
      </c>
      <c r="J707" s="21">
        <f t="shared" si="53"/>
        <v>0</v>
      </c>
      <c r="K707" s="80"/>
      <c r="L707" s="82"/>
      <c r="M707" s="10"/>
      <c r="N707" s="10"/>
      <c r="O707" s="10"/>
      <c r="P707" s="10"/>
      <c r="Q707" s="43"/>
      <c r="R707" s="10"/>
      <c r="T707" s="10"/>
    </row>
    <row r="708" spans="2:20" s="1" customFormat="1" ht="12.95" customHeight="1" x14ac:dyDescent="0.15">
      <c r="B708" s="16">
        <v>11</v>
      </c>
      <c r="C708" s="45"/>
      <c r="D708" s="18"/>
      <c r="E708" s="18"/>
      <c r="F708" s="130"/>
      <c r="G708" s="20"/>
      <c r="H708" s="20">
        <v>1</v>
      </c>
      <c r="I708" s="126">
        <f>J708*$C$32</f>
        <v>0</v>
      </c>
      <c r="J708" s="21">
        <f t="shared" si="53"/>
        <v>0</v>
      </c>
      <c r="K708" s="80"/>
      <c r="L708" s="82"/>
      <c r="M708" s="10"/>
      <c r="N708" s="10"/>
      <c r="O708" s="10"/>
      <c r="P708" s="10"/>
      <c r="Q708" s="43"/>
      <c r="R708" s="10"/>
      <c r="T708" s="10"/>
    </row>
    <row r="709" spans="2:20" s="1" customFormat="1" ht="12.95" customHeight="1" x14ac:dyDescent="0.15">
      <c r="B709" s="16">
        <v>12</v>
      </c>
      <c r="C709" s="44"/>
      <c r="D709" s="18"/>
      <c r="E709" s="18"/>
      <c r="F709" s="129"/>
      <c r="G709" s="20"/>
      <c r="H709" s="20">
        <v>1</v>
      </c>
      <c r="I709" s="126">
        <f t="shared" ref="I709:I740" si="54">J709*$C$32</f>
        <v>0</v>
      </c>
      <c r="J709" s="21">
        <f t="shared" si="53"/>
        <v>0</v>
      </c>
      <c r="K709" s="80"/>
      <c r="L709" s="82"/>
      <c r="M709" s="10"/>
      <c r="N709" s="10"/>
      <c r="O709" s="10"/>
      <c r="P709" s="10"/>
      <c r="Q709" s="43"/>
      <c r="R709" s="10"/>
      <c r="T709" s="10"/>
    </row>
    <row r="710" spans="2:20" s="1" customFormat="1" ht="12.95" customHeight="1" x14ac:dyDescent="0.15">
      <c r="B710" s="16">
        <v>13</v>
      </c>
      <c r="C710" s="11"/>
      <c r="D710" s="18"/>
      <c r="E710" s="18"/>
      <c r="F710" s="129"/>
      <c r="G710" s="20"/>
      <c r="H710" s="20">
        <v>1</v>
      </c>
      <c r="I710" s="126">
        <f t="shared" si="54"/>
        <v>0</v>
      </c>
      <c r="J710" s="21">
        <f t="shared" si="53"/>
        <v>0</v>
      </c>
      <c r="K710" s="80"/>
      <c r="L710" s="82"/>
      <c r="M710" s="10"/>
      <c r="N710" s="10"/>
      <c r="O710" s="10"/>
      <c r="P710" s="10"/>
      <c r="Q710" s="43"/>
      <c r="R710" s="10"/>
      <c r="T710" s="10"/>
    </row>
    <row r="711" spans="2:20" s="1" customFormat="1" ht="12.95" customHeight="1" x14ac:dyDescent="0.15">
      <c r="B711" s="16">
        <v>14</v>
      </c>
      <c r="C711" s="11"/>
      <c r="D711" s="18"/>
      <c r="E711" s="18"/>
      <c r="F711" s="129"/>
      <c r="G711" s="20"/>
      <c r="H711" s="20">
        <v>1</v>
      </c>
      <c r="I711" s="126">
        <f t="shared" si="54"/>
        <v>0</v>
      </c>
      <c r="J711" s="21">
        <f t="shared" si="53"/>
        <v>0</v>
      </c>
      <c r="K711" s="80"/>
      <c r="L711" s="82"/>
      <c r="M711" s="10"/>
      <c r="N711" s="10"/>
      <c r="O711" s="10"/>
      <c r="P711" s="10"/>
      <c r="Q711" s="43"/>
      <c r="R711" s="10"/>
      <c r="T711" s="10"/>
    </row>
    <row r="712" spans="2:20" s="1" customFormat="1" ht="12.95" customHeight="1" x14ac:dyDescent="0.15">
      <c r="B712" s="16">
        <v>15</v>
      </c>
      <c r="C712" s="11"/>
      <c r="D712" s="18"/>
      <c r="E712" s="18"/>
      <c r="F712" s="129"/>
      <c r="G712" s="20"/>
      <c r="H712" s="20">
        <v>1</v>
      </c>
      <c r="I712" s="126">
        <f t="shared" si="54"/>
        <v>0</v>
      </c>
      <c r="J712" s="21">
        <f t="shared" si="53"/>
        <v>0</v>
      </c>
      <c r="K712" s="80"/>
      <c r="L712" s="82"/>
      <c r="M712" s="10"/>
      <c r="N712" s="10"/>
      <c r="O712" s="10"/>
      <c r="P712" s="10"/>
      <c r="Q712" s="43"/>
      <c r="R712" s="10"/>
      <c r="T712" s="10"/>
    </row>
    <row r="713" spans="2:20" s="1" customFormat="1" ht="12.95" customHeight="1" x14ac:dyDescent="0.15">
      <c r="B713" s="16">
        <v>16</v>
      </c>
      <c r="C713" s="11"/>
      <c r="D713" s="18"/>
      <c r="E713" s="18"/>
      <c r="F713" s="129"/>
      <c r="G713" s="20"/>
      <c r="H713" s="20">
        <v>1</v>
      </c>
      <c r="I713" s="126">
        <f t="shared" si="54"/>
        <v>0</v>
      </c>
      <c r="J713" s="21">
        <f t="shared" si="53"/>
        <v>0</v>
      </c>
      <c r="K713" s="80"/>
      <c r="L713" s="82"/>
      <c r="M713" s="10"/>
      <c r="N713" s="10"/>
      <c r="O713" s="10"/>
      <c r="P713" s="10"/>
      <c r="Q713" s="43"/>
      <c r="R713" s="10"/>
      <c r="T713" s="10"/>
    </row>
    <row r="714" spans="2:20" s="1" customFormat="1" ht="12.95" customHeight="1" x14ac:dyDescent="0.15">
      <c r="B714" s="16">
        <v>17</v>
      </c>
      <c r="C714" s="11"/>
      <c r="D714" s="18"/>
      <c r="E714" s="18"/>
      <c r="F714" s="129"/>
      <c r="G714" s="20"/>
      <c r="H714" s="20">
        <v>1</v>
      </c>
      <c r="I714" s="126">
        <f t="shared" si="54"/>
        <v>0</v>
      </c>
      <c r="J714" s="21">
        <f t="shared" si="53"/>
        <v>0</v>
      </c>
      <c r="K714" s="80"/>
      <c r="L714" s="82"/>
      <c r="M714" s="10"/>
      <c r="N714" s="10"/>
      <c r="O714" s="10"/>
      <c r="P714" s="10"/>
      <c r="Q714" s="43"/>
      <c r="R714" s="10"/>
      <c r="T714" s="10"/>
    </row>
    <row r="715" spans="2:20" s="1" customFormat="1" ht="12.95" customHeight="1" x14ac:dyDescent="0.15">
      <c r="B715" s="16">
        <v>18</v>
      </c>
      <c r="C715" s="11"/>
      <c r="D715" s="18"/>
      <c r="E715" s="18"/>
      <c r="F715" s="129"/>
      <c r="G715" s="20"/>
      <c r="H715" s="20">
        <v>1</v>
      </c>
      <c r="I715" s="126">
        <f t="shared" si="54"/>
        <v>0</v>
      </c>
      <c r="J715" s="21">
        <f t="shared" si="53"/>
        <v>0</v>
      </c>
      <c r="K715" s="80"/>
      <c r="L715" s="82"/>
      <c r="M715" s="10"/>
      <c r="N715" s="10"/>
      <c r="O715" s="10"/>
      <c r="P715" s="10"/>
      <c r="Q715" s="43"/>
      <c r="R715" s="10"/>
      <c r="T715" s="10"/>
    </row>
    <row r="716" spans="2:20" s="1" customFormat="1" ht="12.95" customHeight="1" x14ac:dyDescent="0.15">
      <c r="B716" s="16">
        <v>19</v>
      </c>
      <c r="C716" s="11"/>
      <c r="D716" s="18"/>
      <c r="E716" s="18"/>
      <c r="F716" s="129"/>
      <c r="G716" s="20"/>
      <c r="H716" s="20">
        <v>1</v>
      </c>
      <c r="I716" s="126">
        <f t="shared" si="54"/>
        <v>0</v>
      </c>
      <c r="J716" s="21">
        <f t="shared" si="53"/>
        <v>0</v>
      </c>
      <c r="K716" s="80"/>
      <c r="L716" s="82"/>
      <c r="M716" s="10"/>
      <c r="N716" s="10"/>
      <c r="O716" s="10"/>
      <c r="P716" s="10"/>
      <c r="Q716" s="43"/>
      <c r="R716" s="10"/>
      <c r="T716" s="10"/>
    </row>
    <row r="717" spans="2:20" s="1" customFormat="1" ht="12.95" customHeight="1" x14ac:dyDescent="0.15">
      <c r="B717" s="16">
        <v>20</v>
      </c>
      <c r="C717" s="11"/>
      <c r="D717" s="18"/>
      <c r="E717" s="18"/>
      <c r="F717" s="129"/>
      <c r="G717" s="20"/>
      <c r="H717" s="20">
        <v>1</v>
      </c>
      <c r="I717" s="126">
        <f t="shared" si="54"/>
        <v>0</v>
      </c>
      <c r="J717" s="21">
        <f t="shared" si="53"/>
        <v>0</v>
      </c>
      <c r="K717" s="80"/>
      <c r="L717" s="82"/>
      <c r="M717" s="10"/>
      <c r="N717" s="10"/>
      <c r="O717" s="10"/>
      <c r="P717" s="10"/>
      <c r="Q717" s="43"/>
      <c r="R717" s="10"/>
      <c r="T717" s="10"/>
    </row>
    <row r="718" spans="2:20" s="1" customFormat="1" ht="12.95" customHeight="1" x14ac:dyDescent="0.15">
      <c r="B718" s="16"/>
      <c r="C718" s="11"/>
      <c r="D718" s="18"/>
      <c r="E718" s="18"/>
      <c r="F718" s="129"/>
      <c r="G718" s="20"/>
      <c r="H718" s="20"/>
      <c r="I718" s="126"/>
      <c r="J718" s="21"/>
      <c r="K718" s="80"/>
      <c r="L718" s="82"/>
      <c r="M718" s="10"/>
      <c r="N718" s="10"/>
      <c r="O718" s="10"/>
      <c r="P718" s="10"/>
      <c r="Q718" s="43"/>
      <c r="R718" s="10"/>
      <c r="T718" s="10"/>
    </row>
    <row r="719" spans="2:20" s="1" customFormat="1" ht="12.95" customHeight="1" x14ac:dyDescent="0.15">
      <c r="B719" s="16"/>
      <c r="C719" s="11"/>
      <c r="D719" s="18"/>
      <c r="E719" s="18"/>
      <c r="F719" s="129"/>
      <c r="G719" s="20"/>
      <c r="H719" s="20"/>
      <c r="I719" s="126"/>
      <c r="J719" s="21"/>
      <c r="K719" s="80"/>
      <c r="L719" s="82"/>
      <c r="M719" s="10"/>
      <c r="N719" s="10"/>
      <c r="O719" s="10"/>
      <c r="P719" s="10"/>
      <c r="Q719" s="43"/>
      <c r="R719" s="10"/>
      <c r="T719" s="10"/>
    </row>
    <row r="720" spans="2:20" s="1" customFormat="1" ht="12.95" customHeight="1" x14ac:dyDescent="0.15">
      <c r="B720" s="16"/>
      <c r="C720" s="96" t="s">
        <v>132</v>
      </c>
      <c r="D720" s="18"/>
      <c r="E720" s="18"/>
      <c r="F720" s="129"/>
      <c r="G720" s="20"/>
      <c r="H720" s="20"/>
      <c r="I720" s="126"/>
      <c r="J720" s="21"/>
      <c r="K720" s="80"/>
      <c r="L720" s="82"/>
      <c r="M720" s="10"/>
      <c r="N720" s="10"/>
      <c r="O720" s="10"/>
      <c r="P720" s="10"/>
      <c r="Q720" s="43"/>
      <c r="R720" s="10"/>
      <c r="T720" s="10"/>
    </row>
    <row r="721" spans="2:20" s="1" customFormat="1" ht="12.95" customHeight="1" x14ac:dyDescent="0.15">
      <c r="B721" s="16">
        <v>1</v>
      </c>
      <c r="C721" s="11"/>
      <c r="D721" s="18"/>
      <c r="E721" s="18"/>
      <c r="F721" s="129"/>
      <c r="G721" s="20"/>
      <c r="H721" s="20">
        <v>1</v>
      </c>
      <c r="I721" s="126">
        <f t="shared" si="54"/>
        <v>0</v>
      </c>
      <c r="J721" s="21">
        <f t="shared" si="53"/>
        <v>0</v>
      </c>
      <c r="K721" s="80"/>
      <c r="L721" s="82"/>
      <c r="M721" s="10"/>
      <c r="N721" s="10"/>
      <c r="O721" s="10"/>
      <c r="P721" s="10"/>
      <c r="Q721" s="43"/>
      <c r="R721" s="10"/>
      <c r="T721" s="10"/>
    </row>
    <row r="722" spans="2:20" s="1" customFormat="1" ht="12.95" customHeight="1" x14ac:dyDescent="0.15">
      <c r="B722" s="16">
        <v>2</v>
      </c>
      <c r="C722" s="11"/>
      <c r="D722" s="18"/>
      <c r="E722" s="18"/>
      <c r="F722" s="129"/>
      <c r="G722" s="20"/>
      <c r="H722" s="20">
        <v>1</v>
      </c>
      <c r="I722" s="126">
        <f t="shared" si="54"/>
        <v>0</v>
      </c>
      <c r="J722" s="21">
        <f t="shared" si="53"/>
        <v>0</v>
      </c>
      <c r="K722" s="80"/>
      <c r="L722" s="82"/>
      <c r="M722" s="10"/>
      <c r="N722" s="10"/>
      <c r="O722" s="10"/>
      <c r="P722" s="10"/>
      <c r="Q722" s="43"/>
      <c r="R722" s="10"/>
      <c r="T722" s="10"/>
    </row>
    <row r="723" spans="2:20" s="1" customFormat="1" ht="12.95" customHeight="1" x14ac:dyDescent="0.15">
      <c r="B723" s="16">
        <v>3</v>
      </c>
      <c r="C723" s="11"/>
      <c r="D723" s="18"/>
      <c r="E723" s="18"/>
      <c r="F723" s="129"/>
      <c r="G723" s="20"/>
      <c r="H723" s="20">
        <v>1</v>
      </c>
      <c r="I723" s="126">
        <f t="shared" si="54"/>
        <v>0</v>
      </c>
      <c r="J723" s="21">
        <f t="shared" si="53"/>
        <v>0</v>
      </c>
      <c r="K723" s="80"/>
      <c r="L723" s="82"/>
      <c r="M723" s="10"/>
      <c r="N723" s="10"/>
      <c r="O723" s="10"/>
      <c r="P723" s="10"/>
      <c r="Q723" s="43"/>
      <c r="R723" s="10"/>
      <c r="T723" s="10"/>
    </row>
    <row r="724" spans="2:20" s="1" customFormat="1" ht="12.95" customHeight="1" x14ac:dyDescent="0.15">
      <c r="B724" s="16">
        <v>4</v>
      </c>
      <c r="C724" s="11"/>
      <c r="D724" s="18"/>
      <c r="E724" s="18"/>
      <c r="F724" s="129"/>
      <c r="G724" s="20"/>
      <c r="H724" s="20">
        <v>1</v>
      </c>
      <c r="I724" s="126">
        <f t="shared" si="54"/>
        <v>0</v>
      </c>
      <c r="J724" s="21">
        <f t="shared" si="53"/>
        <v>0</v>
      </c>
      <c r="K724" s="80"/>
      <c r="L724" s="82"/>
      <c r="M724" s="10"/>
      <c r="N724" s="10"/>
      <c r="O724" s="10"/>
      <c r="P724" s="10"/>
      <c r="Q724" s="43"/>
      <c r="R724" s="10"/>
      <c r="T724" s="10"/>
    </row>
    <row r="725" spans="2:20" s="1" customFormat="1" ht="12.95" customHeight="1" x14ac:dyDescent="0.15">
      <c r="B725" s="16">
        <v>5</v>
      </c>
      <c r="C725" s="11"/>
      <c r="D725" s="18"/>
      <c r="E725" s="18"/>
      <c r="F725" s="129"/>
      <c r="G725" s="20"/>
      <c r="H725" s="20">
        <v>1</v>
      </c>
      <c r="I725" s="126">
        <f t="shared" si="54"/>
        <v>0</v>
      </c>
      <c r="J725" s="21">
        <f t="shared" si="53"/>
        <v>0</v>
      </c>
      <c r="K725" s="80"/>
      <c r="L725" s="82"/>
      <c r="M725" s="10"/>
      <c r="N725" s="10"/>
      <c r="O725" s="10"/>
      <c r="P725" s="10"/>
      <c r="Q725" s="43"/>
      <c r="R725" s="10"/>
      <c r="T725" s="10"/>
    </row>
    <row r="726" spans="2:20" s="1" customFormat="1" ht="12.95" customHeight="1" x14ac:dyDescent="0.15">
      <c r="B726" s="16">
        <v>6</v>
      </c>
      <c r="C726" s="11"/>
      <c r="D726" s="18"/>
      <c r="E726" s="18"/>
      <c r="F726" s="129"/>
      <c r="G726" s="20"/>
      <c r="H726" s="20">
        <v>1</v>
      </c>
      <c r="I726" s="126">
        <f t="shared" si="54"/>
        <v>0</v>
      </c>
      <c r="J726" s="21">
        <f t="shared" si="53"/>
        <v>0</v>
      </c>
      <c r="K726" s="80"/>
      <c r="L726" s="82"/>
      <c r="M726" s="10"/>
      <c r="N726" s="10"/>
      <c r="O726" s="10"/>
      <c r="P726" s="10"/>
      <c r="Q726" s="43"/>
      <c r="R726" s="10"/>
      <c r="T726" s="10"/>
    </row>
    <row r="727" spans="2:20" s="1" customFormat="1" ht="12.95" customHeight="1" x14ac:dyDescent="0.15">
      <c r="B727" s="16">
        <v>7</v>
      </c>
      <c r="C727" s="11"/>
      <c r="D727" s="18"/>
      <c r="E727" s="18"/>
      <c r="F727" s="129"/>
      <c r="G727" s="20"/>
      <c r="H727" s="20">
        <v>1</v>
      </c>
      <c r="I727" s="126">
        <f t="shared" si="54"/>
        <v>0</v>
      </c>
      <c r="J727" s="21">
        <f t="shared" si="53"/>
        <v>0</v>
      </c>
      <c r="K727" s="80"/>
      <c r="L727" s="82"/>
      <c r="M727" s="10"/>
      <c r="N727" s="10"/>
      <c r="O727" s="10"/>
      <c r="P727" s="10"/>
      <c r="Q727" s="43"/>
      <c r="R727" s="10"/>
      <c r="T727" s="10"/>
    </row>
    <row r="728" spans="2:20" s="1" customFormat="1" ht="12.95" customHeight="1" x14ac:dyDescent="0.15">
      <c r="B728" s="16">
        <v>8</v>
      </c>
      <c r="C728" s="11"/>
      <c r="D728" s="18"/>
      <c r="E728" s="18"/>
      <c r="F728" s="129"/>
      <c r="G728" s="20"/>
      <c r="H728" s="20">
        <v>1</v>
      </c>
      <c r="I728" s="126">
        <f t="shared" si="54"/>
        <v>0</v>
      </c>
      <c r="J728" s="21">
        <f t="shared" si="53"/>
        <v>0</v>
      </c>
      <c r="K728" s="80"/>
      <c r="L728" s="82"/>
      <c r="M728" s="10"/>
      <c r="N728" s="10"/>
      <c r="O728" s="10"/>
      <c r="P728" s="10"/>
      <c r="Q728" s="43"/>
      <c r="R728" s="10"/>
      <c r="T728" s="10"/>
    </row>
    <row r="729" spans="2:20" s="1" customFormat="1" ht="12.95" customHeight="1" x14ac:dyDescent="0.15">
      <c r="B729" s="16">
        <v>9</v>
      </c>
      <c r="C729" s="11"/>
      <c r="D729" s="18"/>
      <c r="E729" s="18"/>
      <c r="F729" s="129"/>
      <c r="G729" s="20"/>
      <c r="H729" s="20">
        <v>1</v>
      </c>
      <c r="I729" s="126">
        <f t="shared" si="54"/>
        <v>0</v>
      </c>
      <c r="J729" s="21">
        <f t="shared" si="53"/>
        <v>0</v>
      </c>
      <c r="K729" s="80"/>
      <c r="L729" s="82"/>
      <c r="M729" s="10"/>
      <c r="N729" s="10"/>
      <c r="O729" s="10"/>
      <c r="P729" s="10"/>
      <c r="Q729" s="43"/>
      <c r="R729" s="10"/>
      <c r="T729" s="10"/>
    </row>
    <row r="730" spans="2:20" s="1" customFormat="1" ht="12.95" customHeight="1" x14ac:dyDescent="0.15">
      <c r="B730" s="16">
        <v>10</v>
      </c>
      <c r="C730" s="11"/>
      <c r="D730" s="18"/>
      <c r="E730" s="18"/>
      <c r="F730" s="129"/>
      <c r="G730" s="20"/>
      <c r="H730" s="20">
        <v>1</v>
      </c>
      <c r="I730" s="126">
        <f t="shared" si="54"/>
        <v>0</v>
      </c>
      <c r="J730" s="21">
        <f t="shared" si="53"/>
        <v>0</v>
      </c>
      <c r="K730" s="80"/>
      <c r="L730" s="82"/>
      <c r="M730" s="10"/>
      <c r="N730" s="10"/>
      <c r="O730" s="10"/>
      <c r="P730" s="10"/>
      <c r="Q730" s="43"/>
      <c r="R730" s="10"/>
      <c r="T730" s="10"/>
    </row>
    <row r="731" spans="2:20" s="1" customFormat="1" ht="12.95" customHeight="1" x14ac:dyDescent="0.15">
      <c r="B731" s="16">
        <v>11</v>
      </c>
      <c r="C731" s="12" t="s">
        <v>165</v>
      </c>
      <c r="D731" s="18"/>
      <c r="E731" s="18"/>
      <c r="F731" s="129"/>
      <c r="G731" s="20"/>
      <c r="H731" s="20">
        <v>1</v>
      </c>
      <c r="I731" s="126">
        <f t="shared" si="54"/>
        <v>0</v>
      </c>
      <c r="J731" s="21">
        <f t="shared" si="53"/>
        <v>0</v>
      </c>
      <c r="K731" s="80"/>
      <c r="L731" s="82"/>
      <c r="M731" s="10"/>
      <c r="N731" s="10"/>
      <c r="O731" s="10"/>
      <c r="P731" s="10"/>
      <c r="Q731" s="43"/>
      <c r="R731" s="10"/>
      <c r="T731" s="10"/>
    </row>
    <row r="732" spans="2:20" s="1" customFormat="1" ht="12.95" customHeight="1" x14ac:dyDescent="0.15">
      <c r="B732" s="16">
        <v>12</v>
      </c>
      <c r="C732" s="12"/>
      <c r="D732" s="18"/>
      <c r="E732" s="18"/>
      <c r="F732" s="129"/>
      <c r="G732" s="20"/>
      <c r="H732" s="20">
        <v>1</v>
      </c>
      <c r="I732" s="126">
        <f t="shared" si="54"/>
        <v>0</v>
      </c>
      <c r="J732" s="21">
        <f t="shared" si="53"/>
        <v>0</v>
      </c>
      <c r="K732" s="80"/>
      <c r="L732" s="82"/>
      <c r="M732" s="10"/>
      <c r="N732" s="10"/>
      <c r="O732" s="10"/>
      <c r="P732" s="10"/>
      <c r="Q732" s="43"/>
      <c r="R732" s="10"/>
      <c r="T732" s="10"/>
    </row>
    <row r="733" spans="2:20" s="1" customFormat="1" ht="12.95" customHeight="1" x14ac:dyDescent="0.15">
      <c r="B733" s="16">
        <v>13</v>
      </c>
      <c r="C733" s="12"/>
      <c r="D733" s="18"/>
      <c r="E733" s="18"/>
      <c r="F733" s="129"/>
      <c r="G733" s="20"/>
      <c r="H733" s="20">
        <v>1</v>
      </c>
      <c r="I733" s="126">
        <f t="shared" si="54"/>
        <v>0</v>
      </c>
      <c r="J733" s="21">
        <f t="shared" si="53"/>
        <v>0</v>
      </c>
      <c r="K733" s="80"/>
      <c r="L733" s="82"/>
      <c r="M733" s="10"/>
      <c r="N733" s="10"/>
      <c r="O733" s="10"/>
      <c r="P733" s="10"/>
      <c r="Q733" s="43"/>
      <c r="R733" s="10"/>
      <c r="T733" s="10"/>
    </row>
    <row r="734" spans="2:20" s="1" customFormat="1" ht="12.95" customHeight="1" x14ac:dyDescent="0.15">
      <c r="B734" s="16">
        <v>14</v>
      </c>
      <c r="C734" s="12"/>
      <c r="D734" s="18"/>
      <c r="E734" s="18"/>
      <c r="F734" s="129"/>
      <c r="G734" s="20"/>
      <c r="H734" s="20">
        <v>1</v>
      </c>
      <c r="I734" s="126">
        <f t="shared" si="54"/>
        <v>0</v>
      </c>
      <c r="J734" s="21">
        <f t="shared" si="53"/>
        <v>0</v>
      </c>
      <c r="K734" s="80"/>
      <c r="L734" s="82"/>
      <c r="M734" s="10"/>
      <c r="N734" s="10"/>
      <c r="O734" s="10"/>
      <c r="P734" s="10"/>
      <c r="Q734" s="43"/>
      <c r="R734" s="10"/>
      <c r="T734" s="10"/>
    </row>
    <row r="735" spans="2:20" s="1" customFormat="1" ht="12.95" customHeight="1" x14ac:dyDescent="0.15">
      <c r="B735" s="16">
        <v>15</v>
      </c>
      <c r="C735" s="12"/>
      <c r="D735" s="18"/>
      <c r="E735" s="18"/>
      <c r="F735" s="129"/>
      <c r="G735" s="20"/>
      <c r="H735" s="20">
        <v>1</v>
      </c>
      <c r="I735" s="126">
        <f t="shared" si="54"/>
        <v>0</v>
      </c>
      <c r="J735" s="21">
        <f t="shared" si="53"/>
        <v>0</v>
      </c>
      <c r="K735" s="80"/>
      <c r="L735" s="82"/>
      <c r="M735" s="10"/>
      <c r="N735" s="10"/>
      <c r="O735" s="10"/>
      <c r="P735" s="10"/>
      <c r="Q735" s="43"/>
      <c r="R735" s="10"/>
      <c r="T735" s="10"/>
    </row>
    <row r="736" spans="2:20" s="1" customFormat="1" ht="12.95" customHeight="1" x14ac:dyDescent="0.15">
      <c r="B736" s="16">
        <v>16</v>
      </c>
      <c r="C736" s="12"/>
      <c r="D736" s="18"/>
      <c r="E736" s="18"/>
      <c r="F736" s="129"/>
      <c r="G736" s="20"/>
      <c r="H736" s="20">
        <v>1</v>
      </c>
      <c r="I736" s="126">
        <f t="shared" si="54"/>
        <v>0</v>
      </c>
      <c r="J736" s="21">
        <f t="shared" si="53"/>
        <v>0</v>
      </c>
      <c r="K736" s="80"/>
      <c r="L736" s="82"/>
      <c r="M736" s="10"/>
      <c r="N736" s="10"/>
      <c r="O736" s="10"/>
      <c r="P736" s="10"/>
      <c r="Q736" s="43"/>
      <c r="R736" s="10"/>
      <c r="T736" s="10"/>
    </row>
    <row r="737" spans="2:20" s="1" customFormat="1" ht="12.95" customHeight="1" x14ac:dyDescent="0.15">
      <c r="B737" s="16">
        <v>17</v>
      </c>
      <c r="C737" s="12"/>
      <c r="D737" s="18"/>
      <c r="E737" s="18"/>
      <c r="F737" s="129"/>
      <c r="G737" s="20"/>
      <c r="H737" s="20">
        <v>1</v>
      </c>
      <c r="I737" s="126">
        <f t="shared" si="54"/>
        <v>0</v>
      </c>
      <c r="J737" s="21">
        <f t="shared" si="53"/>
        <v>0</v>
      </c>
      <c r="K737" s="80"/>
      <c r="L737" s="82"/>
      <c r="M737" s="10"/>
      <c r="N737" s="10"/>
      <c r="O737" s="10"/>
      <c r="P737" s="10"/>
      <c r="Q737" s="43"/>
      <c r="R737" s="10"/>
      <c r="T737" s="10"/>
    </row>
    <row r="738" spans="2:20" s="1" customFormat="1" ht="12.95" customHeight="1" x14ac:dyDescent="0.15">
      <c r="B738" s="16">
        <v>18</v>
      </c>
      <c r="C738" s="12"/>
      <c r="D738" s="18"/>
      <c r="E738" s="18"/>
      <c r="F738" s="129"/>
      <c r="G738" s="20"/>
      <c r="H738" s="20">
        <v>1</v>
      </c>
      <c r="I738" s="126">
        <f t="shared" si="54"/>
        <v>0</v>
      </c>
      <c r="J738" s="78">
        <f t="shared" si="53"/>
        <v>0</v>
      </c>
      <c r="K738" s="111"/>
      <c r="L738" s="119"/>
      <c r="M738" s="10"/>
      <c r="N738" s="10"/>
      <c r="O738" s="10"/>
      <c r="P738" s="10"/>
      <c r="Q738" s="43"/>
      <c r="R738" s="10"/>
      <c r="T738" s="10"/>
    </row>
    <row r="739" spans="2:20" s="1" customFormat="1" ht="12.95" customHeight="1" x14ac:dyDescent="0.15">
      <c r="B739" s="16">
        <v>19</v>
      </c>
      <c r="C739" s="12"/>
      <c r="D739" s="18"/>
      <c r="E739" s="18"/>
      <c r="F739" s="129"/>
      <c r="G739" s="20"/>
      <c r="H739" s="20">
        <v>1</v>
      </c>
      <c r="I739" s="254">
        <f t="shared" si="54"/>
        <v>0</v>
      </c>
      <c r="J739" s="94">
        <f t="shared" si="53"/>
        <v>0</v>
      </c>
      <c r="K739" s="82"/>
      <c r="L739" s="82"/>
      <c r="M739" s="10"/>
      <c r="N739" s="10"/>
      <c r="O739" s="10"/>
      <c r="P739" s="10"/>
      <c r="Q739" s="43"/>
      <c r="R739" s="10"/>
      <c r="T739" s="10"/>
    </row>
    <row r="740" spans="2:20" s="1" customFormat="1" ht="12.95" customHeight="1" x14ac:dyDescent="0.15">
      <c r="B740" s="16">
        <v>20</v>
      </c>
      <c r="C740" s="12"/>
      <c r="D740" s="18"/>
      <c r="E740" s="18"/>
      <c r="F740" s="129"/>
      <c r="G740" s="20"/>
      <c r="H740" s="20">
        <v>1</v>
      </c>
      <c r="I740" s="254">
        <f t="shared" si="54"/>
        <v>0</v>
      </c>
      <c r="J740" s="94">
        <f t="shared" si="53"/>
        <v>0</v>
      </c>
      <c r="K740" s="82"/>
      <c r="L740" s="82"/>
      <c r="M740" s="10"/>
      <c r="N740" s="10"/>
      <c r="O740" s="10"/>
      <c r="P740" s="10"/>
      <c r="Q740" s="43"/>
      <c r="R740" s="10"/>
      <c r="T740" s="10"/>
    </row>
    <row r="741" spans="2:20" s="1" customFormat="1" ht="12.95" customHeight="1" x14ac:dyDescent="0.15">
      <c r="B741" s="83"/>
      <c r="C741" s="74"/>
      <c r="D741" s="75"/>
      <c r="E741" s="75"/>
      <c r="F741" s="132"/>
      <c r="G741" s="77"/>
      <c r="H741" s="77"/>
      <c r="I741" s="255"/>
      <c r="J741" s="94"/>
      <c r="K741" s="82"/>
      <c r="L741" s="82"/>
      <c r="M741" s="10"/>
      <c r="N741" s="10"/>
      <c r="O741" s="10"/>
      <c r="P741" s="10"/>
      <c r="Q741" s="43"/>
      <c r="R741" s="10"/>
      <c r="T741" s="10"/>
    </row>
    <row r="742" spans="2:20" s="1" customFormat="1" ht="12.75" x14ac:dyDescent="0.15">
      <c r="B742" s="82"/>
      <c r="C742" s="102"/>
      <c r="D742" s="103"/>
      <c r="E742" s="102"/>
      <c r="F742" s="128">
        <f>SUM(F682:F741)</f>
        <v>0</v>
      </c>
      <c r="G742" s="104"/>
      <c r="H742" s="105"/>
      <c r="I742" s="128">
        <f>SUM(I682:I741)</f>
        <v>0</v>
      </c>
      <c r="J742" s="257">
        <f>SUM(J682:J741)</f>
        <v>0</v>
      </c>
    </row>
    <row r="743" spans="2:20" s="1" customFormat="1" ht="12.75" x14ac:dyDescent="0.15">
      <c r="B743" s="82"/>
      <c r="C743" s="102"/>
      <c r="D743" s="103"/>
      <c r="E743" s="102" t="s">
        <v>147</v>
      </c>
      <c r="F743" s="128">
        <f>100/115*F742</f>
        <v>0</v>
      </c>
      <c r="G743" s="104"/>
      <c r="H743" s="105" t="s">
        <v>147</v>
      </c>
      <c r="I743" s="128">
        <f>100/115*I742</f>
        <v>0</v>
      </c>
      <c r="J743" s="106"/>
    </row>
    <row r="744" spans="2:20" s="1" customFormat="1" ht="12.75" x14ac:dyDescent="0.15"/>
    <row r="745" spans="2:20" s="1" customFormat="1" ht="12.75" x14ac:dyDescent="0.15"/>
    <row r="746" spans="2:20" s="1" customFormat="1" ht="12.75" x14ac:dyDescent="0.15"/>
    <row r="747" spans="2:20" s="1" customFormat="1" ht="12.75" x14ac:dyDescent="0.15"/>
    <row r="748" spans="2:20" s="247" customFormat="1" ht="32.25" x14ac:dyDescent="0.4">
      <c r="B748" s="251"/>
      <c r="C748" s="424" t="s">
        <v>166</v>
      </c>
      <c r="D748" s="424"/>
      <c r="E748" s="425" t="s">
        <v>167</v>
      </c>
      <c r="F748" s="426"/>
      <c r="G748" s="426"/>
      <c r="H748" s="426"/>
      <c r="I748" s="427"/>
      <c r="J748" s="415">
        <v>2026</v>
      </c>
      <c r="K748" s="416"/>
      <c r="L748" s="417"/>
    </row>
    <row r="749" spans="2:20" s="1" customFormat="1" ht="22.5" x14ac:dyDescent="0.15">
      <c r="B749" s="16"/>
      <c r="C749" s="28" t="s">
        <v>114</v>
      </c>
      <c r="D749" s="418" t="s">
        <v>115</v>
      </c>
      <c r="E749" s="418"/>
      <c r="F749" s="28" t="s">
        <v>116</v>
      </c>
      <c r="G749" s="28" t="s">
        <v>117</v>
      </c>
      <c r="H749" s="28" t="s">
        <v>118</v>
      </c>
      <c r="I749" s="28" t="s">
        <v>119</v>
      </c>
      <c r="J749" s="64" t="s">
        <v>120</v>
      </c>
      <c r="K749" s="82"/>
      <c r="L749" s="82"/>
    </row>
    <row r="750" spans="2:20" s="1" customFormat="1" ht="12.75" x14ac:dyDescent="0.15">
      <c r="B750" s="16"/>
      <c r="C750" s="124">
        <f>C680</f>
        <v>450</v>
      </c>
      <c r="D750" s="419">
        <v>20</v>
      </c>
      <c r="E750" s="419"/>
      <c r="F750" s="29">
        <f>F680</f>
        <v>0.8</v>
      </c>
      <c r="G750" s="30">
        <f>G680</f>
        <v>8</v>
      </c>
      <c r="H750" s="31">
        <f>D750*G750*F750</f>
        <v>128</v>
      </c>
      <c r="I750" s="124">
        <f>I812</f>
        <v>0</v>
      </c>
      <c r="J750" s="121">
        <f>H750-J812</f>
        <v>128</v>
      </c>
      <c r="K750" s="82"/>
      <c r="L750" s="82"/>
    </row>
    <row r="751" spans="2:20" s="1" customFormat="1" ht="33.75" x14ac:dyDescent="0.15">
      <c r="B751" s="16"/>
      <c r="C751" s="22" t="s">
        <v>121</v>
      </c>
      <c r="D751" s="413" t="s">
        <v>122</v>
      </c>
      <c r="E751" s="413"/>
      <c r="F751" s="33" t="s">
        <v>123</v>
      </c>
      <c r="G751" s="34" t="s">
        <v>124</v>
      </c>
      <c r="H751" s="35" t="s">
        <v>125</v>
      </c>
      <c r="I751" s="125" t="s">
        <v>126</v>
      </c>
      <c r="J751" s="34" t="s">
        <v>127</v>
      </c>
      <c r="K751" s="122" t="s">
        <v>128</v>
      </c>
      <c r="L751" s="123" t="s">
        <v>168</v>
      </c>
    </row>
    <row r="752" spans="2:20" s="1" customFormat="1" ht="12.75" x14ac:dyDescent="0.15">
      <c r="B752" s="16"/>
      <c r="C752" s="22"/>
      <c r="D752" s="32"/>
      <c r="E752" s="32"/>
      <c r="F752" s="33"/>
      <c r="G752" s="34"/>
      <c r="H752" s="35"/>
      <c r="I752" s="125"/>
      <c r="J752" s="34"/>
      <c r="K752" s="110"/>
      <c r="L752" s="117"/>
    </row>
    <row r="753" spans="2:12" s="1" customFormat="1" ht="12.75" x14ac:dyDescent="0.15">
      <c r="B753" s="16"/>
      <c r="C753" s="22" t="s">
        <v>130</v>
      </c>
      <c r="D753" s="32"/>
      <c r="E753" s="32"/>
      <c r="F753" s="33"/>
      <c r="G753" s="34"/>
      <c r="H753" s="35"/>
      <c r="I753" s="125"/>
      <c r="J753" s="34"/>
      <c r="K753" s="110"/>
      <c r="L753" s="117"/>
    </row>
    <row r="754" spans="2:12" s="1" customFormat="1" ht="12.75" customHeight="1" x14ac:dyDescent="0.15">
      <c r="B754" s="16"/>
      <c r="C754" s="37" t="s">
        <v>149</v>
      </c>
      <c r="D754" s="24"/>
      <c r="E754" s="24"/>
      <c r="F754" s="19"/>
      <c r="G754" s="20"/>
      <c r="H754" s="20"/>
      <c r="I754" s="126"/>
      <c r="J754" s="38"/>
      <c r="K754" s="80"/>
      <c r="L754" s="82"/>
    </row>
    <row r="755" spans="2:12" s="1" customFormat="1" ht="12.75" x14ac:dyDescent="0.15">
      <c r="B755" s="16">
        <v>1</v>
      </c>
      <c r="C755" s="23"/>
      <c r="D755" s="24"/>
      <c r="E755" s="24"/>
      <c r="F755" s="129"/>
      <c r="G755" s="20"/>
      <c r="H755" s="20">
        <v>1</v>
      </c>
      <c r="I755" s="126">
        <f t="shared" ref="I755:I764" si="55">J755*$C$32</f>
        <v>0</v>
      </c>
      <c r="J755" s="38">
        <f t="shared" ref="J755:J764" si="56">(F755*G755*H755)/$C$32</f>
        <v>0</v>
      </c>
      <c r="K755" s="80"/>
      <c r="L755" s="82"/>
    </row>
    <row r="756" spans="2:12" s="1" customFormat="1" ht="12.75" customHeight="1" x14ac:dyDescent="0.15">
      <c r="B756" s="16">
        <v>2</v>
      </c>
      <c r="C756" s="23"/>
      <c r="D756" s="24"/>
      <c r="E756" s="24"/>
      <c r="F756" s="126"/>
      <c r="G756" s="20"/>
      <c r="H756" s="20">
        <v>1</v>
      </c>
      <c r="I756" s="126">
        <f t="shared" si="55"/>
        <v>0</v>
      </c>
      <c r="J756" s="38">
        <f t="shared" si="56"/>
        <v>0</v>
      </c>
      <c r="K756" s="80"/>
      <c r="L756" s="82"/>
    </row>
    <row r="757" spans="2:12" s="1" customFormat="1" ht="12.75" customHeight="1" x14ac:dyDescent="0.15">
      <c r="B757" s="16">
        <v>3</v>
      </c>
      <c r="C757" s="23"/>
      <c r="D757" s="25"/>
      <c r="E757" s="25"/>
      <c r="F757" s="129"/>
      <c r="G757" s="20"/>
      <c r="H757" s="20">
        <v>1</v>
      </c>
      <c r="I757" s="126">
        <f t="shared" si="55"/>
        <v>0</v>
      </c>
      <c r="J757" s="38">
        <f t="shared" si="56"/>
        <v>0</v>
      </c>
      <c r="K757" s="80"/>
      <c r="L757" s="82"/>
    </row>
    <row r="758" spans="2:12" s="1" customFormat="1" ht="12.95" customHeight="1" x14ac:dyDescent="0.15">
      <c r="B758" s="16">
        <v>4</v>
      </c>
      <c r="C758" s="23"/>
      <c r="D758" s="24"/>
      <c r="E758" s="24"/>
      <c r="F758" s="129"/>
      <c r="G758" s="20"/>
      <c r="H758" s="20">
        <v>1</v>
      </c>
      <c r="I758" s="126">
        <f t="shared" si="55"/>
        <v>0</v>
      </c>
      <c r="J758" s="38">
        <f t="shared" si="56"/>
        <v>0</v>
      </c>
      <c r="K758" s="80"/>
      <c r="L758" s="82"/>
    </row>
    <row r="759" spans="2:12" s="1" customFormat="1" ht="14.1" customHeight="1" x14ac:dyDescent="0.15">
      <c r="B759" s="16">
        <v>5</v>
      </c>
      <c r="C759" s="16"/>
      <c r="D759" s="18"/>
      <c r="E759" s="18"/>
      <c r="F759" s="129"/>
      <c r="G759" s="20"/>
      <c r="H759" s="20">
        <v>1</v>
      </c>
      <c r="I759" s="126">
        <f t="shared" si="55"/>
        <v>0</v>
      </c>
      <c r="J759" s="38">
        <f t="shared" si="56"/>
        <v>0</v>
      </c>
      <c r="K759" s="80"/>
      <c r="L759" s="82"/>
    </row>
    <row r="760" spans="2:12" s="1" customFormat="1" ht="12.95" customHeight="1" x14ac:dyDescent="0.15">
      <c r="B760" s="16">
        <v>6</v>
      </c>
      <c r="C760" s="17"/>
      <c r="D760" s="24"/>
      <c r="E760" s="24"/>
      <c r="F760" s="129"/>
      <c r="G760" s="20"/>
      <c r="H760" s="20">
        <v>1</v>
      </c>
      <c r="I760" s="126">
        <f t="shared" si="55"/>
        <v>0</v>
      </c>
      <c r="J760" s="38">
        <f t="shared" si="56"/>
        <v>0</v>
      </c>
      <c r="K760" s="80"/>
      <c r="L760" s="82"/>
    </row>
    <row r="761" spans="2:12" s="1" customFormat="1" ht="12.95" customHeight="1" x14ac:dyDescent="0.15">
      <c r="B761" s="16">
        <v>7</v>
      </c>
      <c r="C761" s="17"/>
      <c r="D761" s="24"/>
      <c r="E761" s="24"/>
      <c r="F761" s="129"/>
      <c r="G761" s="20"/>
      <c r="H761" s="20">
        <v>1</v>
      </c>
      <c r="I761" s="126">
        <f t="shared" si="55"/>
        <v>0</v>
      </c>
      <c r="J761" s="38">
        <f t="shared" si="56"/>
        <v>0</v>
      </c>
      <c r="K761" s="80"/>
      <c r="L761" s="82"/>
    </row>
    <row r="762" spans="2:12" s="1" customFormat="1" ht="12.95" customHeight="1" x14ac:dyDescent="0.15">
      <c r="B762" s="16">
        <v>8</v>
      </c>
      <c r="C762" s="17"/>
      <c r="D762" s="24"/>
      <c r="E762" s="24"/>
      <c r="F762" s="129"/>
      <c r="G762" s="20"/>
      <c r="H762" s="20">
        <v>1</v>
      </c>
      <c r="I762" s="126">
        <f t="shared" si="55"/>
        <v>0</v>
      </c>
      <c r="J762" s="38">
        <f t="shared" si="56"/>
        <v>0</v>
      </c>
      <c r="K762" s="80"/>
      <c r="L762" s="82"/>
    </row>
    <row r="763" spans="2:12" s="1" customFormat="1" ht="12.95" customHeight="1" x14ac:dyDescent="0.15">
      <c r="B763" s="16">
        <v>9</v>
      </c>
      <c r="C763" s="17"/>
      <c r="D763" s="24"/>
      <c r="E763" s="24"/>
      <c r="F763" s="129"/>
      <c r="G763" s="20"/>
      <c r="H763" s="20">
        <v>1</v>
      </c>
      <c r="I763" s="126">
        <f t="shared" si="55"/>
        <v>0</v>
      </c>
      <c r="J763" s="38">
        <f t="shared" si="56"/>
        <v>0</v>
      </c>
      <c r="K763" s="80"/>
      <c r="L763" s="82"/>
    </row>
    <row r="764" spans="2:12" s="1" customFormat="1" ht="12.95" customHeight="1" x14ac:dyDescent="0.15">
      <c r="B764" s="16">
        <v>10</v>
      </c>
      <c r="C764" s="17"/>
      <c r="D764" s="24"/>
      <c r="E764" s="24"/>
      <c r="F764" s="129"/>
      <c r="G764" s="20"/>
      <c r="H764" s="20">
        <v>1</v>
      </c>
      <c r="I764" s="126">
        <f t="shared" si="55"/>
        <v>0</v>
      </c>
      <c r="J764" s="38">
        <f t="shared" si="56"/>
        <v>0</v>
      </c>
      <c r="K764" s="80"/>
      <c r="L764" s="82"/>
    </row>
    <row r="765" spans="2:12" s="1" customFormat="1" ht="12.95" customHeight="1" x14ac:dyDescent="0.15">
      <c r="B765" s="16"/>
      <c r="C765" s="17"/>
      <c r="D765" s="18"/>
      <c r="E765" s="24"/>
      <c r="F765" s="129"/>
      <c r="G765" s="20"/>
      <c r="H765" s="20"/>
      <c r="I765" s="126"/>
      <c r="J765" s="38"/>
      <c r="K765" s="80"/>
      <c r="L765" s="82"/>
    </row>
    <row r="766" spans="2:12" s="1" customFormat="1" ht="12.95" customHeight="1" x14ac:dyDescent="0.15">
      <c r="B766" s="16"/>
      <c r="C766" s="17"/>
      <c r="D766" s="18"/>
      <c r="E766" s="24"/>
      <c r="F766" s="129"/>
      <c r="G766" s="20"/>
      <c r="H766" s="20"/>
      <c r="I766" s="126"/>
      <c r="J766" s="38"/>
      <c r="K766" s="80"/>
      <c r="L766" s="82"/>
    </row>
    <row r="767" spans="2:12" s="1" customFormat="1" ht="12.95" customHeight="1" x14ac:dyDescent="0.15">
      <c r="B767" s="16"/>
      <c r="C767" s="22" t="s">
        <v>153</v>
      </c>
      <c r="D767" s="24"/>
      <c r="E767" s="18"/>
      <c r="F767" s="129"/>
      <c r="G767" s="20"/>
      <c r="H767" s="20"/>
      <c r="I767" s="126"/>
      <c r="J767" s="38"/>
      <c r="K767" s="80"/>
      <c r="L767" s="82"/>
    </row>
    <row r="768" spans="2:12" s="1" customFormat="1" ht="12.95" customHeight="1" x14ac:dyDescent="0.15">
      <c r="B768" s="16">
        <v>1</v>
      </c>
      <c r="C768" s="17"/>
      <c r="D768" s="24"/>
      <c r="E768" s="18"/>
      <c r="F768" s="129"/>
      <c r="G768" s="20"/>
      <c r="H768" s="20">
        <v>1</v>
      </c>
      <c r="I768" s="126">
        <f t="shared" ref="I768:I787" si="57">J768*$C$32</f>
        <v>0</v>
      </c>
      <c r="J768" s="38">
        <f t="shared" ref="J768:J787" si="58">(F768*G768*H768)/$C$32</f>
        <v>0</v>
      </c>
      <c r="K768" s="80"/>
      <c r="L768" s="82"/>
    </row>
    <row r="769" spans="2:12" s="1" customFormat="1" ht="12.95" customHeight="1" x14ac:dyDescent="0.15">
      <c r="B769" s="16">
        <v>2</v>
      </c>
      <c r="C769" s="17"/>
      <c r="D769" s="24"/>
      <c r="E769" s="18"/>
      <c r="F769" s="129"/>
      <c r="G769" s="20"/>
      <c r="H769" s="20">
        <v>1</v>
      </c>
      <c r="I769" s="126">
        <f t="shared" si="57"/>
        <v>0</v>
      </c>
      <c r="J769" s="38">
        <f t="shared" si="58"/>
        <v>0</v>
      </c>
      <c r="K769" s="80"/>
      <c r="L769" s="82"/>
    </row>
    <row r="770" spans="2:12" s="1" customFormat="1" ht="12.95" customHeight="1" x14ac:dyDescent="0.15">
      <c r="B770" s="16">
        <v>3</v>
      </c>
      <c r="C770" s="17"/>
      <c r="D770" s="24"/>
      <c r="E770" s="18"/>
      <c r="F770" s="129"/>
      <c r="G770" s="20"/>
      <c r="H770" s="20">
        <v>1</v>
      </c>
      <c r="I770" s="126">
        <f t="shared" si="57"/>
        <v>0</v>
      </c>
      <c r="J770" s="38">
        <f t="shared" si="58"/>
        <v>0</v>
      </c>
      <c r="K770" s="80"/>
      <c r="L770" s="82"/>
    </row>
    <row r="771" spans="2:12" s="1" customFormat="1" ht="12.95" customHeight="1" x14ac:dyDescent="0.15">
      <c r="B771" s="16">
        <v>4</v>
      </c>
      <c r="C771" s="17"/>
      <c r="D771" s="24"/>
      <c r="E771" s="18"/>
      <c r="F771" s="129"/>
      <c r="G771" s="20"/>
      <c r="H771" s="20">
        <v>1</v>
      </c>
      <c r="I771" s="126">
        <f t="shared" si="57"/>
        <v>0</v>
      </c>
      <c r="J771" s="38">
        <f t="shared" si="58"/>
        <v>0</v>
      </c>
      <c r="K771" s="80"/>
      <c r="L771" s="82"/>
    </row>
    <row r="772" spans="2:12" s="1" customFormat="1" ht="12.95" customHeight="1" x14ac:dyDescent="0.15">
      <c r="B772" s="16">
        <v>5</v>
      </c>
      <c r="C772" s="17"/>
      <c r="D772" s="24"/>
      <c r="E772" s="18"/>
      <c r="F772" s="129"/>
      <c r="G772" s="20"/>
      <c r="H772" s="20">
        <v>1</v>
      </c>
      <c r="I772" s="126">
        <f t="shared" si="57"/>
        <v>0</v>
      </c>
      <c r="J772" s="38">
        <f t="shared" si="58"/>
        <v>0</v>
      </c>
      <c r="K772" s="80"/>
      <c r="L772" s="82"/>
    </row>
    <row r="773" spans="2:12" s="1" customFormat="1" ht="12.95" customHeight="1" x14ac:dyDescent="0.15">
      <c r="B773" s="16">
        <v>6</v>
      </c>
      <c r="C773" s="17"/>
      <c r="D773" s="24"/>
      <c r="E773" s="18"/>
      <c r="F773" s="129"/>
      <c r="G773" s="20"/>
      <c r="H773" s="20">
        <v>1</v>
      </c>
      <c r="I773" s="126">
        <f t="shared" si="57"/>
        <v>0</v>
      </c>
      <c r="J773" s="38">
        <f t="shared" si="58"/>
        <v>0</v>
      </c>
      <c r="K773" s="80"/>
      <c r="L773" s="82"/>
    </row>
    <row r="774" spans="2:12" s="1" customFormat="1" ht="12.95" customHeight="1" x14ac:dyDescent="0.15">
      <c r="B774" s="16">
        <v>7</v>
      </c>
      <c r="C774" s="17"/>
      <c r="D774" s="24"/>
      <c r="E774" s="18"/>
      <c r="F774" s="129"/>
      <c r="G774" s="20"/>
      <c r="H774" s="20">
        <v>1</v>
      </c>
      <c r="I774" s="126">
        <f t="shared" si="57"/>
        <v>0</v>
      </c>
      <c r="J774" s="38">
        <f t="shared" si="58"/>
        <v>0</v>
      </c>
      <c r="K774" s="80"/>
      <c r="L774" s="82"/>
    </row>
    <row r="775" spans="2:12" s="1" customFormat="1" ht="12.95" customHeight="1" x14ac:dyDescent="0.15">
      <c r="B775" s="16">
        <v>8</v>
      </c>
      <c r="C775" s="17"/>
      <c r="D775" s="24"/>
      <c r="E775" s="18"/>
      <c r="F775" s="129"/>
      <c r="G775" s="20"/>
      <c r="H775" s="20">
        <v>1</v>
      </c>
      <c r="I775" s="126">
        <f t="shared" si="57"/>
        <v>0</v>
      </c>
      <c r="J775" s="21">
        <f t="shared" si="58"/>
        <v>0</v>
      </c>
      <c r="K775" s="80"/>
      <c r="L775" s="82"/>
    </row>
    <row r="776" spans="2:12" s="1" customFormat="1" ht="12.95" customHeight="1" x14ac:dyDescent="0.15">
      <c r="B776" s="16">
        <v>9</v>
      </c>
      <c r="C776" s="17"/>
      <c r="D776" s="24"/>
      <c r="E776" s="18"/>
      <c r="F776" s="129"/>
      <c r="G776" s="20"/>
      <c r="H776" s="20">
        <v>1</v>
      </c>
      <c r="I776" s="126">
        <f t="shared" si="57"/>
        <v>0</v>
      </c>
      <c r="J776" s="38">
        <f t="shared" si="58"/>
        <v>0</v>
      </c>
      <c r="K776" s="80"/>
      <c r="L776" s="82"/>
    </row>
    <row r="777" spans="2:12" s="1" customFormat="1" ht="12.95" customHeight="1" x14ac:dyDescent="0.15">
      <c r="B777" s="16">
        <v>10</v>
      </c>
      <c r="C777" s="17"/>
      <c r="D777" s="24"/>
      <c r="E777" s="18"/>
      <c r="F777" s="129"/>
      <c r="G777" s="20"/>
      <c r="H777" s="20">
        <v>1</v>
      </c>
      <c r="I777" s="126">
        <f t="shared" si="57"/>
        <v>0</v>
      </c>
      <c r="J777" s="38">
        <f t="shared" si="58"/>
        <v>0</v>
      </c>
      <c r="K777" s="80"/>
      <c r="L777" s="82"/>
    </row>
    <row r="778" spans="2:12" s="1" customFormat="1" ht="12.95" customHeight="1" x14ac:dyDescent="0.15">
      <c r="B778" s="16">
        <v>11</v>
      </c>
      <c r="C778" s="17"/>
      <c r="D778" s="24"/>
      <c r="E778" s="18"/>
      <c r="F778" s="129"/>
      <c r="G778" s="20"/>
      <c r="H778" s="20">
        <v>1</v>
      </c>
      <c r="I778" s="126">
        <f t="shared" si="57"/>
        <v>0</v>
      </c>
      <c r="J778" s="38">
        <f t="shared" si="58"/>
        <v>0</v>
      </c>
      <c r="K778" s="80"/>
      <c r="L778" s="82"/>
    </row>
    <row r="779" spans="2:12" s="1" customFormat="1" ht="12.95" customHeight="1" x14ac:dyDescent="0.15">
      <c r="B779" s="16">
        <v>12</v>
      </c>
      <c r="C779" s="17"/>
      <c r="D779" s="24"/>
      <c r="E779" s="18"/>
      <c r="F779" s="129"/>
      <c r="G779" s="20"/>
      <c r="H779" s="20">
        <v>1</v>
      </c>
      <c r="I779" s="126">
        <f t="shared" si="57"/>
        <v>0</v>
      </c>
      <c r="J779" s="38">
        <f t="shared" si="58"/>
        <v>0</v>
      </c>
      <c r="K779" s="80"/>
      <c r="L779" s="82"/>
    </row>
    <row r="780" spans="2:12" s="1" customFormat="1" ht="12.95" customHeight="1" x14ac:dyDescent="0.15">
      <c r="B780" s="16">
        <v>13</v>
      </c>
      <c r="C780" s="17"/>
      <c r="D780" s="24"/>
      <c r="E780" s="24"/>
      <c r="F780" s="129"/>
      <c r="G780" s="20"/>
      <c r="H780" s="20">
        <v>1</v>
      </c>
      <c r="I780" s="126">
        <f t="shared" si="57"/>
        <v>0</v>
      </c>
      <c r="J780" s="38">
        <f t="shared" si="58"/>
        <v>0</v>
      </c>
      <c r="K780" s="80"/>
      <c r="L780" s="82"/>
    </row>
    <row r="781" spans="2:12" s="1" customFormat="1" ht="12.95" customHeight="1" x14ac:dyDescent="0.15">
      <c r="B781" s="16">
        <v>14</v>
      </c>
      <c r="C781" s="17"/>
      <c r="D781" s="24"/>
      <c r="E781" s="24"/>
      <c r="F781" s="129"/>
      <c r="G781" s="20"/>
      <c r="H781" s="20">
        <v>1</v>
      </c>
      <c r="I781" s="126">
        <f t="shared" si="57"/>
        <v>0</v>
      </c>
      <c r="J781" s="38">
        <f t="shared" si="58"/>
        <v>0</v>
      </c>
      <c r="K781" s="80"/>
      <c r="L781" s="82"/>
    </row>
    <row r="782" spans="2:12" s="1" customFormat="1" ht="12.95" customHeight="1" x14ac:dyDescent="0.15">
      <c r="B782" s="16">
        <v>15</v>
      </c>
      <c r="C782" s="17"/>
      <c r="D782" s="24"/>
      <c r="E782" s="24"/>
      <c r="F782" s="129"/>
      <c r="G782" s="20"/>
      <c r="H782" s="20">
        <v>1</v>
      </c>
      <c r="I782" s="126">
        <f t="shared" si="57"/>
        <v>0</v>
      </c>
      <c r="J782" s="38">
        <f t="shared" si="58"/>
        <v>0</v>
      </c>
      <c r="K782" s="80"/>
      <c r="L782" s="82"/>
    </row>
    <row r="783" spans="2:12" s="1" customFormat="1" ht="12.95" customHeight="1" x14ac:dyDescent="0.15">
      <c r="B783" s="16">
        <v>16</v>
      </c>
      <c r="C783" s="17"/>
      <c r="D783" s="24"/>
      <c r="E783" s="24"/>
      <c r="F783" s="129"/>
      <c r="G783" s="20"/>
      <c r="H783" s="20">
        <v>1</v>
      </c>
      <c r="I783" s="126">
        <f t="shared" si="57"/>
        <v>0</v>
      </c>
      <c r="J783" s="38">
        <f t="shared" si="58"/>
        <v>0</v>
      </c>
      <c r="K783" s="80"/>
      <c r="L783" s="82"/>
    </row>
    <row r="784" spans="2:12" s="1" customFormat="1" ht="12.95" customHeight="1" x14ac:dyDescent="0.15">
      <c r="B784" s="16">
        <v>17</v>
      </c>
      <c r="C784" s="17"/>
      <c r="D784" s="24"/>
      <c r="E784" s="24"/>
      <c r="F784" s="129"/>
      <c r="G784" s="20"/>
      <c r="H784" s="20">
        <v>1</v>
      </c>
      <c r="I784" s="126">
        <f t="shared" si="57"/>
        <v>0</v>
      </c>
      <c r="J784" s="38">
        <f t="shared" si="58"/>
        <v>0</v>
      </c>
      <c r="K784" s="80"/>
      <c r="L784" s="82"/>
    </row>
    <row r="785" spans="2:12" s="1" customFormat="1" ht="12.95" customHeight="1" x14ac:dyDescent="0.15">
      <c r="B785" s="16">
        <v>18</v>
      </c>
      <c r="C785" s="17"/>
      <c r="D785" s="24"/>
      <c r="E785" s="24"/>
      <c r="F785" s="129"/>
      <c r="G785" s="20"/>
      <c r="H785" s="20">
        <v>1</v>
      </c>
      <c r="I785" s="126">
        <f t="shared" si="57"/>
        <v>0</v>
      </c>
      <c r="J785" s="38">
        <f t="shared" si="58"/>
        <v>0</v>
      </c>
      <c r="K785" s="80"/>
      <c r="L785" s="82"/>
    </row>
    <row r="786" spans="2:12" s="1" customFormat="1" ht="12.95" customHeight="1" x14ac:dyDescent="0.15">
      <c r="B786" s="16">
        <v>19</v>
      </c>
      <c r="C786" s="17"/>
      <c r="D786" s="24"/>
      <c r="E786" s="24"/>
      <c r="F786" s="129"/>
      <c r="G786" s="20"/>
      <c r="H786" s="20">
        <v>1</v>
      </c>
      <c r="I786" s="126">
        <f t="shared" si="57"/>
        <v>0</v>
      </c>
      <c r="J786" s="38">
        <f t="shared" si="58"/>
        <v>0</v>
      </c>
      <c r="K786" s="80"/>
      <c r="L786" s="82"/>
    </row>
    <row r="787" spans="2:12" s="1" customFormat="1" ht="12.95" customHeight="1" x14ac:dyDescent="0.15">
      <c r="B787" s="16">
        <v>20</v>
      </c>
      <c r="C787" s="17"/>
      <c r="D787" s="24"/>
      <c r="E787" s="24"/>
      <c r="F787" s="129"/>
      <c r="G787" s="20"/>
      <c r="H787" s="20">
        <v>1</v>
      </c>
      <c r="I787" s="126">
        <f t="shared" si="57"/>
        <v>0</v>
      </c>
      <c r="J787" s="38">
        <f t="shared" si="58"/>
        <v>0</v>
      </c>
      <c r="K787" s="80"/>
      <c r="L787" s="82"/>
    </row>
    <row r="788" spans="2:12" s="1" customFormat="1" ht="12.95" customHeight="1" x14ac:dyDescent="0.15">
      <c r="B788" s="16"/>
      <c r="C788" s="17"/>
      <c r="D788" s="24"/>
      <c r="E788" s="24"/>
      <c r="F788" s="129"/>
      <c r="G788" s="20"/>
      <c r="H788" s="20"/>
      <c r="I788" s="126"/>
      <c r="J788" s="38"/>
      <c r="K788" s="80"/>
      <c r="L788" s="82"/>
    </row>
    <row r="789" spans="2:12" s="1" customFormat="1" ht="12.95" customHeight="1" x14ac:dyDescent="0.15">
      <c r="B789" s="16"/>
      <c r="C789" s="17"/>
      <c r="D789" s="24"/>
      <c r="E789" s="24"/>
      <c r="F789" s="129"/>
      <c r="G789" s="20"/>
      <c r="H789" s="20"/>
      <c r="I789" s="126"/>
      <c r="J789" s="38"/>
      <c r="K789" s="80"/>
      <c r="L789" s="82"/>
    </row>
    <row r="790" spans="2:12" s="1" customFormat="1" ht="12.95" customHeight="1" x14ac:dyDescent="0.15">
      <c r="B790" s="16"/>
      <c r="C790" s="22" t="s">
        <v>132</v>
      </c>
      <c r="D790" s="24"/>
      <c r="E790" s="24"/>
      <c r="F790" s="129"/>
      <c r="G790" s="20"/>
      <c r="H790" s="20"/>
      <c r="I790" s="126"/>
      <c r="J790" s="38"/>
      <c r="K790" s="80"/>
      <c r="L790" s="82"/>
    </row>
    <row r="791" spans="2:12" s="1" customFormat="1" ht="12.95" customHeight="1" x14ac:dyDescent="0.15">
      <c r="B791" s="16">
        <v>1</v>
      </c>
      <c r="C791" s="17"/>
      <c r="D791" s="24"/>
      <c r="E791" s="24"/>
      <c r="F791" s="129"/>
      <c r="G791" s="20"/>
      <c r="H791" s="20">
        <v>1</v>
      </c>
      <c r="I791" s="126">
        <f t="shared" ref="I791:I803" si="59">J791*$C$32</f>
        <v>0</v>
      </c>
      <c r="J791" s="38">
        <f t="shared" ref="J791:J803" si="60">(F791*G791*H791)/$C$32</f>
        <v>0</v>
      </c>
      <c r="K791" s="80"/>
      <c r="L791" s="82"/>
    </row>
    <row r="792" spans="2:12" s="1" customFormat="1" ht="12.95" customHeight="1" x14ac:dyDescent="0.15">
      <c r="B792" s="16">
        <v>2</v>
      </c>
      <c r="C792" s="17"/>
      <c r="D792" s="24"/>
      <c r="E792" s="24"/>
      <c r="F792" s="129"/>
      <c r="G792" s="20"/>
      <c r="H792" s="20">
        <v>1</v>
      </c>
      <c r="I792" s="126">
        <f t="shared" si="59"/>
        <v>0</v>
      </c>
      <c r="J792" s="38">
        <f t="shared" si="60"/>
        <v>0</v>
      </c>
      <c r="K792" s="80"/>
      <c r="L792" s="82"/>
    </row>
    <row r="793" spans="2:12" s="1" customFormat="1" ht="12.95" customHeight="1" x14ac:dyDescent="0.15">
      <c r="B793" s="16">
        <v>3</v>
      </c>
      <c r="C793" s="17"/>
      <c r="D793" s="24"/>
      <c r="E793" s="24"/>
      <c r="F793" s="129"/>
      <c r="G793" s="20"/>
      <c r="H793" s="20">
        <v>1</v>
      </c>
      <c r="I793" s="126">
        <f t="shared" si="59"/>
        <v>0</v>
      </c>
      <c r="J793" s="38">
        <f t="shared" si="60"/>
        <v>0</v>
      </c>
      <c r="K793" s="80"/>
      <c r="L793" s="82"/>
    </row>
    <row r="794" spans="2:12" s="1" customFormat="1" ht="12.95" customHeight="1" x14ac:dyDescent="0.15">
      <c r="B794" s="16">
        <v>4</v>
      </c>
      <c r="C794" s="17"/>
      <c r="D794" s="24"/>
      <c r="E794" s="24"/>
      <c r="F794" s="129"/>
      <c r="G794" s="20"/>
      <c r="H794" s="20">
        <v>1</v>
      </c>
      <c r="I794" s="126">
        <f t="shared" si="59"/>
        <v>0</v>
      </c>
      <c r="J794" s="38">
        <f t="shared" si="60"/>
        <v>0</v>
      </c>
      <c r="K794" s="80"/>
      <c r="L794" s="82"/>
    </row>
    <row r="795" spans="2:12" s="1" customFormat="1" ht="12.95" customHeight="1" x14ac:dyDescent="0.15">
      <c r="B795" s="16">
        <v>5</v>
      </c>
      <c r="C795" s="17"/>
      <c r="D795" s="24"/>
      <c r="E795" s="24"/>
      <c r="F795" s="129"/>
      <c r="G795" s="20"/>
      <c r="H795" s="20">
        <v>1</v>
      </c>
      <c r="I795" s="126">
        <f t="shared" si="59"/>
        <v>0</v>
      </c>
      <c r="J795" s="38">
        <f t="shared" si="60"/>
        <v>0</v>
      </c>
      <c r="K795" s="80"/>
      <c r="L795" s="82"/>
    </row>
    <row r="796" spans="2:12" s="1" customFormat="1" ht="12.95" customHeight="1" x14ac:dyDescent="0.15">
      <c r="B796" s="16">
        <v>6</v>
      </c>
      <c r="C796" s="17"/>
      <c r="D796" s="24"/>
      <c r="E796" s="24"/>
      <c r="F796" s="129"/>
      <c r="G796" s="20"/>
      <c r="H796" s="20">
        <v>1</v>
      </c>
      <c r="I796" s="126">
        <f t="shared" si="59"/>
        <v>0</v>
      </c>
      <c r="J796" s="38">
        <f t="shared" si="60"/>
        <v>0</v>
      </c>
      <c r="K796" s="80"/>
      <c r="L796" s="82"/>
    </row>
    <row r="797" spans="2:12" s="1" customFormat="1" ht="12.95" customHeight="1" x14ac:dyDescent="0.15">
      <c r="B797" s="16">
        <v>7</v>
      </c>
      <c r="C797" s="17"/>
      <c r="D797" s="24"/>
      <c r="E797" s="24"/>
      <c r="F797" s="129"/>
      <c r="G797" s="20"/>
      <c r="H797" s="20">
        <v>1</v>
      </c>
      <c r="I797" s="126">
        <f t="shared" si="59"/>
        <v>0</v>
      </c>
      <c r="J797" s="38">
        <f t="shared" si="60"/>
        <v>0</v>
      </c>
      <c r="K797" s="80"/>
      <c r="L797" s="82"/>
    </row>
    <row r="798" spans="2:12" s="1" customFormat="1" ht="12.95" customHeight="1" x14ac:dyDescent="0.15">
      <c r="B798" s="16">
        <v>8</v>
      </c>
      <c r="C798" s="17"/>
      <c r="D798" s="24"/>
      <c r="E798" s="24"/>
      <c r="F798" s="129"/>
      <c r="G798" s="20"/>
      <c r="H798" s="20">
        <v>1</v>
      </c>
      <c r="I798" s="126">
        <f t="shared" si="59"/>
        <v>0</v>
      </c>
      <c r="J798" s="38">
        <f t="shared" si="60"/>
        <v>0</v>
      </c>
      <c r="K798" s="80"/>
      <c r="L798" s="82"/>
    </row>
    <row r="799" spans="2:12" s="1" customFormat="1" ht="12.95" customHeight="1" x14ac:dyDescent="0.15">
      <c r="B799" s="16">
        <v>9</v>
      </c>
      <c r="C799" s="17"/>
      <c r="D799" s="24"/>
      <c r="E799" s="24"/>
      <c r="F799" s="129"/>
      <c r="G799" s="20"/>
      <c r="H799" s="20">
        <v>1</v>
      </c>
      <c r="I799" s="126">
        <f t="shared" si="59"/>
        <v>0</v>
      </c>
      <c r="J799" s="38">
        <f t="shared" si="60"/>
        <v>0</v>
      </c>
      <c r="K799" s="80"/>
      <c r="L799" s="82"/>
    </row>
    <row r="800" spans="2:12" s="1" customFormat="1" ht="12.95" customHeight="1" x14ac:dyDescent="0.15">
      <c r="B800" s="16">
        <v>10</v>
      </c>
      <c r="C800" s="17"/>
      <c r="D800" s="24"/>
      <c r="E800" s="24"/>
      <c r="F800" s="129"/>
      <c r="G800" s="20"/>
      <c r="H800" s="20">
        <v>1</v>
      </c>
      <c r="I800" s="126">
        <f t="shared" si="59"/>
        <v>0</v>
      </c>
      <c r="J800" s="38">
        <f t="shared" si="60"/>
        <v>0</v>
      </c>
      <c r="K800" s="80"/>
      <c r="L800" s="82"/>
    </row>
    <row r="801" spans="2:20" s="1" customFormat="1" ht="12.95" customHeight="1" x14ac:dyDescent="0.15">
      <c r="B801" s="16">
        <v>11</v>
      </c>
      <c r="C801" s="44"/>
      <c r="D801" s="18"/>
      <c r="E801" s="18"/>
      <c r="F801" s="129"/>
      <c r="G801" s="20"/>
      <c r="H801" s="20">
        <v>1</v>
      </c>
      <c r="I801" s="126">
        <f t="shared" si="59"/>
        <v>0</v>
      </c>
      <c r="J801" s="21">
        <f t="shared" si="60"/>
        <v>0</v>
      </c>
      <c r="K801" s="80"/>
      <c r="L801" s="82"/>
      <c r="M801" s="10"/>
      <c r="N801" s="10"/>
      <c r="O801" s="10"/>
      <c r="P801" s="10"/>
      <c r="Q801" s="43"/>
      <c r="R801" s="10"/>
      <c r="T801" s="10" t="s">
        <v>169</v>
      </c>
    </row>
    <row r="802" spans="2:20" s="1" customFormat="1" ht="12.95" customHeight="1" x14ac:dyDescent="0.15">
      <c r="B802" s="16">
        <v>12</v>
      </c>
      <c r="C802" s="45"/>
      <c r="D802" s="18"/>
      <c r="E802" s="18"/>
      <c r="F802" s="130"/>
      <c r="G802" s="20"/>
      <c r="H802" s="20">
        <v>1</v>
      </c>
      <c r="I802" s="126">
        <f t="shared" si="59"/>
        <v>0</v>
      </c>
      <c r="J802" s="21">
        <f t="shared" si="60"/>
        <v>0</v>
      </c>
      <c r="K802" s="80"/>
      <c r="L802" s="82"/>
      <c r="M802" s="10"/>
      <c r="N802" s="10"/>
      <c r="O802" s="10"/>
      <c r="P802" s="10"/>
      <c r="Q802" s="43"/>
      <c r="R802" s="10"/>
      <c r="T802" s="10" t="s">
        <v>170</v>
      </c>
    </row>
    <row r="803" spans="2:20" s="1" customFormat="1" ht="12.95" customHeight="1" x14ac:dyDescent="0.15">
      <c r="B803" s="16">
        <v>13</v>
      </c>
      <c r="C803" s="44"/>
      <c r="D803" s="18"/>
      <c r="E803" s="18"/>
      <c r="F803" s="129"/>
      <c r="G803" s="20"/>
      <c r="H803" s="20">
        <v>1</v>
      </c>
      <c r="I803" s="126">
        <f t="shared" si="59"/>
        <v>0</v>
      </c>
      <c r="J803" s="21">
        <f t="shared" si="60"/>
        <v>0</v>
      </c>
      <c r="K803" s="80"/>
      <c r="L803" s="82"/>
      <c r="M803" s="10"/>
      <c r="N803" s="10"/>
      <c r="O803" s="10"/>
      <c r="P803" s="10"/>
      <c r="Q803" s="43"/>
      <c r="R803" s="10"/>
      <c r="T803" s="10" t="s">
        <v>171</v>
      </c>
    </row>
    <row r="804" spans="2:20" s="1" customFormat="1" ht="12.95" customHeight="1" x14ac:dyDescent="0.15">
      <c r="B804" s="16">
        <v>14</v>
      </c>
      <c r="C804" s="44"/>
      <c r="D804" s="18"/>
      <c r="E804" s="18"/>
      <c r="F804" s="129"/>
      <c r="G804" s="20"/>
      <c r="H804" s="20">
        <v>1</v>
      </c>
      <c r="I804" s="126">
        <f t="shared" ref="I804:I810" si="61">J804*$C$32</f>
        <v>0</v>
      </c>
      <c r="J804" s="21">
        <f t="shared" ref="J804:J810" si="62">(F804*G804*H804)/$C$32</f>
        <v>0</v>
      </c>
      <c r="K804" s="80"/>
      <c r="L804" s="82"/>
      <c r="M804" s="10"/>
      <c r="N804" s="10"/>
      <c r="O804" s="10"/>
      <c r="P804" s="10"/>
      <c r="Q804" s="43"/>
      <c r="R804" s="10"/>
      <c r="T804" s="10"/>
    </row>
    <row r="805" spans="2:20" s="1" customFormat="1" ht="12.95" customHeight="1" x14ac:dyDescent="0.15">
      <c r="B805" s="16">
        <v>15</v>
      </c>
      <c r="C805" s="44"/>
      <c r="D805" s="18"/>
      <c r="E805" s="18"/>
      <c r="F805" s="129"/>
      <c r="G805" s="20"/>
      <c r="H805" s="20">
        <v>1</v>
      </c>
      <c r="I805" s="126">
        <f t="shared" si="61"/>
        <v>0</v>
      </c>
      <c r="J805" s="21">
        <f t="shared" si="62"/>
        <v>0</v>
      </c>
      <c r="K805" s="80"/>
      <c r="L805" s="82"/>
      <c r="M805" s="10"/>
      <c r="N805" s="10"/>
      <c r="O805" s="10"/>
      <c r="P805" s="10"/>
      <c r="Q805" s="43"/>
      <c r="R805" s="10"/>
      <c r="T805" s="10"/>
    </row>
    <row r="806" spans="2:20" s="1" customFormat="1" ht="12.95" customHeight="1" x14ac:dyDescent="0.15">
      <c r="B806" s="16">
        <v>16</v>
      </c>
      <c r="C806" s="44"/>
      <c r="D806" s="18"/>
      <c r="E806" s="18"/>
      <c r="F806" s="129"/>
      <c r="G806" s="20"/>
      <c r="H806" s="20">
        <v>1</v>
      </c>
      <c r="I806" s="126">
        <f t="shared" si="61"/>
        <v>0</v>
      </c>
      <c r="J806" s="21">
        <f t="shared" si="62"/>
        <v>0</v>
      </c>
      <c r="K806" s="80"/>
      <c r="L806" s="82"/>
      <c r="M806" s="10"/>
      <c r="N806" s="10"/>
      <c r="O806" s="10"/>
      <c r="P806" s="10"/>
      <c r="Q806" s="43"/>
      <c r="R806" s="10"/>
      <c r="T806" s="10"/>
    </row>
    <row r="807" spans="2:20" s="1" customFormat="1" ht="12.95" customHeight="1" x14ac:dyDescent="0.15">
      <c r="B807" s="16">
        <v>17</v>
      </c>
      <c r="C807" s="44"/>
      <c r="D807" s="18"/>
      <c r="E807" s="18"/>
      <c r="F807" s="129"/>
      <c r="G807" s="20"/>
      <c r="H807" s="20">
        <v>1</v>
      </c>
      <c r="I807" s="126">
        <f t="shared" si="61"/>
        <v>0</v>
      </c>
      <c r="J807" s="21">
        <f t="shared" si="62"/>
        <v>0</v>
      </c>
      <c r="K807" s="80"/>
      <c r="L807" s="82"/>
      <c r="M807" s="10"/>
      <c r="N807" s="10"/>
      <c r="O807" s="10"/>
      <c r="P807" s="10"/>
      <c r="Q807" s="43"/>
      <c r="R807" s="10"/>
      <c r="T807" s="10"/>
    </row>
    <row r="808" spans="2:20" s="1" customFormat="1" ht="12.95" customHeight="1" x14ac:dyDescent="0.15">
      <c r="B808" s="16">
        <v>18</v>
      </c>
      <c r="C808" s="44"/>
      <c r="D808" s="18"/>
      <c r="E808" s="18"/>
      <c r="F808" s="129"/>
      <c r="G808" s="20"/>
      <c r="H808" s="20">
        <v>1</v>
      </c>
      <c r="I808" s="126">
        <f t="shared" si="61"/>
        <v>0</v>
      </c>
      <c r="J808" s="78">
        <f t="shared" si="62"/>
        <v>0</v>
      </c>
      <c r="K808" s="111"/>
      <c r="L808" s="119"/>
      <c r="M808" s="10"/>
      <c r="N808" s="10"/>
      <c r="O808" s="10"/>
      <c r="P808" s="10"/>
      <c r="Q808" s="43"/>
      <c r="R808" s="10"/>
      <c r="T808" s="10"/>
    </row>
    <row r="809" spans="2:20" s="1" customFormat="1" ht="12.95" customHeight="1" x14ac:dyDescent="0.15">
      <c r="B809" s="16">
        <v>19</v>
      </c>
      <c r="C809" s="44"/>
      <c r="D809" s="18"/>
      <c r="E809" s="18"/>
      <c r="F809" s="129"/>
      <c r="G809" s="20"/>
      <c r="H809" s="20">
        <v>1</v>
      </c>
      <c r="I809" s="254">
        <f t="shared" si="61"/>
        <v>0</v>
      </c>
      <c r="J809" s="94">
        <f t="shared" si="62"/>
        <v>0</v>
      </c>
      <c r="K809" s="82"/>
      <c r="L809" s="82"/>
      <c r="M809" s="10"/>
      <c r="N809" s="10"/>
      <c r="O809" s="10"/>
      <c r="P809" s="10"/>
      <c r="Q809" s="43"/>
      <c r="R809" s="10"/>
      <c r="T809" s="10"/>
    </row>
    <row r="810" spans="2:20" s="1" customFormat="1" ht="12.95" customHeight="1" x14ac:dyDescent="0.15">
      <c r="B810" s="16">
        <v>20</v>
      </c>
      <c r="C810" s="44"/>
      <c r="D810" s="18"/>
      <c r="E810" s="18"/>
      <c r="F810" s="129"/>
      <c r="G810" s="20"/>
      <c r="H810" s="20">
        <v>1</v>
      </c>
      <c r="I810" s="254">
        <f t="shared" si="61"/>
        <v>0</v>
      </c>
      <c r="J810" s="94">
        <f t="shared" si="62"/>
        <v>0</v>
      </c>
      <c r="K810" s="82"/>
      <c r="L810" s="82"/>
      <c r="M810" s="10"/>
      <c r="N810" s="10"/>
      <c r="O810" s="10"/>
      <c r="P810" s="10"/>
      <c r="Q810" s="43"/>
      <c r="R810" s="10"/>
      <c r="T810" s="10"/>
    </row>
    <row r="811" spans="2:20" s="1" customFormat="1" ht="12.95" customHeight="1" x14ac:dyDescent="0.15">
      <c r="B811" s="16"/>
      <c r="C811" s="11"/>
      <c r="D811" s="18"/>
      <c r="E811" s="18"/>
      <c r="F811" s="129"/>
      <c r="G811" s="20"/>
      <c r="H811" s="20"/>
      <c r="I811" s="255"/>
      <c r="J811" s="94"/>
      <c r="K811" s="82"/>
      <c r="L811" s="82"/>
      <c r="M811" s="10"/>
      <c r="N811" s="10"/>
      <c r="O811" s="10"/>
      <c r="P811" s="10"/>
      <c r="Q811" s="43"/>
      <c r="R811" s="10"/>
      <c r="T811" s="10"/>
    </row>
    <row r="812" spans="2:20" s="1" customFormat="1" ht="12.75" x14ac:dyDescent="0.15">
      <c r="B812" s="83"/>
      <c r="C812" s="98"/>
      <c r="D812" s="99"/>
      <c r="E812" s="98"/>
      <c r="F812" s="127">
        <f>SUM(F753:F811)</f>
        <v>0</v>
      </c>
      <c r="G812" s="100"/>
      <c r="H812" s="252"/>
      <c r="I812" s="256">
        <f>SUM(I754:I811)</f>
        <v>0</v>
      </c>
      <c r="J812" s="257">
        <f>SUM(J754:J811)</f>
        <v>0</v>
      </c>
    </row>
    <row r="813" spans="2:20" s="1" customFormat="1" ht="12.75" x14ac:dyDescent="0.15">
      <c r="B813" s="82"/>
      <c r="C813" s="102"/>
      <c r="D813" s="103"/>
      <c r="E813" s="102" t="s">
        <v>147</v>
      </c>
      <c r="F813" s="128">
        <f>100/115*F812</f>
        <v>0</v>
      </c>
      <c r="G813" s="104"/>
      <c r="H813" s="253" t="s">
        <v>147</v>
      </c>
      <c r="I813" s="128">
        <f>100/115*I812</f>
        <v>0</v>
      </c>
      <c r="J813" s="106"/>
    </row>
    <row r="814" spans="2:20" s="1" customFormat="1" ht="12.75" x14ac:dyDescent="0.15"/>
    <row r="815" spans="2:20" s="1" customFormat="1" ht="12.75" x14ac:dyDescent="0.15"/>
    <row r="816" spans="2:20" s="1" customFormat="1" ht="12.75" x14ac:dyDescent="0.15"/>
    <row r="817" s="1" customFormat="1" ht="12.75" x14ac:dyDescent="0.15"/>
    <row r="818" s="1" customFormat="1" ht="12.75" x14ac:dyDescent="0.15"/>
    <row r="819" s="1" customFormat="1" ht="12.75" x14ac:dyDescent="0.15"/>
    <row r="820" s="1" customFormat="1" ht="12.75" x14ac:dyDescent="0.15"/>
    <row r="821" s="1" customFormat="1" ht="12.75" x14ac:dyDescent="0.15"/>
    <row r="822" s="1" customFormat="1" ht="12.75" x14ac:dyDescent="0.15"/>
    <row r="823" s="1" customFormat="1" ht="12.75" x14ac:dyDescent="0.15"/>
    <row r="824" s="1" customFormat="1" ht="12.75" x14ac:dyDescent="0.15"/>
    <row r="825" s="1" customFormat="1" ht="12.75" x14ac:dyDescent="0.15"/>
    <row r="826" s="1" customFormat="1" ht="12.75" x14ac:dyDescent="0.15"/>
    <row r="827" s="1" customFormat="1" ht="12.75" x14ac:dyDescent="0.15"/>
    <row r="828" s="1" customFormat="1" ht="12.75" x14ac:dyDescent="0.15"/>
    <row r="829" s="1" customFormat="1" ht="12.75" x14ac:dyDescent="0.15"/>
    <row r="830" s="1" customFormat="1" ht="12.75" x14ac:dyDescent="0.15"/>
    <row r="831" s="1" customFormat="1" ht="12.75" x14ac:dyDescent="0.15"/>
    <row r="832" s="1" customFormat="1" ht="12.75" x14ac:dyDescent="0.15"/>
    <row r="833" s="1" customFormat="1" ht="12.75" x14ac:dyDescent="0.15"/>
    <row r="834" s="1" customFormat="1" ht="12.75" x14ac:dyDescent="0.15"/>
    <row r="835" s="1" customFormat="1" ht="12.75" x14ac:dyDescent="0.15"/>
    <row r="836" s="1" customFormat="1" ht="12.75" x14ac:dyDescent="0.15"/>
    <row r="837" s="1" customFormat="1" ht="12.75" x14ac:dyDescent="0.15"/>
    <row r="838" s="1" customFormat="1" ht="12.75" x14ac:dyDescent="0.15"/>
    <row r="839" s="1" customFormat="1" ht="12.75" x14ac:dyDescent="0.15"/>
    <row r="840" s="1" customFormat="1" ht="12.75" x14ac:dyDescent="0.15"/>
    <row r="841" s="1" customFormat="1" ht="12.75" x14ac:dyDescent="0.15"/>
    <row r="842" s="1" customFormat="1" ht="12.75" x14ac:dyDescent="0.15"/>
    <row r="843" s="1" customFormat="1" ht="12.75" x14ac:dyDescent="0.15"/>
    <row r="844" s="1" customFormat="1" ht="12.75" x14ac:dyDescent="0.15"/>
    <row r="845" s="1" customFormat="1" ht="12.75" x14ac:dyDescent="0.15"/>
    <row r="846" s="1" customFormat="1" ht="12.75" x14ac:dyDescent="0.15"/>
    <row r="847" s="1" customFormat="1" ht="12.75" x14ac:dyDescent="0.15"/>
    <row r="848" s="1" customFormat="1" ht="12.75" x14ac:dyDescent="0.15"/>
    <row r="849" s="1" customFormat="1" ht="12.75" x14ac:dyDescent="0.15"/>
    <row r="850" s="1" customFormat="1" ht="12.75" x14ac:dyDescent="0.15"/>
    <row r="851" s="1" customFormat="1" ht="12.75" x14ac:dyDescent="0.15"/>
    <row r="852" s="1" customFormat="1" ht="12.75" x14ac:dyDescent="0.15"/>
    <row r="853" s="1" customFormat="1" ht="12.75" x14ac:dyDescent="0.15"/>
    <row r="854" s="1" customFormat="1" ht="12.75" x14ac:dyDescent="0.15"/>
    <row r="855" s="1" customFormat="1" ht="12.75" x14ac:dyDescent="0.15"/>
    <row r="856" s="1" customFormat="1" ht="12.75" x14ac:dyDescent="0.15"/>
    <row r="857" s="1" customFormat="1" ht="12.75" x14ac:dyDescent="0.15"/>
    <row r="858" s="1" customFormat="1" ht="12.75" x14ac:dyDescent="0.15"/>
    <row r="859" s="1" customFormat="1" ht="12.75" x14ac:dyDescent="0.15"/>
    <row r="860" s="1" customFormat="1" ht="12.75" x14ac:dyDescent="0.15"/>
    <row r="861" s="1" customFormat="1" ht="12.75" x14ac:dyDescent="0.15"/>
    <row r="862" s="1" customFormat="1" ht="12.75" x14ac:dyDescent="0.15"/>
    <row r="863" s="1" customFormat="1" ht="12.75" x14ac:dyDescent="0.15"/>
    <row r="864" s="1" customFormat="1" ht="12.75" x14ac:dyDescent="0.15"/>
    <row r="865" spans="12:12" s="1" customFormat="1" ht="12.75" x14ac:dyDescent="0.15"/>
    <row r="866" spans="12:12" s="1" customFormat="1" ht="12.75" x14ac:dyDescent="0.15"/>
    <row r="867" spans="12:12" s="1" customFormat="1" ht="12.75" x14ac:dyDescent="0.15"/>
    <row r="868" spans="12:12" s="1" customFormat="1" ht="12.75" x14ac:dyDescent="0.15"/>
    <row r="869" spans="12:12" s="1" customFormat="1" ht="12.75" x14ac:dyDescent="0.15"/>
    <row r="870" spans="12:12" s="1" customFormat="1" ht="12.75" x14ac:dyDescent="0.15"/>
    <row r="871" spans="12:12" s="1" customFormat="1" ht="12.75" x14ac:dyDescent="0.15"/>
    <row r="872" spans="12:12" s="1" customFormat="1" ht="12.75" x14ac:dyDescent="0.15"/>
    <row r="873" spans="12:12" s="1" customFormat="1" ht="12.75" x14ac:dyDescent="0.15"/>
    <row r="874" spans="12:12" s="1" customFormat="1" ht="12.75" x14ac:dyDescent="0.15"/>
    <row r="875" spans="12:12" s="1" customFormat="1" ht="12.75" x14ac:dyDescent="0.15"/>
    <row r="876" spans="12:12" x14ac:dyDescent="0.2">
      <c r="L876"/>
    </row>
    <row r="877" spans="12:12" x14ac:dyDescent="0.2">
      <c r="L877"/>
    </row>
    <row r="878" spans="12:12" x14ac:dyDescent="0.2">
      <c r="L878"/>
    </row>
    <row r="879" spans="12:12" x14ac:dyDescent="0.2">
      <c r="L879"/>
    </row>
    <row r="880" spans="12:12" x14ac:dyDescent="0.2">
      <c r="L880"/>
    </row>
    <row r="881" spans="12:12" x14ac:dyDescent="0.2">
      <c r="L881"/>
    </row>
    <row r="882" spans="12:12" x14ac:dyDescent="0.2">
      <c r="L882"/>
    </row>
    <row r="883" spans="12:12" x14ac:dyDescent="0.2">
      <c r="L883"/>
    </row>
    <row r="884" spans="12:12" x14ac:dyDescent="0.2">
      <c r="L884"/>
    </row>
    <row r="885" spans="12:12" x14ac:dyDescent="0.2">
      <c r="L885"/>
    </row>
    <row r="886" spans="12:12" x14ac:dyDescent="0.2">
      <c r="L886"/>
    </row>
    <row r="887" spans="12:12" x14ac:dyDescent="0.2">
      <c r="L887"/>
    </row>
    <row r="888" spans="12:12" x14ac:dyDescent="0.2">
      <c r="L888"/>
    </row>
    <row r="889" spans="12:12" x14ac:dyDescent="0.2">
      <c r="L889"/>
    </row>
    <row r="890" spans="12:12" x14ac:dyDescent="0.2">
      <c r="L890"/>
    </row>
    <row r="891" spans="12:12" x14ac:dyDescent="0.2">
      <c r="L891"/>
    </row>
    <row r="892" spans="12:12" x14ac:dyDescent="0.2">
      <c r="L892"/>
    </row>
    <row r="893" spans="12:12" x14ac:dyDescent="0.2">
      <c r="L893"/>
    </row>
    <row r="894" spans="12:12" x14ac:dyDescent="0.2">
      <c r="L894"/>
    </row>
    <row r="895" spans="12:12" x14ac:dyDescent="0.2">
      <c r="L895"/>
    </row>
    <row r="896" spans="12:12" x14ac:dyDescent="0.2">
      <c r="L896"/>
    </row>
    <row r="897" spans="12:12" x14ac:dyDescent="0.2">
      <c r="L897"/>
    </row>
    <row r="898" spans="12:12" x14ac:dyDescent="0.2">
      <c r="L898"/>
    </row>
    <row r="899" spans="12:12" x14ac:dyDescent="0.2">
      <c r="L899"/>
    </row>
    <row r="900" spans="12:12" x14ac:dyDescent="0.2">
      <c r="L900"/>
    </row>
    <row r="901" spans="12:12" x14ac:dyDescent="0.2">
      <c r="L901"/>
    </row>
    <row r="902" spans="12:12" x14ac:dyDescent="0.2">
      <c r="L902"/>
    </row>
    <row r="903" spans="12:12" x14ac:dyDescent="0.2">
      <c r="L903"/>
    </row>
    <row r="904" spans="12:12" x14ac:dyDescent="0.2">
      <c r="L904"/>
    </row>
    <row r="905" spans="12:12" x14ac:dyDescent="0.2">
      <c r="L905"/>
    </row>
    <row r="906" spans="12:12" x14ac:dyDescent="0.2">
      <c r="L906"/>
    </row>
    <row r="907" spans="12:12" x14ac:dyDescent="0.2">
      <c r="L907"/>
    </row>
    <row r="908" spans="12:12" x14ac:dyDescent="0.2">
      <c r="L908"/>
    </row>
    <row r="909" spans="12:12" x14ac:dyDescent="0.2">
      <c r="L909"/>
    </row>
    <row r="910" spans="12:12" x14ac:dyDescent="0.2">
      <c r="L910"/>
    </row>
    <row r="911" spans="12:12" x14ac:dyDescent="0.2">
      <c r="L911"/>
    </row>
    <row r="912" spans="12:12" x14ac:dyDescent="0.2">
      <c r="L912"/>
    </row>
    <row r="913" spans="12:12" x14ac:dyDescent="0.2">
      <c r="L913"/>
    </row>
    <row r="914" spans="12:12" x14ac:dyDescent="0.2">
      <c r="L914"/>
    </row>
    <row r="915" spans="12:12" x14ac:dyDescent="0.2">
      <c r="L915"/>
    </row>
    <row r="916" spans="12:12" x14ac:dyDescent="0.2">
      <c r="L916"/>
    </row>
    <row r="917" spans="12:12" x14ac:dyDescent="0.2">
      <c r="L917"/>
    </row>
    <row r="918" spans="12:12" x14ac:dyDescent="0.2">
      <c r="L918"/>
    </row>
    <row r="919" spans="12:12" x14ac:dyDescent="0.2">
      <c r="L919"/>
    </row>
    <row r="920" spans="12:12" x14ac:dyDescent="0.2">
      <c r="L920"/>
    </row>
    <row r="921" spans="12:12" x14ac:dyDescent="0.2">
      <c r="L921"/>
    </row>
    <row r="922" spans="12:12" x14ac:dyDescent="0.2">
      <c r="L922"/>
    </row>
    <row r="923" spans="12:12" x14ac:dyDescent="0.2">
      <c r="L923"/>
    </row>
    <row r="924" spans="12:12" x14ac:dyDescent="0.2">
      <c r="L924"/>
    </row>
    <row r="925" spans="12:12" x14ac:dyDescent="0.2">
      <c r="L925"/>
    </row>
    <row r="926" spans="12:12" x14ac:dyDescent="0.2">
      <c r="L926"/>
    </row>
    <row r="927" spans="12:12" x14ac:dyDescent="0.2">
      <c r="L927"/>
    </row>
    <row r="928" spans="12:12" x14ac:dyDescent="0.2">
      <c r="L928"/>
    </row>
    <row r="929" spans="12:12" x14ac:dyDescent="0.2">
      <c r="L929"/>
    </row>
    <row r="930" spans="12:12" x14ac:dyDescent="0.2">
      <c r="L930"/>
    </row>
    <row r="931" spans="12:12" x14ac:dyDescent="0.2">
      <c r="L931"/>
    </row>
    <row r="932" spans="12:12" x14ac:dyDescent="0.2">
      <c r="L932"/>
    </row>
    <row r="933" spans="12:12" x14ac:dyDescent="0.2">
      <c r="L933"/>
    </row>
    <row r="934" spans="12:12" x14ac:dyDescent="0.2">
      <c r="L934"/>
    </row>
    <row r="935" spans="12:12" x14ac:dyDescent="0.2">
      <c r="L935"/>
    </row>
    <row r="936" spans="12:12" x14ac:dyDescent="0.2">
      <c r="L936"/>
    </row>
    <row r="937" spans="12:12" x14ac:dyDescent="0.2">
      <c r="L937"/>
    </row>
    <row r="938" spans="12:12" x14ac:dyDescent="0.2">
      <c r="L938"/>
    </row>
    <row r="939" spans="12:12" x14ac:dyDescent="0.2">
      <c r="L939"/>
    </row>
    <row r="940" spans="12:12" x14ac:dyDescent="0.2">
      <c r="L940"/>
    </row>
    <row r="941" spans="12:12" x14ac:dyDescent="0.2">
      <c r="L941"/>
    </row>
    <row r="942" spans="12:12" x14ac:dyDescent="0.2">
      <c r="L942"/>
    </row>
    <row r="943" spans="12:12" x14ac:dyDescent="0.2">
      <c r="L943"/>
    </row>
    <row r="944" spans="12:12" x14ac:dyDescent="0.2">
      <c r="L944"/>
    </row>
    <row r="945" spans="12:12" x14ac:dyDescent="0.2">
      <c r="L945"/>
    </row>
    <row r="946" spans="12:12" x14ac:dyDescent="0.2">
      <c r="L946"/>
    </row>
    <row r="947" spans="12:12" x14ac:dyDescent="0.2">
      <c r="L947"/>
    </row>
    <row r="948" spans="12:12" x14ac:dyDescent="0.2">
      <c r="L948"/>
    </row>
    <row r="949" spans="12:12" x14ac:dyDescent="0.2">
      <c r="L949"/>
    </row>
    <row r="950" spans="12:12" x14ac:dyDescent="0.2">
      <c r="L950"/>
    </row>
    <row r="951" spans="12:12" x14ac:dyDescent="0.2">
      <c r="L951"/>
    </row>
    <row r="952" spans="12:12" x14ac:dyDescent="0.2">
      <c r="L952"/>
    </row>
    <row r="953" spans="12:12" x14ac:dyDescent="0.2">
      <c r="L953"/>
    </row>
    <row r="954" spans="12:12" x14ac:dyDescent="0.2">
      <c r="L954"/>
    </row>
    <row r="955" spans="12:12" x14ac:dyDescent="0.2">
      <c r="L955"/>
    </row>
    <row r="956" spans="12:12" x14ac:dyDescent="0.2">
      <c r="L956"/>
    </row>
    <row r="957" spans="12:12" x14ac:dyDescent="0.2">
      <c r="L957"/>
    </row>
    <row r="958" spans="12:12" x14ac:dyDescent="0.2">
      <c r="L958"/>
    </row>
    <row r="959" spans="12:12" x14ac:dyDescent="0.2">
      <c r="L959"/>
    </row>
    <row r="960" spans="12:12" x14ac:dyDescent="0.2">
      <c r="L960"/>
    </row>
    <row r="961" spans="12:12" x14ac:dyDescent="0.2">
      <c r="L961"/>
    </row>
    <row r="962" spans="12:12" x14ac:dyDescent="0.2">
      <c r="L962"/>
    </row>
    <row r="963" spans="12:12" x14ac:dyDescent="0.2">
      <c r="L963"/>
    </row>
    <row r="964" spans="12:12" x14ac:dyDescent="0.2">
      <c r="L964"/>
    </row>
    <row r="965" spans="12:12" x14ac:dyDescent="0.2">
      <c r="L965"/>
    </row>
    <row r="966" spans="12:12" x14ac:dyDescent="0.2">
      <c r="L966"/>
    </row>
    <row r="967" spans="12:12" x14ac:dyDescent="0.2">
      <c r="L967"/>
    </row>
    <row r="968" spans="12:12" x14ac:dyDescent="0.2">
      <c r="L968"/>
    </row>
    <row r="969" spans="12:12" x14ac:dyDescent="0.2">
      <c r="L969"/>
    </row>
    <row r="970" spans="12:12" x14ac:dyDescent="0.2">
      <c r="L970"/>
    </row>
    <row r="971" spans="12:12" x14ac:dyDescent="0.2">
      <c r="L971"/>
    </row>
    <row r="972" spans="12:12" x14ac:dyDescent="0.2">
      <c r="L972"/>
    </row>
    <row r="973" spans="12:12" x14ac:dyDescent="0.2">
      <c r="L973"/>
    </row>
    <row r="974" spans="12:12" x14ac:dyDescent="0.2">
      <c r="L974"/>
    </row>
    <row r="975" spans="12:12" x14ac:dyDescent="0.2">
      <c r="L975"/>
    </row>
    <row r="976" spans="12:12" x14ac:dyDescent="0.2">
      <c r="L976"/>
    </row>
    <row r="977" spans="12:12" x14ac:dyDescent="0.2">
      <c r="L977"/>
    </row>
    <row r="978" spans="12:12" x14ac:dyDescent="0.2">
      <c r="L978"/>
    </row>
    <row r="979" spans="12:12" x14ac:dyDescent="0.2">
      <c r="L979"/>
    </row>
    <row r="980" spans="12:12" x14ac:dyDescent="0.2">
      <c r="L980"/>
    </row>
    <row r="981" spans="12:12" x14ac:dyDescent="0.2">
      <c r="L981"/>
    </row>
    <row r="982" spans="12:12" x14ac:dyDescent="0.2">
      <c r="L982"/>
    </row>
    <row r="983" spans="12:12" x14ac:dyDescent="0.2">
      <c r="L983"/>
    </row>
    <row r="984" spans="12:12" x14ac:dyDescent="0.2">
      <c r="L984"/>
    </row>
    <row r="985" spans="12:12" x14ac:dyDescent="0.2">
      <c r="L985"/>
    </row>
    <row r="986" spans="12:12" x14ac:dyDescent="0.2">
      <c r="L986"/>
    </row>
    <row r="987" spans="12:12" x14ac:dyDescent="0.2">
      <c r="L987"/>
    </row>
    <row r="988" spans="12:12" x14ac:dyDescent="0.2">
      <c r="L988"/>
    </row>
    <row r="989" spans="12:12" x14ac:dyDescent="0.2">
      <c r="L989"/>
    </row>
    <row r="990" spans="12:12" x14ac:dyDescent="0.2">
      <c r="L990"/>
    </row>
    <row r="991" spans="12:12" x14ac:dyDescent="0.2">
      <c r="L991"/>
    </row>
    <row r="992" spans="12:12" x14ac:dyDescent="0.2">
      <c r="L992"/>
    </row>
    <row r="993" spans="12:12" x14ac:dyDescent="0.2">
      <c r="L993"/>
    </row>
    <row r="994" spans="12:12" x14ac:dyDescent="0.2">
      <c r="L994"/>
    </row>
    <row r="995" spans="12:12" x14ac:dyDescent="0.2">
      <c r="L995"/>
    </row>
    <row r="996" spans="12:12" x14ac:dyDescent="0.2">
      <c r="L996"/>
    </row>
    <row r="997" spans="12:12" x14ac:dyDescent="0.2">
      <c r="L997"/>
    </row>
    <row r="998" spans="12:12" x14ac:dyDescent="0.2">
      <c r="L998"/>
    </row>
    <row r="999" spans="12:12" x14ac:dyDescent="0.2">
      <c r="L999"/>
    </row>
    <row r="1000" spans="12:12" x14ac:dyDescent="0.2">
      <c r="L1000"/>
    </row>
    <row r="1001" spans="12:12" x14ac:dyDescent="0.2">
      <c r="L1001"/>
    </row>
    <row r="1002" spans="12:12" x14ac:dyDescent="0.2">
      <c r="L1002"/>
    </row>
    <row r="1003" spans="12:12" x14ac:dyDescent="0.2">
      <c r="L1003"/>
    </row>
    <row r="1004" spans="12:12" x14ac:dyDescent="0.2">
      <c r="L1004"/>
    </row>
    <row r="1005" spans="12:12" x14ac:dyDescent="0.2">
      <c r="L1005"/>
    </row>
    <row r="1006" spans="12:12" x14ac:dyDescent="0.2">
      <c r="L1006"/>
    </row>
    <row r="1007" spans="12:12" x14ac:dyDescent="0.2">
      <c r="L1007"/>
    </row>
    <row r="1008" spans="12:12" x14ac:dyDescent="0.2">
      <c r="L1008"/>
    </row>
    <row r="1009" spans="12:12" x14ac:dyDescent="0.2">
      <c r="L1009"/>
    </row>
    <row r="1010" spans="12:12" x14ac:dyDescent="0.2">
      <c r="L1010"/>
    </row>
    <row r="1011" spans="12:12" x14ac:dyDescent="0.2">
      <c r="L1011"/>
    </row>
    <row r="1012" spans="12:12" x14ac:dyDescent="0.2">
      <c r="L1012"/>
    </row>
    <row r="1013" spans="12:12" x14ac:dyDescent="0.2">
      <c r="L1013"/>
    </row>
    <row r="1014" spans="12:12" x14ac:dyDescent="0.2">
      <c r="L1014"/>
    </row>
    <row r="1015" spans="12:12" x14ac:dyDescent="0.2">
      <c r="L1015"/>
    </row>
    <row r="1016" spans="12:12" x14ac:dyDescent="0.2">
      <c r="L1016"/>
    </row>
    <row r="1017" spans="12:12" x14ac:dyDescent="0.2">
      <c r="L1017"/>
    </row>
    <row r="1018" spans="12:12" x14ac:dyDescent="0.2">
      <c r="L1018"/>
    </row>
    <row r="1019" spans="12:12" x14ac:dyDescent="0.2">
      <c r="L1019"/>
    </row>
    <row r="1020" spans="12:12" x14ac:dyDescent="0.2">
      <c r="L1020"/>
    </row>
    <row r="1021" spans="12:12" x14ac:dyDescent="0.2">
      <c r="L1021"/>
    </row>
    <row r="1022" spans="12:12" x14ac:dyDescent="0.2">
      <c r="L1022"/>
    </row>
    <row r="1023" spans="12:12" x14ac:dyDescent="0.2">
      <c r="L1023"/>
    </row>
    <row r="1024" spans="12:12" x14ac:dyDescent="0.2">
      <c r="L1024"/>
    </row>
    <row r="1025" spans="12:12" x14ac:dyDescent="0.2">
      <c r="L1025"/>
    </row>
    <row r="1026" spans="12:12" x14ac:dyDescent="0.2">
      <c r="L1026"/>
    </row>
    <row r="1027" spans="12:12" x14ac:dyDescent="0.2">
      <c r="L1027"/>
    </row>
    <row r="1028" spans="12:12" x14ac:dyDescent="0.2">
      <c r="L1028"/>
    </row>
    <row r="1029" spans="12:12" x14ac:dyDescent="0.2">
      <c r="L1029"/>
    </row>
    <row r="1030" spans="12:12" x14ac:dyDescent="0.2">
      <c r="L1030"/>
    </row>
    <row r="1031" spans="12:12" x14ac:dyDescent="0.2">
      <c r="L1031"/>
    </row>
    <row r="1032" spans="12:12" x14ac:dyDescent="0.2">
      <c r="L1032"/>
    </row>
    <row r="1033" spans="12:12" x14ac:dyDescent="0.2">
      <c r="L1033"/>
    </row>
    <row r="1034" spans="12:12" x14ac:dyDescent="0.2">
      <c r="L1034"/>
    </row>
    <row r="1035" spans="12:12" x14ac:dyDescent="0.2">
      <c r="L1035"/>
    </row>
    <row r="1036" spans="12:12" x14ac:dyDescent="0.2">
      <c r="L1036"/>
    </row>
    <row r="1037" spans="12:12" x14ac:dyDescent="0.2">
      <c r="L1037"/>
    </row>
    <row r="1038" spans="12:12" x14ac:dyDescent="0.2">
      <c r="L1038"/>
    </row>
    <row r="1039" spans="12:12" x14ac:dyDescent="0.2">
      <c r="L1039"/>
    </row>
    <row r="1040" spans="12:12" x14ac:dyDescent="0.2">
      <c r="L1040"/>
    </row>
    <row r="1041" spans="12:12" x14ac:dyDescent="0.2">
      <c r="L1041"/>
    </row>
    <row r="1042" spans="12:12" x14ac:dyDescent="0.2">
      <c r="L1042"/>
    </row>
    <row r="1043" spans="12:12" x14ac:dyDescent="0.2">
      <c r="L1043"/>
    </row>
    <row r="1044" spans="12:12" x14ac:dyDescent="0.2">
      <c r="L1044"/>
    </row>
    <row r="1045" spans="12:12" x14ac:dyDescent="0.2">
      <c r="L1045"/>
    </row>
    <row r="1046" spans="12:12" x14ac:dyDescent="0.2">
      <c r="L1046"/>
    </row>
    <row r="1047" spans="12:12" x14ac:dyDescent="0.2">
      <c r="L1047"/>
    </row>
    <row r="1048" spans="12:12" x14ac:dyDescent="0.2">
      <c r="L1048"/>
    </row>
    <row r="1049" spans="12:12" x14ac:dyDescent="0.2">
      <c r="L1049"/>
    </row>
    <row r="1050" spans="12:12" x14ac:dyDescent="0.2">
      <c r="L1050"/>
    </row>
    <row r="1051" spans="12:12" x14ac:dyDescent="0.2">
      <c r="L1051"/>
    </row>
    <row r="1052" spans="12:12" x14ac:dyDescent="0.2">
      <c r="L1052"/>
    </row>
    <row r="1053" spans="12:12" x14ac:dyDescent="0.2">
      <c r="L1053"/>
    </row>
    <row r="1054" spans="12:12" x14ac:dyDescent="0.2">
      <c r="L1054"/>
    </row>
    <row r="1055" spans="12:12" x14ac:dyDescent="0.2">
      <c r="L1055"/>
    </row>
    <row r="1056" spans="12:12" x14ac:dyDescent="0.2">
      <c r="L1056"/>
    </row>
    <row r="1057" spans="12:12" x14ac:dyDescent="0.2">
      <c r="L1057"/>
    </row>
    <row r="1058" spans="12:12" x14ac:dyDescent="0.2">
      <c r="L1058"/>
    </row>
    <row r="1059" spans="12:12" x14ac:dyDescent="0.2">
      <c r="L1059"/>
    </row>
    <row r="1060" spans="12:12" x14ac:dyDescent="0.2">
      <c r="L1060"/>
    </row>
    <row r="1061" spans="12:12" x14ac:dyDescent="0.2">
      <c r="L1061"/>
    </row>
    <row r="1062" spans="12:12" x14ac:dyDescent="0.2">
      <c r="L1062"/>
    </row>
    <row r="1063" spans="12:12" x14ac:dyDescent="0.2">
      <c r="L1063"/>
    </row>
    <row r="1064" spans="12:12" x14ac:dyDescent="0.2">
      <c r="L1064"/>
    </row>
    <row r="1065" spans="12:12" x14ac:dyDescent="0.2">
      <c r="L1065"/>
    </row>
    <row r="1066" spans="12:12" x14ac:dyDescent="0.2">
      <c r="L1066"/>
    </row>
    <row r="1067" spans="12:12" x14ac:dyDescent="0.2">
      <c r="L1067"/>
    </row>
    <row r="1068" spans="12:12" x14ac:dyDescent="0.2">
      <c r="L1068"/>
    </row>
    <row r="1069" spans="12:12" x14ac:dyDescent="0.2">
      <c r="L1069"/>
    </row>
    <row r="1070" spans="12:12" x14ac:dyDescent="0.2">
      <c r="L1070"/>
    </row>
    <row r="1071" spans="12:12" x14ac:dyDescent="0.2">
      <c r="L1071"/>
    </row>
    <row r="1072" spans="12:12" x14ac:dyDescent="0.2">
      <c r="L1072"/>
    </row>
    <row r="1073" spans="12:12" x14ac:dyDescent="0.2">
      <c r="L1073"/>
    </row>
    <row r="1074" spans="12:12" x14ac:dyDescent="0.2">
      <c r="L1074"/>
    </row>
    <row r="1075" spans="12:12" x14ac:dyDescent="0.2">
      <c r="L1075"/>
    </row>
    <row r="1076" spans="12:12" x14ac:dyDescent="0.2">
      <c r="L1076"/>
    </row>
    <row r="1077" spans="12:12" x14ac:dyDescent="0.2">
      <c r="L1077"/>
    </row>
    <row r="1078" spans="12:12" x14ac:dyDescent="0.2">
      <c r="L1078"/>
    </row>
    <row r="1079" spans="12:12" x14ac:dyDescent="0.2">
      <c r="L1079"/>
    </row>
    <row r="1080" spans="12:12" x14ac:dyDescent="0.2">
      <c r="L1080"/>
    </row>
    <row r="1081" spans="12:12" x14ac:dyDescent="0.2">
      <c r="L1081"/>
    </row>
    <row r="1082" spans="12:12" x14ac:dyDescent="0.2">
      <c r="L1082"/>
    </row>
    <row r="1083" spans="12:12" x14ac:dyDescent="0.2">
      <c r="L1083"/>
    </row>
    <row r="1084" spans="12:12" x14ac:dyDescent="0.2">
      <c r="L1084"/>
    </row>
    <row r="1085" spans="12:12" x14ac:dyDescent="0.2">
      <c r="L1085"/>
    </row>
    <row r="1086" spans="12:12" x14ac:dyDescent="0.2">
      <c r="L1086"/>
    </row>
    <row r="1087" spans="12:12" x14ac:dyDescent="0.2">
      <c r="L1087"/>
    </row>
    <row r="1088" spans="12:12" x14ac:dyDescent="0.2">
      <c r="L1088"/>
    </row>
    <row r="1089" spans="12:12" x14ac:dyDescent="0.2">
      <c r="L1089"/>
    </row>
    <row r="1090" spans="12:12" x14ac:dyDescent="0.2">
      <c r="L1090"/>
    </row>
    <row r="1091" spans="12:12" x14ac:dyDescent="0.2">
      <c r="L1091"/>
    </row>
    <row r="1092" spans="12:12" x14ac:dyDescent="0.2">
      <c r="L1092"/>
    </row>
    <row r="1093" spans="12:12" x14ac:dyDescent="0.2">
      <c r="L1093"/>
    </row>
    <row r="1094" spans="12:12" x14ac:dyDescent="0.2">
      <c r="L1094"/>
    </row>
    <row r="1095" spans="12:12" x14ac:dyDescent="0.2">
      <c r="L1095"/>
    </row>
    <row r="1096" spans="12:12" x14ac:dyDescent="0.2">
      <c r="L1096"/>
    </row>
    <row r="1097" spans="12:12" x14ac:dyDescent="0.2">
      <c r="L1097"/>
    </row>
    <row r="1098" spans="12:12" x14ac:dyDescent="0.2">
      <c r="L1098"/>
    </row>
    <row r="1099" spans="12:12" x14ac:dyDescent="0.2">
      <c r="L1099"/>
    </row>
    <row r="1100" spans="12:12" x14ac:dyDescent="0.2">
      <c r="L1100"/>
    </row>
    <row r="1101" spans="12:12" x14ac:dyDescent="0.2">
      <c r="L1101"/>
    </row>
    <row r="1102" spans="12:12" x14ac:dyDescent="0.2">
      <c r="L1102"/>
    </row>
    <row r="1103" spans="12:12" x14ac:dyDescent="0.2">
      <c r="L1103"/>
    </row>
    <row r="1104" spans="12:12" x14ac:dyDescent="0.2">
      <c r="L1104"/>
    </row>
    <row r="1105" spans="12:12" x14ac:dyDescent="0.2">
      <c r="L1105"/>
    </row>
    <row r="1106" spans="12:12" x14ac:dyDescent="0.2">
      <c r="L1106"/>
    </row>
    <row r="1107" spans="12:12" x14ac:dyDescent="0.2">
      <c r="L1107"/>
    </row>
    <row r="1108" spans="12:12" x14ac:dyDescent="0.2">
      <c r="L1108"/>
    </row>
    <row r="1109" spans="12:12" x14ac:dyDescent="0.2">
      <c r="L1109"/>
    </row>
    <row r="1110" spans="12:12" x14ac:dyDescent="0.2">
      <c r="L1110"/>
    </row>
    <row r="1111" spans="12:12" x14ac:dyDescent="0.2">
      <c r="L1111"/>
    </row>
    <row r="1112" spans="12:12" x14ac:dyDescent="0.2">
      <c r="L1112"/>
    </row>
    <row r="1113" spans="12:12" x14ac:dyDescent="0.2">
      <c r="L1113"/>
    </row>
    <row r="1114" spans="12:12" x14ac:dyDescent="0.2">
      <c r="L1114"/>
    </row>
    <row r="1115" spans="12:12" x14ac:dyDescent="0.2">
      <c r="L1115"/>
    </row>
    <row r="1116" spans="12:12" x14ac:dyDescent="0.2">
      <c r="L1116"/>
    </row>
    <row r="1117" spans="12:12" x14ac:dyDescent="0.2">
      <c r="L1117"/>
    </row>
    <row r="1118" spans="12:12" x14ac:dyDescent="0.2">
      <c r="L1118"/>
    </row>
    <row r="1119" spans="12:12" x14ac:dyDescent="0.2">
      <c r="L1119"/>
    </row>
    <row r="1120" spans="12:12" x14ac:dyDescent="0.2">
      <c r="L1120"/>
    </row>
    <row r="1121" spans="12:12" x14ac:dyDescent="0.2">
      <c r="L1121"/>
    </row>
    <row r="1122" spans="12:12" x14ac:dyDescent="0.2">
      <c r="L1122"/>
    </row>
    <row r="1123" spans="12:12" x14ac:dyDescent="0.2">
      <c r="L1123"/>
    </row>
    <row r="1124" spans="12:12" x14ac:dyDescent="0.2">
      <c r="L1124"/>
    </row>
    <row r="1125" spans="12:12" x14ac:dyDescent="0.2">
      <c r="L1125"/>
    </row>
    <row r="1126" spans="12:12" x14ac:dyDescent="0.2">
      <c r="L1126"/>
    </row>
    <row r="1127" spans="12:12" x14ac:dyDescent="0.2">
      <c r="L1127"/>
    </row>
    <row r="1128" spans="12:12" x14ac:dyDescent="0.2">
      <c r="L1128"/>
    </row>
    <row r="1129" spans="12:12" x14ac:dyDescent="0.2">
      <c r="L1129"/>
    </row>
    <row r="1130" spans="12:12" x14ac:dyDescent="0.2">
      <c r="L1130"/>
    </row>
    <row r="1131" spans="12:12" x14ac:dyDescent="0.2">
      <c r="L1131"/>
    </row>
    <row r="1132" spans="12:12" x14ac:dyDescent="0.2">
      <c r="L1132"/>
    </row>
    <row r="1133" spans="12:12" x14ac:dyDescent="0.2">
      <c r="L1133"/>
    </row>
    <row r="1134" spans="12:12" x14ac:dyDescent="0.2">
      <c r="L1134"/>
    </row>
    <row r="1135" spans="12:12" x14ac:dyDescent="0.2">
      <c r="L1135"/>
    </row>
    <row r="1136" spans="12:12" x14ac:dyDescent="0.2">
      <c r="L1136"/>
    </row>
    <row r="1137" spans="12:12" x14ac:dyDescent="0.2">
      <c r="L1137"/>
    </row>
    <row r="1138" spans="12:12" x14ac:dyDescent="0.2">
      <c r="L1138"/>
    </row>
    <row r="1139" spans="12:12" x14ac:dyDescent="0.2">
      <c r="L1139"/>
    </row>
    <row r="1140" spans="12:12" x14ac:dyDescent="0.2">
      <c r="L1140"/>
    </row>
    <row r="1141" spans="12:12" x14ac:dyDescent="0.2">
      <c r="L1141"/>
    </row>
    <row r="1142" spans="12:12" x14ac:dyDescent="0.2">
      <c r="L1142"/>
    </row>
    <row r="1143" spans="12:12" x14ac:dyDescent="0.2">
      <c r="L1143"/>
    </row>
    <row r="1144" spans="12:12" x14ac:dyDescent="0.2">
      <c r="L1144"/>
    </row>
    <row r="1145" spans="12:12" x14ac:dyDescent="0.2">
      <c r="L1145"/>
    </row>
    <row r="1146" spans="12:12" x14ac:dyDescent="0.2">
      <c r="L1146"/>
    </row>
    <row r="1147" spans="12:12" x14ac:dyDescent="0.2">
      <c r="L1147"/>
    </row>
    <row r="1148" spans="12:12" x14ac:dyDescent="0.2">
      <c r="L1148"/>
    </row>
    <row r="1149" spans="12:12" x14ac:dyDescent="0.2">
      <c r="L1149"/>
    </row>
    <row r="1150" spans="12:12" x14ac:dyDescent="0.2">
      <c r="L1150"/>
    </row>
    <row r="1151" spans="12:12" x14ac:dyDescent="0.2">
      <c r="L1151"/>
    </row>
    <row r="1152" spans="12:12" x14ac:dyDescent="0.2">
      <c r="L1152"/>
    </row>
    <row r="1153" spans="12:12" x14ac:dyDescent="0.2">
      <c r="L1153"/>
    </row>
    <row r="1154" spans="12:12" x14ac:dyDescent="0.2">
      <c r="L1154"/>
    </row>
    <row r="1155" spans="12:12" x14ac:dyDescent="0.2">
      <c r="L1155"/>
    </row>
    <row r="1156" spans="12:12" x14ac:dyDescent="0.2">
      <c r="L1156"/>
    </row>
    <row r="1157" spans="12:12" x14ac:dyDescent="0.2">
      <c r="L1157"/>
    </row>
    <row r="1158" spans="12:12" x14ac:dyDescent="0.2">
      <c r="L1158"/>
    </row>
    <row r="1159" spans="12:12" x14ac:dyDescent="0.2">
      <c r="L1159"/>
    </row>
    <row r="1160" spans="12:12" x14ac:dyDescent="0.2">
      <c r="L1160"/>
    </row>
    <row r="1161" spans="12:12" x14ac:dyDescent="0.2">
      <c r="L1161"/>
    </row>
    <row r="1162" spans="12:12" x14ac:dyDescent="0.2">
      <c r="L1162"/>
    </row>
    <row r="1163" spans="12:12" x14ac:dyDescent="0.2">
      <c r="L1163"/>
    </row>
    <row r="1164" spans="12:12" x14ac:dyDescent="0.2">
      <c r="L1164"/>
    </row>
    <row r="1165" spans="12:12" x14ac:dyDescent="0.2">
      <c r="L1165"/>
    </row>
    <row r="1166" spans="12:12" x14ac:dyDescent="0.2">
      <c r="L1166"/>
    </row>
    <row r="1167" spans="12:12" x14ac:dyDescent="0.2">
      <c r="L1167"/>
    </row>
    <row r="1168" spans="12:12" x14ac:dyDescent="0.2">
      <c r="L1168"/>
    </row>
    <row r="1169" spans="12:12" x14ac:dyDescent="0.2">
      <c r="L1169"/>
    </row>
    <row r="1170" spans="12:12" x14ac:dyDescent="0.2">
      <c r="L1170"/>
    </row>
    <row r="1171" spans="12:12" x14ac:dyDescent="0.2">
      <c r="L1171"/>
    </row>
    <row r="1172" spans="12:12" x14ac:dyDescent="0.2">
      <c r="L1172"/>
    </row>
    <row r="1173" spans="12:12" x14ac:dyDescent="0.2">
      <c r="L1173"/>
    </row>
    <row r="1174" spans="12:12" x14ac:dyDescent="0.2">
      <c r="L1174"/>
    </row>
    <row r="1175" spans="12:12" x14ac:dyDescent="0.2">
      <c r="L1175"/>
    </row>
    <row r="1176" spans="12:12" x14ac:dyDescent="0.2">
      <c r="L1176"/>
    </row>
    <row r="1177" spans="12:12" x14ac:dyDescent="0.2">
      <c r="L1177"/>
    </row>
    <row r="1178" spans="12:12" x14ac:dyDescent="0.2">
      <c r="L1178"/>
    </row>
    <row r="1179" spans="12:12" x14ac:dyDescent="0.2">
      <c r="L1179"/>
    </row>
    <row r="1180" spans="12:12" x14ac:dyDescent="0.2">
      <c r="L1180"/>
    </row>
    <row r="1181" spans="12:12" x14ac:dyDescent="0.2">
      <c r="L1181"/>
    </row>
    <row r="1182" spans="12:12" x14ac:dyDescent="0.2">
      <c r="L1182"/>
    </row>
    <row r="1183" spans="12:12" x14ac:dyDescent="0.2">
      <c r="L1183"/>
    </row>
    <row r="1184" spans="12:12" x14ac:dyDescent="0.2">
      <c r="L1184"/>
    </row>
    <row r="1185" spans="12:12" x14ac:dyDescent="0.2">
      <c r="L1185"/>
    </row>
    <row r="1186" spans="12:12" x14ac:dyDescent="0.2">
      <c r="L1186"/>
    </row>
    <row r="1187" spans="12:12" x14ac:dyDescent="0.2">
      <c r="L1187"/>
    </row>
    <row r="1188" spans="12:12" x14ac:dyDescent="0.2">
      <c r="L1188"/>
    </row>
    <row r="1189" spans="12:12" x14ac:dyDescent="0.2">
      <c r="L1189"/>
    </row>
    <row r="1190" spans="12:12" x14ac:dyDescent="0.2">
      <c r="L1190"/>
    </row>
    <row r="1191" spans="12:12" x14ac:dyDescent="0.2">
      <c r="L1191"/>
    </row>
    <row r="1192" spans="12:12" x14ac:dyDescent="0.2">
      <c r="L1192"/>
    </row>
    <row r="1193" spans="12:12" x14ac:dyDescent="0.2">
      <c r="L1193"/>
    </row>
    <row r="1194" spans="12:12" x14ac:dyDescent="0.2">
      <c r="L1194"/>
    </row>
    <row r="1195" spans="12:12" x14ac:dyDescent="0.2">
      <c r="L1195"/>
    </row>
    <row r="1196" spans="12:12" x14ac:dyDescent="0.2">
      <c r="L1196"/>
    </row>
    <row r="1197" spans="12:12" x14ac:dyDescent="0.2">
      <c r="L1197"/>
    </row>
    <row r="1198" spans="12:12" x14ac:dyDescent="0.2">
      <c r="L1198"/>
    </row>
    <row r="1199" spans="12:12" x14ac:dyDescent="0.2">
      <c r="L1199"/>
    </row>
    <row r="1200" spans="12:12" x14ac:dyDescent="0.2">
      <c r="L1200"/>
    </row>
    <row r="1201" spans="12:12" x14ac:dyDescent="0.2">
      <c r="L1201"/>
    </row>
    <row r="1202" spans="12:12" x14ac:dyDescent="0.2">
      <c r="L1202"/>
    </row>
    <row r="1203" spans="12:12" x14ac:dyDescent="0.2">
      <c r="L1203"/>
    </row>
    <row r="1204" spans="12:12" x14ac:dyDescent="0.2">
      <c r="L1204"/>
    </row>
    <row r="1205" spans="12:12" x14ac:dyDescent="0.2">
      <c r="L1205"/>
    </row>
    <row r="1206" spans="12:12" x14ac:dyDescent="0.2">
      <c r="L1206"/>
    </row>
    <row r="1207" spans="12:12" x14ac:dyDescent="0.2">
      <c r="L1207"/>
    </row>
    <row r="1208" spans="12:12" x14ac:dyDescent="0.2">
      <c r="L1208"/>
    </row>
    <row r="1209" spans="12:12" x14ac:dyDescent="0.2">
      <c r="L1209"/>
    </row>
    <row r="1210" spans="12:12" x14ac:dyDescent="0.2">
      <c r="L1210"/>
    </row>
    <row r="1211" spans="12:12" x14ac:dyDescent="0.2">
      <c r="L1211"/>
    </row>
    <row r="1212" spans="12:12" x14ac:dyDescent="0.2">
      <c r="L1212"/>
    </row>
    <row r="1213" spans="12:12" x14ac:dyDescent="0.2">
      <c r="L1213"/>
    </row>
    <row r="1214" spans="12:12" x14ac:dyDescent="0.2">
      <c r="L1214"/>
    </row>
    <row r="1215" spans="12:12" x14ac:dyDescent="0.2">
      <c r="L1215"/>
    </row>
    <row r="1216" spans="12:12" x14ac:dyDescent="0.2">
      <c r="L1216"/>
    </row>
    <row r="1217" spans="12:12" x14ac:dyDescent="0.2">
      <c r="L1217"/>
    </row>
    <row r="1218" spans="12:12" x14ac:dyDescent="0.2">
      <c r="L1218"/>
    </row>
    <row r="1219" spans="12:12" x14ac:dyDescent="0.2">
      <c r="L1219"/>
    </row>
    <row r="1220" spans="12:12" x14ac:dyDescent="0.2">
      <c r="L1220"/>
    </row>
    <row r="1221" spans="12:12" x14ac:dyDescent="0.2">
      <c r="L1221"/>
    </row>
    <row r="1222" spans="12:12" x14ac:dyDescent="0.2">
      <c r="L1222"/>
    </row>
    <row r="1223" spans="12:12" x14ac:dyDescent="0.2">
      <c r="L1223"/>
    </row>
    <row r="1224" spans="12:12" x14ac:dyDescent="0.2">
      <c r="L1224"/>
    </row>
    <row r="1225" spans="12:12" x14ac:dyDescent="0.2">
      <c r="L1225"/>
    </row>
    <row r="1226" spans="12:12" x14ac:dyDescent="0.2">
      <c r="L1226"/>
    </row>
    <row r="1227" spans="12:12" x14ac:dyDescent="0.2">
      <c r="L1227"/>
    </row>
    <row r="1228" spans="12:12" x14ac:dyDescent="0.2">
      <c r="L1228"/>
    </row>
    <row r="1229" spans="12:12" x14ac:dyDescent="0.2">
      <c r="L1229"/>
    </row>
    <row r="1230" spans="12:12" x14ac:dyDescent="0.2">
      <c r="L1230"/>
    </row>
    <row r="1231" spans="12:12" x14ac:dyDescent="0.2">
      <c r="L1231"/>
    </row>
    <row r="1232" spans="12:12" x14ac:dyDescent="0.2">
      <c r="L1232"/>
    </row>
    <row r="1233" spans="12:12" x14ac:dyDescent="0.2">
      <c r="L1233"/>
    </row>
    <row r="1234" spans="12:12" x14ac:dyDescent="0.2">
      <c r="L1234"/>
    </row>
    <row r="1235" spans="12:12" x14ac:dyDescent="0.2">
      <c r="L1235"/>
    </row>
    <row r="1236" spans="12:12" x14ac:dyDescent="0.2">
      <c r="L1236"/>
    </row>
    <row r="1237" spans="12:12" x14ac:dyDescent="0.2">
      <c r="L1237"/>
    </row>
    <row r="1238" spans="12:12" x14ac:dyDescent="0.2">
      <c r="L1238"/>
    </row>
    <row r="1239" spans="12:12" x14ac:dyDescent="0.2">
      <c r="L1239"/>
    </row>
    <row r="1240" spans="12:12" x14ac:dyDescent="0.2">
      <c r="L1240"/>
    </row>
    <row r="1241" spans="12:12" x14ac:dyDescent="0.2">
      <c r="L1241"/>
    </row>
    <row r="1242" spans="12:12" x14ac:dyDescent="0.2">
      <c r="L1242"/>
    </row>
    <row r="1243" spans="12:12" x14ac:dyDescent="0.2">
      <c r="L1243"/>
    </row>
    <row r="1244" spans="12:12" x14ac:dyDescent="0.2">
      <c r="L1244"/>
    </row>
    <row r="1245" spans="12:12" x14ac:dyDescent="0.2">
      <c r="L1245"/>
    </row>
    <row r="1246" spans="12:12" x14ac:dyDescent="0.2">
      <c r="L1246"/>
    </row>
    <row r="1247" spans="12:12" x14ac:dyDescent="0.2">
      <c r="L1247"/>
    </row>
    <row r="1248" spans="12:12" x14ac:dyDescent="0.2">
      <c r="L1248"/>
    </row>
    <row r="1249" spans="12:12" x14ac:dyDescent="0.2">
      <c r="L1249"/>
    </row>
    <row r="1250" spans="12:12" x14ac:dyDescent="0.2">
      <c r="L1250"/>
    </row>
    <row r="1251" spans="12:12" x14ac:dyDescent="0.2">
      <c r="L1251"/>
    </row>
    <row r="1252" spans="12:12" x14ac:dyDescent="0.2">
      <c r="L1252"/>
    </row>
    <row r="1253" spans="12:12" x14ac:dyDescent="0.2">
      <c r="L1253"/>
    </row>
    <row r="1254" spans="12:12" x14ac:dyDescent="0.2">
      <c r="L1254"/>
    </row>
    <row r="1255" spans="12:12" x14ac:dyDescent="0.2">
      <c r="L1255"/>
    </row>
    <row r="1256" spans="12:12" x14ac:dyDescent="0.2">
      <c r="L1256"/>
    </row>
    <row r="1257" spans="12:12" x14ac:dyDescent="0.2">
      <c r="L1257"/>
    </row>
    <row r="1258" spans="12:12" x14ac:dyDescent="0.2">
      <c r="L1258"/>
    </row>
    <row r="1259" spans="12:12" x14ac:dyDescent="0.2">
      <c r="L1259"/>
    </row>
    <row r="1260" spans="12:12" x14ac:dyDescent="0.2">
      <c r="L1260"/>
    </row>
    <row r="1261" spans="12:12" x14ac:dyDescent="0.2">
      <c r="L1261"/>
    </row>
    <row r="1262" spans="12:12" x14ac:dyDescent="0.2">
      <c r="L1262"/>
    </row>
    <row r="1263" spans="12:12" x14ac:dyDescent="0.2">
      <c r="L1263"/>
    </row>
    <row r="1264" spans="12:12" x14ac:dyDescent="0.2">
      <c r="L1264"/>
    </row>
    <row r="1265" spans="12:12" x14ac:dyDescent="0.2">
      <c r="L1265"/>
    </row>
    <row r="1266" spans="12:12" x14ac:dyDescent="0.2">
      <c r="L1266"/>
    </row>
    <row r="1267" spans="12:12" x14ac:dyDescent="0.2">
      <c r="L1267"/>
    </row>
    <row r="1268" spans="12:12" x14ac:dyDescent="0.2">
      <c r="L1268"/>
    </row>
    <row r="1269" spans="12:12" x14ac:dyDescent="0.2">
      <c r="L1269"/>
    </row>
    <row r="1270" spans="12:12" x14ac:dyDescent="0.2">
      <c r="L1270"/>
    </row>
    <row r="1271" spans="12:12" x14ac:dyDescent="0.2">
      <c r="L1271"/>
    </row>
    <row r="1272" spans="12:12" x14ac:dyDescent="0.2">
      <c r="L1272"/>
    </row>
    <row r="1273" spans="12:12" x14ac:dyDescent="0.2">
      <c r="L1273"/>
    </row>
    <row r="1274" spans="12:12" x14ac:dyDescent="0.2">
      <c r="L1274"/>
    </row>
    <row r="1275" spans="12:12" x14ac:dyDescent="0.2">
      <c r="L1275"/>
    </row>
    <row r="1276" spans="12:12" x14ac:dyDescent="0.2">
      <c r="L1276"/>
    </row>
    <row r="1277" spans="12:12" x14ac:dyDescent="0.2">
      <c r="L1277"/>
    </row>
    <row r="1278" spans="12:12" x14ac:dyDescent="0.2">
      <c r="L1278"/>
    </row>
    <row r="1279" spans="12:12" x14ac:dyDescent="0.2">
      <c r="L1279"/>
    </row>
    <row r="1280" spans="12:12" x14ac:dyDescent="0.2">
      <c r="L1280"/>
    </row>
    <row r="1281" spans="12:12" x14ac:dyDescent="0.2">
      <c r="L1281"/>
    </row>
    <row r="1282" spans="12:12" x14ac:dyDescent="0.2">
      <c r="L1282"/>
    </row>
    <row r="1283" spans="12:12" x14ac:dyDescent="0.2">
      <c r="L1283"/>
    </row>
    <row r="1284" spans="12:12" x14ac:dyDescent="0.2">
      <c r="L1284"/>
    </row>
    <row r="1285" spans="12:12" x14ac:dyDescent="0.2">
      <c r="L1285"/>
    </row>
    <row r="1286" spans="12:12" x14ac:dyDescent="0.2">
      <c r="L1286"/>
    </row>
    <row r="1287" spans="12:12" x14ac:dyDescent="0.2">
      <c r="L1287"/>
    </row>
    <row r="1288" spans="12:12" x14ac:dyDescent="0.2">
      <c r="L1288"/>
    </row>
    <row r="1289" spans="12:12" x14ac:dyDescent="0.2">
      <c r="L1289"/>
    </row>
    <row r="1290" spans="12:12" x14ac:dyDescent="0.2">
      <c r="L1290"/>
    </row>
    <row r="1291" spans="12:12" x14ac:dyDescent="0.2">
      <c r="L1291"/>
    </row>
    <row r="1292" spans="12:12" x14ac:dyDescent="0.2">
      <c r="L1292"/>
    </row>
    <row r="1293" spans="12:12" x14ac:dyDescent="0.2">
      <c r="L1293"/>
    </row>
    <row r="1294" spans="12:12" x14ac:dyDescent="0.2">
      <c r="L1294"/>
    </row>
    <row r="1295" spans="12:12" x14ac:dyDescent="0.2">
      <c r="L1295"/>
    </row>
    <row r="1296" spans="12:12" x14ac:dyDescent="0.2">
      <c r="L1296"/>
    </row>
    <row r="1297" spans="12:12" x14ac:dyDescent="0.2">
      <c r="L1297"/>
    </row>
    <row r="1298" spans="12:12" x14ac:dyDescent="0.2">
      <c r="L1298"/>
    </row>
    <row r="1299" spans="12:12" x14ac:dyDescent="0.2">
      <c r="L1299"/>
    </row>
    <row r="1300" spans="12:12" x14ac:dyDescent="0.2">
      <c r="L1300"/>
    </row>
    <row r="1301" spans="12:12" x14ac:dyDescent="0.2">
      <c r="L1301"/>
    </row>
    <row r="1302" spans="12:12" x14ac:dyDescent="0.2">
      <c r="L1302"/>
    </row>
    <row r="1303" spans="12:12" x14ac:dyDescent="0.2">
      <c r="L1303"/>
    </row>
    <row r="1304" spans="12:12" x14ac:dyDescent="0.2">
      <c r="L1304"/>
    </row>
    <row r="1305" spans="12:12" x14ac:dyDescent="0.2">
      <c r="L1305"/>
    </row>
    <row r="1306" spans="12:12" x14ac:dyDescent="0.2">
      <c r="L1306"/>
    </row>
    <row r="1307" spans="12:12" x14ac:dyDescent="0.2">
      <c r="L1307"/>
    </row>
    <row r="1308" spans="12:12" x14ac:dyDescent="0.2">
      <c r="L1308"/>
    </row>
    <row r="1309" spans="12:12" x14ac:dyDescent="0.2">
      <c r="L1309"/>
    </row>
    <row r="1310" spans="12:12" x14ac:dyDescent="0.2">
      <c r="L1310"/>
    </row>
    <row r="1311" spans="12:12" x14ac:dyDescent="0.2">
      <c r="L1311"/>
    </row>
    <row r="1312" spans="12:12" x14ac:dyDescent="0.2">
      <c r="L1312"/>
    </row>
    <row r="1313" spans="12:12" x14ac:dyDescent="0.2">
      <c r="L1313"/>
    </row>
    <row r="1314" spans="12:12" x14ac:dyDescent="0.2">
      <c r="L1314"/>
    </row>
    <row r="1315" spans="12:12" x14ac:dyDescent="0.2">
      <c r="L1315"/>
    </row>
    <row r="1316" spans="12:12" x14ac:dyDescent="0.2">
      <c r="L1316"/>
    </row>
    <row r="1317" spans="12:12" x14ac:dyDescent="0.2">
      <c r="L1317"/>
    </row>
    <row r="1318" spans="12:12" x14ac:dyDescent="0.2">
      <c r="L1318"/>
    </row>
    <row r="1319" spans="12:12" x14ac:dyDescent="0.2">
      <c r="L1319"/>
    </row>
    <row r="1320" spans="12:12" x14ac:dyDescent="0.2">
      <c r="L1320"/>
    </row>
    <row r="1321" spans="12:12" x14ac:dyDescent="0.2">
      <c r="L1321"/>
    </row>
    <row r="1322" spans="12:12" x14ac:dyDescent="0.2">
      <c r="L1322"/>
    </row>
    <row r="1323" spans="12:12" x14ac:dyDescent="0.2">
      <c r="L1323"/>
    </row>
    <row r="1324" spans="12:12" x14ac:dyDescent="0.2">
      <c r="L1324"/>
    </row>
    <row r="1325" spans="12:12" x14ac:dyDescent="0.2">
      <c r="L1325"/>
    </row>
    <row r="1326" spans="12:12" x14ac:dyDescent="0.2">
      <c r="L1326"/>
    </row>
    <row r="1327" spans="12:12" x14ac:dyDescent="0.2">
      <c r="L1327"/>
    </row>
    <row r="1328" spans="12:12" x14ac:dyDescent="0.2">
      <c r="L1328"/>
    </row>
    <row r="1329" spans="12:12" x14ac:dyDescent="0.2">
      <c r="L1329"/>
    </row>
    <row r="1330" spans="12:12" x14ac:dyDescent="0.2">
      <c r="L1330"/>
    </row>
    <row r="1331" spans="12:12" x14ac:dyDescent="0.2">
      <c r="L1331"/>
    </row>
    <row r="1332" spans="12:12" x14ac:dyDescent="0.2">
      <c r="L1332"/>
    </row>
    <row r="1333" spans="12:12" x14ac:dyDescent="0.2">
      <c r="L1333"/>
    </row>
    <row r="1334" spans="12:12" x14ac:dyDescent="0.2">
      <c r="L1334"/>
    </row>
    <row r="1335" spans="12:12" x14ac:dyDescent="0.2">
      <c r="L1335"/>
    </row>
    <row r="1336" spans="12:12" x14ac:dyDescent="0.2">
      <c r="L1336"/>
    </row>
    <row r="1337" spans="12:12" x14ac:dyDescent="0.2">
      <c r="L1337"/>
    </row>
    <row r="1338" spans="12:12" x14ac:dyDescent="0.2">
      <c r="L1338"/>
    </row>
    <row r="1339" spans="12:12" x14ac:dyDescent="0.2">
      <c r="L1339"/>
    </row>
    <row r="1340" spans="12:12" x14ac:dyDescent="0.2">
      <c r="L1340"/>
    </row>
    <row r="1341" spans="12:12" x14ac:dyDescent="0.2">
      <c r="L1341"/>
    </row>
    <row r="1342" spans="12:12" x14ac:dyDescent="0.2">
      <c r="L1342"/>
    </row>
    <row r="1343" spans="12:12" x14ac:dyDescent="0.2">
      <c r="L1343"/>
    </row>
    <row r="1344" spans="12:12" x14ac:dyDescent="0.2">
      <c r="L1344"/>
    </row>
    <row r="1345" spans="12:12" x14ac:dyDescent="0.2">
      <c r="L1345"/>
    </row>
    <row r="1346" spans="12:12" x14ac:dyDescent="0.2">
      <c r="L1346"/>
    </row>
    <row r="1347" spans="12:12" x14ac:dyDescent="0.2">
      <c r="L1347"/>
    </row>
    <row r="1348" spans="12:12" x14ac:dyDescent="0.2">
      <c r="L1348"/>
    </row>
    <row r="1349" spans="12:12" x14ac:dyDescent="0.2">
      <c r="L1349"/>
    </row>
    <row r="1350" spans="12:12" x14ac:dyDescent="0.2">
      <c r="L1350"/>
    </row>
    <row r="1351" spans="12:12" x14ac:dyDescent="0.2">
      <c r="L1351"/>
    </row>
    <row r="1352" spans="12:12" x14ac:dyDescent="0.2">
      <c r="L1352"/>
    </row>
    <row r="1353" spans="12:12" x14ac:dyDescent="0.2">
      <c r="L1353"/>
    </row>
    <row r="1354" spans="12:12" x14ac:dyDescent="0.2">
      <c r="L1354"/>
    </row>
    <row r="1355" spans="12:12" x14ac:dyDescent="0.2">
      <c r="L1355"/>
    </row>
    <row r="1356" spans="12:12" x14ac:dyDescent="0.2">
      <c r="L1356"/>
    </row>
    <row r="1357" spans="12:12" x14ac:dyDescent="0.2">
      <c r="L1357"/>
    </row>
    <row r="1358" spans="12:12" x14ac:dyDescent="0.2">
      <c r="L1358"/>
    </row>
    <row r="1359" spans="12:12" x14ac:dyDescent="0.2">
      <c r="L1359"/>
    </row>
    <row r="1360" spans="12:12" x14ac:dyDescent="0.2">
      <c r="L1360"/>
    </row>
    <row r="1361" spans="12:12" x14ac:dyDescent="0.2">
      <c r="L1361"/>
    </row>
    <row r="1362" spans="12:12" x14ac:dyDescent="0.2">
      <c r="L1362"/>
    </row>
    <row r="1363" spans="12:12" x14ac:dyDescent="0.2">
      <c r="L1363"/>
    </row>
    <row r="1364" spans="12:12" x14ac:dyDescent="0.2">
      <c r="L1364"/>
    </row>
    <row r="1365" spans="12:12" x14ac:dyDescent="0.2">
      <c r="L1365"/>
    </row>
    <row r="1366" spans="12:12" x14ac:dyDescent="0.2">
      <c r="L1366"/>
    </row>
    <row r="1367" spans="12:12" x14ac:dyDescent="0.2">
      <c r="L1367"/>
    </row>
    <row r="1368" spans="12:12" x14ac:dyDescent="0.2">
      <c r="L1368"/>
    </row>
    <row r="1369" spans="12:12" x14ac:dyDescent="0.2">
      <c r="L1369"/>
    </row>
    <row r="1370" spans="12:12" x14ac:dyDescent="0.2">
      <c r="L1370"/>
    </row>
    <row r="1371" spans="12:12" x14ac:dyDescent="0.2">
      <c r="L1371"/>
    </row>
    <row r="1372" spans="12:12" x14ac:dyDescent="0.2">
      <c r="L1372"/>
    </row>
    <row r="1373" spans="12:12" x14ac:dyDescent="0.2">
      <c r="L1373"/>
    </row>
    <row r="1374" spans="12:12" x14ac:dyDescent="0.2">
      <c r="L1374"/>
    </row>
    <row r="1375" spans="12:12" x14ac:dyDescent="0.2">
      <c r="L1375"/>
    </row>
    <row r="1376" spans="12:12" x14ac:dyDescent="0.2">
      <c r="L1376"/>
    </row>
    <row r="1377" spans="12:12" x14ac:dyDescent="0.2">
      <c r="L1377"/>
    </row>
    <row r="1378" spans="12:12" x14ac:dyDescent="0.2">
      <c r="L1378"/>
    </row>
    <row r="1379" spans="12:12" x14ac:dyDescent="0.2">
      <c r="L1379"/>
    </row>
    <row r="1380" spans="12:12" x14ac:dyDescent="0.2">
      <c r="L1380"/>
    </row>
    <row r="1381" spans="12:12" x14ac:dyDescent="0.2">
      <c r="L1381"/>
    </row>
    <row r="1382" spans="12:12" x14ac:dyDescent="0.2">
      <c r="L1382"/>
    </row>
    <row r="1383" spans="12:12" x14ac:dyDescent="0.2">
      <c r="L1383"/>
    </row>
    <row r="1384" spans="12:12" x14ac:dyDescent="0.2">
      <c r="L1384"/>
    </row>
    <row r="1385" spans="12:12" x14ac:dyDescent="0.2">
      <c r="L1385"/>
    </row>
    <row r="1386" spans="12:12" x14ac:dyDescent="0.2">
      <c r="L1386"/>
    </row>
    <row r="1387" spans="12:12" x14ac:dyDescent="0.2">
      <c r="L1387"/>
    </row>
    <row r="1388" spans="12:12" x14ac:dyDescent="0.2">
      <c r="L1388"/>
    </row>
    <row r="1389" spans="12:12" x14ac:dyDescent="0.2">
      <c r="L1389"/>
    </row>
    <row r="1390" spans="12:12" x14ac:dyDescent="0.2">
      <c r="L1390"/>
    </row>
    <row r="1391" spans="12:12" x14ac:dyDescent="0.2">
      <c r="L1391"/>
    </row>
    <row r="1392" spans="12:12" x14ac:dyDescent="0.2">
      <c r="L1392"/>
    </row>
    <row r="1393" spans="12:12" x14ac:dyDescent="0.2">
      <c r="L1393"/>
    </row>
    <row r="1394" spans="12:12" x14ac:dyDescent="0.2">
      <c r="L1394"/>
    </row>
    <row r="1395" spans="12:12" x14ac:dyDescent="0.2">
      <c r="L1395"/>
    </row>
    <row r="1396" spans="12:12" x14ac:dyDescent="0.2">
      <c r="L1396"/>
    </row>
    <row r="1397" spans="12:12" x14ac:dyDescent="0.2">
      <c r="L1397"/>
    </row>
    <row r="1398" spans="12:12" x14ac:dyDescent="0.2">
      <c r="L1398"/>
    </row>
    <row r="1399" spans="12:12" x14ac:dyDescent="0.2">
      <c r="L1399"/>
    </row>
    <row r="1400" spans="12:12" x14ac:dyDescent="0.2">
      <c r="L1400"/>
    </row>
    <row r="1401" spans="12:12" x14ac:dyDescent="0.2">
      <c r="L1401"/>
    </row>
    <row r="1402" spans="12:12" x14ac:dyDescent="0.2">
      <c r="L1402"/>
    </row>
    <row r="1403" spans="12:12" x14ac:dyDescent="0.2">
      <c r="L1403"/>
    </row>
    <row r="1404" spans="12:12" x14ac:dyDescent="0.2">
      <c r="L1404"/>
    </row>
    <row r="1405" spans="12:12" x14ac:dyDescent="0.2">
      <c r="L1405"/>
    </row>
    <row r="1406" spans="12:12" x14ac:dyDescent="0.2">
      <c r="L1406"/>
    </row>
    <row r="1407" spans="12:12" x14ac:dyDescent="0.2">
      <c r="L1407"/>
    </row>
    <row r="1408" spans="12:12" x14ac:dyDescent="0.2">
      <c r="L1408"/>
    </row>
    <row r="1409" spans="12:12" x14ac:dyDescent="0.2">
      <c r="L1409"/>
    </row>
    <row r="1410" spans="12:12" x14ac:dyDescent="0.2">
      <c r="L1410"/>
    </row>
    <row r="1411" spans="12:12" x14ac:dyDescent="0.2">
      <c r="L1411"/>
    </row>
    <row r="1412" spans="12:12" x14ac:dyDescent="0.2">
      <c r="L1412"/>
    </row>
    <row r="1413" spans="12:12" x14ac:dyDescent="0.2">
      <c r="L1413"/>
    </row>
    <row r="1414" spans="12:12" x14ac:dyDescent="0.2">
      <c r="L1414"/>
    </row>
    <row r="1415" spans="12:12" x14ac:dyDescent="0.2">
      <c r="L1415"/>
    </row>
    <row r="1416" spans="12:12" x14ac:dyDescent="0.2">
      <c r="L1416"/>
    </row>
    <row r="1417" spans="12:12" x14ac:dyDescent="0.2">
      <c r="L1417"/>
    </row>
    <row r="1418" spans="12:12" x14ac:dyDescent="0.2">
      <c r="L1418"/>
    </row>
    <row r="1419" spans="12:12" x14ac:dyDescent="0.2">
      <c r="L1419"/>
    </row>
    <row r="1420" spans="12:12" x14ac:dyDescent="0.2">
      <c r="L1420"/>
    </row>
    <row r="1421" spans="12:12" x14ac:dyDescent="0.2">
      <c r="L1421"/>
    </row>
    <row r="1422" spans="12:12" x14ac:dyDescent="0.2">
      <c r="L1422"/>
    </row>
    <row r="1423" spans="12:12" x14ac:dyDescent="0.2">
      <c r="L1423"/>
    </row>
    <row r="1424" spans="12:12" x14ac:dyDescent="0.2">
      <c r="L1424"/>
    </row>
    <row r="1425" spans="12:12" x14ac:dyDescent="0.2">
      <c r="L1425"/>
    </row>
    <row r="1426" spans="12:12" x14ac:dyDescent="0.2">
      <c r="L1426"/>
    </row>
    <row r="1427" spans="12:12" x14ac:dyDescent="0.2">
      <c r="L1427"/>
    </row>
    <row r="1428" spans="12:12" x14ac:dyDescent="0.2">
      <c r="L1428"/>
    </row>
    <row r="1429" spans="12:12" x14ac:dyDescent="0.2">
      <c r="L1429"/>
    </row>
    <row r="1430" spans="12:12" x14ac:dyDescent="0.2">
      <c r="L1430"/>
    </row>
    <row r="1431" spans="12:12" x14ac:dyDescent="0.2">
      <c r="L1431"/>
    </row>
    <row r="1432" spans="12:12" x14ac:dyDescent="0.2">
      <c r="L1432"/>
    </row>
    <row r="1433" spans="12:12" x14ac:dyDescent="0.2">
      <c r="L1433"/>
    </row>
    <row r="1434" spans="12:12" x14ac:dyDescent="0.2">
      <c r="L1434"/>
    </row>
    <row r="1435" spans="12:12" x14ac:dyDescent="0.2">
      <c r="L1435"/>
    </row>
    <row r="1436" spans="12:12" x14ac:dyDescent="0.2">
      <c r="L1436"/>
    </row>
    <row r="1437" spans="12:12" x14ac:dyDescent="0.2">
      <c r="L1437"/>
    </row>
    <row r="1438" spans="12:12" x14ac:dyDescent="0.2">
      <c r="L1438"/>
    </row>
    <row r="1439" spans="12:12" x14ac:dyDescent="0.2">
      <c r="L1439"/>
    </row>
    <row r="1440" spans="12:12" x14ac:dyDescent="0.2">
      <c r="L1440"/>
    </row>
    <row r="1441" spans="12:12" x14ac:dyDescent="0.2">
      <c r="L1441"/>
    </row>
    <row r="1442" spans="12:12" x14ac:dyDescent="0.2">
      <c r="L1442"/>
    </row>
    <row r="1443" spans="12:12" x14ac:dyDescent="0.2">
      <c r="L1443"/>
    </row>
    <row r="1444" spans="12:12" x14ac:dyDescent="0.2">
      <c r="L1444"/>
    </row>
    <row r="1445" spans="12:12" x14ac:dyDescent="0.2">
      <c r="L1445"/>
    </row>
    <row r="1446" spans="12:12" x14ac:dyDescent="0.2">
      <c r="L1446"/>
    </row>
    <row r="1447" spans="12:12" x14ac:dyDescent="0.2">
      <c r="L1447"/>
    </row>
    <row r="1448" spans="12:12" x14ac:dyDescent="0.2">
      <c r="L1448"/>
    </row>
    <row r="1449" spans="12:12" x14ac:dyDescent="0.2">
      <c r="L1449"/>
    </row>
    <row r="1450" spans="12:12" x14ac:dyDescent="0.2">
      <c r="L1450"/>
    </row>
    <row r="1451" spans="12:12" x14ac:dyDescent="0.2">
      <c r="L1451"/>
    </row>
    <row r="1452" spans="12:12" x14ac:dyDescent="0.2">
      <c r="L1452"/>
    </row>
    <row r="1453" spans="12:12" x14ac:dyDescent="0.2">
      <c r="L1453"/>
    </row>
    <row r="1454" spans="12:12" x14ac:dyDescent="0.2">
      <c r="L1454"/>
    </row>
    <row r="1455" spans="12:12" x14ac:dyDescent="0.2">
      <c r="L1455"/>
    </row>
    <row r="1456" spans="12:12" x14ac:dyDescent="0.2">
      <c r="L1456"/>
    </row>
    <row r="1457" spans="12:12" x14ac:dyDescent="0.2">
      <c r="L1457"/>
    </row>
    <row r="1458" spans="12:12" x14ac:dyDescent="0.2">
      <c r="L1458"/>
    </row>
    <row r="1459" spans="12:12" x14ac:dyDescent="0.2">
      <c r="L1459"/>
    </row>
    <row r="1460" spans="12:12" x14ac:dyDescent="0.2">
      <c r="L1460"/>
    </row>
    <row r="1461" spans="12:12" x14ac:dyDescent="0.2">
      <c r="L1461"/>
    </row>
    <row r="1462" spans="12:12" x14ac:dyDescent="0.2">
      <c r="L1462"/>
    </row>
    <row r="1463" spans="12:12" x14ac:dyDescent="0.2">
      <c r="L1463"/>
    </row>
    <row r="1464" spans="12:12" x14ac:dyDescent="0.2">
      <c r="L1464"/>
    </row>
    <row r="1465" spans="12:12" x14ac:dyDescent="0.2">
      <c r="L1465"/>
    </row>
    <row r="1466" spans="12:12" x14ac:dyDescent="0.2">
      <c r="L1466"/>
    </row>
    <row r="1467" spans="12:12" x14ac:dyDescent="0.2">
      <c r="L1467"/>
    </row>
    <row r="1468" spans="12:12" x14ac:dyDescent="0.2">
      <c r="L1468"/>
    </row>
    <row r="1469" spans="12:12" x14ac:dyDescent="0.2">
      <c r="L1469"/>
    </row>
  </sheetData>
  <mergeCells count="143">
    <mergeCell ref="J748:L748"/>
    <mergeCell ref="D749:E749"/>
    <mergeCell ref="D750:E750"/>
    <mergeCell ref="D751:E751"/>
    <mergeCell ref="D679:E679"/>
    <mergeCell ref="D680:E680"/>
    <mergeCell ref="D681:E681"/>
    <mergeCell ref="D682:E682"/>
    <mergeCell ref="C748:D748"/>
    <mergeCell ref="E748:I748"/>
    <mergeCell ref="D609:E609"/>
    <mergeCell ref="D610:E610"/>
    <mergeCell ref="D611:E611"/>
    <mergeCell ref="C678:D678"/>
    <mergeCell ref="E678:I678"/>
    <mergeCell ref="J678:L678"/>
    <mergeCell ref="J538:L538"/>
    <mergeCell ref="D539:E539"/>
    <mergeCell ref="D540:E540"/>
    <mergeCell ref="D541:E541"/>
    <mergeCell ref="C608:D608"/>
    <mergeCell ref="E608:I608"/>
    <mergeCell ref="J608:L608"/>
    <mergeCell ref="D469:E469"/>
    <mergeCell ref="D470:E470"/>
    <mergeCell ref="D471:E471"/>
    <mergeCell ref="C473:E473"/>
    <mergeCell ref="C538:D538"/>
    <mergeCell ref="E538:I538"/>
    <mergeCell ref="D401:E401"/>
    <mergeCell ref="D402:E402"/>
    <mergeCell ref="C403:E403"/>
    <mergeCell ref="C468:D468"/>
    <mergeCell ref="E468:I468"/>
    <mergeCell ref="J468:L468"/>
    <mergeCell ref="C364:E364"/>
    <mergeCell ref="C398:D398"/>
    <mergeCell ref="E398:I398"/>
    <mergeCell ref="J398:L398"/>
    <mergeCell ref="D399:E399"/>
    <mergeCell ref="D400:E400"/>
    <mergeCell ref="J328:L328"/>
    <mergeCell ref="D329:E329"/>
    <mergeCell ref="D330:E330"/>
    <mergeCell ref="D331:E331"/>
    <mergeCell ref="D332:E332"/>
    <mergeCell ref="C333:E333"/>
    <mergeCell ref="D260:E260"/>
    <mergeCell ref="D261:E261"/>
    <mergeCell ref="D262:E262"/>
    <mergeCell ref="D281:E281"/>
    <mergeCell ref="C328:D328"/>
    <mergeCell ref="E328:I328"/>
    <mergeCell ref="D192:E192"/>
    <mergeCell ref="C193:E193"/>
    <mergeCell ref="C258:D258"/>
    <mergeCell ref="E258:I258"/>
    <mergeCell ref="J258:L258"/>
    <mergeCell ref="D259:E259"/>
    <mergeCell ref="C188:D188"/>
    <mergeCell ref="E188:I188"/>
    <mergeCell ref="J188:L188"/>
    <mergeCell ref="D189:E189"/>
    <mergeCell ref="D190:E190"/>
    <mergeCell ref="D191:E191"/>
    <mergeCell ref="C162:E162"/>
    <mergeCell ref="D165:E165"/>
    <mergeCell ref="C166:E166"/>
    <mergeCell ref="D167:E167"/>
    <mergeCell ref="D168:E168"/>
    <mergeCell ref="D169:E169"/>
    <mergeCell ref="D126:E126"/>
    <mergeCell ref="D127:E127"/>
    <mergeCell ref="D137:E137"/>
    <mergeCell ref="D138:E138"/>
    <mergeCell ref="D160:E160"/>
    <mergeCell ref="D161:E161"/>
    <mergeCell ref="J119:L119"/>
    <mergeCell ref="D120:E120"/>
    <mergeCell ref="D121:E121"/>
    <mergeCell ref="D122:E122"/>
    <mergeCell ref="D123:E123"/>
    <mergeCell ref="C124:E124"/>
    <mergeCell ref="D78:E78"/>
    <mergeCell ref="C79:E79"/>
    <mergeCell ref="D95:E95"/>
    <mergeCell ref="D96:E96"/>
    <mergeCell ref="C119:D119"/>
    <mergeCell ref="E119:I119"/>
    <mergeCell ref="C74:D74"/>
    <mergeCell ref="E74:I74"/>
    <mergeCell ref="J74:L74"/>
    <mergeCell ref="D75:E75"/>
    <mergeCell ref="D76:E76"/>
    <mergeCell ref="D77:E77"/>
    <mergeCell ref="D31:E31"/>
    <mergeCell ref="D32:E32"/>
    <mergeCell ref="D33:E33"/>
    <mergeCell ref="D34:E34"/>
    <mergeCell ref="C35:E35"/>
    <mergeCell ref="B22:C22"/>
    <mergeCell ref="B23:C23"/>
    <mergeCell ref="B24:C24"/>
    <mergeCell ref="B25:F25"/>
    <mergeCell ref="G25:L25"/>
    <mergeCell ref="C30:D30"/>
    <mergeCell ref="E30:I30"/>
    <mergeCell ref="J30:L30"/>
    <mergeCell ref="C18:D18"/>
    <mergeCell ref="E18:F18"/>
    <mergeCell ref="G18:J18"/>
    <mergeCell ref="K18:L18"/>
    <mergeCell ref="B20:L20"/>
    <mergeCell ref="B21:C21"/>
    <mergeCell ref="C16:D16"/>
    <mergeCell ref="E16:F16"/>
    <mergeCell ref="G16:J16"/>
    <mergeCell ref="K16:L16"/>
    <mergeCell ref="C17:D17"/>
    <mergeCell ref="E17:F17"/>
    <mergeCell ref="G17:J17"/>
    <mergeCell ref="K17:L17"/>
    <mergeCell ref="B14:C14"/>
    <mergeCell ref="D14:F14"/>
    <mergeCell ref="G14:I14"/>
    <mergeCell ref="J14:L14"/>
    <mergeCell ref="C15:D15"/>
    <mergeCell ref="E15:F15"/>
    <mergeCell ref="G15:J15"/>
    <mergeCell ref="K15:L15"/>
    <mergeCell ref="B8:L8"/>
    <mergeCell ref="C9:L9"/>
    <mergeCell ref="C10:L10"/>
    <mergeCell ref="B11:F11"/>
    <mergeCell ref="G11:L11"/>
    <mergeCell ref="B12:F12"/>
    <mergeCell ref="G12:L12"/>
    <mergeCell ref="B3:E3"/>
    <mergeCell ref="F3:L7"/>
    <mergeCell ref="B4:E4"/>
    <mergeCell ref="B5:E5"/>
    <mergeCell ref="B6:E6"/>
    <mergeCell ref="B7:E7"/>
  </mergeCells>
  <dataValidations count="13">
    <dataValidation allowBlank="1" showInputMessage="1" showErrorMessage="1" promptTitle="Input The Team Name" prompt="Some Firms have team names for fun and identification. If you have a team name please enter it here." sqref="E13" xr:uid="{DE7DEFD3-E6C5-4EA2-9E72-E95E545CD8FD}"/>
    <dataValidation allowBlank="1" showInputMessage="1" showErrorMessage="1" promptTitle="Name" prompt="Please enter the team members name._x000a_" sqref="D14" xr:uid="{B44F08AA-E2CA-4992-9A1C-5C381F2C2D12}"/>
    <dataValidation allowBlank="1" showInputMessage="1" showErrorMessage="1" promptTitle="Charge Out Rate" prompt="Please enter the charge out rate for this team member, per your capacity plan." sqref="C32 C76 C121 C190 C260 C330 C400 C470 C540 C610 C680 C750" xr:uid="{F3D6B011-1D12-4998-9B8D-38A03C4100FB}"/>
    <dataValidation allowBlank="1" showInputMessage="1" showErrorMessage="1" promptTitle="Working Days In Month" prompt="Please enter the working days for this month, taking into account any annual leave, public holidays or training days away from working days." sqref="D32:E32 D76:E76 D121:E121 D190:E190 D260:E260 D330:E330 D400:E400 D470:E470 D540:E540 D610:E610 D680:E680 D750:E750" xr:uid="{4CC87388-43AD-44FB-A171-FBEFAD7DBDCE}"/>
    <dataValidation allowBlank="1" showInputMessage="1" showErrorMessage="1" promptTitle="Productivity %" prompt="Please enter this team members productivity %." sqref="F32 F76 F121 F190 F260 F330 F400 F470 F540 F610 F680 F750" xr:uid="{2417A363-3ACE-4211-B992-F59FF8CA2CA8}"/>
    <dataValidation allowBlank="1" showInputMessage="1" showErrorMessage="1" promptTitle="Hours Per Day" prompt="Please enter the hours per day this team member works" sqref="G32 G76 G121 G190 G260 G330 G400 G470 G540 G610 G680 G750" xr:uid="{BEB15400-01F8-4D40-BEB1-766F6B6470F0}"/>
    <dataValidation allowBlank="1" showInputMessage="1" showErrorMessage="1" promptTitle="Month" prompt="Enter the first month of your financial year" sqref="E30 E74 E119 E188 E258 E328 E398 E468 E538 E608 E678 E748" xr:uid="{19AD7FCE-038B-4021-9C00-31A52D0F6053}"/>
    <dataValidation allowBlank="1" showInputMessage="1" showErrorMessage="1" promptTitle="Entity Group or Client Name" prompt="Enter the Entity Group name or the Client Name or Job name." sqref="C62 C167:C181 C165 C270:C274 C145 C34 C123 C192 C262 C332 C402 C671 C682 C78 C410:C426 C500:C509 C208:C225 C601 C689:C703 C102:C105 C107:C111 C232 C570:C573 C203 C236:C251 C436:C451 C340:C354 C552:C561 C514:C531 C321 C482:C491 C480 C550 C639:C643 C622:C630 C620 C126:C137 C147:C161 C227:C230 C760:C779 C37:C60 C81:C93" xr:uid="{616C47F7-E95E-4266-8E0B-0ECDFC9FEDD1}"/>
    <dataValidation allowBlank="1" showInputMessage="1" showErrorMessage="1" promptTitle="Job Price or Fees Charged" prompt="Enter the job price or Fees charged to the client." sqref="F97:F99 F803:F811 F480 F280 F431:F451 F359:F391 F332:F357 F402:F429 F482:F509 F472:F478 F544:F548 F550 F601 F620 F615:F618 F34:F36 F754:F801 F123:F181 F192:F251 F262:F278 F282:F321 F513:F531 F552:F596 F622:F671 F682:F707 F709:F741 F46:F66 F78:F95" xr:uid="{EA42C581-907E-4953-B7B6-3B735BB322EF}"/>
    <dataValidation allowBlank="1" showInputMessage="1" showErrorMessage="1" promptTitle="Team Member Completion %" prompt="This will be 100% if the team member can complete all the job without help. 80% if most of it. This will depend on the job complexity, the team member's ability and experience, whether or not they have done it before and the quality of the bookkeeping. " sqref="H495 G332:G391 H565 G601 H634 G754:G811 G123:G181 G192:G251 G262:G321 G402:G461 G472:G531 G544:G596 G615:G671 G682:G741 G34:G66 G78:G112" xr:uid="{AD4E6534-25AD-4884-AC94-3BEF9A4613BB}"/>
    <dataValidation allowBlank="1" showInputMessage="1" showErrorMessage="1" promptTitle="Pricing or Efficiency Override" prompt="Some jobs are priced high &amp; others the bookkeeping maybe done by your firm and be well prepared. So to complete them based on a charge out rate would allow far too many hours. To reduce hours drop below100%. Training on the job,would increase above 100%." sqref="H496:H531 H262:H321 H472:H494 H544:H564 H615:H633 H754:H811 H123:H181 H192:H251 H332:H391 H402:H461 H566:H601 H635:H671 H682:H741 H34:H66 H78:H112" xr:uid="{F8459E1F-A72E-4C2C-A27F-EE81159F7018}"/>
    <dataValidation allowBlank="1" showInputMessage="1" showErrorMessage="1" promptTitle="Notes" prompt="Make any notes about this job. For example if training is needed for the Team Member or the level of quality of the bookkeeping." sqref="D167:E181 D165:E165 D801:E811 D34:E34 D123:E123 D192:E192 D332:E332 D402:E402 D682:E703 D78:E78 D472:E472 D493:E493 D196:E225 D404:E426 D262:E274 D334:E354 D570:E573 D581:E596 D707:E741 D500:E531 D365:E391 D482:E491 D474:E478 D480:E480 D601:E601 D544:E548 D563:E563 D552:E561 D550:E550 D639:E643 D615:E618 D632:E632 D622:E630 D620:E620 D126:E161 D227:E251 D278:E321 D436:E461 D650:E671 D754:E779 D37:E66 D81:E95" xr:uid="{231061A8-D6E0-49BA-AC7B-BFAFA54C3FE5}"/>
    <dataValidation allowBlank="1" showInputMessage="1" showErrorMessage="1" promptTitle="Annual Fees Budget" prompt="Enter the team members annual fees budget. Get this from your Capacity Planner (Wize Step 7.)" sqref="E16" xr:uid="{BD04B77E-8C4E-4CE1-861D-4461E8AF2047}"/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BF96-2254-431D-8D54-0B52EB558A32}">
  <sheetPr>
    <tabColor rgb="FFFFC000"/>
  </sheetPr>
  <dimension ref="A1:T1458"/>
  <sheetViews>
    <sheetView topLeftCell="A60" workbookViewId="0">
      <selection activeCell="D61" sqref="D61"/>
    </sheetView>
  </sheetViews>
  <sheetFormatPr defaultRowHeight="15" x14ac:dyDescent="0.2"/>
  <cols>
    <col min="2" max="2" width="3.765625" bestFit="1" customWidth="1"/>
    <col min="3" max="3" width="21.65625" customWidth="1"/>
    <col min="4" max="4" width="11.97265625" customWidth="1"/>
    <col min="5" max="5" width="13.1796875" customWidth="1"/>
    <col min="6" max="6" width="17.62109375" bestFit="1" customWidth="1"/>
    <col min="7" max="7" width="12.375" customWidth="1"/>
    <col min="8" max="8" width="13.5859375" customWidth="1"/>
    <col min="9" max="9" width="15.87109375" customWidth="1"/>
    <col min="10" max="10" width="11.97265625" customWidth="1"/>
    <col min="11" max="11" width="14.125" customWidth="1"/>
    <col min="12" max="12" width="19.50390625" style="118" customWidth="1"/>
  </cols>
  <sheetData>
    <row r="1" spans="2:12" x14ac:dyDescent="0.2">
      <c r="L1"/>
    </row>
    <row r="2" spans="2:12" s="1" customFormat="1" ht="12.75" x14ac:dyDescent="0.15"/>
    <row r="3" spans="2:12" s="1" customFormat="1" ht="22.5" customHeight="1" x14ac:dyDescent="0.15">
      <c r="B3" s="347"/>
      <c r="C3" s="347"/>
      <c r="D3" s="347"/>
      <c r="E3" s="347"/>
      <c r="F3" s="348" t="s">
        <v>79</v>
      </c>
      <c r="G3" s="349"/>
      <c r="H3" s="349"/>
      <c r="I3" s="349"/>
      <c r="J3" s="349"/>
      <c r="K3" s="349"/>
      <c r="L3" s="350"/>
    </row>
    <row r="4" spans="2:12" s="1" customFormat="1" ht="13.35" customHeight="1" x14ac:dyDescent="0.15">
      <c r="B4" s="357"/>
      <c r="C4" s="358"/>
      <c r="D4" s="358"/>
      <c r="E4" s="359"/>
      <c r="F4" s="351"/>
      <c r="G4" s="352"/>
      <c r="H4" s="352"/>
      <c r="I4" s="352"/>
      <c r="J4" s="352"/>
      <c r="K4" s="352"/>
      <c r="L4" s="353"/>
    </row>
    <row r="5" spans="2:12" s="1" customFormat="1" ht="13.35" customHeight="1" x14ac:dyDescent="0.15">
      <c r="B5" s="357"/>
      <c r="C5" s="358"/>
      <c r="D5" s="358"/>
      <c r="E5" s="359"/>
      <c r="F5" s="351"/>
      <c r="G5" s="352"/>
      <c r="H5" s="352"/>
      <c r="I5" s="352"/>
      <c r="J5" s="352"/>
      <c r="K5" s="352"/>
      <c r="L5" s="353"/>
    </row>
    <row r="6" spans="2:12" s="1" customFormat="1" ht="13.35" customHeight="1" x14ac:dyDescent="0.15">
      <c r="B6" s="357"/>
      <c r="C6" s="358"/>
      <c r="D6" s="358"/>
      <c r="E6" s="359"/>
      <c r="F6" s="351"/>
      <c r="G6" s="352"/>
      <c r="H6" s="352"/>
      <c r="I6" s="352"/>
      <c r="J6" s="352"/>
      <c r="K6" s="352"/>
      <c r="L6" s="353"/>
    </row>
    <row r="7" spans="2:12" s="1" customFormat="1" ht="27.75" customHeight="1" x14ac:dyDescent="0.15">
      <c r="B7" s="360"/>
      <c r="C7" s="361"/>
      <c r="D7" s="361"/>
      <c r="E7" s="362"/>
      <c r="F7" s="354"/>
      <c r="G7" s="355"/>
      <c r="H7" s="355"/>
      <c r="I7" s="355"/>
      <c r="J7" s="355"/>
      <c r="K7" s="355"/>
      <c r="L7" s="356"/>
    </row>
    <row r="8" spans="2:12" s="1" customFormat="1" ht="25.5" x14ac:dyDescent="0.15">
      <c r="B8" s="331" t="s">
        <v>80</v>
      </c>
      <c r="C8" s="332"/>
      <c r="D8" s="332"/>
      <c r="E8" s="332"/>
      <c r="F8" s="332"/>
      <c r="G8" s="332"/>
      <c r="H8" s="332"/>
      <c r="I8" s="332"/>
      <c r="J8" s="332"/>
      <c r="K8" s="332"/>
      <c r="L8" s="333"/>
    </row>
    <row r="9" spans="2:12" s="1" customFormat="1" ht="25.5" x14ac:dyDescent="0.15">
      <c r="B9" s="3"/>
      <c r="C9" s="334"/>
      <c r="D9" s="334"/>
      <c r="E9" s="334"/>
      <c r="F9" s="334"/>
      <c r="G9" s="334"/>
      <c r="H9" s="334"/>
      <c r="I9" s="334"/>
      <c r="J9" s="334"/>
      <c r="K9" s="334"/>
      <c r="L9" s="335"/>
    </row>
    <row r="10" spans="2:12" s="4" customFormat="1" ht="25.5" x14ac:dyDescent="0.15">
      <c r="B10" s="3"/>
      <c r="C10" s="336" t="s">
        <v>81</v>
      </c>
      <c r="D10" s="336"/>
      <c r="E10" s="336"/>
      <c r="F10" s="336"/>
      <c r="G10" s="336"/>
      <c r="H10" s="336"/>
      <c r="I10" s="336"/>
      <c r="J10" s="336"/>
      <c r="K10" s="337"/>
      <c r="L10" s="338"/>
    </row>
    <row r="11" spans="2:12" s="5" customFormat="1" ht="16.350000000000001" customHeight="1" x14ac:dyDescent="0.2">
      <c r="B11" s="339" t="s">
        <v>82</v>
      </c>
      <c r="C11" s="340"/>
      <c r="D11" s="340"/>
      <c r="E11" s="340"/>
      <c r="F11" s="341"/>
      <c r="G11" s="342" t="s">
        <v>172</v>
      </c>
      <c r="H11" s="343"/>
      <c r="I11" s="343"/>
      <c r="J11" s="343"/>
      <c r="K11" s="343"/>
      <c r="L11" s="344"/>
    </row>
    <row r="12" spans="2:12" s="5" customFormat="1" ht="16.350000000000001" customHeight="1" x14ac:dyDescent="0.2">
      <c r="B12" s="345" t="s">
        <v>84</v>
      </c>
      <c r="C12" s="345"/>
      <c r="D12" s="345"/>
      <c r="E12" s="345"/>
      <c r="F12" s="345"/>
      <c r="G12" s="346" t="s">
        <v>173</v>
      </c>
      <c r="H12" s="346"/>
      <c r="I12" s="346"/>
      <c r="J12" s="346"/>
      <c r="K12" s="346"/>
      <c r="L12" s="346"/>
    </row>
    <row r="13" spans="2:12" s="5" customFormat="1" ht="16.350000000000001" customHeight="1" x14ac:dyDescent="0.2">
      <c r="B13" s="240"/>
      <c r="C13" s="237"/>
      <c r="D13" s="237"/>
      <c r="E13" s="238"/>
      <c r="F13" s="238"/>
      <c r="G13" s="238"/>
      <c r="H13" s="238"/>
      <c r="I13" s="238"/>
      <c r="J13" s="238"/>
      <c r="L13" s="241"/>
    </row>
    <row r="14" spans="2:12" s="5" customFormat="1" ht="15.4" customHeight="1" x14ac:dyDescent="0.2">
      <c r="B14" s="373" t="s">
        <v>86</v>
      </c>
      <c r="C14" s="373"/>
      <c r="D14" s="374" t="s">
        <v>174</v>
      </c>
      <c r="E14" s="374"/>
      <c r="F14" s="374"/>
      <c r="G14" s="373" t="s">
        <v>88</v>
      </c>
      <c r="H14" s="373"/>
      <c r="I14" s="373"/>
      <c r="J14" s="374" t="s">
        <v>175</v>
      </c>
      <c r="K14" s="374"/>
      <c r="L14" s="374"/>
    </row>
    <row r="15" spans="2:12" s="1" customFormat="1" ht="14.25" customHeight="1" x14ac:dyDescent="0.15">
      <c r="B15" s="236"/>
      <c r="C15" s="375" t="s">
        <v>90</v>
      </c>
      <c r="D15" s="375"/>
      <c r="E15" s="376" t="s">
        <v>91</v>
      </c>
      <c r="F15" s="376"/>
      <c r="G15" s="377" t="s">
        <v>90</v>
      </c>
      <c r="H15" s="377"/>
      <c r="I15" s="377"/>
      <c r="J15" s="377"/>
      <c r="K15" s="378" t="s">
        <v>92</v>
      </c>
      <c r="L15" s="378"/>
    </row>
    <row r="16" spans="2:12" s="1" customFormat="1" ht="13.5" customHeight="1" x14ac:dyDescent="0.15">
      <c r="B16" s="82"/>
      <c r="C16" s="363" t="s">
        <v>93</v>
      </c>
      <c r="D16" s="364"/>
      <c r="E16" s="365">
        <f>54720*12</f>
        <v>656640</v>
      </c>
      <c r="F16" s="366"/>
      <c r="G16" s="363" t="s">
        <v>94</v>
      </c>
      <c r="H16" s="367"/>
      <c r="I16" s="367"/>
      <c r="J16" s="364"/>
      <c r="K16" s="368">
        <f>E16/C32</f>
        <v>1459.2</v>
      </c>
      <c r="L16" s="369"/>
    </row>
    <row r="17" spans="2:12" s="1" customFormat="1" ht="13.5" customHeight="1" x14ac:dyDescent="0.15">
      <c r="B17" s="82"/>
      <c r="C17" s="370" t="s">
        <v>95</v>
      </c>
      <c r="D17" s="370"/>
      <c r="E17" s="371">
        <f>+I56+I102+I171+I241+I311+I381+I451+I521+I591+I661+I731+I801</f>
        <v>35013.261217391308</v>
      </c>
      <c r="F17" s="371"/>
      <c r="G17" s="370" t="s">
        <v>96</v>
      </c>
      <c r="H17" s="370"/>
      <c r="I17" s="370"/>
      <c r="J17" s="370"/>
      <c r="K17" s="372">
        <f>+J56+J102+J171+J241+J311+J381+J451+J521+J591+J661+J731+J801</f>
        <v>77.807247149758467</v>
      </c>
      <c r="L17" s="372"/>
    </row>
    <row r="18" spans="2:12" s="1" customFormat="1" ht="12.75" customHeight="1" x14ac:dyDescent="0.15">
      <c r="B18" s="82"/>
      <c r="C18" s="370" t="s">
        <v>97</v>
      </c>
      <c r="D18" s="370"/>
      <c r="E18" s="383">
        <f>E17-E16</f>
        <v>-621626.73878260865</v>
      </c>
      <c r="F18" s="383"/>
      <c r="G18" s="370" t="s">
        <v>97</v>
      </c>
      <c r="H18" s="370"/>
      <c r="I18" s="370"/>
      <c r="J18" s="370"/>
      <c r="K18" s="384">
        <f>K17-K16</f>
        <v>-1381.3927528502415</v>
      </c>
      <c r="L18" s="384"/>
    </row>
    <row r="19" spans="2:12" s="1" customFormat="1" ht="12.75" x14ac:dyDescent="0.15">
      <c r="B19" s="244"/>
      <c r="C19" s="225"/>
      <c r="D19" s="243"/>
      <c r="G19" s="225"/>
      <c r="H19" s="225"/>
      <c r="I19" s="225"/>
      <c r="J19" s="228"/>
      <c r="L19" s="246"/>
    </row>
    <row r="20" spans="2:12" s="1" customFormat="1" ht="14.25" customHeight="1" x14ac:dyDescent="0.15">
      <c r="B20" s="385" t="s">
        <v>98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</row>
    <row r="21" spans="2:12" s="1" customFormat="1" ht="12.75" x14ac:dyDescent="0.15">
      <c r="B21" s="386"/>
      <c r="C21" s="387"/>
      <c r="D21" s="245" t="s">
        <v>99</v>
      </c>
      <c r="E21" s="6">
        <f>J32</f>
        <v>112.41390222222222</v>
      </c>
      <c r="F21" s="234" t="s">
        <v>100</v>
      </c>
      <c r="G21" s="6">
        <f>+J179</f>
        <v>121.60000000000001</v>
      </c>
      <c r="H21" s="234" t="s">
        <v>101</v>
      </c>
      <c r="I21" s="6">
        <f>+J389</f>
        <v>134.4</v>
      </c>
      <c r="J21" s="234" t="s">
        <v>102</v>
      </c>
      <c r="K21" s="6">
        <f>+J599</f>
        <v>147.20000000000002</v>
      </c>
      <c r="L21" s="82"/>
    </row>
    <row r="22" spans="2:12" s="1" customFormat="1" ht="12.75" x14ac:dyDescent="0.15">
      <c r="B22" s="386"/>
      <c r="C22" s="387"/>
      <c r="D22" s="235" t="s">
        <v>103</v>
      </c>
      <c r="E22" s="6">
        <f>+J65</f>
        <v>72.178850628019305</v>
      </c>
      <c r="F22" s="234" t="s">
        <v>104</v>
      </c>
      <c r="G22" s="6">
        <f>+J249</f>
        <v>140.80000000000001</v>
      </c>
      <c r="H22" s="234" t="s">
        <v>105</v>
      </c>
      <c r="I22" s="6">
        <f>J459</f>
        <v>134.4</v>
      </c>
      <c r="J22" s="234" t="s">
        <v>106</v>
      </c>
      <c r="K22" s="6">
        <f>+J669</f>
        <v>128</v>
      </c>
      <c r="L22" s="82"/>
    </row>
    <row r="23" spans="2:12" s="1" customFormat="1" ht="12.75" x14ac:dyDescent="0.15">
      <c r="B23" s="386"/>
      <c r="C23" s="387"/>
      <c r="D23" s="235" t="s">
        <v>107</v>
      </c>
      <c r="E23" s="6">
        <f>+J110</f>
        <v>134.4</v>
      </c>
      <c r="F23" s="234" t="s">
        <v>108</v>
      </c>
      <c r="G23" s="6">
        <f>+J319</f>
        <v>128</v>
      </c>
      <c r="H23" s="234" t="s">
        <v>109</v>
      </c>
      <c r="I23" s="6">
        <f>+J529</f>
        <v>134.4</v>
      </c>
      <c r="J23" s="234" t="s">
        <v>110</v>
      </c>
      <c r="K23" s="6">
        <f>+J739</f>
        <v>128</v>
      </c>
      <c r="L23" s="82"/>
    </row>
    <row r="24" spans="2:12" s="1" customFormat="1" ht="12.75" x14ac:dyDescent="0.15">
      <c r="B24" s="386"/>
      <c r="C24" s="387"/>
      <c r="D24" s="235"/>
      <c r="E24" s="6"/>
      <c r="F24" s="234"/>
      <c r="G24" s="6"/>
      <c r="H24" s="234"/>
      <c r="I24" s="6"/>
      <c r="J24" s="234"/>
      <c r="K24" s="6"/>
      <c r="L24" s="82"/>
    </row>
    <row r="25" spans="2:12" s="1" customFormat="1" ht="13.5" customHeight="1" x14ac:dyDescent="0.15">
      <c r="B25" s="385" t="s">
        <v>111</v>
      </c>
      <c r="C25" s="385"/>
      <c r="D25" s="385"/>
      <c r="E25" s="385"/>
      <c r="F25" s="385"/>
      <c r="G25" s="379">
        <f>SUM(E21:E23)+SUM(G21:G23)+SUM(I21:I23)+SUM(K21:K23)</f>
        <v>1515.7927528502416</v>
      </c>
      <c r="H25" s="379"/>
      <c r="I25" s="379"/>
      <c r="J25" s="379"/>
      <c r="K25" s="379"/>
      <c r="L25" s="379"/>
    </row>
    <row r="26" spans="2:12" s="1" customFormat="1" ht="13.5" customHeight="1" x14ac:dyDescent="0.15">
      <c r="C26" s="225"/>
      <c r="D26" s="226"/>
      <c r="G26" s="227"/>
      <c r="H26" s="227"/>
      <c r="I26" s="227"/>
      <c r="J26" s="228"/>
    </row>
    <row r="27" spans="2:12" s="1" customFormat="1" ht="13.5" customHeight="1" x14ac:dyDescent="0.15">
      <c r="C27" s="225"/>
      <c r="D27" s="226"/>
      <c r="G27" s="227"/>
      <c r="H27" s="227"/>
      <c r="I27" s="227"/>
      <c r="J27" s="228"/>
    </row>
    <row r="28" spans="2:12" s="1" customFormat="1" ht="13.5" customHeight="1" x14ac:dyDescent="0.15">
      <c r="C28" s="225"/>
      <c r="D28" s="226"/>
      <c r="G28" s="227"/>
      <c r="H28" s="227"/>
      <c r="I28" s="227"/>
      <c r="J28" s="228"/>
    </row>
    <row r="29" spans="2:12" s="1" customFormat="1" ht="13.5" customHeight="1" x14ac:dyDescent="0.15">
      <c r="C29" s="225"/>
      <c r="D29" s="226"/>
      <c r="G29" s="227"/>
      <c r="H29" s="227"/>
      <c r="I29" s="227"/>
      <c r="J29" s="228"/>
    </row>
    <row r="30" spans="2:12" s="247" customFormat="1" ht="32.25" x14ac:dyDescent="0.4">
      <c r="B30" s="248"/>
      <c r="C30" s="380" t="s">
        <v>112</v>
      </c>
      <c r="D30" s="380"/>
      <c r="E30" s="381" t="s">
        <v>113</v>
      </c>
      <c r="F30" s="381"/>
      <c r="G30" s="381"/>
      <c r="H30" s="381"/>
      <c r="I30" s="381"/>
      <c r="J30" s="382">
        <v>2026</v>
      </c>
      <c r="K30" s="382"/>
      <c r="L30" s="382"/>
    </row>
    <row r="31" spans="2:12" s="1" customFormat="1" ht="22.5" x14ac:dyDescent="0.15">
      <c r="B31" s="82"/>
      <c r="C31" s="102" t="s">
        <v>114</v>
      </c>
      <c r="D31" s="388" t="s">
        <v>115</v>
      </c>
      <c r="E31" s="388"/>
      <c r="F31" s="102" t="s">
        <v>116</v>
      </c>
      <c r="G31" s="102" t="s">
        <v>117</v>
      </c>
      <c r="H31" s="102" t="s">
        <v>118</v>
      </c>
      <c r="I31" s="102" t="s">
        <v>119</v>
      </c>
      <c r="J31" s="102" t="s">
        <v>120</v>
      </c>
      <c r="K31" s="82"/>
      <c r="L31" s="82"/>
    </row>
    <row r="32" spans="2:12" s="1" customFormat="1" ht="12.75" x14ac:dyDescent="0.15">
      <c r="B32" s="82"/>
      <c r="C32" s="229">
        <v>450</v>
      </c>
      <c r="D32" s="389">
        <v>21</v>
      </c>
      <c r="E32" s="389"/>
      <c r="F32" s="7">
        <v>0.8</v>
      </c>
      <c r="G32" s="8">
        <v>8</v>
      </c>
      <c r="H32" s="142">
        <f>D32*G32*F32</f>
        <v>134.4</v>
      </c>
      <c r="I32" s="66">
        <f>I56</f>
        <v>9893.7440000000006</v>
      </c>
      <c r="J32" s="143">
        <f>H32-J56</f>
        <v>112.41390222222222</v>
      </c>
      <c r="K32" s="82"/>
      <c r="L32" s="82"/>
    </row>
    <row r="33" spans="1:12" s="1" customFormat="1" ht="33.75" x14ac:dyDescent="0.15">
      <c r="B33" s="120"/>
      <c r="C33" s="230" t="s">
        <v>121</v>
      </c>
      <c r="D33" s="390" t="s">
        <v>122</v>
      </c>
      <c r="E33" s="390"/>
      <c r="F33" s="231" t="s">
        <v>123</v>
      </c>
      <c r="G33" s="232" t="s">
        <v>124</v>
      </c>
      <c r="H33" s="233" t="s">
        <v>125</v>
      </c>
      <c r="I33" s="233" t="s">
        <v>126</v>
      </c>
      <c r="J33" s="232" t="s">
        <v>127</v>
      </c>
      <c r="K33" s="123" t="s">
        <v>128</v>
      </c>
      <c r="L33" s="114" t="s">
        <v>129</v>
      </c>
    </row>
    <row r="34" spans="1:12" s="1" customFormat="1" ht="12.75" x14ac:dyDescent="0.15">
      <c r="B34" s="82"/>
      <c r="C34" s="89"/>
      <c r="D34" s="391"/>
      <c r="E34" s="391"/>
      <c r="F34" s="184"/>
      <c r="G34" s="92"/>
      <c r="H34" s="92"/>
      <c r="I34" s="93"/>
      <c r="J34" s="94"/>
      <c r="K34" s="82"/>
      <c r="L34" s="82"/>
    </row>
    <row r="35" spans="1:12" s="1" customFormat="1" ht="12.75" x14ac:dyDescent="0.15">
      <c r="B35" s="82"/>
      <c r="C35" s="392" t="s">
        <v>130</v>
      </c>
      <c r="D35" s="392"/>
      <c r="E35" s="392"/>
      <c r="F35" s="184"/>
      <c r="G35" s="92"/>
      <c r="H35" s="92"/>
      <c r="I35" s="93"/>
      <c r="J35" s="94"/>
      <c r="K35" s="82"/>
      <c r="L35" s="82"/>
    </row>
    <row r="36" spans="1:12" s="1" customFormat="1" ht="12.75" x14ac:dyDescent="0.15">
      <c r="B36" s="82"/>
      <c r="C36" s="167" t="s">
        <v>131</v>
      </c>
      <c r="D36" s="167"/>
      <c r="E36" s="167"/>
      <c r="F36" s="184"/>
      <c r="H36" s="92"/>
      <c r="I36" s="93"/>
      <c r="J36" s="94"/>
      <c r="K36" s="82"/>
      <c r="L36" s="82"/>
    </row>
    <row r="37" spans="1:12" s="1" customFormat="1" ht="12.75" customHeight="1" x14ac:dyDescent="0.15">
      <c r="A37" s="314"/>
      <c r="B37" s="82">
        <v>1</v>
      </c>
      <c r="C37" s="203" t="s">
        <v>19</v>
      </c>
      <c r="D37" s="90"/>
      <c r="E37" s="90"/>
      <c r="F37" s="223">
        <f>'Work Component  Split'!F12</f>
        <v>24734.36</v>
      </c>
      <c r="G37" s="92">
        <f>'Work Component  Split'!J11</f>
        <v>0.4</v>
      </c>
      <c r="H37" s="92">
        <v>1</v>
      </c>
      <c r="I37" s="218">
        <f t="shared" ref="I37" si="0">J37*$C$32</f>
        <v>9893.7440000000006</v>
      </c>
      <c r="J37" s="94">
        <f t="shared" ref="J37" si="1">(F37*G37*H37)/$C$32</f>
        <v>21.986097777777779</v>
      </c>
      <c r="K37" s="82"/>
      <c r="L37" s="82"/>
    </row>
    <row r="38" spans="1:12" s="1" customFormat="1" ht="12.75" customHeight="1" x14ac:dyDescent="0.15">
      <c r="B38" s="82"/>
      <c r="C38" s="203"/>
      <c r="D38" s="90"/>
      <c r="E38" s="90"/>
      <c r="F38" s="223"/>
      <c r="G38" s="92"/>
      <c r="H38" s="92"/>
      <c r="I38" s="218"/>
      <c r="J38" s="94"/>
      <c r="K38" s="82"/>
      <c r="L38" s="82"/>
    </row>
    <row r="39" spans="1:12" s="1" customFormat="1" ht="12.75" customHeight="1" x14ac:dyDescent="0.15">
      <c r="B39" s="82"/>
      <c r="C39" s="203"/>
      <c r="D39" s="90"/>
      <c r="E39" s="90"/>
      <c r="F39" s="223"/>
      <c r="G39" s="92"/>
      <c r="H39" s="92"/>
      <c r="I39" s="218"/>
      <c r="J39" s="94"/>
      <c r="K39" s="82"/>
      <c r="L39" s="82"/>
    </row>
    <row r="40" spans="1:12" s="1" customFormat="1" ht="14.25" x14ac:dyDescent="0.15">
      <c r="B40" s="82"/>
      <c r="C40" s="167" t="s">
        <v>176</v>
      </c>
      <c r="D40" s="90"/>
      <c r="E40" s="90"/>
      <c r="G40" s="92"/>
      <c r="H40" s="92"/>
      <c r="I40" s="168"/>
      <c r="J40" s="94"/>
      <c r="K40" s="82"/>
      <c r="L40" s="115"/>
    </row>
    <row r="41" spans="1:12" s="1" customFormat="1" ht="14.25" x14ac:dyDescent="0.15">
      <c r="B41" s="82">
        <v>1</v>
      </c>
      <c r="C41" s="89" t="s">
        <v>133</v>
      </c>
      <c r="D41" s="90" t="s">
        <v>134</v>
      </c>
      <c r="E41" s="90"/>
      <c r="F41" s="223"/>
      <c r="G41" s="92"/>
      <c r="H41" s="92">
        <v>1</v>
      </c>
      <c r="I41" s="168">
        <f t="shared" ref="I41:I54" si="2">J41*$C$32</f>
        <v>0</v>
      </c>
      <c r="J41" s="94">
        <f t="shared" ref="J41:J54" si="3">(F41*G41*H41)/$C$32</f>
        <v>0</v>
      </c>
      <c r="K41" s="82"/>
      <c r="L41" s="115"/>
    </row>
    <row r="42" spans="1:12" s="1" customFormat="1" ht="14.25" x14ac:dyDescent="0.15">
      <c r="B42" s="82">
        <v>2</v>
      </c>
      <c r="C42" s="89" t="s">
        <v>177</v>
      </c>
      <c r="D42" s="90" t="s">
        <v>178</v>
      </c>
      <c r="E42" s="90"/>
      <c r="F42" s="223"/>
      <c r="G42" s="92"/>
      <c r="H42" s="92">
        <v>1</v>
      </c>
      <c r="I42" s="168">
        <f t="shared" si="2"/>
        <v>0</v>
      </c>
      <c r="J42" s="94">
        <f t="shared" si="3"/>
        <v>0</v>
      </c>
      <c r="K42" s="82"/>
      <c r="L42" s="115"/>
    </row>
    <row r="43" spans="1:12" s="1" customFormat="1" ht="14.25" x14ac:dyDescent="0.15">
      <c r="B43" s="82">
        <v>4</v>
      </c>
      <c r="C43" s="89" t="s">
        <v>179</v>
      </c>
      <c r="D43" s="90" t="s">
        <v>134</v>
      </c>
      <c r="E43" s="90"/>
      <c r="F43" s="223"/>
      <c r="G43" s="92"/>
      <c r="H43" s="92">
        <v>1</v>
      </c>
      <c r="I43" s="168">
        <f t="shared" si="2"/>
        <v>0</v>
      </c>
      <c r="J43" s="94">
        <f t="shared" si="3"/>
        <v>0</v>
      </c>
      <c r="K43" s="82"/>
      <c r="L43" s="115"/>
    </row>
    <row r="44" spans="1:12" s="1" customFormat="1" ht="14.25" x14ac:dyDescent="0.15">
      <c r="B44" s="82">
        <v>7</v>
      </c>
      <c r="C44" s="89" t="s">
        <v>180</v>
      </c>
      <c r="D44" s="90" t="s">
        <v>181</v>
      </c>
      <c r="E44" s="90"/>
      <c r="F44" s="223"/>
      <c r="G44" s="92"/>
      <c r="H44" s="92">
        <v>1</v>
      </c>
      <c r="I44" s="168">
        <f t="shared" si="2"/>
        <v>0</v>
      </c>
      <c r="J44" s="94">
        <f t="shared" si="3"/>
        <v>0</v>
      </c>
      <c r="K44" s="82"/>
      <c r="L44" s="115"/>
    </row>
    <row r="45" spans="1:12" s="1" customFormat="1" ht="14.25" x14ac:dyDescent="0.15">
      <c r="B45" s="82">
        <v>8</v>
      </c>
      <c r="C45" s="89" t="s">
        <v>182</v>
      </c>
      <c r="D45" s="90" t="s">
        <v>181</v>
      </c>
      <c r="E45" s="90"/>
      <c r="F45" s="223"/>
      <c r="G45" s="92"/>
      <c r="H45" s="92">
        <v>1</v>
      </c>
      <c r="I45" s="168">
        <f t="shared" si="2"/>
        <v>0</v>
      </c>
      <c r="J45" s="94">
        <f t="shared" si="3"/>
        <v>0</v>
      </c>
      <c r="K45" s="82"/>
      <c r="L45" s="115"/>
    </row>
    <row r="46" spans="1:12" s="1" customFormat="1" ht="14.25" x14ac:dyDescent="0.15">
      <c r="B46" s="82">
        <v>9</v>
      </c>
      <c r="C46" s="89" t="s">
        <v>183</v>
      </c>
      <c r="D46" s="90" t="s">
        <v>184</v>
      </c>
      <c r="E46" s="90"/>
      <c r="F46" s="223"/>
      <c r="G46" s="92"/>
      <c r="H46" s="92">
        <v>1</v>
      </c>
      <c r="I46" s="168">
        <f t="shared" si="2"/>
        <v>0</v>
      </c>
      <c r="J46" s="94">
        <f t="shared" si="3"/>
        <v>0</v>
      </c>
      <c r="K46" s="82"/>
      <c r="L46" s="115"/>
    </row>
    <row r="47" spans="1:12" s="1" customFormat="1" ht="14.25" x14ac:dyDescent="0.15">
      <c r="B47" s="82">
        <v>11</v>
      </c>
      <c r="C47" s="89"/>
      <c r="D47" s="90"/>
      <c r="E47" s="90"/>
      <c r="F47" s="223"/>
      <c r="G47" s="92"/>
      <c r="H47" s="92">
        <v>1</v>
      </c>
      <c r="I47" s="168">
        <f t="shared" si="2"/>
        <v>0</v>
      </c>
      <c r="J47" s="94">
        <f t="shared" si="3"/>
        <v>0</v>
      </c>
      <c r="K47" s="82"/>
      <c r="L47" s="115"/>
    </row>
    <row r="48" spans="1:12" s="1" customFormat="1" ht="14.25" x14ac:dyDescent="0.15">
      <c r="B48" s="82">
        <v>12</v>
      </c>
      <c r="C48" s="89"/>
      <c r="D48" s="169"/>
      <c r="E48" s="169"/>
      <c r="F48" s="223"/>
      <c r="G48" s="214"/>
      <c r="H48" s="92">
        <v>1</v>
      </c>
      <c r="I48" s="218">
        <f t="shared" si="2"/>
        <v>0</v>
      </c>
      <c r="J48" s="94">
        <f t="shared" si="3"/>
        <v>0</v>
      </c>
      <c r="K48" s="82"/>
      <c r="L48" s="82"/>
    </row>
    <row r="49" spans="2:12" s="1" customFormat="1" ht="14.25" x14ac:dyDescent="0.15">
      <c r="B49" s="82">
        <v>13</v>
      </c>
      <c r="C49" s="89"/>
      <c r="D49" s="90"/>
      <c r="E49" s="90"/>
      <c r="F49" s="223"/>
      <c r="G49" s="214"/>
      <c r="H49" s="92">
        <v>1</v>
      </c>
      <c r="I49" s="218">
        <f t="shared" si="2"/>
        <v>0</v>
      </c>
      <c r="J49" s="94">
        <f t="shared" si="3"/>
        <v>0</v>
      </c>
      <c r="K49" s="82"/>
      <c r="L49" s="115"/>
    </row>
    <row r="50" spans="2:12" s="1" customFormat="1" ht="14.25" x14ac:dyDescent="0.15">
      <c r="B50" s="82">
        <v>14</v>
      </c>
      <c r="C50" s="203"/>
      <c r="D50" s="90"/>
      <c r="E50" s="90"/>
      <c r="F50" s="223"/>
      <c r="G50" s="214"/>
      <c r="H50" s="92">
        <v>1</v>
      </c>
      <c r="I50" s="218">
        <f t="shared" si="2"/>
        <v>0</v>
      </c>
      <c r="J50" s="94">
        <f t="shared" si="3"/>
        <v>0</v>
      </c>
      <c r="K50" s="82"/>
      <c r="L50" s="115"/>
    </row>
    <row r="51" spans="2:12" s="1" customFormat="1" ht="14.25" x14ac:dyDescent="0.15">
      <c r="B51" s="82">
        <v>16</v>
      </c>
      <c r="C51" s="203"/>
      <c r="D51" s="90"/>
      <c r="E51" s="90"/>
      <c r="F51" s="223"/>
      <c r="G51" s="214"/>
      <c r="H51" s="92">
        <v>1</v>
      </c>
      <c r="I51" s="218">
        <f t="shared" si="2"/>
        <v>0</v>
      </c>
      <c r="J51" s="94">
        <f t="shared" si="3"/>
        <v>0</v>
      </c>
      <c r="K51" s="82"/>
      <c r="L51" s="115"/>
    </row>
    <row r="52" spans="2:12" s="1" customFormat="1" ht="14.25" x14ac:dyDescent="0.15">
      <c r="B52" s="82">
        <v>17</v>
      </c>
      <c r="C52" s="203"/>
      <c r="D52" s="90"/>
      <c r="E52" s="90"/>
      <c r="F52" s="223"/>
      <c r="G52" s="214"/>
      <c r="H52" s="92">
        <v>1</v>
      </c>
      <c r="I52" s="218">
        <f t="shared" si="2"/>
        <v>0</v>
      </c>
      <c r="J52" s="94">
        <f t="shared" si="3"/>
        <v>0</v>
      </c>
      <c r="K52" s="82"/>
      <c r="L52" s="115"/>
    </row>
    <row r="53" spans="2:12" s="1" customFormat="1" ht="14.25" x14ac:dyDescent="0.15">
      <c r="B53" s="82">
        <v>19</v>
      </c>
      <c r="C53" s="203"/>
      <c r="D53" s="90"/>
      <c r="E53" s="90"/>
      <c r="F53" s="223"/>
      <c r="G53" s="214"/>
      <c r="H53" s="92">
        <v>1</v>
      </c>
      <c r="I53" s="218">
        <f t="shared" si="2"/>
        <v>0</v>
      </c>
      <c r="J53" s="94">
        <f t="shared" si="3"/>
        <v>0</v>
      </c>
      <c r="K53" s="82"/>
      <c r="L53" s="115"/>
    </row>
    <row r="54" spans="2:12" s="1" customFormat="1" ht="14.25" x14ac:dyDescent="0.15">
      <c r="B54" s="82">
        <v>20</v>
      </c>
      <c r="C54" s="203"/>
      <c r="D54" s="90"/>
      <c r="E54" s="90"/>
      <c r="F54" s="223"/>
      <c r="G54" s="214"/>
      <c r="H54" s="92">
        <v>1</v>
      </c>
      <c r="I54" s="218">
        <f t="shared" si="2"/>
        <v>0</v>
      </c>
      <c r="J54" s="94">
        <f t="shared" si="3"/>
        <v>0</v>
      </c>
      <c r="K54" s="82"/>
      <c r="L54" s="115"/>
    </row>
    <row r="55" spans="2:12" s="1" customFormat="1" ht="14.25" x14ac:dyDescent="0.15">
      <c r="B55" s="82"/>
      <c r="C55" s="203"/>
      <c r="D55" s="90"/>
      <c r="E55" s="90"/>
      <c r="F55" s="223"/>
      <c r="G55" s="92"/>
      <c r="H55" s="92"/>
      <c r="I55" s="168"/>
      <c r="J55" s="94"/>
      <c r="K55" s="82"/>
      <c r="L55" s="115"/>
    </row>
    <row r="56" spans="2:12" s="1" customFormat="1" ht="14.25" x14ac:dyDescent="0.15">
      <c r="B56" s="82"/>
      <c r="C56" s="102"/>
      <c r="D56" s="103"/>
      <c r="E56" s="102"/>
      <c r="F56" s="224">
        <f>SUM(F37:F55)</f>
        <v>24734.36</v>
      </c>
      <c r="G56" s="104"/>
      <c r="H56" s="105"/>
      <c r="I56" s="128">
        <f>SUM(I35:I55)</f>
        <v>9893.7440000000006</v>
      </c>
      <c r="J56" s="106">
        <f>SUM(J34:J55)</f>
        <v>21.986097777777779</v>
      </c>
      <c r="K56" s="82"/>
      <c r="L56" s="115"/>
    </row>
    <row r="57" spans="2:12" s="1" customFormat="1" ht="14.25" x14ac:dyDescent="0.15">
      <c r="B57" s="82"/>
      <c r="C57" s="102"/>
      <c r="D57" s="103"/>
      <c r="E57" s="102" t="s">
        <v>147</v>
      </c>
      <c r="F57" s="224">
        <f>100/115*F56</f>
        <v>21508.139130434782</v>
      </c>
      <c r="G57" s="104"/>
      <c r="H57" s="105" t="s">
        <v>147</v>
      </c>
      <c r="I57" s="128">
        <f>100/115*I56</f>
        <v>8603.2556521739134</v>
      </c>
      <c r="J57" s="257"/>
      <c r="L57" s="222"/>
    </row>
    <row r="58" spans="2:12" s="1" customFormat="1" ht="14.25" x14ac:dyDescent="0.15">
      <c r="B58" s="82"/>
      <c r="C58" s="102"/>
      <c r="D58" s="103"/>
      <c r="E58" s="102"/>
      <c r="F58" s="224"/>
      <c r="G58" s="104"/>
      <c r="H58" s="105"/>
      <c r="I58" s="128"/>
      <c r="J58" s="106"/>
      <c r="L58" s="222"/>
    </row>
    <row r="59" spans="2:12" s="1" customFormat="1" ht="14.25" x14ac:dyDescent="0.15">
      <c r="L59" s="222"/>
    </row>
    <row r="60" spans="2:12" s="1" customFormat="1" ht="14.25" x14ac:dyDescent="0.15">
      <c r="L60" s="222"/>
    </row>
    <row r="61" spans="2:12" s="1" customFormat="1" ht="14.25" x14ac:dyDescent="0.15">
      <c r="L61" s="222"/>
    </row>
    <row r="62" spans="2:12" s="1" customFormat="1" ht="14.25" x14ac:dyDescent="0.15">
      <c r="L62" s="222"/>
    </row>
    <row r="63" spans="2:12" s="247" customFormat="1" ht="32.25" x14ac:dyDescent="0.4">
      <c r="B63" s="248"/>
      <c r="C63" s="380" t="s">
        <v>112</v>
      </c>
      <c r="D63" s="380"/>
      <c r="E63" s="381" t="s">
        <v>148</v>
      </c>
      <c r="F63" s="381"/>
      <c r="G63" s="381"/>
      <c r="H63" s="381"/>
      <c r="I63" s="381"/>
      <c r="J63" s="382">
        <v>2026</v>
      </c>
      <c r="K63" s="382"/>
      <c r="L63" s="382"/>
    </row>
    <row r="64" spans="2:12" s="1" customFormat="1" ht="22.5" x14ac:dyDescent="0.15">
      <c r="B64" s="82"/>
      <c r="C64" s="102" t="s">
        <v>114</v>
      </c>
      <c r="D64" s="388" t="s">
        <v>115</v>
      </c>
      <c r="E64" s="388"/>
      <c r="F64" s="102" t="s">
        <v>116</v>
      </c>
      <c r="G64" s="102" t="s">
        <v>117</v>
      </c>
      <c r="H64" s="102" t="s">
        <v>118</v>
      </c>
      <c r="I64" s="102" t="s">
        <v>119</v>
      </c>
      <c r="J64" s="102" t="s">
        <v>120</v>
      </c>
      <c r="K64" s="82"/>
      <c r="L64" s="82"/>
    </row>
    <row r="65" spans="1:12" s="1" customFormat="1" ht="12.75" x14ac:dyDescent="0.15">
      <c r="B65" s="82"/>
      <c r="C65" s="66">
        <f>C32</f>
        <v>450</v>
      </c>
      <c r="D65" s="389">
        <v>20</v>
      </c>
      <c r="E65" s="389"/>
      <c r="F65" s="13">
        <f>F32</f>
        <v>0.8</v>
      </c>
      <c r="G65" s="14">
        <f>G32</f>
        <v>8</v>
      </c>
      <c r="H65" s="142">
        <f>D65*G65*F65</f>
        <v>128</v>
      </c>
      <c r="I65" s="66">
        <f>I102</f>
        <v>25119.517217391309</v>
      </c>
      <c r="J65" s="143">
        <f>H65-J102</f>
        <v>72.178850628019305</v>
      </c>
      <c r="K65" s="82"/>
      <c r="L65" s="82"/>
    </row>
    <row r="66" spans="1:12" s="1" customFormat="1" ht="33.75" x14ac:dyDescent="0.15">
      <c r="B66" s="82"/>
      <c r="C66" s="167" t="s">
        <v>121</v>
      </c>
      <c r="D66" s="395" t="s">
        <v>122</v>
      </c>
      <c r="E66" s="395"/>
      <c r="F66" s="177" t="s">
        <v>123</v>
      </c>
      <c r="G66" s="178" t="s">
        <v>124</v>
      </c>
      <c r="H66" s="179" t="s">
        <v>125</v>
      </c>
      <c r="I66" s="180" t="s">
        <v>126</v>
      </c>
      <c r="J66" s="178" t="s">
        <v>127</v>
      </c>
      <c r="K66" s="114" t="s">
        <v>128</v>
      </c>
      <c r="L66" s="114" t="s">
        <v>129</v>
      </c>
    </row>
    <row r="67" spans="1:12" s="1" customFormat="1" ht="12.75" x14ac:dyDescent="0.15">
      <c r="B67" s="82"/>
      <c r="C67" s="89"/>
      <c r="D67" s="391"/>
      <c r="E67" s="391"/>
      <c r="F67" s="184"/>
      <c r="G67" s="92"/>
      <c r="H67" s="92"/>
      <c r="I67" s="168"/>
      <c r="J67" s="185"/>
      <c r="K67" s="82"/>
      <c r="L67" s="82"/>
    </row>
    <row r="68" spans="1:12" s="1" customFormat="1" ht="12.75" x14ac:dyDescent="0.15">
      <c r="B68" s="82"/>
      <c r="C68" s="392" t="s">
        <v>130</v>
      </c>
      <c r="D68" s="392"/>
      <c r="E68" s="392"/>
      <c r="F68" s="184"/>
      <c r="G68" s="92"/>
      <c r="H68" s="92"/>
      <c r="I68" s="168"/>
      <c r="J68" s="185"/>
      <c r="K68" s="82"/>
      <c r="L68" s="82"/>
    </row>
    <row r="69" spans="1:12" s="1" customFormat="1" ht="12.75" x14ac:dyDescent="0.15">
      <c r="B69" s="82"/>
      <c r="C69" s="167" t="s">
        <v>149</v>
      </c>
      <c r="D69" s="167"/>
      <c r="E69" s="167"/>
      <c r="F69" s="168"/>
      <c r="G69" s="92"/>
      <c r="H69" s="92"/>
      <c r="I69" s="168"/>
      <c r="J69" s="185"/>
      <c r="K69" s="82"/>
      <c r="L69" s="82"/>
    </row>
    <row r="70" spans="1:12" s="1" customFormat="1" ht="12.75" customHeight="1" x14ac:dyDescent="0.15">
      <c r="B70" s="82">
        <v>1</v>
      </c>
      <c r="C70" s="203" t="s">
        <v>20</v>
      </c>
      <c r="D70" s="90"/>
      <c r="E70" s="90"/>
      <c r="F70" s="223">
        <v>12960</v>
      </c>
      <c r="G70" s="92">
        <v>0.40000000000000008</v>
      </c>
      <c r="H70" s="92">
        <v>1</v>
      </c>
      <c r="I70" s="218">
        <f>J70*$C$32</f>
        <v>5184.0000000000009</v>
      </c>
      <c r="J70" s="94">
        <f>(F70*G70*H70)/$C$32</f>
        <v>11.520000000000001</v>
      </c>
      <c r="K70" s="82"/>
      <c r="L70" s="82"/>
    </row>
    <row r="71" spans="1:12" s="1" customFormat="1" ht="12.75" customHeight="1" x14ac:dyDescent="0.15">
      <c r="A71" s="314"/>
      <c r="B71" s="82">
        <v>2</v>
      </c>
      <c r="C71" s="203" t="s">
        <v>19</v>
      </c>
      <c r="D71" s="90"/>
      <c r="E71" s="90"/>
      <c r="F71" s="223">
        <v>24734.36</v>
      </c>
      <c r="G71" s="92">
        <v>0.4</v>
      </c>
      <c r="H71" s="92">
        <v>1</v>
      </c>
      <c r="I71" s="218">
        <f t="shared" ref="I71:I75" si="4">J71*$C$32</f>
        <v>9893.7440000000006</v>
      </c>
      <c r="J71" s="94">
        <f t="shared" ref="J71:J75" si="5">(F71*G71*H71)/$C$32</f>
        <v>21.986097777777779</v>
      </c>
      <c r="K71" s="82"/>
      <c r="L71" s="82"/>
    </row>
    <row r="72" spans="1:12" s="1" customFormat="1" ht="12.75" customHeight="1" x14ac:dyDescent="0.15">
      <c r="A72" s="314"/>
      <c r="B72" s="82">
        <v>3</v>
      </c>
      <c r="C72" s="203" t="s">
        <v>21</v>
      </c>
      <c r="D72" s="90"/>
      <c r="E72" s="90"/>
      <c r="F72" s="223">
        <v>4610.5200000000004</v>
      </c>
      <c r="G72" s="92">
        <v>0.4</v>
      </c>
      <c r="H72" s="92">
        <v>1</v>
      </c>
      <c r="I72" s="218">
        <f t="shared" si="4"/>
        <v>1844.2080000000003</v>
      </c>
      <c r="J72" s="94">
        <f t="shared" si="5"/>
        <v>4.0982400000000005</v>
      </c>
      <c r="K72" s="82"/>
      <c r="L72" s="82"/>
    </row>
    <row r="73" spans="1:12" s="1" customFormat="1" ht="12.75" customHeight="1" x14ac:dyDescent="0.15">
      <c r="A73" s="1" t="s">
        <v>185</v>
      </c>
      <c r="B73" s="82">
        <v>4</v>
      </c>
      <c r="C73" s="203" t="s">
        <v>186</v>
      </c>
      <c r="D73" s="90"/>
      <c r="E73" s="90"/>
      <c r="F73" s="223">
        <v>0</v>
      </c>
      <c r="G73" s="92">
        <v>0</v>
      </c>
      <c r="H73" s="92">
        <v>1</v>
      </c>
      <c r="I73" s="218">
        <f t="shared" si="4"/>
        <v>0</v>
      </c>
      <c r="J73" s="94">
        <f t="shared" si="5"/>
        <v>0</v>
      </c>
      <c r="K73" s="82"/>
      <c r="L73" s="82"/>
    </row>
    <row r="74" spans="1:12" s="1" customFormat="1" ht="12.75" customHeight="1" x14ac:dyDescent="0.15">
      <c r="B74" s="82">
        <v>5</v>
      </c>
      <c r="C74" s="203" t="s">
        <v>17</v>
      </c>
      <c r="D74" s="90"/>
      <c r="E74" s="90"/>
      <c r="F74" s="223">
        <v>23085.91</v>
      </c>
      <c r="G74" s="92">
        <v>0.28023869179908029</v>
      </c>
      <c r="H74" s="92">
        <v>1</v>
      </c>
      <c r="I74" s="218">
        <f t="shared" si="4"/>
        <v>6469.5652173913059</v>
      </c>
      <c r="J74" s="94">
        <f t="shared" si="5"/>
        <v>14.376811594202902</v>
      </c>
      <c r="K74" s="82"/>
      <c r="L74" s="82"/>
    </row>
    <row r="75" spans="1:12" s="1" customFormat="1" ht="12.75" customHeight="1" x14ac:dyDescent="0.15">
      <c r="B75" s="82">
        <v>6</v>
      </c>
      <c r="C75" s="203" t="s">
        <v>187</v>
      </c>
      <c r="D75" s="90"/>
      <c r="E75" s="90"/>
      <c r="F75" s="223">
        <v>4320</v>
      </c>
      <c r="G75" s="92">
        <v>0.4</v>
      </c>
      <c r="H75" s="92">
        <v>1</v>
      </c>
      <c r="I75" s="218">
        <f t="shared" si="4"/>
        <v>1728</v>
      </c>
      <c r="J75" s="94">
        <f t="shared" si="5"/>
        <v>3.84</v>
      </c>
      <c r="K75" s="82"/>
      <c r="L75" s="82"/>
    </row>
    <row r="76" spans="1:12" s="1" customFormat="1" ht="12.75" customHeight="1" x14ac:dyDescent="0.15">
      <c r="B76" s="82">
        <v>7</v>
      </c>
      <c r="C76" s="203"/>
      <c r="D76" s="90"/>
      <c r="E76" s="90"/>
      <c r="F76" s="168"/>
      <c r="G76" s="92"/>
      <c r="H76" s="92">
        <v>1</v>
      </c>
      <c r="I76" s="218">
        <f t="shared" ref="I76:I79" si="6">J76*$C$32</f>
        <v>0</v>
      </c>
      <c r="J76" s="94">
        <f t="shared" ref="J76:J79" si="7">(F76*G76*H76)/$C$32</f>
        <v>0</v>
      </c>
      <c r="K76" s="82"/>
      <c r="L76" s="82"/>
    </row>
    <row r="77" spans="1:12" s="1" customFormat="1" ht="12.75" customHeight="1" x14ac:dyDescent="0.15">
      <c r="B77" s="82">
        <v>8</v>
      </c>
      <c r="C77" s="203"/>
      <c r="D77" s="90"/>
      <c r="E77" s="90"/>
      <c r="F77" s="168"/>
      <c r="G77" s="92"/>
      <c r="H77" s="92">
        <v>1</v>
      </c>
      <c r="I77" s="218">
        <f t="shared" si="6"/>
        <v>0</v>
      </c>
      <c r="J77" s="94">
        <f t="shared" si="7"/>
        <v>0</v>
      </c>
      <c r="K77" s="82"/>
      <c r="L77" s="82"/>
    </row>
    <row r="78" spans="1:12" s="1" customFormat="1" ht="12.75" customHeight="1" x14ac:dyDescent="0.15">
      <c r="B78" s="82">
        <v>9</v>
      </c>
      <c r="C78" s="203"/>
      <c r="D78" s="90"/>
      <c r="E78" s="90"/>
      <c r="F78" s="168"/>
      <c r="G78" s="92"/>
      <c r="H78" s="92">
        <v>1</v>
      </c>
      <c r="I78" s="218">
        <f t="shared" si="6"/>
        <v>0</v>
      </c>
      <c r="J78" s="94">
        <f t="shared" si="7"/>
        <v>0</v>
      </c>
      <c r="K78" s="82"/>
      <c r="L78" s="82"/>
    </row>
    <row r="79" spans="1:12" s="1" customFormat="1" ht="12.75" customHeight="1" x14ac:dyDescent="0.15">
      <c r="B79" s="82">
        <v>10</v>
      </c>
      <c r="C79" s="203"/>
      <c r="D79" s="90"/>
      <c r="E79" s="90"/>
      <c r="F79" s="168"/>
      <c r="G79" s="92"/>
      <c r="H79" s="92">
        <v>1</v>
      </c>
      <c r="I79" s="218">
        <f t="shared" si="6"/>
        <v>0</v>
      </c>
      <c r="J79" s="94">
        <f t="shared" si="7"/>
        <v>0</v>
      </c>
      <c r="K79" s="82"/>
      <c r="L79" s="82"/>
    </row>
    <row r="80" spans="1:12" s="1" customFormat="1" ht="12.75" customHeight="1" x14ac:dyDescent="0.15">
      <c r="B80" s="82"/>
      <c r="C80" s="203"/>
      <c r="D80" s="90"/>
      <c r="E80" s="90"/>
      <c r="F80" s="168"/>
      <c r="G80" s="92"/>
      <c r="H80" s="92"/>
      <c r="I80" s="218"/>
      <c r="J80" s="94"/>
      <c r="K80" s="82"/>
      <c r="L80" s="82"/>
    </row>
    <row r="81" spans="2:12" s="1" customFormat="1" ht="12.75" customHeight="1" x14ac:dyDescent="0.15">
      <c r="B81" s="82"/>
      <c r="C81" s="203"/>
      <c r="D81" s="90"/>
      <c r="E81" s="90"/>
      <c r="F81" s="168"/>
      <c r="G81" s="92"/>
      <c r="H81" s="92"/>
      <c r="I81" s="218"/>
      <c r="J81" s="94"/>
      <c r="K81" s="82"/>
      <c r="L81" s="82"/>
    </row>
    <row r="82" spans="2:12" s="1" customFormat="1" ht="14.25" x14ac:dyDescent="0.15">
      <c r="B82" s="82"/>
      <c r="C82" s="167" t="s">
        <v>150</v>
      </c>
      <c r="D82" s="90"/>
      <c r="E82" s="90"/>
      <c r="F82" s="168"/>
      <c r="G82" s="92"/>
      <c r="H82" s="92"/>
      <c r="I82" s="168"/>
      <c r="J82" s="94"/>
      <c r="K82" s="82"/>
      <c r="L82" s="115"/>
    </row>
    <row r="83" spans="2:12" s="1" customFormat="1" ht="14.25" x14ac:dyDescent="0.15">
      <c r="B83" s="82">
        <v>1</v>
      </c>
      <c r="C83" s="189"/>
      <c r="D83" s="206"/>
      <c r="E83" s="206"/>
      <c r="F83" s="168"/>
      <c r="G83" s="214"/>
      <c r="H83" s="92">
        <v>1</v>
      </c>
      <c r="I83" s="218">
        <f t="shared" ref="I83:I91" si="8">J83*$C$32</f>
        <v>0</v>
      </c>
      <c r="J83" s="94">
        <f>(F83*G83*H83)/$C$32</f>
        <v>0</v>
      </c>
      <c r="K83" s="82"/>
      <c r="L83" s="115"/>
    </row>
    <row r="84" spans="2:12" s="1" customFormat="1" ht="12.75" x14ac:dyDescent="0.15">
      <c r="B84" s="82">
        <v>2</v>
      </c>
      <c r="C84" s="189"/>
      <c r="D84" s="393"/>
      <c r="E84" s="393"/>
      <c r="F84" s="168"/>
      <c r="G84" s="92"/>
      <c r="H84" s="92">
        <v>1</v>
      </c>
      <c r="I84" s="168">
        <f t="shared" si="8"/>
        <v>0</v>
      </c>
      <c r="J84" s="185">
        <f t="shared" ref="J84:J91" si="9">(F84*G84*H84)/$C$32</f>
        <v>0</v>
      </c>
      <c r="K84" s="82"/>
      <c r="L84" s="82"/>
    </row>
    <row r="85" spans="2:12" s="1" customFormat="1" ht="12.75" x14ac:dyDescent="0.15">
      <c r="B85" s="82">
        <v>3</v>
      </c>
      <c r="C85" s="189"/>
      <c r="D85" s="394"/>
      <c r="E85" s="394"/>
      <c r="F85" s="168"/>
      <c r="G85" s="92"/>
      <c r="H85" s="92">
        <v>1</v>
      </c>
      <c r="I85" s="168">
        <f t="shared" si="8"/>
        <v>0</v>
      </c>
      <c r="J85" s="185">
        <f t="shared" si="9"/>
        <v>0</v>
      </c>
      <c r="K85" s="82"/>
      <c r="L85" s="82"/>
    </row>
    <row r="86" spans="2:12" s="1" customFormat="1" ht="12.75" x14ac:dyDescent="0.15">
      <c r="B86" s="82">
        <v>4</v>
      </c>
      <c r="C86" s="189"/>
      <c r="D86" s="206"/>
      <c r="E86" s="206"/>
      <c r="F86" s="168"/>
      <c r="G86" s="92"/>
      <c r="H86" s="92">
        <v>1</v>
      </c>
      <c r="I86" s="168">
        <f t="shared" si="8"/>
        <v>0</v>
      </c>
      <c r="J86" s="185">
        <f t="shared" si="9"/>
        <v>0</v>
      </c>
      <c r="K86" s="82"/>
      <c r="L86" s="82"/>
    </row>
    <row r="87" spans="2:12" s="1" customFormat="1" ht="12.75" x14ac:dyDescent="0.15">
      <c r="B87" s="82">
        <v>5</v>
      </c>
      <c r="C87" s="189"/>
      <c r="D87" s="206"/>
      <c r="E87" s="206"/>
      <c r="F87" s="168"/>
      <c r="G87" s="92"/>
      <c r="H87" s="92">
        <v>1</v>
      </c>
      <c r="I87" s="168">
        <f t="shared" si="8"/>
        <v>0</v>
      </c>
      <c r="J87" s="185">
        <f t="shared" si="9"/>
        <v>0</v>
      </c>
      <c r="K87" s="82"/>
      <c r="L87" s="82"/>
    </row>
    <row r="88" spans="2:12" s="1" customFormat="1" ht="12.75" x14ac:dyDescent="0.15">
      <c r="B88" s="82">
        <v>7</v>
      </c>
      <c r="C88" s="189"/>
      <c r="D88" s="206"/>
      <c r="E88" s="206"/>
      <c r="F88" s="168"/>
      <c r="G88" s="92"/>
      <c r="H88" s="92">
        <v>1</v>
      </c>
      <c r="I88" s="168">
        <f t="shared" si="8"/>
        <v>0</v>
      </c>
      <c r="J88" s="185">
        <f t="shared" si="9"/>
        <v>0</v>
      </c>
      <c r="K88" s="82"/>
      <c r="L88" s="82"/>
    </row>
    <row r="89" spans="2:12" s="1" customFormat="1" ht="12.75" x14ac:dyDescent="0.15">
      <c r="B89" s="82">
        <v>8</v>
      </c>
      <c r="C89" s="189"/>
      <c r="D89" s="206"/>
      <c r="E89" s="206"/>
      <c r="F89" s="168"/>
      <c r="G89" s="92"/>
      <c r="H89" s="92">
        <v>1</v>
      </c>
      <c r="I89" s="168">
        <f t="shared" si="8"/>
        <v>0</v>
      </c>
      <c r="J89" s="185">
        <f t="shared" si="9"/>
        <v>0</v>
      </c>
      <c r="K89" s="82"/>
      <c r="L89" s="82"/>
    </row>
    <row r="90" spans="2:12" s="1" customFormat="1" ht="12.75" x14ac:dyDescent="0.15">
      <c r="B90" s="82">
        <v>9</v>
      </c>
      <c r="C90" s="189"/>
      <c r="D90" s="206"/>
      <c r="E90" s="206"/>
      <c r="F90" s="168"/>
      <c r="G90" s="92"/>
      <c r="H90" s="92">
        <v>1</v>
      </c>
      <c r="I90" s="168">
        <f t="shared" si="8"/>
        <v>0</v>
      </c>
      <c r="J90" s="185">
        <f t="shared" si="9"/>
        <v>0</v>
      </c>
      <c r="K90" s="82"/>
      <c r="L90" s="82"/>
    </row>
    <row r="91" spans="2:12" s="1" customFormat="1" ht="12.75" x14ac:dyDescent="0.15">
      <c r="B91" s="82">
        <v>10</v>
      </c>
      <c r="C91" s="189"/>
      <c r="D91" s="206"/>
      <c r="E91" s="206"/>
      <c r="F91" s="168"/>
      <c r="G91" s="92"/>
      <c r="H91" s="92">
        <v>1</v>
      </c>
      <c r="I91" s="168">
        <f t="shared" si="8"/>
        <v>0</v>
      </c>
      <c r="J91" s="185">
        <f t="shared" si="9"/>
        <v>0</v>
      </c>
      <c r="K91" s="82"/>
      <c r="L91" s="82"/>
    </row>
    <row r="92" spans="2:12" s="1" customFormat="1" ht="12.75" x14ac:dyDescent="0.15">
      <c r="B92" s="82">
        <v>11</v>
      </c>
      <c r="C92" s="189"/>
      <c r="D92" s="206"/>
      <c r="E92" s="206"/>
      <c r="F92" s="168"/>
      <c r="G92" s="92"/>
      <c r="H92" s="92">
        <v>1</v>
      </c>
      <c r="I92" s="168"/>
      <c r="J92" s="185"/>
      <c r="K92" s="82"/>
      <c r="L92" s="82"/>
    </row>
    <row r="93" spans="2:12" s="1" customFormat="1" ht="12.75" x14ac:dyDescent="0.15">
      <c r="B93" s="82">
        <v>12</v>
      </c>
      <c r="C93" s="189"/>
      <c r="D93" s="206"/>
      <c r="E93" s="206"/>
      <c r="F93" s="168"/>
      <c r="G93" s="92"/>
      <c r="H93" s="92">
        <v>1</v>
      </c>
      <c r="I93" s="168"/>
      <c r="J93" s="185"/>
      <c r="K93" s="82"/>
      <c r="L93" s="82"/>
    </row>
    <row r="94" spans="2:12" s="1" customFormat="1" ht="12.75" x14ac:dyDescent="0.15">
      <c r="B94" s="82">
        <v>14</v>
      </c>
      <c r="C94" s="189"/>
      <c r="D94" s="206"/>
      <c r="E94" s="206"/>
      <c r="F94" s="168"/>
      <c r="G94" s="92"/>
      <c r="H94" s="92">
        <v>1</v>
      </c>
      <c r="I94" s="168">
        <f t="shared" ref="I94:I100" si="10">J94*$C$32</f>
        <v>0</v>
      </c>
      <c r="J94" s="185">
        <f t="shared" ref="J94:J95" si="11">(F94*G94*H94)/$C$32</f>
        <v>0</v>
      </c>
      <c r="K94" s="82"/>
      <c r="L94" s="82"/>
    </row>
    <row r="95" spans="2:12" s="1" customFormat="1" ht="12.75" x14ac:dyDescent="0.15">
      <c r="B95" s="82">
        <v>15</v>
      </c>
      <c r="C95" s="189"/>
      <c r="D95" s="206"/>
      <c r="E95" s="206"/>
      <c r="F95" s="168"/>
      <c r="G95" s="92"/>
      <c r="H95" s="92">
        <v>1</v>
      </c>
      <c r="I95" s="168">
        <f t="shared" si="10"/>
        <v>0</v>
      </c>
      <c r="J95" s="185">
        <f t="shared" si="11"/>
        <v>0</v>
      </c>
      <c r="K95" s="82"/>
      <c r="L95" s="82"/>
    </row>
    <row r="96" spans="2:12" s="1" customFormat="1" ht="12.75" x14ac:dyDescent="0.15">
      <c r="B96" s="82">
        <v>16</v>
      </c>
      <c r="C96" s="189"/>
      <c r="D96" s="206"/>
      <c r="E96" s="206"/>
      <c r="F96" s="168"/>
      <c r="G96" s="92"/>
      <c r="H96" s="92">
        <v>1</v>
      </c>
      <c r="I96" s="168">
        <f t="shared" si="10"/>
        <v>0</v>
      </c>
      <c r="J96" s="185">
        <f>(F96*G96*H96)/$C$32</f>
        <v>0</v>
      </c>
      <c r="K96" s="82"/>
      <c r="L96" s="82"/>
    </row>
    <row r="97" spans="2:12" s="1" customFormat="1" ht="12.75" x14ac:dyDescent="0.15">
      <c r="B97" s="82">
        <v>17</v>
      </c>
      <c r="C97" s="189"/>
      <c r="D97" s="206"/>
      <c r="E97" s="206"/>
      <c r="F97" s="168"/>
      <c r="G97" s="92"/>
      <c r="H97" s="92">
        <v>1</v>
      </c>
      <c r="I97" s="168">
        <f t="shared" si="10"/>
        <v>0</v>
      </c>
      <c r="J97" s="185">
        <f>(F97*G97*H97)/$C$32</f>
        <v>0</v>
      </c>
      <c r="K97" s="82"/>
      <c r="L97" s="82"/>
    </row>
    <row r="98" spans="2:12" s="1" customFormat="1" ht="12.75" x14ac:dyDescent="0.15">
      <c r="B98" s="82">
        <v>18</v>
      </c>
      <c r="C98" s="189"/>
      <c r="D98" s="206"/>
      <c r="E98" s="206"/>
      <c r="F98" s="168"/>
      <c r="G98" s="92"/>
      <c r="H98" s="92">
        <v>1</v>
      </c>
      <c r="I98" s="168">
        <f t="shared" si="10"/>
        <v>0</v>
      </c>
      <c r="J98" s="185">
        <f>(F98*G98*H98)/$C$32</f>
        <v>0</v>
      </c>
      <c r="K98" s="242"/>
      <c r="L98" s="82"/>
    </row>
    <row r="99" spans="2:12" s="1" customFormat="1" ht="12.75" x14ac:dyDescent="0.15">
      <c r="B99" s="82">
        <v>19</v>
      </c>
      <c r="C99" s="189"/>
      <c r="D99" s="206"/>
      <c r="E99" s="206"/>
      <c r="F99" s="168"/>
      <c r="G99" s="92"/>
      <c r="H99" s="92">
        <v>1</v>
      </c>
      <c r="I99" s="168">
        <f t="shared" si="10"/>
        <v>0</v>
      </c>
      <c r="J99" s="185">
        <f>(F99*G99*H99)/$C$32</f>
        <v>0</v>
      </c>
      <c r="K99" s="215"/>
      <c r="L99" s="82"/>
    </row>
    <row r="100" spans="2:12" s="1" customFormat="1" ht="12.75" x14ac:dyDescent="0.15">
      <c r="B100" s="82">
        <v>20</v>
      </c>
      <c r="C100" s="189"/>
      <c r="D100" s="206"/>
      <c r="E100" s="206"/>
      <c r="F100" s="168"/>
      <c r="G100" s="92"/>
      <c r="H100" s="92">
        <v>1</v>
      </c>
      <c r="I100" s="168">
        <f t="shared" si="10"/>
        <v>0</v>
      </c>
      <c r="J100" s="185">
        <f>(F100*G100*H100)/$C$32</f>
        <v>0</v>
      </c>
      <c r="K100" s="82"/>
      <c r="L100" s="82"/>
    </row>
    <row r="101" spans="2:12" s="1" customFormat="1" ht="12.75" x14ac:dyDescent="0.15">
      <c r="B101" s="82"/>
      <c r="C101" s="189"/>
      <c r="D101" s="206"/>
      <c r="E101" s="206"/>
      <c r="F101" s="168"/>
      <c r="G101" s="92"/>
      <c r="H101" s="92"/>
      <c r="I101" s="168"/>
      <c r="J101" s="185"/>
      <c r="K101" s="82"/>
      <c r="L101" s="82"/>
    </row>
    <row r="102" spans="2:12" s="1" customFormat="1" ht="12.75" x14ac:dyDescent="0.15">
      <c r="B102" s="82"/>
      <c r="C102" s="102"/>
      <c r="D102" s="103"/>
      <c r="E102" s="102"/>
      <c r="F102" s="128">
        <f>SUM(F68:F101)</f>
        <v>69710.790000000008</v>
      </c>
      <c r="G102" s="104"/>
      <c r="H102" s="105"/>
      <c r="I102" s="128">
        <f>SUM(I70:I101)</f>
        <v>25119.517217391309</v>
      </c>
      <c r="J102" s="257">
        <f>SUM(J67:J101)</f>
        <v>55.821149371980695</v>
      </c>
    </row>
    <row r="103" spans="2:12" s="1" customFormat="1" ht="12.75" x14ac:dyDescent="0.15">
      <c r="B103" s="82"/>
      <c r="C103" s="102"/>
      <c r="D103" s="103"/>
      <c r="E103" s="102" t="s">
        <v>147</v>
      </c>
      <c r="F103" s="128">
        <f>100/115*F102</f>
        <v>60618.078260869574</v>
      </c>
      <c r="G103" s="104"/>
      <c r="H103" s="105" t="s">
        <v>147</v>
      </c>
      <c r="I103" s="128">
        <f>100/115*I102</f>
        <v>21843.058449905486</v>
      </c>
      <c r="J103" s="106"/>
    </row>
    <row r="104" spans="2:12" s="1" customFormat="1" ht="12.75" x14ac:dyDescent="0.15"/>
    <row r="105" spans="2:12" s="1" customFormat="1" ht="12.75" x14ac:dyDescent="0.15"/>
    <row r="106" spans="2:12" s="1" customFormat="1" ht="12.75" x14ac:dyDescent="0.15"/>
    <row r="107" spans="2:12" s="1" customFormat="1" ht="12.75" x14ac:dyDescent="0.15"/>
    <row r="108" spans="2:12" s="247" customFormat="1" ht="32.25" x14ac:dyDescent="0.4">
      <c r="B108" s="248"/>
      <c r="C108" s="380" t="s">
        <v>112</v>
      </c>
      <c r="D108" s="380"/>
      <c r="E108" s="428" t="s">
        <v>151</v>
      </c>
      <c r="F108" s="428"/>
      <c r="G108" s="428"/>
      <c r="H108" s="428"/>
      <c r="I108" s="428"/>
      <c r="J108" s="382">
        <v>2026</v>
      </c>
      <c r="K108" s="382"/>
      <c r="L108" s="382"/>
    </row>
    <row r="109" spans="2:12" s="1" customFormat="1" ht="22.5" x14ac:dyDescent="0.15">
      <c r="B109" s="82"/>
      <c r="C109" s="102" t="s">
        <v>114</v>
      </c>
      <c r="D109" s="388" t="s">
        <v>115</v>
      </c>
      <c r="E109" s="388"/>
      <c r="F109" s="102" t="s">
        <v>116</v>
      </c>
      <c r="G109" s="102" t="s">
        <v>117</v>
      </c>
      <c r="H109" s="102" t="s">
        <v>118</v>
      </c>
      <c r="I109" s="102" t="s">
        <v>119</v>
      </c>
      <c r="J109" s="102" t="s">
        <v>120</v>
      </c>
      <c r="K109" s="82"/>
      <c r="L109" s="82"/>
    </row>
    <row r="110" spans="2:12" s="1" customFormat="1" ht="12.75" x14ac:dyDescent="0.15">
      <c r="B110" s="2"/>
      <c r="C110" s="220">
        <f>C65</f>
        <v>450</v>
      </c>
      <c r="D110" s="399">
        <v>21</v>
      </c>
      <c r="E110" s="399"/>
      <c r="F110" s="208">
        <f>F65</f>
        <v>0.8</v>
      </c>
      <c r="G110" s="209">
        <f>G65</f>
        <v>8</v>
      </c>
      <c r="H110" s="210">
        <f>D110*G110*F110</f>
        <v>134.4</v>
      </c>
      <c r="I110" s="216">
        <f>I171</f>
        <v>0</v>
      </c>
      <c r="J110" s="211">
        <f>H110-J171</f>
        <v>134.4</v>
      </c>
      <c r="K110" s="120"/>
      <c r="L110" s="120"/>
    </row>
    <row r="111" spans="2:12" s="1" customFormat="1" ht="33.75" x14ac:dyDescent="0.15">
      <c r="B111" s="2"/>
      <c r="C111" s="167" t="s">
        <v>121</v>
      </c>
      <c r="D111" s="395" t="s">
        <v>122</v>
      </c>
      <c r="E111" s="395"/>
      <c r="F111" s="177" t="s">
        <v>123</v>
      </c>
      <c r="G111" s="198" t="s">
        <v>124</v>
      </c>
      <c r="H111" s="15" t="s">
        <v>125</v>
      </c>
      <c r="I111" s="217" t="s">
        <v>126</v>
      </c>
      <c r="J111" s="178" t="s">
        <v>127</v>
      </c>
      <c r="K111" s="114" t="s">
        <v>128</v>
      </c>
      <c r="L111" s="114" t="s">
        <v>129</v>
      </c>
    </row>
    <row r="112" spans="2:12" s="1" customFormat="1" ht="12.75" x14ac:dyDescent="0.15">
      <c r="B112" s="2"/>
      <c r="C112" s="89"/>
      <c r="D112" s="391"/>
      <c r="E112" s="391"/>
      <c r="F112" s="91"/>
      <c r="G112" s="199"/>
      <c r="H112" s="9"/>
      <c r="I112" s="218"/>
      <c r="J112" s="94"/>
      <c r="K112" s="82"/>
      <c r="L112" s="82"/>
    </row>
    <row r="113" spans="2:12" s="1" customFormat="1" ht="13.35" customHeight="1" x14ac:dyDescent="0.15">
      <c r="B113" s="2"/>
      <c r="C113" s="392" t="s">
        <v>130</v>
      </c>
      <c r="D113" s="392"/>
      <c r="E113" s="392"/>
      <c r="F113" s="184"/>
      <c r="G113" s="200"/>
      <c r="H113" s="9"/>
      <c r="I113" s="218"/>
      <c r="J113" s="94"/>
      <c r="K113" s="82"/>
      <c r="L113" s="82"/>
    </row>
    <row r="114" spans="2:12" s="1" customFormat="1" ht="13.35" customHeight="1" x14ac:dyDescent="0.15">
      <c r="B114" s="2"/>
      <c r="C114" s="167" t="s">
        <v>152</v>
      </c>
      <c r="D114" s="167"/>
      <c r="E114" s="167"/>
      <c r="F114" s="168"/>
      <c r="G114" s="200"/>
      <c r="H114" s="9"/>
      <c r="I114" s="218"/>
      <c r="J114" s="94"/>
      <c r="K114" s="82"/>
      <c r="L114" s="82"/>
    </row>
    <row r="115" spans="2:12" s="1" customFormat="1" ht="12.75" customHeight="1" x14ac:dyDescent="0.15">
      <c r="B115" s="2">
        <v>1</v>
      </c>
      <c r="C115" s="203"/>
      <c r="D115" s="391"/>
      <c r="E115" s="391"/>
      <c r="F115" s="168"/>
      <c r="G115" s="200"/>
      <c r="H115" s="9">
        <v>1</v>
      </c>
      <c r="I115" s="218">
        <f>J115*$C$32</f>
        <v>0</v>
      </c>
      <c r="J115" s="94">
        <f t="shared" ref="J115:J169" si="12">(F115*G115*H115)/$C$32</f>
        <v>0</v>
      </c>
      <c r="K115" s="82"/>
      <c r="L115" s="82"/>
    </row>
    <row r="116" spans="2:12" s="1" customFormat="1" ht="12.75" customHeight="1" x14ac:dyDescent="0.15">
      <c r="B116" s="2">
        <v>2</v>
      </c>
      <c r="C116" s="203"/>
      <c r="D116" s="391"/>
      <c r="E116" s="391"/>
      <c r="F116" s="168"/>
      <c r="G116" s="200"/>
      <c r="H116" s="9">
        <v>1</v>
      </c>
      <c r="I116" s="218">
        <f>J116*$C$32</f>
        <v>0</v>
      </c>
      <c r="J116" s="94">
        <f t="shared" si="12"/>
        <v>0</v>
      </c>
      <c r="K116" s="82"/>
      <c r="L116" s="82"/>
    </row>
    <row r="117" spans="2:12" s="1" customFormat="1" ht="12.75" customHeight="1" x14ac:dyDescent="0.15">
      <c r="B117" s="2">
        <v>3</v>
      </c>
      <c r="C117" s="203"/>
      <c r="D117" s="90"/>
      <c r="E117" s="90"/>
      <c r="F117" s="168"/>
      <c r="G117" s="200"/>
      <c r="H117" s="9">
        <v>1</v>
      </c>
      <c r="I117" s="218">
        <f t="shared" ref="I117:I169" si="13">J117*$C$32</f>
        <v>0</v>
      </c>
      <c r="J117" s="94">
        <f t="shared" si="12"/>
        <v>0</v>
      </c>
      <c r="K117" s="82"/>
      <c r="L117" s="82"/>
    </row>
    <row r="118" spans="2:12" s="1" customFormat="1" ht="12.75" customHeight="1" x14ac:dyDescent="0.15">
      <c r="B118" s="2">
        <v>4</v>
      </c>
      <c r="C118" s="203"/>
      <c r="D118" s="90"/>
      <c r="E118" s="90"/>
      <c r="F118" s="168"/>
      <c r="G118" s="200"/>
      <c r="H118" s="9">
        <v>1</v>
      </c>
      <c r="I118" s="218">
        <f t="shared" si="13"/>
        <v>0</v>
      </c>
      <c r="J118" s="94">
        <f t="shared" si="12"/>
        <v>0</v>
      </c>
      <c r="K118" s="82"/>
      <c r="L118" s="82"/>
    </row>
    <row r="119" spans="2:12" s="1" customFormat="1" ht="12.75" customHeight="1" x14ac:dyDescent="0.15">
      <c r="B119" s="2">
        <v>5</v>
      </c>
      <c r="C119" s="203"/>
      <c r="D119" s="90"/>
      <c r="E119" s="90"/>
      <c r="F119" s="168"/>
      <c r="G119" s="200"/>
      <c r="H119" s="9">
        <v>1</v>
      </c>
      <c r="I119" s="218">
        <f t="shared" si="13"/>
        <v>0</v>
      </c>
      <c r="J119" s="94">
        <f t="shared" si="12"/>
        <v>0</v>
      </c>
      <c r="K119" s="82"/>
      <c r="L119" s="82"/>
    </row>
    <row r="120" spans="2:12" s="1" customFormat="1" ht="12.75" customHeight="1" x14ac:dyDescent="0.15">
      <c r="B120" s="2">
        <v>6</v>
      </c>
      <c r="C120" s="203"/>
      <c r="D120" s="90"/>
      <c r="E120" s="90"/>
      <c r="F120" s="168"/>
      <c r="G120" s="200"/>
      <c r="H120" s="9">
        <v>1</v>
      </c>
      <c r="I120" s="218">
        <f t="shared" si="13"/>
        <v>0</v>
      </c>
      <c r="J120" s="94">
        <f t="shared" si="12"/>
        <v>0</v>
      </c>
      <c r="K120" s="82"/>
      <c r="L120" s="82"/>
    </row>
    <row r="121" spans="2:12" s="1" customFormat="1" ht="12.75" customHeight="1" x14ac:dyDescent="0.15">
      <c r="B121" s="2">
        <v>7</v>
      </c>
      <c r="C121" s="203"/>
      <c r="D121" s="90"/>
      <c r="E121" s="90"/>
      <c r="F121" s="168"/>
      <c r="G121" s="200"/>
      <c r="H121" s="9">
        <v>1</v>
      </c>
      <c r="I121" s="218">
        <f t="shared" si="13"/>
        <v>0</v>
      </c>
      <c r="J121" s="94">
        <f t="shared" si="12"/>
        <v>0</v>
      </c>
      <c r="K121" s="82"/>
      <c r="L121" s="82"/>
    </row>
    <row r="122" spans="2:12" s="1" customFormat="1" ht="12.75" customHeight="1" x14ac:dyDescent="0.15">
      <c r="B122" s="2">
        <v>8</v>
      </c>
      <c r="C122" s="203"/>
      <c r="D122" s="90"/>
      <c r="E122" s="90"/>
      <c r="F122" s="168"/>
      <c r="G122" s="200"/>
      <c r="H122" s="9">
        <v>1</v>
      </c>
      <c r="I122" s="218">
        <f t="shared" si="13"/>
        <v>0</v>
      </c>
      <c r="J122" s="94">
        <f t="shared" si="12"/>
        <v>0</v>
      </c>
      <c r="K122" s="82"/>
      <c r="L122" s="82"/>
    </row>
    <row r="123" spans="2:12" s="1" customFormat="1" ht="12.75" customHeight="1" x14ac:dyDescent="0.15">
      <c r="B123" s="2">
        <v>9</v>
      </c>
      <c r="C123" s="203"/>
      <c r="D123" s="90"/>
      <c r="E123" s="90"/>
      <c r="F123" s="168"/>
      <c r="G123" s="200"/>
      <c r="H123" s="9">
        <v>1</v>
      </c>
      <c r="I123" s="218">
        <f t="shared" si="13"/>
        <v>0</v>
      </c>
      <c r="J123" s="94">
        <f t="shared" si="12"/>
        <v>0</v>
      </c>
      <c r="K123" s="82"/>
      <c r="L123" s="82"/>
    </row>
    <row r="124" spans="2:12" s="1" customFormat="1" ht="12.75" customHeight="1" x14ac:dyDescent="0.15">
      <c r="B124" s="2">
        <v>10</v>
      </c>
      <c r="C124" s="203"/>
      <c r="D124" s="90"/>
      <c r="E124" s="90"/>
      <c r="F124" s="168"/>
      <c r="G124" s="200"/>
      <c r="H124" s="9">
        <v>1</v>
      </c>
      <c r="I124" s="218">
        <f t="shared" si="13"/>
        <v>0</v>
      </c>
      <c r="J124" s="94">
        <f t="shared" si="12"/>
        <v>0</v>
      </c>
      <c r="K124" s="82"/>
      <c r="L124" s="82"/>
    </row>
    <row r="125" spans="2:12" s="1" customFormat="1" ht="12.75" customHeight="1" x14ac:dyDescent="0.15">
      <c r="B125" s="2"/>
      <c r="C125" s="203"/>
      <c r="D125" s="90"/>
      <c r="E125" s="90"/>
      <c r="F125" s="168"/>
      <c r="G125" s="200"/>
      <c r="H125" s="9">
        <v>1</v>
      </c>
      <c r="I125" s="218">
        <f t="shared" si="13"/>
        <v>0</v>
      </c>
      <c r="J125" s="94">
        <f t="shared" si="12"/>
        <v>0</v>
      </c>
      <c r="K125" s="82"/>
      <c r="L125" s="82"/>
    </row>
    <row r="126" spans="2:12" s="1" customFormat="1" ht="12.75" customHeight="1" x14ac:dyDescent="0.15">
      <c r="B126" s="2"/>
      <c r="C126" s="203"/>
      <c r="D126" s="391"/>
      <c r="E126" s="391"/>
      <c r="F126" s="168"/>
      <c r="G126" s="200"/>
      <c r="H126" s="9"/>
      <c r="I126" s="218"/>
      <c r="J126" s="94"/>
      <c r="K126" s="82"/>
      <c r="L126" s="82"/>
    </row>
    <row r="127" spans="2:12" s="1" customFormat="1" ht="12.75" customHeight="1" x14ac:dyDescent="0.15">
      <c r="B127" s="2"/>
      <c r="C127" s="187" t="s">
        <v>153</v>
      </c>
      <c r="D127" s="391"/>
      <c r="E127" s="391"/>
      <c r="F127" s="168"/>
      <c r="G127" s="200"/>
      <c r="H127" s="9"/>
      <c r="I127" s="218"/>
      <c r="J127" s="94"/>
      <c r="K127" s="82"/>
      <c r="L127" s="82"/>
    </row>
    <row r="128" spans="2:12" s="1" customFormat="1" ht="15" customHeight="1" x14ac:dyDescent="0.15">
      <c r="B128" s="2">
        <v>1</v>
      </c>
      <c r="C128" s="188"/>
      <c r="D128" s="204"/>
      <c r="E128" s="204"/>
      <c r="F128" s="168"/>
      <c r="G128" s="200"/>
      <c r="H128" s="9">
        <v>1</v>
      </c>
      <c r="I128" s="218">
        <f t="shared" si="13"/>
        <v>0</v>
      </c>
      <c r="J128" s="94">
        <f t="shared" si="12"/>
        <v>0</v>
      </c>
      <c r="K128" s="82"/>
      <c r="L128" s="82"/>
    </row>
    <row r="129" spans="2:12" s="1" customFormat="1" ht="13.35" customHeight="1" x14ac:dyDescent="0.15">
      <c r="B129" s="2">
        <v>2</v>
      </c>
      <c r="C129" s="188"/>
      <c r="D129" s="204"/>
      <c r="E129" s="204"/>
      <c r="F129" s="168"/>
      <c r="G129" s="200"/>
      <c r="H129" s="9">
        <v>1</v>
      </c>
      <c r="I129" s="218">
        <f t="shared" si="13"/>
        <v>0</v>
      </c>
      <c r="J129" s="94">
        <f t="shared" si="12"/>
        <v>0</v>
      </c>
      <c r="K129" s="82"/>
      <c r="L129" s="82"/>
    </row>
    <row r="130" spans="2:12" s="1" customFormat="1" ht="13.35" customHeight="1" x14ac:dyDescent="0.15">
      <c r="B130" s="2">
        <v>3</v>
      </c>
      <c r="C130" s="189"/>
      <c r="D130" s="204"/>
      <c r="E130" s="204"/>
      <c r="F130" s="168"/>
      <c r="G130" s="200"/>
      <c r="H130" s="9">
        <v>1</v>
      </c>
      <c r="I130" s="218">
        <f t="shared" si="13"/>
        <v>0</v>
      </c>
      <c r="J130" s="94">
        <f t="shared" si="12"/>
        <v>0</v>
      </c>
      <c r="K130" s="82"/>
      <c r="L130" s="82"/>
    </row>
    <row r="131" spans="2:12" s="1" customFormat="1" ht="13.35" customHeight="1" x14ac:dyDescent="0.15">
      <c r="B131" s="2">
        <v>5</v>
      </c>
      <c r="C131" s="188"/>
      <c r="D131" s="205"/>
      <c r="E131" s="205"/>
      <c r="F131" s="168"/>
      <c r="G131" s="200"/>
      <c r="H131" s="9">
        <v>1</v>
      </c>
      <c r="I131" s="218">
        <f t="shared" si="13"/>
        <v>0</v>
      </c>
      <c r="J131" s="94">
        <f t="shared" si="12"/>
        <v>0</v>
      </c>
      <c r="K131" s="82"/>
      <c r="L131" s="82"/>
    </row>
    <row r="132" spans="2:12" s="1" customFormat="1" ht="13.35" customHeight="1" x14ac:dyDescent="0.15">
      <c r="B132" s="2">
        <v>6</v>
      </c>
      <c r="C132" s="188"/>
      <c r="D132" s="204"/>
      <c r="E132" s="204"/>
      <c r="F132" s="168"/>
      <c r="G132" s="200"/>
      <c r="H132" s="9">
        <v>1</v>
      </c>
      <c r="I132" s="218">
        <f t="shared" si="13"/>
        <v>0</v>
      </c>
      <c r="J132" s="94">
        <f t="shared" si="12"/>
        <v>0</v>
      </c>
      <c r="K132" s="82"/>
      <c r="L132" s="82"/>
    </row>
    <row r="133" spans="2:12" s="1" customFormat="1" ht="13.35" customHeight="1" x14ac:dyDescent="0.15">
      <c r="B133" s="2">
        <v>7</v>
      </c>
      <c r="C133" s="188"/>
      <c r="D133" s="204"/>
      <c r="E133" s="204"/>
      <c r="F133" s="168"/>
      <c r="G133" s="200"/>
      <c r="H133" s="9">
        <v>1</v>
      </c>
      <c r="I133" s="168">
        <f t="shared" si="13"/>
        <v>0</v>
      </c>
      <c r="J133" s="94">
        <f t="shared" si="12"/>
        <v>0</v>
      </c>
      <c r="K133" s="82"/>
      <c r="L133" s="82"/>
    </row>
    <row r="134" spans="2:12" s="1" customFormat="1" ht="13.35" customHeight="1" x14ac:dyDescent="0.15">
      <c r="B134" s="2">
        <v>8</v>
      </c>
      <c r="C134" s="188"/>
      <c r="D134" s="206"/>
      <c r="E134" s="206"/>
      <c r="F134" s="168"/>
      <c r="G134" s="200"/>
      <c r="H134" s="9">
        <v>1</v>
      </c>
      <c r="I134" s="168">
        <f t="shared" si="13"/>
        <v>0</v>
      </c>
      <c r="J134" s="94">
        <f t="shared" si="12"/>
        <v>0</v>
      </c>
      <c r="K134" s="82"/>
      <c r="L134" s="82"/>
    </row>
    <row r="135" spans="2:12" s="1" customFormat="1" ht="13.35" customHeight="1" x14ac:dyDescent="0.15">
      <c r="B135" s="2">
        <v>9</v>
      </c>
      <c r="C135" s="113"/>
      <c r="D135" s="206"/>
      <c r="E135" s="206"/>
      <c r="F135" s="168"/>
      <c r="G135" s="200"/>
      <c r="H135" s="9">
        <v>1</v>
      </c>
      <c r="I135" s="168">
        <f>J135*$C$32</f>
        <v>0</v>
      </c>
      <c r="J135" s="94">
        <f t="shared" si="12"/>
        <v>0</v>
      </c>
      <c r="K135" s="82"/>
      <c r="L135" s="82"/>
    </row>
    <row r="136" spans="2:12" s="1" customFormat="1" ht="13.35" customHeight="1" x14ac:dyDescent="0.15">
      <c r="B136" s="2">
        <v>10</v>
      </c>
      <c r="C136" s="188"/>
      <c r="D136" s="204"/>
      <c r="E136" s="204"/>
      <c r="F136" s="168"/>
      <c r="G136" s="200"/>
      <c r="H136" s="9">
        <v>1</v>
      </c>
      <c r="I136" s="168">
        <f t="shared" si="13"/>
        <v>0</v>
      </c>
      <c r="J136" s="94">
        <f t="shared" si="12"/>
        <v>0</v>
      </c>
      <c r="K136" s="82"/>
      <c r="L136" s="82"/>
    </row>
    <row r="137" spans="2:12" s="1" customFormat="1" ht="13.35" customHeight="1" x14ac:dyDescent="0.15">
      <c r="B137" s="2">
        <v>11</v>
      </c>
      <c r="C137" s="188"/>
      <c r="D137" s="204"/>
      <c r="E137" s="204"/>
      <c r="F137" s="168"/>
      <c r="G137" s="200"/>
      <c r="H137" s="9">
        <v>1</v>
      </c>
      <c r="I137" s="168">
        <f t="shared" si="13"/>
        <v>0</v>
      </c>
      <c r="J137" s="94">
        <f t="shared" si="12"/>
        <v>0</v>
      </c>
      <c r="K137" s="82"/>
      <c r="L137" s="82"/>
    </row>
    <row r="138" spans="2:12" s="1" customFormat="1" ht="13.35" customHeight="1" x14ac:dyDescent="0.15">
      <c r="B138" s="2">
        <v>12</v>
      </c>
      <c r="C138" s="188"/>
      <c r="D138" s="204"/>
      <c r="E138" s="204"/>
      <c r="F138" s="168"/>
      <c r="G138" s="200"/>
      <c r="H138" s="9">
        <v>1</v>
      </c>
      <c r="I138" s="168">
        <f t="shared" si="13"/>
        <v>0</v>
      </c>
      <c r="J138" s="94">
        <f t="shared" si="12"/>
        <v>0</v>
      </c>
      <c r="K138" s="82"/>
      <c r="L138" s="82"/>
    </row>
    <row r="139" spans="2:12" s="1" customFormat="1" ht="13.35" customHeight="1" x14ac:dyDescent="0.15">
      <c r="B139" s="2">
        <v>13</v>
      </c>
      <c r="C139" s="188"/>
      <c r="D139" s="204"/>
      <c r="E139" s="204"/>
      <c r="F139" s="168"/>
      <c r="G139" s="200"/>
      <c r="H139" s="9">
        <v>1</v>
      </c>
      <c r="I139" s="168">
        <f t="shared" si="13"/>
        <v>0</v>
      </c>
      <c r="J139" s="94">
        <f t="shared" si="12"/>
        <v>0</v>
      </c>
      <c r="K139" s="82"/>
      <c r="L139" s="82"/>
    </row>
    <row r="140" spans="2:12" s="1" customFormat="1" ht="13.35" customHeight="1" x14ac:dyDescent="0.15">
      <c r="B140" s="2">
        <v>14</v>
      </c>
      <c r="C140" s="188"/>
      <c r="D140" s="204"/>
      <c r="E140" s="204"/>
      <c r="F140" s="168"/>
      <c r="G140" s="200"/>
      <c r="H140" s="9">
        <v>1</v>
      </c>
      <c r="I140" s="168">
        <f t="shared" si="13"/>
        <v>0</v>
      </c>
      <c r="J140" s="94">
        <f t="shared" si="12"/>
        <v>0</v>
      </c>
      <c r="K140" s="82"/>
      <c r="L140" s="82"/>
    </row>
    <row r="141" spans="2:12" s="1" customFormat="1" ht="13.35" customHeight="1" x14ac:dyDescent="0.15">
      <c r="B141" s="2">
        <v>15</v>
      </c>
      <c r="C141" s="189"/>
      <c r="D141" s="204"/>
      <c r="E141" s="206"/>
      <c r="F141" s="168"/>
      <c r="G141" s="200"/>
      <c r="H141" s="9">
        <v>1</v>
      </c>
      <c r="I141" s="168">
        <f t="shared" si="13"/>
        <v>0</v>
      </c>
      <c r="J141" s="94">
        <f t="shared" si="12"/>
        <v>0</v>
      </c>
      <c r="K141" s="82"/>
      <c r="L141" s="82"/>
    </row>
    <row r="142" spans="2:12" s="1" customFormat="1" ht="13.35" customHeight="1" x14ac:dyDescent="0.15">
      <c r="B142" s="2">
        <v>16</v>
      </c>
      <c r="C142" s="189"/>
      <c r="D142" s="206"/>
      <c r="E142" s="206"/>
      <c r="F142" s="168"/>
      <c r="G142" s="200"/>
      <c r="H142" s="9">
        <v>1</v>
      </c>
      <c r="I142" s="168">
        <f t="shared" si="13"/>
        <v>0</v>
      </c>
      <c r="J142" s="94">
        <f t="shared" si="12"/>
        <v>0</v>
      </c>
      <c r="K142" s="82"/>
      <c r="L142" s="82"/>
    </row>
    <row r="143" spans="2:12" s="1" customFormat="1" ht="14.45" customHeight="1" x14ac:dyDescent="0.15">
      <c r="B143" s="2">
        <v>17</v>
      </c>
      <c r="C143" s="189"/>
      <c r="D143" s="206"/>
      <c r="E143" s="206"/>
      <c r="F143" s="219"/>
      <c r="G143" s="200"/>
      <c r="H143" s="9">
        <v>1</v>
      </c>
      <c r="I143" s="168">
        <f t="shared" si="13"/>
        <v>0</v>
      </c>
      <c r="J143" s="94">
        <f t="shared" si="12"/>
        <v>0</v>
      </c>
      <c r="K143" s="82"/>
      <c r="L143" s="82"/>
    </row>
    <row r="144" spans="2:12" s="1" customFormat="1" ht="13.35" customHeight="1" x14ac:dyDescent="0.15">
      <c r="B144" s="2">
        <v>18</v>
      </c>
      <c r="C144" s="189"/>
      <c r="D144" s="206"/>
      <c r="E144" s="206"/>
      <c r="F144" s="168"/>
      <c r="G144" s="200"/>
      <c r="H144" s="9">
        <v>1</v>
      </c>
      <c r="I144" s="168">
        <f t="shared" si="13"/>
        <v>0</v>
      </c>
      <c r="J144" s="94">
        <f t="shared" si="12"/>
        <v>0</v>
      </c>
      <c r="K144" s="82"/>
      <c r="L144" s="82"/>
    </row>
    <row r="145" spans="2:12" s="1" customFormat="1" ht="13.35" customHeight="1" x14ac:dyDescent="0.15">
      <c r="B145" s="2">
        <v>19</v>
      </c>
      <c r="C145" s="189"/>
      <c r="D145" s="206"/>
      <c r="E145" s="206"/>
      <c r="F145" s="168"/>
      <c r="G145" s="200"/>
      <c r="H145" s="9">
        <v>1</v>
      </c>
      <c r="I145" s="168">
        <f t="shared" si="13"/>
        <v>0</v>
      </c>
      <c r="J145" s="94">
        <f t="shared" si="12"/>
        <v>0</v>
      </c>
      <c r="K145" s="82"/>
      <c r="L145" s="82"/>
    </row>
    <row r="146" spans="2:12" s="1" customFormat="1" ht="13.35" customHeight="1" x14ac:dyDescent="0.15">
      <c r="B146" s="2">
        <v>20</v>
      </c>
      <c r="C146" s="189"/>
      <c r="D146" s="206"/>
      <c r="E146" s="206"/>
      <c r="F146" s="168"/>
      <c r="G146" s="200"/>
      <c r="H146" s="9">
        <v>1</v>
      </c>
      <c r="I146" s="168">
        <f t="shared" si="13"/>
        <v>0</v>
      </c>
      <c r="J146" s="94">
        <f t="shared" si="12"/>
        <v>0</v>
      </c>
      <c r="K146" s="82"/>
      <c r="L146" s="82"/>
    </row>
    <row r="147" spans="2:12" s="1" customFormat="1" ht="12.75" x14ac:dyDescent="0.15">
      <c r="B147" s="2"/>
      <c r="C147" s="89"/>
      <c r="D147" s="90"/>
      <c r="E147" s="90"/>
      <c r="F147" s="168"/>
      <c r="G147" s="200"/>
      <c r="H147" s="9"/>
      <c r="I147" s="168"/>
      <c r="J147" s="94"/>
      <c r="K147" s="82"/>
      <c r="L147" s="82"/>
    </row>
    <row r="148" spans="2:12" s="1" customFormat="1" ht="12.75" x14ac:dyDescent="0.15">
      <c r="B148" s="2"/>
      <c r="C148" s="203"/>
      <c r="D148" s="169"/>
      <c r="E148" s="169"/>
      <c r="F148" s="168"/>
      <c r="G148" s="200"/>
      <c r="H148" s="9"/>
      <c r="I148" s="168"/>
      <c r="J148" s="94"/>
      <c r="K148" s="82"/>
      <c r="L148" s="82"/>
    </row>
    <row r="149" spans="2:12" s="1" customFormat="1" ht="12.75" x14ac:dyDescent="0.15">
      <c r="B149" s="2"/>
      <c r="C149" s="167" t="s">
        <v>154</v>
      </c>
      <c r="D149" s="391"/>
      <c r="E149" s="391"/>
      <c r="F149" s="168"/>
      <c r="G149" s="200"/>
      <c r="H149" s="9"/>
      <c r="I149" s="168"/>
      <c r="J149" s="94"/>
      <c r="K149" s="82"/>
      <c r="L149" s="82"/>
    </row>
    <row r="150" spans="2:12" s="1" customFormat="1" ht="12.75" x14ac:dyDescent="0.15">
      <c r="B150" s="2">
        <v>1</v>
      </c>
      <c r="C150" s="207"/>
      <c r="D150" s="391"/>
      <c r="E150" s="391"/>
      <c r="F150" s="168"/>
      <c r="G150" s="200"/>
      <c r="H150" s="9">
        <v>1</v>
      </c>
      <c r="I150" s="168">
        <f t="shared" si="13"/>
        <v>0</v>
      </c>
      <c r="J150" s="94">
        <f t="shared" si="12"/>
        <v>0</v>
      </c>
      <c r="K150" s="82"/>
      <c r="L150" s="82"/>
    </row>
    <row r="151" spans="2:12" s="1" customFormat="1" ht="12.75" x14ac:dyDescent="0.15">
      <c r="B151" s="2">
        <v>2</v>
      </c>
      <c r="C151" s="403"/>
      <c r="D151" s="403"/>
      <c r="E151" s="403"/>
      <c r="F151" s="168"/>
      <c r="G151" s="200"/>
      <c r="H151" s="9">
        <v>1</v>
      </c>
      <c r="I151" s="168">
        <f t="shared" si="13"/>
        <v>0</v>
      </c>
      <c r="J151" s="94">
        <f t="shared" si="12"/>
        <v>0</v>
      </c>
      <c r="K151" s="82"/>
      <c r="L151" s="82"/>
    </row>
    <row r="152" spans="2:12" s="1" customFormat="1" ht="12.75" x14ac:dyDescent="0.15">
      <c r="B152" s="2">
        <f>B151+1</f>
        <v>3</v>
      </c>
      <c r="C152" s="183"/>
      <c r="D152" s="89"/>
      <c r="E152" s="89"/>
      <c r="F152" s="168"/>
      <c r="G152" s="200"/>
      <c r="H152" s="9">
        <v>1</v>
      </c>
      <c r="I152" s="168">
        <f t="shared" si="13"/>
        <v>0</v>
      </c>
      <c r="J152" s="94">
        <f t="shared" si="12"/>
        <v>0</v>
      </c>
      <c r="K152" s="82"/>
      <c r="L152" s="82"/>
    </row>
    <row r="153" spans="2:12" s="1" customFormat="1" ht="12.75" x14ac:dyDescent="0.15">
      <c r="B153" s="2">
        <f>B152+1</f>
        <v>4</v>
      </c>
      <c r="C153" s="89"/>
      <c r="D153" s="89"/>
      <c r="E153" s="89"/>
      <c r="F153" s="168"/>
      <c r="G153" s="200"/>
      <c r="H153" s="9">
        <v>1</v>
      </c>
      <c r="I153" s="168">
        <f t="shared" si="13"/>
        <v>0</v>
      </c>
      <c r="J153" s="94">
        <f t="shared" si="12"/>
        <v>0</v>
      </c>
      <c r="K153" s="82"/>
      <c r="L153" s="82"/>
    </row>
    <row r="154" spans="2:12" s="1" customFormat="1" ht="12.75" x14ac:dyDescent="0.15">
      <c r="B154" s="2">
        <f>B153+1</f>
        <v>5</v>
      </c>
      <c r="C154" s="89"/>
      <c r="D154" s="391"/>
      <c r="E154" s="391"/>
      <c r="F154" s="168"/>
      <c r="G154" s="200"/>
      <c r="H154" s="9">
        <v>1</v>
      </c>
      <c r="I154" s="168">
        <f t="shared" si="13"/>
        <v>0</v>
      </c>
      <c r="J154" s="94">
        <f t="shared" si="12"/>
        <v>0</v>
      </c>
      <c r="K154" s="82"/>
      <c r="L154" s="82"/>
    </row>
    <row r="155" spans="2:12" s="1" customFormat="1" ht="12.75" x14ac:dyDescent="0.15">
      <c r="B155" s="2">
        <f>B154+1</f>
        <v>6</v>
      </c>
      <c r="C155" s="392"/>
      <c r="D155" s="392"/>
      <c r="E155" s="392"/>
      <c r="F155" s="168"/>
      <c r="G155" s="200"/>
      <c r="H155" s="9">
        <v>1</v>
      </c>
      <c r="I155" s="168">
        <f t="shared" si="13"/>
        <v>0</v>
      </c>
      <c r="J155" s="94">
        <f t="shared" si="12"/>
        <v>0</v>
      </c>
      <c r="K155" s="82"/>
      <c r="L155" s="82"/>
    </row>
    <row r="156" spans="2:12" s="1" customFormat="1" ht="12.75" x14ac:dyDescent="0.15">
      <c r="B156" s="2">
        <f t="shared" ref="B156:B158" si="14">B155+1</f>
        <v>7</v>
      </c>
      <c r="C156" s="183"/>
      <c r="D156" s="391"/>
      <c r="E156" s="391"/>
      <c r="F156" s="168"/>
      <c r="G156" s="200"/>
      <c r="H156" s="9">
        <v>1</v>
      </c>
      <c r="I156" s="168">
        <f t="shared" si="13"/>
        <v>0</v>
      </c>
      <c r="J156" s="94">
        <f t="shared" si="12"/>
        <v>0</v>
      </c>
      <c r="K156" s="82"/>
      <c r="L156" s="82"/>
    </row>
    <row r="157" spans="2:12" s="1" customFormat="1" ht="12.75" x14ac:dyDescent="0.15">
      <c r="B157" s="2">
        <f t="shared" si="14"/>
        <v>8</v>
      </c>
      <c r="C157" s="183"/>
      <c r="D157" s="391"/>
      <c r="E157" s="391"/>
      <c r="F157" s="168"/>
      <c r="G157" s="200"/>
      <c r="H157" s="9">
        <v>1</v>
      </c>
      <c r="I157" s="168">
        <f t="shared" si="13"/>
        <v>0</v>
      </c>
      <c r="J157" s="94">
        <f t="shared" si="12"/>
        <v>0</v>
      </c>
      <c r="K157" s="82"/>
      <c r="L157" s="82"/>
    </row>
    <row r="158" spans="2:12" s="1" customFormat="1" ht="12.75" x14ac:dyDescent="0.15">
      <c r="B158" s="2">
        <f t="shared" si="14"/>
        <v>9</v>
      </c>
      <c r="C158" s="183"/>
      <c r="D158" s="391"/>
      <c r="E158" s="391"/>
      <c r="F158" s="168"/>
      <c r="G158" s="200"/>
      <c r="H158" s="9">
        <v>1</v>
      </c>
      <c r="I158" s="168">
        <f t="shared" si="13"/>
        <v>0</v>
      </c>
      <c r="J158" s="94">
        <f t="shared" si="12"/>
        <v>0</v>
      </c>
      <c r="K158" s="82"/>
      <c r="L158" s="82"/>
    </row>
    <row r="159" spans="2:12" s="1" customFormat="1" ht="12.75" x14ac:dyDescent="0.15">
      <c r="B159" s="2">
        <v>10</v>
      </c>
      <c r="C159" s="183"/>
      <c r="D159" s="90"/>
      <c r="E159" s="90"/>
      <c r="F159" s="168"/>
      <c r="G159" s="200"/>
      <c r="H159" s="9">
        <v>1</v>
      </c>
      <c r="I159" s="168">
        <f t="shared" si="13"/>
        <v>0</v>
      </c>
      <c r="J159" s="94">
        <f t="shared" si="12"/>
        <v>0</v>
      </c>
      <c r="K159" s="82"/>
      <c r="L159" s="82"/>
    </row>
    <row r="160" spans="2:12" s="1" customFormat="1" ht="12.75" x14ac:dyDescent="0.15">
      <c r="B160" s="2">
        <v>11</v>
      </c>
      <c r="C160" s="183"/>
      <c r="D160" s="90"/>
      <c r="E160" s="90"/>
      <c r="F160" s="168"/>
      <c r="G160" s="200"/>
      <c r="H160" s="9">
        <v>1</v>
      </c>
      <c r="I160" s="168">
        <f t="shared" si="13"/>
        <v>0</v>
      </c>
      <c r="J160" s="94">
        <f t="shared" si="12"/>
        <v>0</v>
      </c>
      <c r="K160" s="82"/>
      <c r="L160" s="82"/>
    </row>
    <row r="161" spans="2:12" s="1" customFormat="1" ht="12.75" x14ac:dyDescent="0.15">
      <c r="B161" s="2">
        <v>12</v>
      </c>
      <c r="C161" s="183"/>
      <c r="D161" s="90"/>
      <c r="E161" s="90"/>
      <c r="F161" s="168"/>
      <c r="G161" s="200"/>
      <c r="H161" s="9">
        <v>1</v>
      </c>
      <c r="I161" s="168">
        <f t="shared" si="13"/>
        <v>0</v>
      </c>
      <c r="J161" s="94">
        <f t="shared" si="12"/>
        <v>0</v>
      </c>
      <c r="K161" s="82"/>
      <c r="L161" s="82"/>
    </row>
    <row r="162" spans="2:12" s="1" customFormat="1" ht="12.75" x14ac:dyDescent="0.15">
      <c r="B162" s="2">
        <v>13</v>
      </c>
      <c r="C162" s="183"/>
      <c r="D162" s="90"/>
      <c r="E162" s="90"/>
      <c r="F162" s="168"/>
      <c r="G162" s="200"/>
      <c r="H162" s="9">
        <v>1</v>
      </c>
      <c r="I162" s="168">
        <f t="shared" si="13"/>
        <v>0</v>
      </c>
      <c r="J162" s="94">
        <f t="shared" si="12"/>
        <v>0</v>
      </c>
      <c r="K162" s="82"/>
      <c r="L162" s="82"/>
    </row>
    <row r="163" spans="2:12" s="1" customFormat="1" ht="12.75" x14ac:dyDescent="0.15">
      <c r="B163" s="2">
        <v>14</v>
      </c>
      <c r="C163" s="183"/>
      <c r="D163" s="90"/>
      <c r="E163" s="90"/>
      <c r="F163" s="168"/>
      <c r="G163" s="200"/>
      <c r="H163" s="9">
        <v>1</v>
      </c>
      <c r="I163" s="168">
        <f t="shared" si="13"/>
        <v>0</v>
      </c>
      <c r="J163" s="94">
        <f t="shared" si="12"/>
        <v>0</v>
      </c>
      <c r="K163" s="82"/>
      <c r="L163" s="82"/>
    </row>
    <row r="164" spans="2:12" s="1" customFormat="1" ht="12.75" x14ac:dyDescent="0.15">
      <c r="B164" s="2">
        <v>15</v>
      </c>
      <c r="C164" s="183"/>
      <c r="D164" s="90"/>
      <c r="E164" s="90"/>
      <c r="F164" s="168"/>
      <c r="G164" s="200"/>
      <c r="H164" s="9">
        <v>1</v>
      </c>
      <c r="I164" s="168">
        <f t="shared" si="13"/>
        <v>0</v>
      </c>
      <c r="J164" s="94">
        <f t="shared" si="12"/>
        <v>0</v>
      </c>
      <c r="K164" s="82"/>
      <c r="L164" s="82"/>
    </row>
    <row r="165" spans="2:12" s="1" customFormat="1" ht="12.75" x14ac:dyDescent="0.15">
      <c r="B165" s="2">
        <v>16</v>
      </c>
      <c r="C165" s="183"/>
      <c r="D165" s="90"/>
      <c r="E165" s="90"/>
      <c r="F165" s="168"/>
      <c r="G165" s="200"/>
      <c r="H165" s="9">
        <v>1</v>
      </c>
      <c r="I165" s="168">
        <f t="shared" si="13"/>
        <v>0</v>
      </c>
      <c r="J165" s="94">
        <f t="shared" si="12"/>
        <v>0</v>
      </c>
      <c r="K165" s="82"/>
      <c r="L165" s="82"/>
    </row>
    <row r="166" spans="2:12" s="1" customFormat="1" ht="12.75" x14ac:dyDescent="0.15">
      <c r="B166" s="2">
        <v>17</v>
      </c>
      <c r="C166" s="183"/>
      <c r="D166" s="90"/>
      <c r="E166" s="90"/>
      <c r="F166" s="168"/>
      <c r="G166" s="200"/>
      <c r="H166" s="9">
        <v>1</v>
      </c>
      <c r="I166" s="168">
        <f t="shared" si="13"/>
        <v>0</v>
      </c>
      <c r="J166" s="94">
        <f t="shared" si="12"/>
        <v>0</v>
      </c>
      <c r="K166" s="82"/>
      <c r="L166" s="82"/>
    </row>
    <row r="167" spans="2:12" s="1" customFormat="1" ht="12.75" x14ac:dyDescent="0.15">
      <c r="B167" s="2">
        <v>18</v>
      </c>
      <c r="C167" s="183"/>
      <c r="D167" s="90"/>
      <c r="E167" s="90"/>
      <c r="F167" s="168"/>
      <c r="G167" s="200"/>
      <c r="H167" s="9">
        <v>1</v>
      </c>
      <c r="I167" s="168">
        <f t="shared" si="13"/>
        <v>0</v>
      </c>
      <c r="J167" s="94">
        <f t="shared" si="12"/>
        <v>0</v>
      </c>
      <c r="K167" s="82"/>
      <c r="L167" s="82"/>
    </row>
    <row r="168" spans="2:12" s="1" customFormat="1" ht="12.75" x14ac:dyDescent="0.15">
      <c r="B168" s="2">
        <v>19</v>
      </c>
      <c r="C168" s="183"/>
      <c r="D168" s="90"/>
      <c r="E168" s="90"/>
      <c r="F168" s="168"/>
      <c r="G168" s="201"/>
      <c r="H168" s="197">
        <v>1</v>
      </c>
      <c r="I168" s="168">
        <f t="shared" si="13"/>
        <v>0</v>
      </c>
      <c r="J168" s="94">
        <f t="shared" si="12"/>
        <v>0</v>
      </c>
      <c r="K168" s="82"/>
      <c r="L168" s="82"/>
    </row>
    <row r="169" spans="2:12" s="1" customFormat="1" ht="12.75" x14ac:dyDescent="0.15">
      <c r="B169" s="112">
        <v>20</v>
      </c>
      <c r="C169" s="183"/>
      <c r="D169" s="90"/>
      <c r="E169" s="90"/>
      <c r="F169" s="168"/>
      <c r="G169" s="202"/>
      <c r="H169" s="92">
        <v>1</v>
      </c>
      <c r="I169" s="168">
        <f t="shared" si="13"/>
        <v>0</v>
      </c>
      <c r="J169" s="94">
        <f t="shared" si="12"/>
        <v>0</v>
      </c>
      <c r="K169" s="82"/>
      <c r="L169" s="82"/>
    </row>
    <row r="170" spans="2:12" s="1" customFormat="1" ht="12.75" x14ac:dyDescent="0.15">
      <c r="B170" s="82"/>
      <c r="C170" s="183"/>
      <c r="D170" s="90"/>
      <c r="E170" s="90"/>
      <c r="F170" s="168"/>
      <c r="G170" s="92"/>
      <c r="H170" s="92"/>
      <c r="I170" s="168"/>
      <c r="J170" s="94"/>
      <c r="K170" s="82"/>
      <c r="L170" s="82"/>
    </row>
    <row r="171" spans="2:12" s="1" customFormat="1" ht="12.75" x14ac:dyDescent="0.15">
      <c r="B171" s="82"/>
      <c r="C171" s="102"/>
      <c r="D171" s="103"/>
      <c r="E171" s="102"/>
      <c r="F171" s="128">
        <f>SUM(F112:F170)</f>
        <v>0</v>
      </c>
      <c r="G171" s="104"/>
      <c r="H171" s="105"/>
      <c r="I171" s="128">
        <f>SUM(I113:I170)</f>
        <v>0</v>
      </c>
      <c r="J171" s="257">
        <f>SUM(J112:J170)</f>
        <v>0</v>
      </c>
    </row>
    <row r="172" spans="2:12" s="1" customFormat="1" ht="12.75" x14ac:dyDescent="0.15">
      <c r="B172" s="82"/>
      <c r="C172" s="102"/>
      <c r="D172" s="103"/>
      <c r="E172" s="102" t="s">
        <v>147</v>
      </c>
      <c r="F172" s="128">
        <f>100/115*F171</f>
        <v>0</v>
      </c>
      <c r="G172" s="104"/>
      <c r="H172" s="105" t="s">
        <v>147</v>
      </c>
      <c r="I172" s="128">
        <f>100/115*I171</f>
        <v>0</v>
      </c>
      <c r="J172" s="106"/>
    </row>
    <row r="173" spans="2:12" s="1" customFormat="1" ht="12.75" x14ac:dyDescent="0.15"/>
    <row r="174" spans="2:12" s="1" customFormat="1" ht="12.75" x14ac:dyDescent="0.15"/>
    <row r="175" spans="2:12" s="1" customFormat="1" ht="12.75" x14ac:dyDescent="0.15"/>
    <row r="176" spans="2:12" s="1" customFormat="1" ht="12.75" x14ac:dyDescent="0.15"/>
    <row r="177" spans="2:12" s="247" customFormat="1" ht="32.25" x14ac:dyDescent="0.4">
      <c r="B177" s="248"/>
      <c r="C177" s="380" t="s">
        <v>112</v>
      </c>
      <c r="D177" s="380"/>
      <c r="E177" s="428" t="s">
        <v>155</v>
      </c>
      <c r="F177" s="428"/>
      <c r="G177" s="428"/>
      <c r="H177" s="428"/>
      <c r="I177" s="428"/>
      <c r="J177" s="382">
        <v>2026</v>
      </c>
      <c r="K177" s="382"/>
      <c r="L177" s="382"/>
    </row>
    <row r="178" spans="2:12" s="1" customFormat="1" ht="22.5" x14ac:dyDescent="0.15">
      <c r="B178" s="82"/>
      <c r="C178" s="102" t="s">
        <v>114</v>
      </c>
      <c r="D178" s="388" t="s">
        <v>115</v>
      </c>
      <c r="E178" s="388"/>
      <c r="F178" s="102" t="s">
        <v>116</v>
      </c>
      <c r="G178" s="102" t="s">
        <v>117</v>
      </c>
      <c r="H178" s="102" t="s">
        <v>118</v>
      </c>
      <c r="I178" s="102" t="s">
        <v>119</v>
      </c>
      <c r="J178" s="102" t="s">
        <v>120</v>
      </c>
      <c r="K178" s="82"/>
      <c r="L178" s="82"/>
    </row>
    <row r="179" spans="2:12" s="1" customFormat="1" ht="12.75" x14ac:dyDescent="0.15">
      <c r="B179" s="82"/>
      <c r="C179" s="66">
        <f>C110</f>
        <v>450</v>
      </c>
      <c r="D179" s="389">
        <v>19</v>
      </c>
      <c r="E179" s="389"/>
      <c r="F179" s="13">
        <f>F110</f>
        <v>0.8</v>
      </c>
      <c r="G179" s="14">
        <f>G110</f>
        <v>8</v>
      </c>
      <c r="H179" s="142">
        <f>D179*G179*F179</f>
        <v>121.60000000000001</v>
      </c>
      <c r="I179" s="66">
        <f>I241</f>
        <v>0</v>
      </c>
      <c r="J179" s="143">
        <f>H179-J241</f>
        <v>121.60000000000001</v>
      </c>
      <c r="K179" s="82"/>
      <c r="L179" s="82"/>
    </row>
    <row r="180" spans="2:12" s="1" customFormat="1" ht="33.75" x14ac:dyDescent="0.15">
      <c r="B180" s="82"/>
      <c r="C180" s="167" t="s">
        <v>121</v>
      </c>
      <c r="D180" s="395" t="s">
        <v>122</v>
      </c>
      <c r="E180" s="395"/>
      <c r="F180" s="177" t="s">
        <v>123</v>
      </c>
      <c r="G180" s="178" t="s">
        <v>124</v>
      </c>
      <c r="H180" s="179" t="s">
        <v>125</v>
      </c>
      <c r="I180" s="180" t="s">
        <v>126</v>
      </c>
      <c r="J180" s="178" t="s">
        <v>127</v>
      </c>
      <c r="K180" s="114" t="s">
        <v>128</v>
      </c>
      <c r="L180" s="114" t="s">
        <v>129</v>
      </c>
    </row>
    <row r="181" spans="2:12" s="1" customFormat="1" ht="12.75" x14ac:dyDescent="0.15">
      <c r="B181" s="79"/>
      <c r="C181" s="193"/>
      <c r="D181" s="406"/>
      <c r="E181" s="406"/>
      <c r="F181" s="194"/>
      <c r="G181" s="195"/>
      <c r="H181" s="196"/>
      <c r="I181" s="176"/>
      <c r="J181" s="88"/>
      <c r="K181" s="79"/>
      <c r="L181" s="120"/>
    </row>
    <row r="182" spans="2:12" s="1" customFormat="1" ht="12.75" x14ac:dyDescent="0.15">
      <c r="B182" s="80"/>
      <c r="C182" s="392" t="s">
        <v>130</v>
      </c>
      <c r="D182" s="392"/>
      <c r="E182" s="392"/>
      <c r="F182" s="184"/>
      <c r="G182" s="92"/>
      <c r="H182" s="163"/>
      <c r="I182" s="126"/>
      <c r="J182" s="21"/>
      <c r="K182" s="80"/>
      <c r="L182" s="82"/>
    </row>
    <row r="183" spans="2:12" s="1" customFormat="1" ht="12.75" x14ac:dyDescent="0.15">
      <c r="B183" s="80"/>
      <c r="C183" s="167" t="s">
        <v>149</v>
      </c>
      <c r="D183" s="167"/>
      <c r="E183" s="167"/>
      <c r="F183" s="168"/>
      <c r="G183" s="92"/>
      <c r="H183" s="163"/>
      <c r="I183" s="126"/>
      <c r="J183" s="21"/>
      <c r="K183" s="80"/>
      <c r="L183" s="82"/>
    </row>
    <row r="184" spans="2:12" s="1" customFormat="1" ht="12.75" x14ac:dyDescent="0.15">
      <c r="B184" s="80">
        <v>1</v>
      </c>
      <c r="C184" s="89"/>
      <c r="D184" s="167"/>
      <c r="E184" s="167"/>
      <c r="F184" s="168"/>
      <c r="G184" s="92"/>
      <c r="H184" s="163">
        <v>1</v>
      </c>
      <c r="I184" s="126">
        <f>J184*$C$32</f>
        <v>0</v>
      </c>
      <c r="J184" s="21">
        <f>(F184*G184*H184)/$C$32</f>
        <v>0</v>
      </c>
      <c r="K184" s="80"/>
      <c r="L184" s="82"/>
    </row>
    <row r="185" spans="2:12" s="1" customFormat="1" ht="12.75" customHeight="1" x14ac:dyDescent="0.15">
      <c r="B185" s="80">
        <v>2</v>
      </c>
      <c r="C185" s="187"/>
      <c r="D185" s="90"/>
      <c r="E185" s="90"/>
      <c r="F185" s="168"/>
      <c r="G185" s="92"/>
      <c r="H185" s="163">
        <v>1</v>
      </c>
      <c r="I185" s="126">
        <f>J185*$C$32</f>
        <v>0</v>
      </c>
      <c r="J185" s="21">
        <f>(F185*G185*H185)/$C$32</f>
        <v>0</v>
      </c>
      <c r="K185" s="80"/>
      <c r="L185" s="82"/>
    </row>
    <row r="186" spans="2:12" s="1" customFormat="1" ht="12.75" customHeight="1" x14ac:dyDescent="0.15">
      <c r="B186" s="80">
        <v>3</v>
      </c>
      <c r="C186" s="188"/>
      <c r="D186" s="169"/>
      <c r="E186" s="169"/>
      <c r="F186" s="168"/>
      <c r="G186" s="92"/>
      <c r="H186" s="163">
        <v>1</v>
      </c>
      <c r="I186" s="126">
        <f t="shared" ref="I186:I216" si="15">J186*$C$32</f>
        <v>0</v>
      </c>
      <c r="J186" s="21">
        <f t="shared" ref="J186:J216" si="16">(F186*G186*H186)/$C$32</f>
        <v>0</v>
      </c>
      <c r="K186" s="80"/>
      <c r="L186" s="82"/>
    </row>
    <row r="187" spans="2:12" s="1" customFormat="1" ht="12.75" customHeight="1" x14ac:dyDescent="0.15">
      <c r="B187" s="80">
        <v>4</v>
      </c>
      <c r="C187" s="188"/>
      <c r="D187" s="169"/>
      <c r="E187" s="169"/>
      <c r="F187" s="168"/>
      <c r="G187" s="92"/>
      <c r="H187" s="163">
        <v>1</v>
      </c>
      <c r="I187" s="126">
        <f t="shared" si="15"/>
        <v>0</v>
      </c>
      <c r="J187" s="21">
        <f t="shared" si="16"/>
        <v>0</v>
      </c>
      <c r="K187" s="80"/>
      <c r="L187" s="82"/>
    </row>
    <row r="188" spans="2:12" s="1" customFormat="1" ht="12.75" customHeight="1" x14ac:dyDescent="0.15">
      <c r="B188" s="80">
        <v>5</v>
      </c>
      <c r="C188" s="189"/>
      <c r="D188" s="169"/>
      <c r="E188" s="169"/>
      <c r="F188" s="168"/>
      <c r="G188" s="92"/>
      <c r="H188" s="163">
        <v>1</v>
      </c>
      <c r="I188" s="126">
        <f t="shared" si="15"/>
        <v>0</v>
      </c>
      <c r="J188" s="21">
        <f t="shared" si="16"/>
        <v>0</v>
      </c>
      <c r="K188" s="80"/>
      <c r="L188" s="82"/>
    </row>
    <row r="189" spans="2:12" s="1" customFormat="1" ht="12.75" customHeight="1" x14ac:dyDescent="0.15">
      <c r="B189" s="80">
        <v>6</v>
      </c>
      <c r="C189" s="188"/>
      <c r="D189" s="190"/>
      <c r="E189" s="190"/>
      <c r="F189" s="168"/>
      <c r="G189" s="92"/>
      <c r="H189" s="163">
        <v>1</v>
      </c>
      <c r="I189" s="126">
        <f t="shared" si="15"/>
        <v>0</v>
      </c>
      <c r="J189" s="21">
        <f t="shared" si="16"/>
        <v>0</v>
      </c>
      <c r="K189" s="80"/>
      <c r="L189" s="82"/>
    </row>
    <row r="190" spans="2:12" s="1" customFormat="1" ht="12.75" customHeight="1" x14ac:dyDescent="0.15">
      <c r="B190" s="80">
        <v>7</v>
      </c>
      <c r="C190" s="188"/>
      <c r="D190" s="169"/>
      <c r="E190" s="169"/>
      <c r="F190" s="168"/>
      <c r="G190" s="92"/>
      <c r="H190" s="163">
        <v>1</v>
      </c>
      <c r="I190" s="126">
        <f t="shared" si="15"/>
        <v>0</v>
      </c>
      <c r="J190" s="21">
        <f t="shared" si="16"/>
        <v>0</v>
      </c>
      <c r="K190" s="80"/>
      <c r="L190" s="82"/>
    </row>
    <row r="191" spans="2:12" s="1" customFormat="1" ht="12.75" customHeight="1" x14ac:dyDescent="0.15">
      <c r="B191" s="80">
        <v>8</v>
      </c>
      <c r="C191" s="188"/>
      <c r="D191" s="169"/>
      <c r="E191" s="169"/>
      <c r="F191" s="168"/>
      <c r="G191" s="92"/>
      <c r="H191" s="163">
        <v>1</v>
      </c>
      <c r="I191" s="192">
        <f t="shared" si="15"/>
        <v>0</v>
      </c>
      <c r="J191" s="21">
        <f t="shared" si="16"/>
        <v>0</v>
      </c>
      <c r="K191" s="80"/>
      <c r="L191" s="82"/>
    </row>
    <row r="192" spans="2:12" s="1" customFormat="1" ht="12.75" customHeight="1" x14ac:dyDescent="0.15">
      <c r="B192" s="80">
        <v>9</v>
      </c>
      <c r="C192" s="188"/>
      <c r="D192" s="90"/>
      <c r="E192" s="90"/>
      <c r="F192" s="168"/>
      <c r="G192" s="92"/>
      <c r="H192" s="163">
        <v>1</v>
      </c>
      <c r="I192" s="192">
        <f t="shared" si="15"/>
        <v>0</v>
      </c>
      <c r="J192" s="21">
        <f t="shared" si="16"/>
        <v>0</v>
      </c>
      <c r="K192" s="80"/>
      <c r="L192" s="82"/>
    </row>
    <row r="193" spans="2:12" s="1" customFormat="1" ht="12.75" x14ac:dyDescent="0.15">
      <c r="B193" s="80">
        <v>10</v>
      </c>
      <c r="C193" s="113"/>
      <c r="D193" s="90"/>
      <c r="E193" s="90"/>
      <c r="F193" s="168"/>
      <c r="G193" s="92"/>
      <c r="H193" s="163">
        <v>1</v>
      </c>
      <c r="I193" s="192">
        <f t="shared" si="15"/>
        <v>0</v>
      </c>
      <c r="J193" s="21">
        <f t="shared" si="16"/>
        <v>0</v>
      </c>
      <c r="K193" s="80"/>
      <c r="L193" s="82"/>
    </row>
    <row r="194" spans="2:12" s="1" customFormat="1" ht="12.75" x14ac:dyDescent="0.15">
      <c r="B194" s="80"/>
      <c r="C194" s="113"/>
      <c r="D194" s="90"/>
      <c r="E194" s="90"/>
      <c r="F194" s="168"/>
      <c r="G194" s="92"/>
      <c r="H194" s="163"/>
      <c r="I194" s="192"/>
      <c r="J194" s="21"/>
      <c r="K194" s="80"/>
      <c r="L194" s="82"/>
    </row>
    <row r="195" spans="2:12" s="1" customFormat="1" ht="12.75" x14ac:dyDescent="0.15">
      <c r="B195" s="80"/>
      <c r="C195" s="113"/>
      <c r="D195" s="90"/>
      <c r="E195" s="90"/>
      <c r="F195" s="168"/>
      <c r="G195" s="92"/>
      <c r="H195" s="163"/>
      <c r="I195" s="192"/>
      <c r="J195" s="21"/>
      <c r="K195" s="80"/>
      <c r="L195" s="82"/>
    </row>
    <row r="196" spans="2:12" s="1" customFormat="1" ht="12.75" x14ac:dyDescent="0.15">
      <c r="B196" s="80"/>
      <c r="C196" s="117" t="s">
        <v>156</v>
      </c>
      <c r="D196" s="90"/>
      <c r="E196" s="90"/>
      <c r="F196" s="168"/>
      <c r="G196" s="92"/>
      <c r="H196" s="163"/>
      <c r="I196" s="192"/>
      <c r="J196" s="21"/>
      <c r="K196" s="80"/>
      <c r="L196" s="82"/>
    </row>
    <row r="197" spans="2:12" s="1" customFormat="1" ht="12.75" x14ac:dyDescent="0.15">
      <c r="B197" s="80">
        <v>1</v>
      </c>
      <c r="C197" s="188"/>
      <c r="D197" s="169"/>
      <c r="E197" s="169"/>
      <c r="F197" s="168"/>
      <c r="G197" s="92"/>
      <c r="H197" s="163">
        <v>1</v>
      </c>
      <c r="I197" s="192">
        <f t="shared" si="15"/>
        <v>0</v>
      </c>
      <c r="J197" s="21">
        <f t="shared" si="16"/>
        <v>0</v>
      </c>
      <c r="K197" s="80"/>
      <c r="L197" s="82"/>
    </row>
    <row r="198" spans="2:12" s="1" customFormat="1" ht="12.75" x14ac:dyDescent="0.15">
      <c r="B198" s="80">
        <v>2</v>
      </c>
      <c r="C198" s="188"/>
      <c r="D198" s="169"/>
      <c r="E198" s="169"/>
      <c r="F198" s="168"/>
      <c r="G198" s="92"/>
      <c r="H198" s="163">
        <v>1</v>
      </c>
      <c r="I198" s="192">
        <f t="shared" si="15"/>
        <v>0</v>
      </c>
      <c r="J198" s="21">
        <f t="shared" si="16"/>
        <v>0</v>
      </c>
      <c r="K198" s="80"/>
      <c r="L198" s="82"/>
    </row>
    <row r="199" spans="2:12" s="1" customFormat="1" ht="12.75" x14ac:dyDescent="0.15">
      <c r="B199" s="80">
        <v>3</v>
      </c>
      <c r="C199" s="188"/>
      <c r="D199" s="169"/>
      <c r="E199" s="169"/>
      <c r="F199" s="168"/>
      <c r="G199" s="92"/>
      <c r="H199" s="163">
        <v>1</v>
      </c>
      <c r="I199" s="192">
        <f t="shared" si="15"/>
        <v>0</v>
      </c>
      <c r="J199" s="21">
        <f t="shared" si="16"/>
        <v>0</v>
      </c>
      <c r="K199" s="80"/>
      <c r="L199" s="82"/>
    </row>
    <row r="200" spans="2:12" s="1" customFormat="1" ht="13.5" customHeight="1" x14ac:dyDescent="0.15">
      <c r="B200" s="80">
        <v>4</v>
      </c>
      <c r="C200" s="188"/>
      <c r="D200" s="169"/>
      <c r="E200" s="169"/>
      <c r="F200" s="168"/>
      <c r="G200" s="92"/>
      <c r="H200" s="163">
        <v>1</v>
      </c>
      <c r="I200" s="192">
        <f t="shared" si="15"/>
        <v>0</v>
      </c>
      <c r="J200" s="21">
        <f t="shared" si="16"/>
        <v>0</v>
      </c>
      <c r="K200" s="80"/>
      <c r="L200" s="82"/>
    </row>
    <row r="201" spans="2:12" s="1" customFormat="1" ht="13.5" customHeight="1" x14ac:dyDescent="0.15">
      <c r="B201" s="80">
        <v>5</v>
      </c>
      <c r="C201" s="188"/>
      <c r="D201" s="169"/>
      <c r="E201" s="169"/>
      <c r="F201" s="168"/>
      <c r="G201" s="92"/>
      <c r="H201" s="163">
        <v>1</v>
      </c>
      <c r="I201" s="129">
        <f t="shared" si="15"/>
        <v>0</v>
      </c>
      <c r="J201" s="21">
        <f t="shared" si="16"/>
        <v>0</v>
      </c>
      <c r="K201" s="80"/>
      <c r="L201" s="82"/>
    </row>
    <row r="202" spans="2:12" s="1" customFormat="1" ht="13.5" customHeight="1" x14ac:dyDescent="0.15">
      <c r="B202" s="80">
        <v>6</v>
      </c>
      <c r="C202" s="189"/>
      <c r="D202" s="169"/>
      <c r="E202" s="90"/>
      <c r="F202" s="168"/>
      <c r="G202" s="92"/>
      <c r="H202" s="163">
        <v>1</v>
      </c>
      <c r="I202" s="129">
        <f t="shared" si="15"/>
        <v>0</v>
      </c>
      <c r="J202" s="21">
        <f t="shared" si="16"/>
        <v>0</v>
      </c>
      <c r="K202" s="80"/>
      <c r="L202" s="82"/>
    </row>
    <row r="203" spans="2:12" s="1" customFormat="1" ht="13.5" customHeight="1" x14ac:dyDescent="0.15">
      <c r="B203" s="80">
        <v>7</v>
      </c>
      <c r="C203" s="189"/>
      <c r="D203" s="90"/>
      <c r="E203" s="90"/>
      <c r="F203" s="168"/>
      <c r="G203" s="92"/>
      <c r="H203" s="163">
        <v>1</v>
      </c>
      <c r="I203" s="129">
        <f t="shared" si="15"/>
        <v>0</v>
      </c>
      <c r="J203" s="21">
        <f t="shared" si="16"/>
        <v>0</v>
      </c>
      <c r="K203" s="80"/>
      <c r="L203" s="82"/>
    </row>
    <row r="204" spans="2:12" s="1" customFormat="1" ht="13.5" customHeight="1" x14ac:dyDescent="0.15">
      <c r="B204" s="80">
        <v>8</v>
      </c>
      <c r="C204" s="189"/>
      <c r="D204" s="90"/>
      <c r="E204" s="90"/>
      <c r="F204" s="191"/>
      <c r="G204" s="92"/>
      <c r="H204" s="163">
        <v>1</v>
      </c>
      <c r="I204" s="129">
        <f t="shared" si="15"/>
        <v>0</v>
      </c>
      <c r="J204" s="21">
        <f t="shared" si="16"/>
        <v>0</v>
      </c>
      <c r="K204" s="80"/>
      <c r="L204" s="82"/>
    </row>
    <row r="205" spans="2:12" s="1" customFormat="1" ht="13.5" customHeight="1" x14ac:dyDescent="0.15">
      <c r="B205" s="80">
        <v>9</v>
      </c>
      <c r="C205" s="189"/>
      <c r="D205" s="90"/>
      <c r="E205" s="90"/>
      <c r="F205" s="168"/>
      <c r="G205" s="92"/>
      <c r="H205" s="163">
        <v>1</v>
      </c>
      <c r="I205" s="129">
        <f t="shared" si="15"/>
        <v>0</v>
      </c>
      <c r="J205" s="21">
        <f t="shared" si="16"/>
        <v>0</v>
      </c>
      <c r="K205" s="80"/>
      <c r="L205" s="82"/>
    </row>
    <row r="206" spans="2:12" s="1" customFormat="1" ht="13.5" customHeight="1" x14ac:dyDescent="0.15">
      <c r="B206" s="80">
        <v>10</v>
      </c>
      <c r="C206" s="189"/>
      <c r="D206" s="90"/>
      <c r="E206" s="90"/>
      <c r="F206" s="168"/>
      <c r="G206" s="92"/>
      <c r="H206" s="163">
        <v>1</v>
      </c>
      <c r="I206" s="129">
        <f t="shared" si="15"/>
        <v>0</v>
      </c>
      <c r="J206" s="21">
        <f t="shared" si="16"/>
        <v>0</v>
      </c>
      <c r="K206" s="80"/>
      <c r="L206" s="82"/>
    </row>
    <row r="207" spans="2:12" s="1" customFormat="1" ht="12.75" x14ac:dyDescent="0.15">
      <c r="B207" s="80">
        <v>11</v>
      </c>
      <c r="C207" s="189"/>
      <c r="D207" s="90"/>
      <c r="E207" s="90"/>
      <c r="F207" s="168"/>
      <c r="G207" s="92"/>
      <c r="H207" s="163">
        <v>1</v>
      </c>
      <c r="I207" s="129">
        <f t="shared" si="15"/>
        <v>0</v>
      </c>
      <c r="J207" s="21">
        <f t="shared" si="16"/>
        <v>0</v>
      </c>
      <c r="K207" s="80"/>
      <c r="L207" s="82"/>
    </row>
    <row r="208" spans="2:12" s="1" customFormat="1" ht="12.75" x14ac:dyDescent="0.15">
      <c r="B208" s="80">
        <v>12</v>
      </c>
      <c r="C208" s="189"/>
      <c r="D208" s="90"/>
      <c r="E208" s="90"/>
      <c r="F208" s="168"/>
      <c r="G208" s="92"/>
      <c r="H208" s="163">
        <v>1</v>
      </c>
      <c r="I208" s="129">
        <f t="shared" si="15"/>
        <v>0</v>
      </c>
      <c r="J208" s="21">
        <f t="shared" si="16"/>
        <v>0</v>
      </c>
      <c r="K208" s="80"/>
      <c r="L208" s="82"/>
    </row>
    <row r="209" spans="2:12" s="1" customFormat="1" ht="12.75" x14ac:dyDescent="0.15">
      <c r="B209" s="80">
        <v>13</v>
      </c>
      <c r="C209" s="189"/>
      <c r="D209" s="90"/>
      <c r="E209" s="90"/>
      <c r="F209" s="168"/>
      <c r="G209" s="92"/>
      <c r="H209" s="163">
        <v>1</v>
      </c>
      <c r="I209" s="129">
        <f t="shared" si="15"/>
        <v>0</v>
      </c>
      <c r="J209" s="21">
        <f t="shared" si="16"/>
        <v>0</v>
      </c>
      <c r="K209" s="80"/>
      <c r="L209" s="82"/>
    </row>
    <row r="210" spans="2:12" s="1" customFormat="1" ht="12.75" x14ac:dyDescent="0.15">
      <c r="B210" s="80">
        <v>14</v>
      </c>
      <c r="C210" s="189"/>
      <c r="D210" s="90"/>
      <c r="E210" s="90"/>
      <c r="F210" s="168"/>
      <c r="G210" s="92"/>
      <c r="H210" s="163">
        <v>1</v>
      </c>
      <c r="I210" s="129">
        <f t="shared" si="15"/>
        <v>0</v>
      </c>
      <c r="J210" s="21">
        <f t="shared" si="16"/>
        <v>0</v>
      </c>
      <c r="K210" s="80"/>
      <c r="L210" s="82"/>
    </row>
    <row r="211" spans="2:12" s="1" customFormat="1" ht="12.75" x14ac:dyDescent="0.15">
      <c r="B211" s="80">
        <v>15</v>
      </c>
      <c r="C211" s="189"/>
      <c r="D211" s="90"/>
      <c r="E211" s="90"/>
      <c r="F211" s="168"/>
      <c r="G211" s="92"/>
      <c r="H211" s="163">
        <v>1</v>
      </c>
      <c r="I211" s="129">
        <f t="shared" si="15"/>
        <v>0</v>
      </c>
      <c r="J211" s="21">
        <f t="shared" si="16"/>
        <v>0</v>
      </c>
      <c r="K211" s="80"/>
      <c r="L211" s="82"/>
    </row>
    <row r="212" spans="2:12" s="1" customFormat="1" ht="12.75" x14ac:dyDescent="0.15">
      <c r="B212" s="80">
        <v>16</v>
      </c>
      <c r="C212" s="189"/>
      <c r="D212" s="90"/>
      <c r="E212" s="90"/>
      <c r="F212" s="168"/>
      <c r="G212" s="92"/>
      <c r="H212" s="163">
        <v>1</v>
      </c>
      <c r="I212" s="129">
        <f t="shared" si="15"/>
        <v>0</v>
      </c>
      <c r="J212" s="21">
        <f t="shared" si="16"/>
        <v>0</v>
      </c>
      <c r="K212" s="80"/>
      <c r="L212" s="82"/>
    </row>
    <row r="213" spans="2:12" s="1" customFormat="1" ht="12.75" x14ac:dyDescent="0.15">
      <c r="B213" s="80">
        <v>17</v>
      </c>
      <c r="C213" s="189"/>
      <c r="D213" s="90"/>
      <c r="E213" s="90"/>
      <c r="F213" s="168"/>
      <c r="G213" s="92"/>
      <c r="H213" s="163">
        <v>1</v>
      </c>
      <c r="I213" s="129">
        <f t="shared" si="15"/>
        <v>0</v>
      </c>
      <c r="J213" s="21">
        <f t="shared" si="16"/>
        <v>0</v>
      </c>
      <c r="K213" s="80"/>
      <c r="L213" s="82"/>
    </row>
    <row r="214" spans="2:12" s="1" customFormat="1" ht="12.75" x14ac:dyDescent="0.15">
      <c r="B214" s="80">
        <v>18</v>
      </c>
      <c r="C214" s="189"/>
      <c r="D214" s="90"/>
      <c r="E214" s="90"/>
      <c r="F214" s="168"/>
      <c r="G214" s="92"/>
      <c r="H214" s="163">
        <v>1</v>
      </c>
      <c r="I214" s="129">
        <f t="shared" si="15"/>
        <v>0</v>
      </c>
      <c r="J214" s="21">
        <f t="shared" si="16"/>
        <v>0</v>
      </c>
      <c r="K214" s="80"/>
      <c r="L214" s="82"/>
    </row>
    <row r="215" spans="2:12" s="1" customFormat="1" ht="12.75" x14ac:dyDescent="0.15">
      <c r="B215" s="80">
        <v>19</v>
      </c>
      <c r="C215" s="188"/>
      <c r="D215" s="89"/>
      <c r="E215" s="89"/>
      <c r="F215" s="168"/>
      <c r="G215" s="92"/>
      <c r="H215" s="163">
        <v>1</v>
      </c>
      <c r="I215" s="129">
        <f t="shared" si="15"/>
        <v>0</v>
      </c>
      <c r="J215" s="21">
        <f t="shared" si="16"/>
        <v>0</v>
      </c>
      <c r="K215" s="80"/>
      <c r="L215" s="82"/>
    </row>
    <row r="216" spans="2:12" s="1" customFormat="1" ht="12.75" x14ac:dyDescent="0.15">
      <c r="B216" s="80">
        <v>20</v>
      </c>
      <c r="C216" s="188"/>
      <c r="D216" s="90"/>
      <c r="E216" s="90"/>
      <c r="F216" s="168"/>
      <c r="G216" s="92"/>
      <c r="H216" s="163">
        <v>1</v>
      </c>
      <c r="I216" s="129">
        <f t="shared" si="15"/>
        <v>0</v>
      </c>
      <c r="J216" s="21">
        <f t="shared" si="16"/>
        <v>0</v>
      </c>
      <c r="K216" s="80"/>
      <c r="L216" s="82"/>
    </row>
    <row r="217" spans="2:12" s="1" customFormat="1" ht="12.75" x14ac:dyDescent="0.15">
      <c r="B217" s="80"/>
      <c r="C217" s="188"/>
      <c r="D217" s="90"/>
      <c r="E217" s="90"/>
      <c r="F217" s="168"/>
      <c r="G217" s="92"/>
      <c r="H217" s="163"/>
      <c r="I217" s="129"/>
      <c r="J217" s="21"/>
      <c r="K217" s="80"/>
      <c r="L217" s="82"/>
    </row>
    <row r="218" spans="2:12" s="1" customFormat="1" ht="12.75" x14ac:dyDescent="0.15">
      <c r="B218" s="80"/>
      <c r="C218" s="188"/>
      <c r="D218" s="90"/>
      <c r="E218" s="90"/>
      <c r="F218" s="168"/>
      <c r="G218" s="92"/>
      <c r="H218" s="163"/>
      <c r="I218" s="129"/>
      <c r="J218" s="21"/>
      <c r="K218" s="80"/>
      <c r="L218" s="82"/>
    </row>
    <row r="219" spans="2:12" s="1" customFormat="1" ht="12.75" x14ac:dyDescent="0.15">
      <c r="B219" s="80"/>
      <c r="C219" s="167" t="s">
        <v>157</v>
      </c>
      <c r="D219" s="90"/>
      <c r="E219" s="90"/>
      <c r="F219" s="168"/>
      <c r="G219" s="92"/>
      <c r="H219" s="163"/>
      <c r="I219" s="129"/>
      <c r="J219" s="27"/>
      <c r="K219" s="80"/>
      <c r="L219" s="82"/>
    </row>
    <row r="220" spans="2:12" s="1" customFormat="1" ht="12.75" x14ac:dyDescent="0.15">
      <c r="B220" s="80">
        <v>1</v>
      </c>
      <c r="C220" s="89"/>
      <c r="D220" s="90"/>
      <c r="E220" s="90"/>
      <c r="F220" s="168"/>
      <c r="G220" s="92"/>
      <c r="H220" s="163">
        <v>1</v>
      </c>
      <c r="I220" s="129">
        <f t="shared" ref="I220:I239" si="17">J220*$C$32</f>
        <v>0</v>
      </c>
      <c r="J220" s="27">
        <f t="shared" ref="J220:J239" si="18">(F220*G220*H220)/$C$32</f>
        <v>0</v>
      </c>
      <c r="K220" s="80"/>
      <c r="L220" s="82"/>
    </row>
    <row r="221" spans="2:12" s="1" customFormat="1" ht="12.75" x14ac:dyDescent="0.15">
      <c r="B221" s="80">
        <v>2</v>
      </c>
      <c r="C221" s="183"/>
      <c r="D221" s="90"/>
      <c r="E221" s="90"/>
      <c r="F221" s="168"/>
      <c r="G221" s="92"/>
      <c r="H221" s="163">
        <v>1</v>
      </c>
      <c r="I221" s="129">
        <f t="shared" si="17"/>
        <v>0</v>
      </c>
      <c r="J221" s="27">
        <f t="shared" si="18"/>
        <v>0</v>
      </c>
      <c r="K221" s="80"/>
      <c r="L221" s="82"/>
    </row>
    <row r="222" spans="2:12" s="1" customFormat="1" ht="12.75" x14ac:dyDescent="0.15">
      <c r="B222" s="80">
        <v>3</v>
      </c>
      <c r="C222" s="89"/>
      <c r="D222" s="90"/>
      <c r="E222" s="90"/>
      <c r="F222" s="168"/>
      <c r="G222" s="92"/>
      <c r="H222" s="163">
        <v>1</v>
      </c>
      <c r="I222" s="129">
        <f t="shared" si="17"/>
        <v>0</v>
      </c>
      <c r="J222" s="27">
        <f t="shared" si="18"/>
        <v>0</v>
      </c>
      <c r="K222" s="80"/>
      <c r="L222" s="82"/>
    </row>
    <row r="223" spans="2:12" s="1" customFormat="1" ht="12.75" x14ac:dyDescent="0.15">
      <c r="B223" s="80">
        <v>4</v>
      </c>
      <c r="C223" s="169"/>
      <c r="D223" s="90"/>
      <c r="E223" s="90"/>
      <c r="F223" s="168"/>
      <c r="G223" s="92"/>
      <c r="H223" s="163">
        <v>1</v>
      </c>
      <c r="I223" s="129">
        <f t="shared" si="17"/>
        <v>0</v>
      </c>
      <c r="J223" s="27">
        <f t="shared" si="18"/>
        <v>0</v>
      </c>
      <c r="K223" s="80"/>
      <c r="L223" s="82"/>
    </row>
    <row r="224" spans="2:12" s="1" customFormat="1" ht="12.75" x14ac:dyDescent="0.15">
      <c r="B224" s="80">
        <v>5</v>
      </c>
      <c r="C224" s="183"/>
      <c r="D224" s="90"/>
      <c r="E224" s="90"/>
      <c r="F224" s="168"/>
      <c r="G224" s="92"/>
      <c r="H224" s="163">
        <v>1</v>
      </c>
      <c r="I224" s="129">
        <f t="shared" si="17"/>
        <v>0</v>
      </c>
      <c r="J224" s="27">
        <f t="shared" si="18"/>
        <v>0</v>
      </c>
      <c r="K224" s="80"/>
      <c r="L224" s="82"/>
    </row>
    <row r="225" spans="2:12" s="1" customFormat="1" ht="12.75" x14ac:dyDescent="0.15">
      <c r="B225" s="80">
        <v>6</v>
      </c>
      <c r="C225" s="89"/>
      <c r="D225" s="90"/>
      <c r="E225" s="90"/>
      <c r="F225" s="168"/>
      <c r="G225" s="92"/>
      <c r="H225" s="163">
        <v>1</v>
      </c>
      <c r="I225" s="129">
        <f t="shared" si="17"/>
        <v>0</v>
      </c>
      <c r="J225" s="27">
        <f t="shared" si="18"/>
        <v>0</v>
      </c>
      <c r="K225" s="80"/>
      <c r="L225" s="82"/>
    </row>
    <row r="226" spans="2:12" s="1" customFormat="1" ht="12.75" x14ac:dyDescent="0.15">
      <c r="B226" s="80">
        <v>7</v>
      </c>
      <c r="C226" s="183"/>
      <c r="D226" s="90"/>
      <c r="E226" s="90"/>
      <c r="F226" s="168"/>
      <c r="G226" s="92"/>
      <c r="H226" s="163">
        <v>1</v>
      </c>
      <c r="I226" s="129">
        <f t="shared" si="17"/>
        <v>0</v>
      </c>
      <c r="J226" s="27">
        <f t="shared" si="18"/>
        <v>0</v>
      </c>
      <c r="K226" s="80"/>
      <c r="L226" s="82"/>
    </row>
    <row r="227" spans="2:12" s="1" customFormat="1" ht="12.75" x14ac:dyDescent="0.15">
      <c r="B227" s="80">
        <v>8</v>
      </c>
      <c r="C227" s="183"/>
      <c r="D227" s="90"/>
      <c r="E227" s="90"/>
      <c r="F227" s="168"/>
      <c r="G227" s="92"/>
      <c r="H227" s="163">
        <v>1</v>
      </c>
      <c r="I227" s="129">
        <f t="shared" si="17"/>
        <v>0</v>
      </c>
      <c r="J227" s="27">
        <f t="shared" si="18"/>
        <v>0</v>
      </c>
      <c r="K227" s="80"/>
      <c r="L227" s="82"/>
    </row>
    <row r="228" spans="2:12" s="1" customFormat="1" ht="12.75" x14ac:dyDescent="0.15">
      <c r="B228" s="80">
        <v>9</v>
      </c>
      <c r="C228" s="183"/>
      <c r="D228" s="90"/>
      <c r="E228" s="90"/>
      <c r="F228" s="168"/>
      <c r="G228" s="92"/>
      <c r="H228" s="163">
        <v>1</v>
      </c>
      <c r="I228" s="129">
        <f t="shared" si="17"/>
        <v>0</v>
      </c>
      <c r="J228" s="27">
        <f t="shared" si="18"/>
        <v>0</v>
      </c>
      <c r="K228" s="80"/>
      <c r="L228" s="82"/>
    </row>
    <row r="229" spans="2:12" s="1" customFormat="1" ht="12.75" x14ac:dyDescent="0.15">
      <c r="B229" s="80">
        <v>10</v>
      </c>
      <c r="C229" s="183"/>
      <c r="D229" s="90"/>
      <c r="E229" s="90"/>
      <c r="F229" s="168"/>
      <c r="G229" s="92"/>
      <c r="H229" s="163">
        <v>1</v>
      </c>
      <c r="I229" s="129">
        <f t="shared" si="17"/>
        <v>0</v>
      </c>
      <c r="J229" s="27">
        <f t="shared" si="18"/>
        <v>0</v>
      </c>
      <c r="K229" s="80"/>
      <c r="L229" s="82"/>
    </row>
    <row r="230" spans="2:12" s="1" customFormat="1" ht="12.75" x14ac:dyDescent="0.15">
      <c r="B230" s="80">
        <v>11</v>
      </c>
      <c r="C230" s="183"/>
      <c r="D230" s="90"/>
      <c r="E230" s="90"/>
      <c r="F230" s="168"/>
      <c r="G230" s="92"/>
      <c r="H230" s="163">
        <v>1</v>
      </c>
      <c r="I230" s="129">
        <f t="shared" si="17"/>
        <v>0</v>
      </c>
      <c r="J230" s="27">
        <f t="shared" si="18"/>
        <v>0</v>
      </c>
      <c r="K230" s="80"/>
      <c r="L230" s="82"/>
    </row>
    <row r="231" spans="2:12" s="1" customFormat="1" ht="12.75" x14ac:dyDescent="0.15">
      <c r="B231" s="80">
        <v>12</v>
      </c>
      <c r="C231" s="183"/>
      <c r="D231" s="90"/>
      <c r="E231" s="90"/>
      <c r="F231" s="168"/>
      <c r="G231" s="92"/>
      <c r="H231" s="163">
        <v>1</v>
      </c>
      <c r="I231" s="129">
        <f t="shared" si="17"/>
        <v>0</v>
      </c>
      <c r="J231" s="27">
        <f t="shared" si="18"/>
        <v>0</v>
      </c>
      <c r="K231" s="80"/>
      <c r="L231" s="82"/>
    </row>
    <row r="232" spans="2:12" s="1" customFormat="1" ht="12.75" x14ac:dyDescent="0.15">
      <c r="B232" s="80">
        <v>13</v>
      </c>
      <c r="C232" s="183"/>
      <c r="D232" s="90"/>
      <c r="E232" s="90"/>
      <c r="F232" s="168"/>
      <c r="G232" s="92"/>
      <c r="H232" s="163">
        <v>1</v>
      </c>
      <c r="I232" s="129">
        <f t="shared" si="17"/>
        <v>0</v>
      </c>
      <c r="J232" s="27">
        <f t="shared" si="18"/>
        <v>0</v>
      </c>
      <c r="K232" s="80"/>
      <c r="L232" s="82"/>
    </row>
    <row r="233" spans="2:12" s="1" customFormat="1" ht="12.75" x14ac:dyDescent="0.15">
      <c r="B233" s="80">
        <v>14</v>
      </c>
      <c r="C233" s="183"/>
      <c r="D233" s="90"/>
      <c r="E233" s="90"/>
      <c r="F233" s="168"/>
      <c r="G233" s="92"/>
      <c r="H233" s="163">
        <v>1</v>
      </c>
      <c r="I233" s="129">
        <f t="shared" si="17"/>
        <v>0</v>
      </c>
      <c r="J233" s="27">
        <f t="shared" si="18"/>
        <v>0</v>
      </c>
      <c r="K233" s="80"/>
      <c r="L233" s="82"/>
    </row>
    <row r="234" spans="2:12" s="1" customFormat="1" ht="12.75" x14ac:dyDescent="0.15">
      <c r="B234" s="80">
        <v>15</v>
      </c>
      <c r="C234" s="183"/>
      <c r="D234" s="90"/>
      <c r="E234" s="90"/>
      <c r="F234" s="168"/>
      <c r="G234" s="92"/>
      <c r="H234" s="163">
        <v>1</v>
      </c>
      <c r="I234" s="129">
        <f t="shared" si="17"/>
        <v>0</v>
      </c>
      <c r="J234" s="27">
        <f t="shared" si="18"/>
        <v>0</v>
      </c>
      <c r="K234" s="80"/>
      <c r="L234" s="82"/>
    </row>
    <row r="235" spans="2:12" s="1" customFormat="1" ht="12.75" x14ac:dyDescent="0.15">
      <c r="B235" s="80">
        <v>16</v>
      </c>
      <c r="C235" s="183"/>
      <c r="D235" s="90"/>
      <c r="E235" s="90"/>
      <c r="F235" s="168"/>
      <c r="G235" s="92"/>
      <c r="H235" s="163">
        <v>1</v>
      </c>
      <c r="I235" s="129">
        <f t="shared" si="17"/>
        <v>0</v>
      </c>
      <c r="J235" s="27">
        <f t="shared" si="18"/>
        <v>0</v>
      </c>
      <c r="K235" s="80"/>
      <c r="L235" s="82"/>
    </row>
    <row r="236" spans="2:12" s="1" customFormat="1" ht="12.75" x14ac:dyDescent="0.15">
      <c r="B236" s="80">
        <v>17</v>
      </c>
      <c r="C236" s="183"/>
      <c r="D236" s="90"/>
      <c r="E236" s="90"/>
      <c r="F236" s="168"/>
      <c r="G236" s="92"/>
      <c r="H236" s="163">
        <v>1</v>
      </c>
      <c r="I236" s="129">
        <f t="shared" si="17"/>
        <v>0</v>
      </c>
      <c r="J236" s="27">
        <f t="shared" si="18"/>
        <v>0</v>
      </c>
      <c r="K236" s="80"/>
      <c r="L236" s="82"/>
    </row>
    <row r="237" spans="2:12" s="1" customFormat="1" ht="12.75" x14ac:dyDescent="0.15">
      <c r="B237" s="80">
        <v>18</v>
      </c>
      <c r="C237" s="183"/>
      <c r="D237" s="90"/>
      <c r="E237" s="90"/>
      <c r="F237" s="168"/>
      <c r="G237" s="92"/>
      <c r="H237" s="163">
        <v>1</v>
      </c>
      <c r="I237" s="132">
        <f t="shared" si="17"/>
        <v>0</v>
      </c>
      <c r="J237" s="182">
        <f t="shared" si="18"/>
        <v>0</v>
      </c>
      <c r="K237" s="111"/>
      <c r="L237" s="119"/>
    </row>
    <row r="238" spans="2:12" s="1" customFormat="1" ht="12.75" x14ac:dyDescent="0.15">
      <c r="B238" s="16">
        <v>19</v>
      </c>
      <c r="C238" s="186"/>
      <c r="D238" s="85"/>
      <c r="E238" s="85"/>
      <c r="F238" s="166"/>
      <c r="G238" s="87"/>
      <c r="H238" s="267">
        <v>1</v>
      </c>
      <c r="I238" s="168">
        <f t="shared" si="17"/>
        <v>0</v>
      </c>
      <c r="J238" s="185">
        <f t="shared" si="18"/>
        <v>0</v>
      </c>
      <c r="K238" s="82"/>
      <c r="L238" s="82"/>
    </row>
    <row r="239" spans="2:12" s="1" customFormat="1" ht="12.75" x14ac:dyDescent="0.15">
      <c r="B239" s="83">
        <v>20</v>
      </c>
      <c r="C239" s="181"/>
      <c r="D239" s="75"/>
      <c r="E239" s="75"/>
      <c r="F239" s="132"/>
      <c r="G239" s="77"/>
      <c r="H239" s="268">
        <v>1</v>
      </c>
      <c r="I239" s="168">
        <f t="shared" si="17"/>
        <v>0</v>
      </c>
      <c r="J239" s="185">
        <f t="shared" si="18"/>
        <v>0</v>
      </c>
      <c r="K239" s="82"/>
      <c r="L239" s="82"/>
    </row>
    <row r="240" spans="2:12" s="1" customFormat="1" ht="12.75" x14ac:dyDescent="0.15">
      <c r="B240" s="82"/>
      <c r="C240" s="183"/>
      <c r="D240" s="90"/>
      <c r="E240" s="90"/>
      <c r="F240" s="168"/>
      <c r="G240" s="92"/>
      <c r="H240" s="269"/>
      <c r="I240" s="168"/>
      <c r="J240" s="185"/>
      <c r="K240" s="82"/>
      <c r="L240" s="82"/>
    </row>
    <row r="241" spans="2:12" s="1" customFormat="1" ht="12.75" x14ac:dyDescent="0.15">
      <c r="B241" s="82"/>
      <c r="C241" s="102"/>
      <c r="D241" s="103"/>
      <c r="E241" s="102"/>
      <c r="F241" s="128">
        <f>SUM(F181:F240)</f>
        <v>0</v>
      </c>
      <c r="G241" s="104"/>
      <c r="H241" s="253"/>
      <c r="I241" s="128">
        <f>SUM(I182:I240)</f>
        <v>0</v>
      </c>
      <c r="J241" s="257">
        <f>SUM(J185:J226)</f>
        <v>0</v>
      </c>
    </row>
    <row r="242" spans="2:12" s="67" customFormat="1" ht="12.75" x14ac:dyDescent="0.15">
      <c r="B242" s="116"/>
      <c r="C242" s="114"/>
      <c r="D242" s="114"/>
      <c r="E242" s="114" t="s">
        <v>147</v>
      </c>
      <c r="F242" s="162">
        <f>100/115*F241</f>
        <v>0</v>
      </c>
      <c r="G242" s="161"/>
      <c r="H242" s="270" t="s">
        <v>147</v>
      </c>
      <c r="I242" s="162">
        <f>100/115*I241</f>
        <v>0</v>
      </c>
      <c r="J242" s="114"/>
    </row>
    <row r="243" spans="2:12" s="1" customFormat="1" ht="12.75" x14ac:dyDescent="0.15"/>
    <row r="244" spans="2:12" s="1" customFormat="1" ht="12.75" x14ac:dyDescent="0.15"/>
    <row r="245" spans="2:12" s="1" customFormat="1" ht="12.75" x14ac:dyDescent="0.15"/>
    <row r="246" spans="2:12" s="1" customFormat="1" ht="12.75" x14ac:dyDescent="0.15"/>
    <row r="247" spans="2:12" s="247" customFormat="1" ht="32.25" x14ac:dyDescent="0.4">
      <c r="B247" s="248"/>
      <c r="C247" s="380" t="s">
        <v>112</v>
      </c>
      <c r="D247" s="380"/>
      <c r="E247" s="428" t="s">
        <v>104</v>
      </c>
      <c r="F247" s="428"/>
      <c r="G247" s="428"/>
      <c r="H247" s="428"/>
      <c r="I247" s="428"/>
      <c r="J247" s="382">
        <v>2026</v>
      </c>
      <c r="K247" s="382"/>
      <c r="L247" s="382"/>
    </row>
    <row r="248" spans="2:12" s="1" customFormat="1" ht="22.5" x14ac:dyDescent="0.15">
      <c r="B248" s="82"/>
      <c r="C248" s="102" t="s">
        <v>114</v>
      </c>
      <c r="D248" s="388" t="s">
        <v>115</v>
      </c>
      <c r="E248" s="388"/>
      <c r="F248" s="102" t="s">
        <v>116</v>
      </c>
      <c r="G248" s="102" t="s">
        <v>117</v>
      </c>
      <c r="H248" s="102" t="s">
        <v>118</v>
      </c>
      <c r="I248" s="102" t="s">
        <v>119</v>
      </c>
      <c r="J248" s="102" t="s">
        <v>120</v>
      </c>
      <c r="K248" s="82"/>
      <c r="L248" s="82"/>
    </row>
    <row r="249" spans="2:12" s="1" customFormat="1" ht="12.75" x14ac:dyDescent="0.15">
      <c r="B249" s="82"/>
      <c r="C249" s="66">
        <f>C179</f>
        <v>450</v>
      </c>
      <c r="D249" s="389">
        <v>22</v>
      </c>
      <c r="E249" s="389"/>
      <c r="F249" s="13">
        <f>F179</f>
        <v>0.8</v>
      </c>
      <c r="G249" s="14">
        <f>G179</f>
        <v>8</v>
      </c>
      <c r="H249" s="142">
        <f>D249*G249*F249</f>
        <v>140.80000000000001</v>
      </c>
      <c r="I249" s="66">
        <f>I311</f>
        <v>0</v>
      </c>
      <c r="J249" s="143">
        <f>H249-J311</f>
        <v>140.80000000000001</v>
      </c>
      <c r="K249" s="82"/>
      <c r="L249" s="82"/>
    </row>
    <row r="250" spans="2:12" s="1" customFormat="1" ht="33.75" x14ac:dyDescent="0.15">
      <c r="B250" s="82"/>
      <c r="C250" s="167" t="s">
        <v>121</v>
      </c>
      <c r="D250" s="395" t="s">
        <v>122</v>
      </c>
      <c r="E250" s="395"/>
      <c r="F250" s="177" t="s">
        <v>123</v>
      </c>
      <c r="G250" s="178" t="s">
        <v>124</v>
      </c>
      <c r="H250" s="179" t="s">
        <v>125</v>
      </c>
      <c r="I250" s="180" t="s">
        <v>126</v>
      </c>
      <c r="J250" s="178" t="s">
        <v>127</v>
      </c>
      <c r="K250" s="114" t="s">
        <v>128</v>
      </c>
      <c r="L250" s="114" t="s">
        <v>129</v>
      </c>
    </row>
    <row r="251" spans="2:12" s="1" customFormat="1" ht="12.75" x14ac:dyDescent="0.15">
      <c r="B251" s="84"/>
      <c r="C251" s="81"/>
      <c r="D251" s="404"/>
      <c r="E251" s="404"/>
      <c r="F251" s="86"/>
      <c r="G251" s="87"/>
      <c r="H251" s="87"/>
      <c r="I251" s="176"/>
      <c r="J251" s="88"/>
      <c r="K251" s="79"/>
      <c r="L251" s="120"/>
    </row>
    <row r="252" spans="2:12" s="1" customFormat="1" ht="13.35" customHeight="1" x14ac:dyDescent="0.15">
      <c r="B252" s="16"/>
      <c r="C252" s="37" t="s">
        <v>158</v>
      </c>
      <c r="D252" s="24"/>
      <c r="E252" s="24"/>
      <c r="F252" s="129"/>
      <c r="G252" s="20"/>
      <c r="H252" s="20"/>
      <c r="I252" s="126"/>
      <c r="J252" s="38"/>
      <c r="K252" s="80"/>
      <c r="L252" s="82"/>
    </row>
    <row r="253" spans="2:12" s="1" customFormat="1" ht="13.35" customHeight="1" x14ac:dyDescent="0.15">
      <c r="B253" s="16"/>
      <c r="C253" s="37" t="s">
        <v>149</v>
      </c>
      <c r="D253" s="24"/>
      <c r="E253" s="24"/>
      <c r="F253" s="129"/>
      <c r="G253" s="20"/>
      <c r="H253" s="20"/>
      <c r="I253" s="126"/>
      <c r="J253" s="38"/>
      <c r="K253" s="80"/>
      <c r="L253" s="82"/>
    </row>
    <row r="254" spans="2:12" s="1" customFormat="1" ht="13.35" customHeight="1" x14ac:dyDescent="0.15">
      <c r="B254" s="16">
        <v>1</v>
      </c>
      <c r="C254" s="23"/>
      <c r="D254" s="24"/>
      <c r="E254" s="24"/>
      <c r="F254" s="129"/>
      <c r="G254" s="20"/>
      <c r="H254" s="20">
        <v>1</v>
      </c>
      <c r="I254" s="126">
        <f t="shared" ref="I254:I309" si="19">J254*$C$32</f>
        <v>0</v>
      </c>
      <c r="J254" s="38">
        <f t="shared" ref="J254:J269" si="20">(F254*G254*H254)/$C$32</f>
        <v>0</v>
      </c>
      <c r="K254" s="80"/>
      <c r="L254" s="82"/>
    </row>
    <row r="255" spans="2:12" s="1" customFormat="1" ht="13.35" customHeight="1" x14ac:dyDescent="0.15">
      <c r="B255" s="16">
        <v>2</v>
      </c>
      <c r="C255" s="23"/>
      <c r="D255" s="24"/>
      <c r="E255" s="24"/>
      <c r="F255" s="126"/>
      <c r="G255" s="20"/>
      <c r="H255" s="20">
        <v>1</v>
      </c>
      <c r="I255" s="126">
        <f t="shared" si="19"/>
        <v>0</v>
      </c>
      <c r="J255" s="38">
        <f t="shared" si="20"/>
        <v>0</v>
      </c>
      <c r="K255" s="80"/>
      <c r="L255" s="82"/>
    </row>
    <row r="256" spans="2:12" s="1" customFormat="1" ht="13.35" customHeight="1" x14ac:dyDescent="0.15">
      <c r="B256" s="16">
        <v>3</v>
      </c>
      <c r="C256" s="23"/>
      <c r="D256" s="25"/>
      <c r="E256" s="25"/>
      <c r="F256" s="129"/>
      <c r="G256" s="20"/>
      <c r="H256" s="20">
        <v>1</v>
      </c>
      <c r="I256" s="126">
        <f t="shared" si="19"/>
        <v>0</v>
      </c>
      <c r="J256" s="38">
        <f t="shared" si="20"/>
        <v>0</v>
      </c>
      <c r="K256" s="80"/>
      <c r="L256" s="82"/>
    </row>
    <row r="257" spans="2:20" s="1" customFormat="1" ht="13.35" customHeight="1" x14ac:dyDescent="0.15">
      <c r="B257" s="16">
        <v>4</v>
      </c>
      <c r="C257" s="23"/>
      <c r="D257" s="24"/>
      <c r="E257" s="24"/>
      <c r="F257" s="129"/>
      <c r="G257" s="20"/>
      <c r="H257" s="20">
        <v>1</v>
      </c>
      <c r="I257" s="126">
        <f t="shared" si="19"/>
        <v>0</v>
      </c>
      <c r="J257" s="38">
        <f t="shared" si="20"/>
        <v>0</v>
      </c>
      <c r="K257" s="80"/>
      <c r="L257" s="82"/>
    </row>
    <row r="258" spans="2:20" s="1" customFormat="1" ht="13.35" customHeight="1" x14ac:dyDescent="0.15">
      <c r="B258" s="16">
        <v>5</v>
      </c>
      <c r="C258" s="16"/>
      <c r="D258" s="18"/>
      <c r="E258" s="18"/>
      <c r="F258" s="129"/>
      <c r="G258" s="20"/>
      <c r="H258" s="20">
        <v>1</v>
      </c>
      <c r="I258" s="126">
        <f t="shared" si="19"/>
        <v>0</v>
      </c>
      <c r="J258" s="38">
        <f t="shared" si="20"/>
        <v>0</v>
      </c>
      <c r="K258" s="80"/>
      <c r="L258" s="82"/>
    </row>
    <row r="259" spans="2:20" s="1" customFormat="1" ht="13.35" customHeight="1" x14ac:dyDescent="0.15">
      <c r="B259" s="16">
        <v>6</v>
      </c>
      <c r="C259" s="17"/>
      <c r="D259" s="24"/>
      <c r="E259" s="24"/>
      <c r="F259" s="129"/>
      <c r="G259" s="20"/>
      <c r="H259" s="20">
        <v>1</v>
      </c>
      <c r="I259" s="126">
        <f t="shared" si="19"/>
        <v>0</v>
      </c>
      <c r="J259" s="38">
        <f t="shared" si="20"/>
        <v>0</v>
      </c>
      <c r="K259" s="80"/>
      <c r="L259" s="82"/>
    </row>
    <row r="260" spans="2:20" s="1" customFormat="1" ht="13.35" customHeight="1" x14ac:dyDescent="0.15">
      <c r="B260" s="16">
        <v>7</v>
      </c>
      <c r="C260" s="17"/>
      <c r="D260" s="24"/>
      <c r="E260" s="24"/>
      <c r="F260" s="129"/>
      <c r="G260" s="20"/>
      <c r="H260" s="20">
        <v>1</v>
      </c>
      <c r="I260" s="126">
        <f t="shared" si="19"/>
        <v>0</v>
      </c>
      <c r="J260" s="38">
        <f t="shared" si="20"/>
        <v>0</v>
      </c>
      <c r="K260" s="80"/>
      <c r="L260" s="82"/>
    </row>
    <row r="261" spans="2:20" s="1" customFormat="1" ht="13.35" customHeight="1" x14ac:dyDescent="0.15">
      <c r="B261" s="16">
        <v>8</v>
      </c>
      <c r="C261" s="17"/>
      <c r="D261" s="24"/>
      <c r="E261" s="24"/>
      <c r="F261" s="129"/>
      <c r="G261" s="20"/>
      <c r="H261" s="20">
        <v>1</v>
      </c>
      <c r="I261" s="126">
        <f t="shared" si="19"/>
        <v>0</v>
      </c>
      <c r="J261" s="38">
        <f t="shared" si="20"/>
        <v>0</v>
      </c>
      <c r="K261" s="80"/>
      <c r="L261" s="82"/>
    </row>
    <row r="262" spans="2:20" s="1" customFormat="1" ht="13.35" customHeight="1" x14ac:dyDescent="0.15">
      <c r="B262" s="16">
        <v>9</v>
      </c>
      <c r="C262" s="17"/>
      <c r="D262" s="24"/>
      <c r="E262" s="24"/>
      <c r="F262" s="129"/>
      <c r="G262" s="20"/>
      <c r="H262" s="20">
        <v>1</v>
      </c>
      <c r="I262" s="126">
        <f t="shared" si="19"/>
        <v>0</v>
      </c>
      <c r="J262" s="38">
        <f t="shared" si="20"/>
        <v>0</v>
      </c>
      <c r="K262" s="80"/>
      <c r="L262" s="82"/>
    </row>
    <row r="263" spans="2:20" s="1" customFormat="1" ht="13.35" customHeight="1" x14ac:dyDescent="0.15">
      <c r="B263" s="16">
        <v>10</v>
      </c>
      <c r="C263" s="17"/>
      <c r="D263" s="24"/>
      <c r="E263" s="24"/>
      <c r="F263" s="129"/>
      <c r="G263" s="20"/>
      <c r="H263" s="20">
        <v>1</v>
      </c>
      <c r="I263" s="126">
        <f t="shared" si="19"/>
        <v>0</v>
      </c>
      <c r="J263" s="38">
        <f t="shared" si="20"/>
        <v>0</v>
      </c>
      <c r="K263" s="80"/>
      <c r="L263" s="82"/>
    </row>
    <row r="264" spans="2:20" s="1" customFormat="1" ht="13.35" customHeight="1" x14ac:dyDescent="0.15">
      <c r="B264" s="16"/>
      <c r="C264" s="17"/>
      <c r="D264" s="24"/>
      <c r="E264" s="24"/>
      <c r="F264" s="129"/>
      <c r="G264" s="20"/>
      <c r="H264" s="20"/>
      <c r="I264" s="126"/>
      <c r="J264" s="38"/>
      <c r="K264" s="80"/>
      <c r="L264" s="82"/>
      <c r="N264" s="41"/>
    </row>
    <row r="265" spans="2:20" s="1" customFormat="1" ht="13.35" customHeight="1" x14ac:dyDescent="0.15">
      <c r="B265" s="16"/>
      <c r="C265" s="17"/>
      <c r="D265" s="24"/>
      <c r="E265" s="24"/>
      <c r="F265" s="129"/>
      <c r="G265" s="20"/>
      <c r="H265" s="20"/>
      <c r="I265" s="126"/>
      <c r="J265" s="21"/>
      <c r="K265" s="80"/>
      <c r="L265" s="82"/>
    </row>
    <row r="266" spans="2:20" s="1" customFormat="1" ht="13.35" customHeight="1" x14ac:dyDescent="0.15">
      <c r="B266" s="16"/>
      <c r="C266" s="22" t="s">
        <v>156</v>
      </c>
      <c r="D266" s="24"/>
      <c r="E266" s="24"/>
      <c r="F266" s="129"/>
      <c r="G266" s="20"/>
      <c r="H266" s="20"/>
      <c r="I266" s="126"/>
      <c r="J266" s="21"/>
      <c r="K266" s="80"/>
      <c r="L266" s="82"/>
    </row>
    <row r="267" spans="2:20" s="1" customFormat="1" ht="16.5" x14ac:dyDescent="0.15">
      <c r="B267" s="16">
        <v>1</v>
      </c>
      <c r="C267" s="44"/>
      <c r="D267" s="18"/>
      <c r="E267" s="18"/>
      <c r="F267" s="129"/>
      <c r="G267" s="20"/>
      <c r="H267" s="20">
        <v>1</v>
      </c>
      <c r="I267" s="126">
        <f t="shared" si="19"/>
        <v>0</v>
      </c>
      <c r="J267" s="38">
        <f t="shared" si="20"/>
        <v>0</v>
      </c>
      <c r="K267" s="80"/>
      <c r="L267" s="82"/>
      <c r="M267" s="10"/>
      <c r="N267" s="42"/>
      <c r="O267" s="10"/>
      <c r="P267" s="10"/>
      <c r="Q267" s="43"/>
      <c r="R267" s="10"/>
      <c r="T267" s="10"/>
    </row>
    <row r="268" spans="2:20" s="1" customFormat="1" ht="16.5" x14ac:dyDescent="0.15">
      <c r="B268" s="16">
        <v>2</v>
      </c>
      <c r="C268" s="45"/>
      <c r="D268" s="18"/>
      <c r="E268" s="18"/>
      <c r="F268" s="129"/>
      <c r="G268" s="20"/>
      <c r="H268" s="20">
        <v>1</v>
      </c>
      <c r="I268" s="126">
        <f>J268*$C$32</f>
        <v>0</v>
      </c>
      <c r="J268" s="38">
        <f t="shared" si="20"/>
        <v>0</v>
      </c>
      <c r="K268" s="80"/>
      <c r="L268" s="82"/>
      <c r="M268" s="10"/>
      <c r="N268" s="42"/>
      <c r="O268" s="10"/>
      <c r="P268" s="10"/>
      <c r="Q268" s="43"/>
      <c r="R268" s="10"/>
      <c r="T268" s="10"/>
    </row>
    <row r="269" spans="2:20" s="1" customFormat="1" ht="12.95" customHeight="1" x14ac:dyDescent="0.15">
      <c r="B269" s="16">
        <v>3</v>
      </c>
      <c r="C269" s="44"/>
      <c r="D269" s="18"/>
      <c r="E269" s="18"/>
      <c r="F269" s="129"/>
      <c r="G269" s="20"/>
      <c r="H269" s="20">
        <v>1</v>
      </c>
      <c r="I269" s="126">
        <f t="shared" si="19"/>
        <v>0</v>
      </c>
      <c r="J269" s="21">
        <f t="shared" si="20"/>
        <v>0</v>
      </c>
      <c r="K269" s="80"/>
      <c r="L269" s="82"/>
      <c r="M269" s="10"/>
      <c r="N269" s="42"/>
      <c r="O269" s="10"/>
      <c r="P269" s="10"/>
      <c r="Q269" s="43"/>
      <c r="R269" s="10"/>
      <c r="T269" s="10"/>
    </row>
    <row r="270" spans="2:20" s="1" customFormat="1" ht="14.25" x14ac:dyDescent="0.15">
      <c r="B270" s="16">
        <v>4</v>
      </c>
      <c r="C270" s="46"/>
      <c r="D270" s="405"/>
      <c r="E270" s="405"/>
      <c r="F270" s="129"/>
      <c r="G270" s="20"/>
      <c r="H270" s="20">
        <v>1</v>
      </c>
      <c r="I270" s="126">
        <f t="shared" si="19"/>
        <v>0</v>
      </c>
      <c r="J270" s="38">
        <f>(F271*G270*H270)/$C$32</f>
        <v>0</v>
      </c>
      <c r="K270" s="80"/>
      <c r="L270" s="82"/>
      <c r="M270" s="10"/>
      <c r="N270" s="42"/>
      <c r="O270" s="10"/>
      <c r="P270" s="10"/>
      <c r="Q270" s="43"/>
      <c r="R270" s="10"/>
      <c r="T270" s="10"/>
    </row>
    <row r="271" spans="2:20" s="1" customFormat="1" ht="14.25" x14ac:dyDescent="0.15">
      <c r="B271" s="16">
        <v>5</v>
      </c>
      <c r="C271" s="11"/>
      <c r="D271" s="18"/>
      <c r="E271" s="18"/>
      <c r="F271" s="129"/>
      <c r="G271" s="20"/>
      <c r="H271" s="20">
        <v>1</v>
      </c>
      <c r="I271" s="126">
        <f t="shared" si="19"/>
        <v>0</v>
      </c>
      <c r="J271" s="38">
        <f>(F273*G271*H271)/$C$32</f>
        <v>0</v>
      </c>
      <c r="K271" s="80"/>
      <c r="L271" s="82"/>
      <c r="M271" s="10"/>
      <c r="N271" s="42"/>
      <c r="O271" s="10"/>
      <c r="P271" s="10"/>
      <c r="Q271" s="43"/>
      <c r="R271" s="10"/>
      <c r="T271" s="10"/>
    </row>
    <row r="272" spans="2:20" s="1" customFormat="1" ht="14.25" x14ac:dyDescent="0.15">
      <c r="B272" s="16">
        <v>6</v>
      </c>
      <c r="C272" s="11"/>
      <c r="D272" s="18"/>
      <c r="E272" s="18"/>
      <c r="F272" s="129"/>
      <c r="G272" s="20"/>
      <c r="H272" s="20">
        <v>1</v>
      </c>
      <c r="I272" s="126">
        <f t="shared" si="19"/>
        <v>0</v>
      </c>
      <c r="J272" s="38">
        <f>(F274*G272*H272)/$C$32</f>
        <v>0</v>
      </c>
      <c r="K272" s="80"/>
      <c r="L272" s="82"/>
      <c r="M272" s="10"/>
      <c r="N272" s="42"/>
      <c r="O272" s="10"/>
      <c r="P272" s="10"/>
      <c r="Q272" s="43"/>
      <c r="R272" s="10"/>
      <c r="T272" s="10"/>
    </row>
    <row r="273" spans="2:20" s="1" customFormat="1" ht="16.5" x14ac:dyDescent="0.2">
      <c r="B273" s="16">
        <v>7</v>
      </c>
      <c r="C273" s="47"/>
      <c r="D273" s="18"/>
      <c r="E273" s="18"/>
      <c r="F273" s="129"/>
      <c r="G273" s="20"/>
      <c r="H273" s="20">
        <v>1</v>
      </c>
      <c r="I273" s="126">
        <f t="shared" si="19"/>
        <v>0</v>
      </c>
      <c r="J273" s="38">
        <f>(F275*G273*H273)/$C$32</f>
        <v>0</v>
      </c>
      <c r="K273" s="80"/>
      <c r="L273" s="82"/>
      <c r="M273" s="10"/>
      <c r="N273" s="42"/>
      <c r="O273" s="10"/>
      <c r="P273" s="10"/>
      <c r="Q273" s="43"/>
      <c r="R273" s="10"/>
      <c r="T273" s="10"/>
    </row>
    <row r="274" spans="2:20" s="1" customFormat="1" ht="14.25" x14ac:dyDescent="0.15">
      <c r="B274" s="16">
        <v>8</v>
      </c>
      <c r="C274" s="11"/>
      <c r="D274" s="18"/>
      <c r="E274" s="18"/>
      <c r="F274" s="129"/>
      <c r="G274" s="20"/>
      <c r="H274" s="20">
        <v>1</v>
      </c>
      <c r="I274" s="126">
        <f t="shared" si="19"/>
        <v>0</v>
      </c>
      <c r="J274" s="21">
        <f>(F276*G274*H274)/$C$32</f>
        <v>0</v>
      </c>
      <c r="K274" s="80"/>
      <c r="L274" s="82"/>
      <c r="M274" s="10"/>
      <c r="N274" s="42"/>
      <c r="O274" s="10"/>
      <c r="P274" s="10"/>
      <c r="Q274" s="43"/>
      <c r="R274" s="10"/>
      <c r="T274" s="10"/>
    </row>
    <row r="275" spans="2:20" s="1" customFormat="1" ht="14.25" x14ac:dyDescent="0.15">
      <c r="B275" s="16">
        <v>9</v>
      </c>
      <c r="C275" s="11"/>
      <c r="D275" s="18"/>
      <c r="E275" s="18"/>
      <c r="F275" s="129"/>
      <c r="G275" s="20"/>
      <c r="H275" s="20">
        <v>1</v>
      </c>
      <c r="I275" s="126">
        <f t="shared" si="19"/>
        <v>0</v>
      </c>
      <c r="J275" s="38">
        <f t="shared" ref="J275:J276" si="21">(F277*G275*H275)/$C$32</f>
        <v>0</v>
      </c>
      <c r="K275" s="80"/>
      <c r="L275" s="82"/>
      <c r="M275" s="10"/>
      <c r="N275" s="42"/>
      <c r="O275" s="10"/>
      <c r="P275" s="10"/>
      <c r="Q275" s="43"/>
      <c r="R275" s="10"/>
      <c r="T275" s="10"/>
    </row>
    <row r="276" spans="2:20" s="1" customFormat="1" ht="14.25" x14ac:dyDescent="0.15">
      <c r="B276" s="16">
        <v>10</v>
      </c>
      <c r="C276" s="11"/>
      <c r="D276" s="18"/>
      <c r="E276" s="18"/>
      <c r="F276" s="129"/>
      <c r="G276" s="20"/>
      <c r="H276" s="20">
        <v>1</v>
      </c>
      <c r="I276" s="126">
        <f t="shared" si="19"/>
        <v>0</v>
      </c>
      <c r="J276" s="38">
        <f t="shared" si="21"/>
        <v>0</v>
      </c>
      <c r="K276" s="80"/>
      <c r="L276" s="82"/>
      <c r="M276" s="10"/>
      <c r="N276" s="42"/>
      <c r="O276" s="10"/>
      <c r="P276" s="10"/>
      <c r="Q276" s="43"/>
      <c r="R276" s="10"/>
      <c r="T276" s="10"/>
    </row>
    <row r="277" spans="2:20" s="1" customFormat="1" ht="14.25" x14ac:dyDescent="0.15">
      <c r="B277" s="16">
        <v>11</v>
      </c>
      <c r="C277" s="11"/>
      <c r="D277" s="18"/>
      <c r="E277" s="18"/>
      <c r="F277" s="129"/>
      <c r="G277" s="20"/>
      <c r="H277" s="20">
        <v>1</v>
      </c>
      <c r="I277" s="126">
        <f t="shared" si="19"/>
        <v>0</v>
      </c>
      <c r="J277" s="38">
        <f t="shared" ref="J277:J309" si="22">(F277*G277*H277)/$C$32</f>
        <v>0</v>
      </c>
      <c r="K277" s="80"/>
      <c r="L277" s="82"/>
      <c r="M277" s="10"/>
      <c r="N277" s="42"/>
      <c r="O277" s="10"/>
      <c r="P277" s="10"/>
      <c r="Q277" s="43"/>
      <c r="R277" s="10"/>
      <c r="T277" s="10"/>
    </row>
    <row r="278" spans="2:20" s="1" customFormat="1" ht="14.25" x14ac:dyDescent="0.15">
      <c r="B278" s="16">
        <v>12</v>
      </c>
      <c r="C278" s="11"/>
      <c r="D278" s="18"/>
      <c r="E278" s="18"/>
      <c r="F278" s="129"/>
      <c r="G278" s="20"/>
      <c r="H278" s="20">
        <v>1</v>
      </c>
      <c r="I278" s="126">
        <f t="shared" si="19"/>
        <v>0</v>
      </c>
      <c r="J278" s="21">
        <f t="shared" si="22"/>
        <v>0</v>
      </c>
      <c r="K278" s="80"/>
      <c r="L278" s="82"/>
      <c r="M278" s="10"/>
      <c r="N278" s="42"/>
      <c r="O278" s="10"/>
      <c r="P278" s="10"/>
      <c r="Q278" s="43"/>
      <c r="R278" s="10"/>
      <c r="T278" s="10"/>
    </row>
    <row r="279" spans="2:20" s="1" customFormat="1" ht="14.25" x14ac:dyDescent="0.15">
      <c r="B279" s="16">
        <v>13</v>
      </c>
      <c r="C279" s="11"/>
      <c r="D279" s="18"/>
      <c r="E279" s="18"/>
      <c r="F279" s="129"/>
      <c r="G279" s="20"/>
      <c r="H279" s="20">
        <v>1</v>
      </c>
      <c r="I279" s="126">
        <f t="shared" si="19"/>
        <v>0</v>
      </c>
      <c r="J279" s="38">
        <f t="shared" si="22"/>
        <v>0</v>
      </c>
      <c r="K279" s="80"/>
      <c r="L279" s="82"/>
      <c r="M279" s="10"/>
      <c r="N279" s="42"/>
      <c r="O279" s="10"/>
      <c r="P279" s="10"/>
      <c r="Q279" s="43"/>
      <c r="R279" s="10"/>
      <c r="T279" s="10"/>
    </row>
    <row r="280" spans="2:20" s="1" customFormat="1" ht="14.25" x14ac:dyDescent="0.15">
      <c r="B280" s="16">
        <v>14</v>
      </c>
      <c r="C280" s="11"/>
      <c r="D280" s="18"/>
      <c r="E280" s="18"/>
      <c r="F280" s="129"/>
      <c r="G280" s="20"/>
      <c r="H280" s="20">
        <v>1</v>
      </c>
      <c r="I280" s="126">
        <f t="shared" si="19"/>
        <v>0</v>
      </c>
      <c r="J280" s="38">
        <f t="shared" si="22"/>
        <v>0</v>
      </c>
      <c r="K280" s="80"/>
      <c r="L280" s="82"/>
      <c r="M280" s="10"/>
      <c r="N280" s="42"/>
      <c r="O280" s="10"/>
      <c r="P280" s="10"/>
      <c r="Q280" s="43"/>
      <c r="R280" s="10"/>
      <c r="T280" s="10"/>
    </row>
    <row r="281" spans="2:20" s="1" customFormat="1" ht="14.25" x14ac:dyDescent="0.15">
      <c r="B281" s="16">
        <v>15</v>
      </c>
      <c r="C281" s="11"/>
      <c r="D281" s="18"/>
      <c r="E281" s="18"/>
      <c r="F281" s="129"/>
      <c r="G281" s="20"/>
      <c r="H281" s="20">
        <v>1</v>
      </c>
      <c r="I281" s="126">
        <f t="shared" si="19"/>
        <v>0</v>
      </c>
      <c r="J281" s="38">
        <f t="shared" si="22"/>
        <v>0</v>
      </c>
      <c r="K281" s="80"/>
      <c r="L281" s="82"/>
      <c r="M281" s="10"/>
      <c r="N281" s="42"/>
      <c r="O281" s="10"/>
      <c r="P281" s="10"/>
      <c r="Q281" s="43"/>
      <c r="R281" s="10"/>
      <c r="T281" s="10"/>
    </row>
    <row r="282" spans="2:20" s="1" customFormat="1" ht="14.25" x14ac:dyDescent="0.15">
      <c r="B282" s="16">
        <v>16</v>
      </c>
      <c r="C282" s="11"/>
      <c r="D282" s="18"/>
      <c r="E282" s="18"/>
      <c r="F282" s="129"/>
      <c r="G282" s="20"/>
      <c r="H282" s="20">
        <v>1</v>
      </c>
      <c r="I282" s="126">
        <f t="shared" si="19"/>
        <v>0</v>
      </c>
      <c r="J282" s="21">
        <f t="shared" si="22"/>
        <v>0</v>
      </c>
      <c r="K282" s="80"/>
      <c r="L282" s="82"/>
      <c r="M282" s="10"/>
      <c r="N282" s="42"/>
      <c r="O282" s="10"/>
      <c r="P282" s="10"/>
      <c r="Q282" s="43"/>
      <c r="R282" s="10"/>
      <c r="T282" s="10"/>
    </row>
    <row r="283" spans="2:20" s="1" customFormat="1" ht="14.25" x14ac:dyDescent="0.15">
      <c r="B283" s="16">
        <v>17</v>
      </c>
      <c r="C283" s="11"/>
      <c r="D283" s="18"/>
      <c r="E283" s="18"/>
      <c r="F283" s="129"/>
      <c r="G283" s="20"/>
      <c r="H283" s="20">
        <v>1</v>
      </c>
      <c r="I283" s="126">
        <f t="shared" si="19"/>
        <v>0</v>
      </c>
      <c r="J283" s="38">
        <f t="shared" si="22"/>
        <v>0</v>
      </c>
      <c r="K283" s="80"/>
      <c r="L283" s="82"/>
      <c r="M283" s="10"/>
      <c r="N283" s="42"/>
      <c r="O283" s="10"/>
      <c r="P283" s="10"/>
      <c r="Q283" s="43"/>
      <c r="R283" s="10"/>
      <c r="T283" s="10"/>
    </row>
    <row r="284" spans="2:20" s="1" customFormat="1" ht="14.25" x14ac:dyDescent="0.15">
      <c r="B284" s="16">
        <v>18</v>
      </c>
      <c r="C284" s="11"/>
      <c r="D284" s="18"/>
      <c r="E284" s="18"/>
      <c r="F284" s="129"/>
      <c r="G284" s="20"/>
      <c r="H284" s="20">
        <v>1</v>
      </c>
      <c r="I284" s="126">
        <f t="shared" si="19"/>
        <v>0</v>
      </c>
      <c r="J284" s="38">
        <f t="shared" si="22"/>
        <v>0</v>
      </c>
      <c r="K284" s="80"/>
      <c r="L284" s="82"/>
      <c r="M284" s="10"/>
      <c r="N284" s="42"/>
      <c r="O284" s="10"/>
      <c r="P284" s="10"/>
      <c r="Q284" s="43"/>
      <c r="R284" s="10"/>
      <c r="T284" s="10"/>
    </row>
    <row r="285" spans="2:20" s="1" customFormat="1" ht="14.25" x14ac:dyDescent="0.15">
      <c r="B285" s="16">
        <v>19</v>
      </c>
      <c r="C285" s="11"/>
      <c r="D285" s="18"/>
      <c r="E285" s="18"/>
      <c r="F285" s="129"/>
      <c r="G285" s="20"/>
      <c r="H285" s="20">
        <v>1</v>
      </c>
      <c r="I285" s="126">
        <f t="shared" si="19"/>
        <v>0</v>
      </c>
      <c r="J285" s="38">
        <f t="shared" si="22"/>
        <v>0</v>
      </c>
      <c r="K285" s="80"/>
      <c r="L285" s="82"/>
      <c r="M285" s="10"/>
      <c r="N285" s="42"/>
      <c r="O285" s="10"/>
      <c r="P285" s="10"/>
      <c r="Q285" s="43"/>
      <c r="R285" s="10"/>
      <c r="T285" s="10"/>
    </row>
    <row r="286" spans="2:20" s="1" customFormat="1" ht="14.25" x14ac:dyDescent="0.15">
      <c r="B286" s="16">
        <v>20</v>
      </c>
      <c r="C286" s="11"/>
      <c r="D286" s="18"/>
      <c r="E286" s="18"/>
      <c r="F286" s="129"/>
      <c r="G286" s="20"/>
      <c r="H286" s="20">
        <v>1</v>
      </c>
      <c r="I286" s="126">
        <f t="shared" si="19"/>
        <v>0</v>
      </c>
      <c r="J286" s="21">
        <f t="shared" si="22"/>
        <v>0</v>
      </c>
      <c r="K286" s="80"/>
      <c r="L286" s="82"/>
      <c r="M286" s="10"/>
      <c r="N286" s="42"/>
      <c r="O286" s="10"/>
      <c r="P286" s="10"/>
      <c r="Q286" s="43"/>
      <c r="R286" s="10"/>
      <c r="T286" s="10"/>
    </row>
    <row r="287" spans="2:20" s="1" customFormat="1" ht="14.25" x14ac:dyDescent="0.15">
      <c r="B287" s="16"/>
      <c r="C287" s="11"/>
      <c r="D287" s="18"/>
      <c r="E287" s="18"/>
      <c r="F287" s="129"/>
      <c r="G287" s="20"/>
      <c r="H287" s="20"/>
      <c r="I287" s="126"/>
      <c r="J287" s="21"/>
      <c r="K287" s="80"/>
      <c r="L287" s="82"/>
      <c r="M287" s="10"/>
      <c r="N287" s="42"/>
      <c r="O287" s="10"/>
      <c r="P287" s="10"/>
      <c r="Q287" s="43"/>
      <c r="R287" s="10"/>
      <c r="T287" s="10"/>
    </row>
    <row r="288" spans="2:20" s="1" customFormat="1" ht="14.25" x14ac:dyDescent="0.15">
      <c r="B288" s="16"/>
      <c r="C288" s="11"/>
      <c r="D288" s="18"/>
      <c r="E288" s="18"/>
      <c r="F288" s="129"/>
      <c r="G288" s="20"/>
      <c r="H288" s="20"/>
      <c r="I288" s="126"/>
      <c r="J288" s="21"/>
      <c r="K288" s="80"/>
      <c r="L288" s="82"/>
      <c r="M288" s="10"/>
      <c r="N288" s="42"/>
      <c r="O288" s="10"/>
      <c r="P288" s="10"/>
      <c r="Q288" s="43"/>
      <c r="R288" s="10"/>
      <c r="T288" s="10"/>
    </row>
    <row r="289" spans="2:20" s="1" customFormat="1" ht="14.25" x14ac:dyDescent="0.15">
      <c r="B289" s="16"/>
      <c r="C289" s="46" t="s">
        <v>159</v>
      </c>
      <c r="D289" s="18"/>
      <c r="E289" s="18"/>
      <c r="F289" s="129"/>
      <c r="G289" s="20"/>
      <c r="H289" s="20"/>
      <c r="I289" s="126"/>
      <c r="J289" s="21"/>
      <c r="K289" s="80"/>
      <c r="L289" s="82"/>
      <c r="M289" s="10"/>
      <c r="N289" s="10"/>
      <c r="O289" s="10"/>
      <c r="P289" s="10"/>
      <c r="Q289" s="43"/>
      <c r="R289" s="10"/>
      <c r="T289" s="10"/>
    </row>
    <row r="290" spans="2:20" s="1" customFormat="1" ht="14.25" x14ac:dyDescent="0.15">
      <c r="B290" s="16">
        <v>1</v>
      </c>
      <c r="C290" s="11"/>
      <c r="D290" s="18"/>
      <c r="E290" s="18"/>
      <c r="F290" s="129"/>
      <c r="G290" s="20"/>
      <c r="H290" s="20">
        <v>1</v>
      </c>
      <c r="I290" s="126">
        <f t="shared" si="19"/>
        <v>0</v>
      </c>
      <c r="J290" s="21">
        <f t="shared" si="22"/>
        <v>0</v>
      </c>
      <c r="K290" s="80"/>
      <c r="L290" s="82"/>
      <c r="M290" s="10"/>
      <c r="N290" s="10"/>
      <c r="O290" s="10"/>
      <c r="P290" s="10"/>
      <c r="Q290" s="43"/>
      <c r="R290" s="10"/>
      <c r="T290" s="10"/>
    </row>
    <row r="291" spans="2:20" s="1" customFormat="1" ht="14.25" x14ac:dyDescent="0.15">
      <c r="B291" s="16">
        <v>2</v>
      </c>
      <c r="C291" s="11"/>
      <c r="D291" s="18"/>
      <c r="E291" s="18"/>
      <c r="F291" s="129"/>
      <c r="G291" s="20"/>
      <c r="H291" s="20">
        <v>1</v>
      </c>
      <c r="I291" s="126">
        <f t="shared" si="19"/>
        <v>0</v>
      </c>
      <c r="J291" s="21">
        <f t="shared" si="22"/>
        <v>0</v>
      </c>
      <c r="K291" s="80"/>
      <c r="L291" s="82"/>
      <c r="M291" s="10"/>
      <c r="N291" s="10"/>
      <c r="O291" s="10"/>
      <c r="P291" s="10"/>
      <c r="Q291" s="43"/>
      <c r="R291" s="10"/>
      <c r="T291" s="10"/>
    </row>
    <row r="292" spans="2:20" s="1" customFormat="1" ht="14.25" x14ac:dyDescent="0.15">
      <c r="B292" s="16">
        <v>3</v>
      </c>
      <c r="C292" s="11"/>
      <c r="D292" s="18"/>
      <c r="E292" s="18"/>
      <c r="F292" s="129"/>
      <c r="G292" s="20"/>
      <c r="H292" s="20">
        <v>1</v>
      </c>
      <c r="I292" s="126">
        <f t="shared" si="19"/>
        <v>0</v>
      </c>
      <c r="J292" s="21">
        <f t="shared" si="22"/>
        <v>0</v>
      </c>
      <c r="K292" s="80"/>
      <c r="L292" s="82"/>
      <c r="M292" s="10"/>
      <c r="N292" s="10"/>
      <c r="O292" s="10"/>
      <c r="P292" s="10"/>
      <c r="Q292" s="43"/>
      <c r="R292" s="10"/>
      <c r="T292" s="10"/>
    </row>
    <row r="293" spans="2:20" s="1" customFormat="1" ht="14.25" x14ac:dyDescent="0.15">
      <c r="B293" s="16">
        <v>4</v>
      </c>
      <c r="C293" s="11"/>
      <c r="D293" s="18"/>
      <c r="E293" s="18"/>
      <c r="F293" s="129"/>
      <c r="G293" s="20"/>
      <c r="H293" s="20">
        <v>1</v>
      </c>
      <c r="I293" s="126">
        <f t="shared" si="19"/>
        <v>0</v>
      </c>
      <c r="J293" s="21">
        <f t="shared" si="22"/>
        <v>0</v>
      </c>
      <c r="K293" s="80"/>
      <c r="L293" s="82"/>
      <c r="M293" s="10"/>
      <c r="N293" s="10"/>
      <c r="O293" s="10"/>
      <c r="P293" s="10"/>
      <c r="Q293" s="43"/>
      <c r="R293" s="10"/>
      <c r="T293" s="10"/>
    </row>
    <row r="294" spans="2:20" s="1" customFormat="1" ht="14.25" x14ac:dyDescent="0.15">
      <c r="B294" s="16">
        <v>5</v>
      </c>
      <c r="C294" s="11"/>
      <c r="D294" s="18"/>
      <c r="E294" s="18"/>
      <c r="F294" s="129"/>
      <c r="G294" s="20"/>
      <c r="H294" s="20">
        <v>1</v>
      </c>
      <c r="I294" s="126">
        <f t="shared" si="19"/>
        <v>0</v>
      </c>
      <c r="J294" s="21">
        <f t="shared" si="22"/>
        <v>0</v>
      </c>
      <c r="K294" s="80"/>
      <c r="L294" s="82"/>
      <c r="M294" s="10"/>
      <c r="N294" s="10"/>
      <c r="O294" s="10"/>
      <c r="P294" s="10"/>
      <c r="Q294" s="43"/>
      <c r="R294" s="10"/>
      <c r="T294" s="10"/>
    </row>
    <row r="295" spans="2:20" s="1" customFormat="1" ht="14.25" x14ac:dyDescent="0.15">
      <c r="B295" s="16">
        <v>6</v>
      </c>
      <c r="C295" s="11"/>
      <c r="D295" s="18"/>
      <c r="E295" s="18"/>
      <c r="F295" s="129"/>
      <c r="G295" s="20"/>
      <c r="H295" s="20">
        <v>1</v>
      </c>
      <c r="I295" s="126">
        <f t="shared" si="19"/>
        <v>0</v>
      </c>
      <c r="J295" s="21">
        <f t="shared" si="22"/>
        <v>0</v>
      </c>
      <c r="K295" s="80"/>
      <c r="L295" s="82"/>
      <c r="M295" s="10"/>
      <c r="N295" s="10"/>
      <c r="O295" s="10"/>
      <c r="P295" s="10"/>
      <c r="Q295" s="43"/>
      <c r="R295" s="10"/>
      <c r="T295" s="10"/>
    </row>
    <row r="296" spans="2:20" s="1" customFormat="1" ht="14.25" x14ac:dyDescent="0.15">
      <c r="B296" s="16">
        <v>7</v>
      </c>
      <c r="C296" s="11"/>
      <c r="D296" s="18"/>
      <c r="E296" s="18"/>
      <c r="F296" s="129"/>
      <c r="G296" s="20"/>
      <c r="H296" s="20">
        <v>1</v>
      </c>
      <c r="I296" s="126">
        <f t="shared" si="19"/>
        <v>0</v>
      </c>
      <c r="J296" s="21">
        <f t="shared" si="22"/>
        <v>0</v>
      </c>
      <c r="K296" s="80"/>
      <c r="L296" s="82"/>
      <c r="M296" s="10"/>
      <c r="N296" s="10"/>
      <c r="O296" s="10"/>
      <c r="P296" s="10"/>
      <c r="Q296" s="43"/>
      <c r="R296" s="10"/>
      <c r="T296" s="10"/>
    </row>
    <row r="297" spans="2:20" s="1" customFormat="1" ht="14.25" x14ac:dyDescent="0.15">
      <c r="B297" s="16">
        <v>8</v>
      </c>
      <c r="C297" s="11"/>
      <c r="D297" s="18"/>
      <c r="E297" s="18"/>
      <c r="F297" s="129"/>
      <c r="G297" s="20"/>
      <c r="H297" s="20">
        <v>1</v>
      </c>
      <c r="I297" s="126">
        <f t="shared" si="19"/>
        <v>0</v>
      </c>
      <c r="J297" s="21">
        <f t="shared" si="22"/>
        <v>0</v>
      </c>
      <c r="K297" s="80"/>
      <c r="L297" s="82"/>
      <c r="M297" s="10"/>
      <c r="N297" s="10"/>
      <c r="O297" s="10"/>
      <c r="P297" s="10"/>
      <c r="Q297" s="43"/>
      <c r="R297" s="10"/>
      <c r="T297" s="10"/>
    </row>
    <row r="298" spans="2:20" s="1" customFormat="1" ht="14.25" x14ac:dyDescent="0.15">
      <c r="B298" s="16">
        <v>9</v>
      </c>
      <c r="C298" s="11"/>
      <c r="D298" s="18"/>
      <c r="E298" s="18"/>
      <c r="F298" s="129"/>
      <c r="G298" s="20"/>
      <c r="H298" s="20">
        <v>1</v>
      </c>
      <c r="I298" s="126">
        <f t="shared" si="19"/>
        <v>0</v>
      </c>
      <c r="J298" s="21">
        <f t="shared" si="22"/>
        <v>0</v>
      </c>
      <c r="K298" s="80"/>
      <c r="L298" s="82"/>
      <c r="M298" s="10"/>
      <c r="N298" s="10"/>
      <c r="O298" s="10"/>
      <c r="P298" s="10"/>
      <c r="Q298" s="43"/>
      <c r="R298" s="10"/>
      <c r="T298" s="10"/>
    </row>
    <row r="299" spans="2:20" s="1" customFormat="1" ht="14.25" x14ac:dyDescent="0.15">
      <c r="B299" s="16">
        <v>10</v>
      </c>
      <c r="C299" s="11"/>
      <c r="D299" s="18"/>
      <c r="E299" s="18"/>
      <c r="F299" s="129"/>
      <c r="G299" s="20"/>
      <c r="H299" s="20">
        <v>1</v>
      </c>
      <c r="I299" s="126">
        <f t="shared" si="19"/>
        <v>0</v>
      </c>
      <c r="J299" s="21">
        <f t="shared" si="22"/>
        <v>0</v>
      </c>
      <c r="K299" s="80"/>
      <c r="L299" s="82"/>
      <c r="M299" s="10"/>
      <c r="N299" s="10"/>
      <c r="O299" s="10"/>
      <c r="P299" s="10"/>
      <c r="Q299" s="43"/>
      <c r="R299" s="10"/>
      <c r="T299" s="10"/>
    </row>
    <row r="300" spans="2:20" s="1" customFormat="1" ht="14.25" x14ac:dyDescent="0.15">
      <c r="B300" s="16">
        <v>11</v>
      </c>
      <c r="C300" s="11"/>
      <c r="D300" s="18"/>
      <c r="E300" s="18"/>
      <c r="F300" s="129"/>
      <c r="G300" s="20"/>
      <c r="H300" s="20">
        <v>1</v>
      </c>
      <c r="I300" s="126">
        <f t="shared" si="19"/>
        <v>0</v>
      </c>
      <c r="J300" s="21">
        <f t="shared" si="22"/>
        <v>0</v>
      </c>
      <c r="K300" s="80"/>
      <c r="L300" s="82"/>
      <c r="M300" s="10"/>
      <c r="N300" s="10"/>
      <c r="O300" s="10"/>
      <c r="P300" s="10"/>
      <c r="Q300" s="43"/>
      <c r="R300" s="10"/>
      <c r="T300" s="10"/>
    </row>
    <row r="301" spans="2:20" s="1" customFormat="1" ht="14.25" x14ac:dyDescent="0.15">
      <c r="B301" s="16">
        <v>12</v>
      </c>
      <c r="C301" s="11"/>
      <c r="D301" s="18"/>
      <c r="E301" s="18"/>
      <c r="F301" s="129"/>
      <c r="G301" s="20"/>
      <c r="H301" s="20">
        <v>1</v>
      </c>
      <c r="I301" s="126">
        <f t="shared" si="19"/>
        <v>0</v>
      </c>
      <c r="J301" s="21">
        <f t="shared" si="22"/>
        <v>0</v>
      </c>
      <c r="K301" s="80"/>
      <c r="L301" s="82"/>
      <c r="M301" s="10"/>
      <c r="N301" s="10"/>
      <c r="O301" s="10"/>
      <c r="P301" s="10"/>
      <c r="Q301" s="43"/>
      <c r="R301" s="10"/>
      <c r="T301" s="10"/>
    </row>
    <row r="302" spans="2:20" s="1" customFormat="1" ht="14.25" x14ac:dyDescent="0.15">
      <c r="B302" s="16">
        <v>13</v>
      </c>
      <c r="C302" s="11"/>
      <c r="D302" s="18"/>
      <c r="E302" s="18"/>
      <c r="F302" s="129"/>
      <c r="G302" s="20"/>
      <c r="H302" s="20">
        <v>1</v>
      </c>
      <c r="I302" s="126">
        <f t="shared" si="19"/>
        <v>0</v>
      </c>
      <c r="J302" s="21">
        <f t="shared" si="22"/>
        <v>0</v>
      </c>
      <c r="K302" s="80"/>
      <c r="L302" s="82"/>
      <c r="M302" s="10"/>
      <c r="N302" s="10"/>
      <c r="O302" s="10"/>
      <c r="P302" s="10"/>
      <c r="Q302" s="43"/>
      <c r="R302" s="10"/>
      <c r="T302" s="10"/>
    </row>
    <row r="303" spans="2:20" s="1" customFormat="1" ht="14.25" x14ac:dyDescent="0.15">
      <c r="B303" s="16">
        <v>14</v>
      </c>
      <c r="C303" s="11"/>
      <c r="D303" s="18"/>
      <c r="E303" s="18"/>
      <c r="F303" s="129"/>
      <c r="G303" s="20"/>
      <c r="H303" s="20">
        <v>1</v>
      </c>
      <c r="I303" s="126">
        <f t="shared" si="19"/>
        <v>0</v>
      </c>
      <c r="J303" s="21">
        <f t="shared" si="22"/>
        <v>0</v>
      </c>
      <c r="K303" s="80"/>
      <c r="L303" s="82"/>
      <c r="M303" s="10"/>
      <c r="N303" s="10"/>
      <c r="O303" s="10"/>
      <c r="P303" s="10"/>
      <c r="Q303" s="43"/>
      <c r="R303" s="10"/>
      <c r="T303" s="10"/>
    </row>
    <row r="304" spans="2:20" s="1" customFormat="1" ht="14.25" x14ac:dyDescent="0.15">
      <c r="B304" s="16">
        <v>15</v>
      </c>
      <c r="C304" s="11"/>
      <c r="D304" s="18"/>
      <c r="E304" s="18"/>
      <c r="F304" s="129"/>
      <c r="G304" s="20"/>
      <c r="H304" s="20">
        <v>1</v>
      </c>
      <c r="I304" s="126">
        <f t="shared" si="19"/>
        <v>0</v>
      </c>
      <c r="J304" s="21">
        <f t="shared" si="22"/>
        <v>0</v>
      </c>
      <c r="K304" s="80"/>
      <c r="L304" s="82"/>
      <c r="M304" s="10"/>
      <c r="N304" s="10"/>
      <c r="O304" s="10"/>
      <c r="P304" s="10"/>
      <c r="Q304" s="43"/>
      <c r="R304" s="10"/>
      <c r="T304" s="10"/>
    </row>
    <row r="305" spans="2:20" s="1" customFormat="1" ht="14.25" x14ac:dyDescent="0.15">
      <c r="B305" s="16">
        <v>16</v>
      </c>
      <c r="C305" s="11"/>
      <c r="D305" s="18"/>
      <c r="E305" s="18"/>
      <c r="F305" s="129"/>
      <c r="G305" s="20"/>
      <c r="H305" s="20">
        <v>1</v>
      </c>
      <c r="I305" s="126">
        <f t="shared" si="19"/>
        <v>0</v>
      </c>
      <c r="J305" s="21">
        <f t="shared" si="22"/>
        <v>0</v>
      </c>
      <c r="K305" s="80"/>
      <c r="L305" s="82"/>
      <c r="M305" s="10"/>
      <c r="N305" s="10"/>
      <c r="O305" s="10"/>
      <c r="P305" s="10"/>
      <c r="Q305" s="43"/>
      <c r="R305" s="10"/>
      <c r="T305" s="10"/>
    </row>
    <row r="306" spans="2:20" s="1" customFormat="1" ht="14.25" x14ac:dyDescent="0.15">
      <c r="B306" s="16">
        <v>17</v>
      </c>
      <c r="C306" s="11"/>
      <c r="D306" s="18"/>
      <c r="E306" s="18"/>
      <c r="F306" s="129"/>
      <c r="G306" s="20"/>
      <c r="H306" s="20">
        <v>1</v>
      </c>
      <c r="I306" s="126">
        <f t="shared" si="19"/>
        <v>0</v>
      </c>
      <c r="J306" s="21">
        <f t="shared" si="22"/>
        <v>0</v>
      </c>
      <c r="K306" s="80"/>
      <c r="L306" s="82"/>
      <c r="M306" s="10"/>
      <c r="N306" s="10"/>
      <c r="O306" s="10"/>
      <c r="P306" s="10"/>
      <c r="Q306" s="43"/>
      <c r="R306" s="10"/>
      <c r="T306" s="10"/>
    </row>
    <row r="307" spans="2:20" s="1" customFormat="1" ht="14.25" x14ac:dyDescent="0.15">
      <c r="B307" s="16">
        <v>18</v>
      </c>
      <c r="C307" s="11"/>
      <c r="D307" s="18"/>
      <c r="E307" s="18"/>
      <c r="F307" s="129"/>
      <c r="G307" s="20"/>
      <c r="H307" s="20">
        <v>1</v>
      </c>
      <c r="I307" s="126">
        <f t="shared" si="19"/>
        <v>0</v>
      </c>
      <c r="J307" s="78">
        <f t="shared" si="22"/>
        <v>0</v>
      </c>
      <c r="K307" s="111"/>
      <c r="L307" s="119"/>
      <c r="M307" s="10"/>
      <c r="N307" s="10"/>
      <c r="O307" s="10"/>
      <c r="P307" s="10"/>
      <c r="Q307" s="43"/>
      <c r="R307" s="10"/>
      <c r="T307" s="10"/>
    </row>
    <row r="308" spans="2:20" s="1" customFormat="1" ht="14.25" x14ac:dyDescent="0.15">
      <c r="B308" s="16">
        <v>19</v>
      </c>
      <c r="C308" s="11"/>
      <c r="D308" s="18"/>
      <c r="E308" s="18"/>
      <c r="F308" s="129"/>
      <c r="G308" s="20"/>
      <c r="H308" s="20">
        <v>1</v>
      </c>
      <c r="I308" s="254">
        <f t="shared" si="19"/>
        <v>0</v>
      </c>
      <c r="J308" s="94">
        <f t="shared" si="22"/>
        <v>0</v>
      </c>
      <c r="K308" s="82"/>
      <c r="L308" s="82"/>
      <c r="M308" s="10"/>
      <c r="N308" s="10"/>
      <c r="O308" s="10"/>
      <c r="P308" s="10"/>
      <c r="Q308" s="43"/>
      <c r="R308" s="10"/>
      <c r="T308" s="10"/>
    </row>
    <row r="309" spans="2:20" s="1" customFormat="1" ht="14.25" x14ac:dyDescent="0.15">
      <c r="B309" s="16">
        <v>20</v>
      </c>
      <c r="C309" s="11"/>
      <c r="D309" s="18"/>
      <c r="E309" s="18"/>
      <c r="F309" s="129"/>
      <c r="G309" s="20"/>
      <c r="H309" s="20">
        <v>1</v>
      </c>
      <c r="I309" s="254">
        <f t="shared" si="19"/>
        <v>0</v>
      </c>
      <c r="J309" s="94">
        <f t="shared" si="22"/>
        <v>0</v>
      </c>
      <c r="K309" s="82"/>
      <c r="L309" s="82"/>
      <c r="M309" s="10"/>
      <c r="N309" s="10"/>
      <c r="O309" s="10"/>
      <c r="P309" s="10"/>
      <c r="Q309" s="43"/>
      <c r="R309" s="10"/>
      <c r="T309" s="10"/>
    </row>
    <row r="310" spans="2:20" s="1" customFormat="1" ht="14.25" x14ac:dyDescent="0.15">
      <c r="B310" s="83"/>
      <c r="C310" s="160"/>
      <c r="D310" s="75"/>
      <c r="E310" s="75"/>
      <c r="F310" s="132"/>
      <c r="G310" s="77"/>
      <c r="H310" s="77"/>
      <c r="I310" s="255"/>
      <c r="J310" s="94"/>
      <c r="K310" s="82"/>
      <c r="L310" s="82"/>
      <c r="M310" s="10"/>
      <c r="N310" s="10"/>
      <c r="O310" s="10"/>
      <c r="P310" s="10"/>
      <c r="Q310" s="43"/>
      <c r="R310" s="10"/>
      <c r="T310" s="10"/>
    </row>
    <row r="311" spans="2:20" s="1" customFormat="1" ht="14.25" x14ac:dyDescent="0.15">
      <c r="B311" s="82"/>
      <c r="C311" s="102"/>
      <c r="D311" s="103"/>
      <c r="E311" s="102"/>
      <c r="F311" s="128">
        <f>SUM(F251:F310)</f>
        <v>0</v>
      </c>
      <c r="G311" s="104"/>
      <c r="H311" s="105"/>
      <c r="I311" s="256">
        <f>SUM(I252:I310)</f>
        <v>0</v>
      </c>
      <c r="J311" s="257">
        <f>SUM(J251:J270)</f>
        <v>0</v>
      </c>
      <c r="M311" s="10"/>
      <c r="N311" s="10"/>
      <c r="O311" s="10"/>
      <c r="P311" s="10"/>
      <c r="Q311" s="43"/>
      <c r="R311" s="10"/>
      <c r="T311" s="10"/>
    </row>
    <row r="312" spans="2:20" s="67" customFormat="1" ht="14.25" x14ac:dyDescent="0.15">
      <c r="B312" s="116"/>
      <c r="C312" s="114"/>
      <c r="D312" s="114"/>
      <c r="E312" s="114" t="s">
        <v>147</v>
      </c>
      <c r="F312" s="162">
        <f>100/115*F311</f>
        <v>0</v>
      </c>
      <c r="G312" s="161"/>
      <c r="H312" s="161" t="s">
        <v>147</v>
      </c>
      <c r="I312" s="264">
        <f>100/115*I311</f>
        <v>0</v>
      </c>
      <c r="J312" s="114"/>
      <c r="M312" s="68"/>
      <c r="N312" s="68"/>
      <c r="O312" s="68"/>
      <c r="P312" s="68"/>
      <c r="Q312" s="69"/>
      <c r="R312" s="68"/>
      <c r="T312" s="68"/>
    </row>
    <row r="313" spans="2:20" s="1" customFormat="1" ht="14.25" x14ac:dyDescent="0.15">
      <c r="M313" s="10"/>
      <c r="N313" s="10"/>
      <c r="O313" s="10"/>
      <c r="P313" s="10"/>
      <c r="Q313" s="43"/>
      <c r="R313" s="10"/>
      <c r="T313" s="10"/>
    </row>
    <row r="314" spans="2:20" s="1" customFormat="1" ht="14.25" x14ac:dyDescent="0.15">
      <c r="M314" s="10"/>
      <c r="N314" s="10"/>
      <c r="O314" s="10"/>
      <c r="P314" s="10"/>
      <c r="Q314" s="43"/>
      <c r="R314" s="10"/>
      <c r="T314" s="10"/>
    </row>
    <row r="315" spans="2:20" s="1" customFormat="1" ht="14.25" x14ac:dyDescent="0.15">
      <c r="M315" s="10"/>
      <c r="N315" s="10"/>
      <c r="O315" s="10"/>
      <c r="P315" s="10"/>
      <c r="Q315" s="43"/>
      <c r="R315" s="10"/>
      <c r="T315" s="10"/>
    </row>
    <row r="316" spans="2:20" s="1" customFormat="1" ht="14.25" x14ac:dyDescent="0.15">
      <c r="M316" s="10"/>
      <c r="N316" s="10"/>
      <c r="O316" s="10"/>
      <c r="P316" s="10"/>
      <c r="Q316" s="43"/>
      <c r="R316" s="10"/>
      <c r="T316" s="10"/>
    </row>
    <row r="317" spans="2:20" s="247" customFormat="1" ht="32.25" x14ac:dyDescent="0.4">
      <c r="B317" s="248"/>
      <c r="C317" s="380" t="s">
        <v>112</v>
      </c>
      <c r="D317" s="380"/>
      <c r="E317" s="428" t="s">
        <v>108</v>
      </c>
      <c r="F317" s="428"/>
      <c r="G317" s="428"/>
      <c r="H317" s="428"/>
      <c r="I317" s="428"/>
      <c r="J317" s="382">
        <v>2026</v>
      </c>
      <c r="K317" s="382"/>
      <c r="L317" s="382"/>
      <c r="M317" s="249"/>
      <c r="N317" s="249"/>
      <c r="O317" s="249"/>
      <c r="P317" s="249"/>
      <c r="Q317" s="250"/>
      <c r="R317" s="249"/>
      <c r="T317" s="249"/>
    </row>
    <row r="318" spans="2:20" s="1" customFormat="1" ht="22.5" x14ac:dyDescent="0.15">
      <c r="B318" s="82"/>
      <c r="C318" s="102" t="s">
        <v>114</v>
      </c>
      <c r="D318" s="388" t="s">
        <v>115</v>
      </c>
      <c r="E318" s="388"/>
      <c r="F318" s="102" t="s">
        <v>116</v>
      </c>
      <c r="G318" s="102" t="s">
        <v>117</v>
      </c>
      <c r="H318" s="102" t="s">
        <v>118</v>
      </c>
      <c r="I318" s="102" t="s">
        <v>119</v>
      </c>
      <c r="J318" s="102" t="s">
        <v>120</v>
      </c>
      <c r="K318" s="82"/>
      <c r="L318" s="82"/>
      <c r="M318" s="10"/>
      <c r="N318" s="10"/>
      <c r="O318" s="10"/>
      <c r="P318" s="10"/>
      <c r="Q318" s="43"/>
      <c r="R318" s="10"/>
      <c r="T318" s="10"/>
    </row>
    <row r="319" spans="2:20" s="1" customFormat="1" ht="14.25" x14ac:dyDescent="0.15">
      <c r="B319" s="82"/>
      <c r="C319" s="66">
        <f>C249</f>
        <v>450</v>
      </c>
      <c r="D319" s="389">
        <v>20</v>
      </c>
      <c r="E319" s="389"/>
      <c r="F319" s="13">
        <f>F249</f>
        <v>0.8</v>
      </c>
      <c r="G319" s="14">
        <f>G249</f>
        <v>8</v>
      </c>
      <c r="H319" s="142">
        <f>D319*G319*F319</f>
        <v>128</v>
      </c>
      <c r="I319" s="66">
        <f>I381</f>
        <v>0</v>
      </c>
      <c r="J319" s="143">
        <f>H319-J381</f>
        <v>128</v>
      </c>
      <c r="K319" s="82"/>
      <c r="L319" s="82"/>
      <c r="M319" s="10"/>
      <c r="N319" s="10"/>
      <c r="O319" s="10"/>
      <c r="P319" s="10"/>
      <c r="Q319" s="43"/>
      <c r="R319" s="10"/>
      <c r="T319" s="10"/>
    </row>
    <row r="320" spans="2:20" s="1" customFormat="1" ht="33.75" x14ac:dyDescent="0.15">
      <c r="B320" s="82"/>
      <c r="C320" s="167" t="s">
        <v>121</v>
      </c>
      <c r="D320" s="395" t="s">
        <v>122</v>
      </c>
      <c r="E320" s="395"/>
      <c r="F320" s="177" t="s">
        <v>123</v>
      </c>
      <c r="G320" s="178" t="s">
        <v>124</v>
      </c>
      <c r="H320" s="179" t="s">
        <v>125</v>
      </c>
      <c r="I320" s="180" t="s">
        <v>126</v>
      </c>
      <c r="J320" s="178" t="s">
        <v>127</v>
      </c>
      <c r="K320" s="114" t="s">
        <v>128</v>
      </c>
      <c r="L320" s="114" t="s">
        <v>129</v>
      </c>
      <c r="M320" s="10"/>
      <c r="N320" s="10"/>
      <c r="O320" s="10"/>
      <c r="P320" s="10"/>
      <c r="Q320" s="43"/>
      <c r="R320" s="10"/>
      <c r="T320" s="10"/>
    </row>
    <row r="321" spans="2:20" s="1" customFormat="1" ht="14.25" x14ac:dyDescent="0.15">
      <c r="B321" s="84"/>
      <c r="C321" s="81"/>
      <c r="D321" s="404"/>
      <c r="E321" s="404"/>
      <c r="F321" s="175"/>
      <c r="G321" s="87"/>
      <c r="H321" s="87"/>
      <c r="I321" s="176"/>
      <c r="J321" s="88"/>
      <c r="K321" s="79"/>
      <c r="L321" s="120"/>
      <c r="M321" s="10"/>
      <c r="N321" s="10"/>
      <c r="O321" s="10"/>
      <c r="P321" s="10"/>
      <c r="Q321" s="43"/>
      <c r="R321" s="10"/>
      <c r="T321" s="10"/>
    </row>
    <row r="322" spans="2:20" s="1" customFormat="1" ht="12.95" customHeight="1" x14ac:dyDescent="0.15">
      <c r="B322" s="16"/>
      <c r="C322" s="411" t="s">
        <v>130</v>
      </c>
      <c r="D322" s="411"/>
      <c r="E322" s="411"/>
      <c r="F322" s="129"/>
      <c r="G322" s="20"/>
      <c r="H322" s="20"/>
      <c r="I322" s="126"/>
      <c r="J322" s="21"/>
      <c r="K322" s="80"/>
      <c r="L322" s="82"/>
      <c r="M322" s="10"/>
      <c r="N322" s="10"/>
      <c r="O322" s="10"/>
      <c r="P322" s="10"/>
      <c r="Q322" s="43"/>
      <c r="R322" s="10"/>
      <c r="T322" s="10"/>
    </row>
    <row r="323" spans="2:20" s="1" customFormat="1" ht="12.95" customHeight="1" x14ac:dyDescent="0.15">
      <c r="B323" s="16"/>
      <c r="C323" s="37" t="s">
        <v>149</v>
      </c>
      <c r="D323" s="24"/>
      <c r="E323" s="24"/>
      <c r="F323" s="129"/>
      <c r="G323" s="20"/>
      <c r="H323" s="20">
        <v>1</v>
      </c>
      <c r="I323" s="126">
        <f>J323*$C$32</f>
        <v>0</v>
      </c>
      <c r="J323" s="38">
        <f t="shared" ref="J323:J341" si="23">(F323*G323*H323)/$C$32</f>
        <v>0</v>
      </c>
      <c r="K323" s="80"/>
      <c r="L323" s="82"/>
    </row>
    <row r="324" spans="2:20" s="1" customFormat="1" ht="12.95" customHeight="1" x14ac:dyDescent="0.15">
      <c r="B324" s="16">
        <v>1</v>
      </c>
      <c r="C324" s="23"/>
      <c r="D324" s="24"/>
      <c r="E324" s="24"/>
      <c r="F324" s="129"/>
      <c r="G324" s="20"/>
      <c r="H324" s="20">
        <v>1</v>
      </c>
      <c r="I324" s="126">
        <f t="shared" ref="I324:I353" si="24">J324*$C$32</f>
        <v>0</v>
      </c>
      <c r="J324" s="38">
        <f t="shared" si="23"/>
        <v>0</v>
      </c>
      <c r="K324" s="80"/>
      <c r="L324" s="82"/>
    </row>
    <row r="325" spans="2:20" s="1" customFormat="1" ht="12.95" customHeight="1" x14ac:dyDescent="0.15">
      <c r="B325" s="16">
        <v>2</v>
      </c>
      <c r="C325" s="23"/>
      <c r="D325" s="24"/>
      <c r="E325" s="24"/>
      <c r="F325" s="126"/>
      <c r="G325" s="20"/>
      <c r="H325" s="20">
        <v>1</v>
      </c>
      <c r="I325" s="126">
        <f t="shared" si="24"/>
        <v>0</v>
      </c>
      <c r="J325" s="38">
        <f t="shared" si="23"/>
        <v>0</v>
      </c>
      <c r="K325" s="80"/>
      <c r="L325" s="82"/>
    </row>
    <row r="326" spans="2:20" s="1" customFormat="1" ht="12.95" customHeight="1" x14ac:dyDescent="0.15">
      <c r="B326" s="16">
        <v>3</v>
      </c>
      <c r="C326" s="23"/>
      <c r="D326" s="25"/>
      <c r="E326" s="25"/>
      <c r="F326" s="129"/>
      <c r="G326" s="20"/>
      <c r="H326" s="20">
        <v>1</v>
      </c>
      <c r="I326" s="126">
        <f t="shared" si="24"/>
        <v>0</v>
      </c>
      <c r="J326" s="38">
        <f t="shared" si="23"/>
        <v>0</v>
      </c>
      <c r="K326" s="80"/>
      <c r="L326" s="82"/>
    </row>
    <row r="327" spans="2:20" s="1" customFormat="1" ht="12.95" customHeight="1" x14ac:dyDescent="0.15">
      <c r="B327" s="16">
        <v>4</v>
      </c>
      <c r="C327" s="23"/>
      <c r="D327" s="24"/>
      <c r="E327" s="24"/>
      <c r="F327" s="129"/>
      <c r="G327" s="20"/>
      <c r="H327" s="20">
        <v>1</v>
      </c>
      <c r="I327" s="126">
        <f t="shared" si="24"/>
        <v>0</v>
      </c>
      <c r="J327" s="38">
        <f t="shared" si="23"/>
        <v>0</v>
      </c>
      <c r="K327" s="80"/>
      <c r="L327" s="82"/>
    </row>
    <row r="328" spans="2:20" s="1" customFormat="1" ht="12.95" customHeight="1" x14ac:dyDescent="0.15">
      <c r="B328" s="16">
        <v>5</v>
      </c>
      <c r="C328" s="16"/>
      <c r="D328" s="18"/>
      <c r="E328" s="18"/>
      <c r="F328" s="129"/>
      <c r="G328" s="20"/>
      <c r="H328" s="20">
        <v>1</v>
      </c>
      <c r="I328" s="126">
        <f t="shared" si="24"/>
        <v>0</v>
      </c>
      <c r="J328" s="38">
        <f t="shared" si="23"/>
        <v>0</v>
      </c>
      <c r="K328" s="80"/>
      <c r="L328" s="82"/>
    </row>
    <row r="329" spans="2:20" s="1" customFormat="1" ht="12.95" customHeight="1" x14ac:dyDescent="0.15">
      <c r="B329" s="16">
        <v>6</v>
      </c>
      <c r="C329" s="17"/>
      <c r="D329" s="24"/>
      <c r="E329" s="24"/>
      <c r="F329" s="129"/>
      <c r="G329" s="20"/>
      <c r="H329" s="20">
        <v>1</v>
      </c>
      <c r="I329" s="126">
        <f t="shared" si="24"/>
        <v>0</v>
      </c>
      <c r="J329" s="38">
        <f t="shared" si="23"/>
        <v>0</v>
      </c>
      <c r="K329" s="80"/>
      <c r="L329" s="82"/>
    </row>
    <row r="330" spans="2:20" s="1" customFormat="1" ht="12.95" customHeight="1" x14ac:dyDescent="0.15">
      <c r="B330" s="16">
        <v>7</v>
      </c>
      <c r="C330" s="17"/>
      <c r="D330" s="24"/>
      <c r="E330" s="24"/>
      <c r="F330" s="129"/>
      <c r="G330" s="20"/>
      <c r="H330" s="20">
        <v>1</v>
      </c>
      <c r="I330" s="126">
        <f t="shared" si="24"/>
        <v>0</v>
      </c>
      <c r="J330" s="38">
        <f t="shared" si="23"/>
        <v>0</v>
      </c>
      <c r="K330" s="80"/>
      <c r="L330" s="82"/>
    </row>
    <row r="331" spans="2:20" s="1" customFormat="1" ht="12.95" customHeight="1" x14ac:dyDescent="0.15">
      <c r="B331" s="16">
        <v>8</v>
      </c>
      <c r="C331" s="23"/>
      <c r="D331" s="48"/>
      <c r="E331" s="48"/>
      <c r="F331" s="129"/>
      <c r="G331" s="20"/>
      <c r="H331" s="20">
        <v>1</v>
      </c>
      <c r="I331" s="126">
        <f t="shared" si="24"/>
        <v>0</v>
      </c>
      <c r="J331" s="38">
        <f t="shared" si="23"/>
        <v>0</v>
      </c>
      <c r="K331" s="80"/>
      <c r="L331" s="82"/>
    </row>
    <row r="332" spans="2:20" s="1" customFormat="1" ht="12.95" customHeight="1" x14ac:dyDescent="0.15">
      <c r="B332" s="16">
        <v>9</v>
      </c>
      <c r="C332" s="23"/>
      <c r="D332" s="48"/>
      <c r="E332" s="48"/>
      <c r="F332" s="129"/>
      <c r="G332" s="20"/>
      <c r="H332" s="20">
        <v>1</v>
      </c>
      <c r="I332" s="126">
        <f t="shared" si="24"/>
        <v>0</v>
      </c>
      <c r="J332" s="38">
        <f t="shared" si="23"/>
        <v>0</v>
      </c>
      <c r="K332" s="80"/>
      <c r="L332" s="82"/>
    </row>
    <row r="333" spans="2:20" s="1" customFormat="1" ht="12.95" customHeight="1" x14ac:dyDescent="0.15">
      <c r="B333" s="16">
        <v>10</v>
      </c>
      <c r="C333" s="23"/>
      <c r="D333" s="48"/>
      <c r="E333" s="48"/>
      <c r="F333" s="129"/>
      <c r="G333" s="20"/>
      <c r="H333" s="20">
        <v>1</v>
      </c>
      <c r="I333" s="126">
        <f t="shared" si="24"/>
        <v>0</v>
      </c>
      <c r="J333" s="38">
        <f t="shared" si="23"/>
        <v>0</v>
      </c>
      <c r="K333" s="80"/>
      <c r="L333" s="82"/>
    </row>
    <row r="334" spans="2:20" s="1" customFormat="1" ht="12.95" customHeight="1" x14ac:dyDescent="0.15">
      <c r="B334" s="16"/>
      <c r="C334" s="23"/>
      <c r="D334" s="49"/>
      <c r="E334" s="48"/>
      <c r="F334" s="129"/>
      <c r="G334" s="20"/>
      <c r="H334" s="20"/>
      <c r="I334" s="126"/>
      <c r="J334" s="38"/>
      <c r="K334" s="80"/>
      <c r="L334" s="82"/>
    </row>
    <row r="335" spans="2:20" s="1" customFormat="1" ht="12.95" customHeight="1" x14ac:dyDescent="0.15">
      <c r="B335" s="16"/>
      <c r="C335" s="23"/>
      <c r="D335" s="49"/>
      <c r="E335" s="48"/>
      <c r="F335" s="129"/>
      <c r="G335" s="20"/>
      <c r="H335" s="20"/>
      <c r="I335" s="126"/>
      <c r="J335" s="38"/>
      <c r="K335" s="80"/>
      <c r="L335" s="82"/>
    </row>
    <row r="336" spans="2:20" s="1" customFormat="1" ht="12.95" customHeight="1" x14ac:dyDescent="0.15">
      <c r="B336" s="16"/>
      <c r="C336" s="72" t="s">
        <v>153</v>
      </c>
      <c r="D336" s="48"/>
      <c r="E336" s="49"/>
      <c r="F336" s="129"/>
      <c r="G336" s="20"/>
      <c r="H336" s="20"/>
      <c r="I336" s="126"/>
      <c r="J336" s="38"/>
      <c r="K336" s="80"/>
      <c r="L336" s="82"/>
    </row>
    <row r="337" spans="2:15" s="1" customFormat="1" ht="12.95" customHeight="1" x14ac:dyDescent="0.15">
      <c r="B337" s="16">
        <v>1</v>
      </c>
      <c r="C337" s="23"/>
      <c r="D337" s="48"/>
      <c r="E337" s="49"/>
      <c r="F337" s="129"/>
      <c r="G337" s="20"/>
      <c r="H337" s="20">
        <v>1</v>
      </c>
      <c r="I337" s="126">
        <f t="shared" si="24"/>
        <v>0</v>
      </c>
      <c r="J337" s="38">
        <f t="shared" si="23"/>
        <v>0</v>
      </c>
      <c r="K337" s="80"/>
      <c r="L337" s="82"/>
    </row>
    <row r="338" spans="2:15" s="1" customFormat="1" ht="14.85" customHeight="1" x14ac:dyDescent="0.15">
      <c r="B338" s="16">
        <v>2</v>
      </c>
      <c r="C338" s="23"/>
      <c r="D338" s="48"/>
      <c r="E338" s="49"/>
      <c r="F338" s="129"/>
      <c r="G338" s="20"/>
      <c r="H338" s="20">
        <v>1</v>
      </c>
      <c r="I338" s="126">
        <f t="shared" si="24"/>
        <v>0</v>
      </c>
      <c r="J338" s="38">
        <f t="shared" si="23"/>
        <v>0</v>
      </c>
      <c r="K338" s="80"/>
      <c r="L338" s="82"/>
    </row>
    <row r="339" spans="2:15" s="1" customFormat="1" ht="12.95" customHeight="1" x14ac:dyDescent="0.15">
      <c r="B339" s="16">
        <v>3</v>
      </c>
      <c r="C339" s="23"/>
      <c r="D339" s="48"/>
      <c r="E339" s="49"/>
      <c r="F339" s="129"/>
      <c r="G339" s="20"/>
      <c r="H339" s="20">
        <v>1</v>
      </c>
      <c r="I339" s="126">
        <f t="shared" si="24"/>
        <v>0</v>
      </c>
      <c r="J339" s="38">
        <f t="shared" si="23"/>
        <v>0</v>
      </c>
      <c r="K339" s="80"/>
      <c r="L339" s="82"/>
    </row>
    <row r="340" spans="2:15" s="1" customFormat="1" ht="12.95" customHeight="1" x14ac:dyDescent="0.15">
      <c r="B340" s="16">
        <v>4</v>
      </c>
      <c r="C340" s="23"/>
      <c r="D340" s="48"/>
      <c r="E340" s="49"/>
      <c r="F340" s="129"/>
      <c r="G340" s="20"/>
      <c r="H340" s="20">
        <v>1</v>
      </c>
      <c r="I340" s="126">
        <f t="shared" si="24"/>
        <v>0</v>
      </c>
      <c r="J340" s="38">
        <f t="shared" si="23"/>
        <v>0</v>
      </c>
      <c r="K340" s="80"/>
      <c r="L340" s="82"/>
    </row>
    <row r="341" spans="2:15" s="1" customFormat="1" ht="12.95" customHeight="1" x14ac:dyDescent="0.15">
      <c r="B341" s="16">
        <v>5</v>
      </c>
      <c r="C341" s="23"/>
      <c r="D341" s="48"/>
      <c r="E341" s="48"/>
      <c r="F341" s="129"/>
      <c r="G341" s="20"/>
      <c r="H341" s="20">
        <v>1</v>
      </c>
      <c r="I341" s="126">
        <f t="shared" si="24"/>
        <v>0</v>
      </c>
      <c r="J341" s="38">
        <f t="shared" si="23"/>
        <v>0</v>
      </c>
      <c r="K341" s="80"/>
      <c r="L341" s="82"/>
    </row>
    <row r="342" spans="2:15" s="1" customFormat="1" ht="12.95" customHeight="1" x14ac:dyDescent="0.15">
      <c r="B342" s="16">
        <v>6</v>
      </c>
      <c r="C342" s="23"/>
      <c r="D342" s="48"/>
      <c r="E342" s="48"/>
      <c r="F342" s="129"/>
      <c r="G342" s="20"/>
      <c r="H342" s="20">
        <v>1</v>
      </c>
      <c r="I342" s="126">
        <f t="shared" si="24"/>
        <v>0</v>
      </c>
      <c r="J342" s="38">
        <f>(F342*G342*H342)/$C$32</f>
        <v>0</v>
      </c>
      <c r="K342" s="80"/>
      <c r="L342" s="82"/>
    </row>
    <row r="343" spans="2:15" s="1" customFormat="1" ht="12.95" customHeight="1" x14ac:dyDescent="0.15">
      <c r="B343" s="16">
        <v>7</v>
      </c>
      <c r="C343" s="23"/>
      <c r="D343" s="48"/>
      <c r="E343" s="48"/>
      <c r="F343" s="129"/>
      <c r="G343" s="20"/>
      <c r="H343" s="20">
        <v>1</v>
      </c>
      <c r="I343" s="126">
        <f t="shared" si="24"/>
        <v>0</v>
      </c>
      <c r="J343" s="38">
        <f>(F343*G343*H343)/$C$32</f>
        <v>0</v>
      </c>
      <c r="K343" s="80"/>
      <c r="L343" s="82"/>
    </row>
    <row r="344" spans="2:15" s="1" customFormat="1" ht="12.95" customHeight="1" x14ac:dyDescent="0.15">
      <c r="B344" s="16">
        <v>8</v>
      </c>
      <c r="C344" s="23"/>
      <c r="D344" s="48"/>
      <c r="E344" s="48"/>
      <c r="F344" s="129"/>
      <c r="G344" s="20"/>
      <c r="H344" s="20">
        <v>1</v>
      </c>
      <c r="I344" s="126">
        <f t="shared" si="24"/>
        <v>0</v>
      </c>
      <c r="J344" s="38">
        <f t="shared" ref="J344:J379" si="25">(F344*G344*H344)/$C$32</f>
        <v>0</v>
      </c>
      <c r="K344" s="80"/>
      <c r="L344" s="82"/>
      <c r="M344" s="39"/>
      <c r="N344" s="40"/>
      <c r="O344" s="40"/>
    </row>
    <row r="345" spans="2:15" s="1" customFormat="1" ht="12.95" customHeight="1" x14ac:dyDescent="0.15">
      <c r="B345" s="16">
        <v>9</v>
      </c>
      <c r="C345" s="23"/>
      <c r="D345" s="48"/>
      <c r="E345" s="48"/>
      <c r="F345" s="129"/>
      <c r="G345" s="20"/>
      <c r="H345" s="20">
        <v>1</v>
      </c>
      <c r="I345" s="126">
        <f t="shared" si="24"/>
        <v>0</v>
      </c>
      <c r="J345" s="38">
        <f t="shared" si="25"/>
        <v>0</v>
      </c>
      <c r="K345" s="80"/>
      <c r="L345" s="82"/>
    </row>
    <row r="346" spans="2:15" s="1" customFormat="1" ht="12.95" customHeight="1" x14ac:dyDescent="0.15">
      <c r="B346" s="16">
        <v>10</v>
      </c>
      <c r="C346" s="23"/>
      <c r="D346" s="48"/>
      <c r="E346" s="48"/>
      <c r="F346" s="129"/>
      <c r="G346" s="20"/>
      <c r="H346" s="20">
        <v>1</v>
      </c>
      <c r="I346" s="126">
        <f t="shared" si="24"/>
        <v>0</v>
      </c>
      <c r="J346" s="38">
        <f t="shared" si="25"/>
        <v>0</v>
      </c>
      <c r="K346" s="80"/>
      <c r="L346" s="82"/>
    </row>
    <row r="347" spans="2:15" s="1" customFormat="1" ht="12.95" customHeight="1" x14ac:dyDescent="0.15">
      <c r="B347" s="16">
        <v>11</v>
      </c>
      <c r="C347" s="23"/>
      <c r="D347" s="48"/>
      <c r="E347" s="48"/>
      <c r="F347" s="130"/>
      <c r="G347" s="20"/>
      <c r="H347" s="20">
        <v>1</v>
      </c>
      <c r="I347" s="126">
        <f t="shared" si="24"/>
        <v>0</v>
      </c>
      <c r="J347" s="38">
        <f t="shared" si="25"/>
        <v>0</v>
      </c>
      <c r="K347" s="80"/>
      <c r="L347" s="82"/>
    </row>
    <row r="348" spans="2:15" s="1" customFormat="1" ht="12.95" customHeight="1" x14ac:dyDescent="0.15">
      <c r="B348" s="16">
        <v>12</v>
      </c>
      <c r="C348" s="23"/>
      <c r="D348" s="48"/>
      <c r="E348" s="48"/>
      <c r="F348" s="129"/>
      <c r="G348" s="20"/>
      <c r="H348" s="20">
        <v>1</v>
      </c>
      <c r="I348" s="126">
        <f t="shared" si="24"/>
        <v>0</v>
      </c>
      <c r="J348" s="38">
        <f t="shared" si="25"/>
        <v>0</v>
      </c>
      <c r="K348" s="80"/>
      <c r="L348" s="82"/>
    </row>
    <row r="349" spans="2:15" s="1" customFormat="1" ht="12.95" customHeight="1" x14ac:dyDescent="0.15">
      <c r="B349" s="16">
        <v>13</v>
      </c>
      <c r="C349" s="23"/>
      <c r="D349" s="48"/>
      <c r="E349" s="48"/>
      <c r="F349" s="129"/>
      <c r="G349" s="20"/>
      <c r="H349" s="20">
        <v>1</v>
      </c>
      <c r="I349" s="126">
        <f t="shared" si="24"/>
        <v>0</v>
      </c>
      <c r="J349" s="38">
        <f t="shared" si="25"/>
        <v>0</v>
      </c>
      <c r="K349" s="80"/>
      <c r="L349" s="82"/>
    </row>
    <row r="350" spans="2:15" s="1" customFormat="1" ht="12.95" customHeight="1" x14ac:dyDescent="0.15">
      <c r="B350" s="16">
        <v>14</v>
      </c>
      <c r="C350" s="23"/>
      <c r="D350" s="48"/>
      <c r="E350" s="48"/>
      <c r="F350" s="129"/>
      <c r="G350" s="20"/>
      <c r="H350" s="20">
        <v>1</v>
      </c>
      <c r="I350" s="126">
        <f t="shared" si="24"/>
        <v>0</v>
      </c>
      <c r="J350" s="38">
        <f t="shared" si="25"/>
        <v>0</v>
      </c>
      <c r="K350" s="80"/>
      <c r="L350" s="82"/>
    </row>
    <row r="351" spans="2:15" s="1" customFormat="1" ht="12.95" customHeight="1" x14ac:dyDescent="0.15">
      <c r="B351" s="16">
        <v>15</v>
      </c>
      <c r="C351" s="23"/>
      <c r="D351" s="48"/>
      <c r="E351" s="48"/>
      <c r="F351" s="129"/>
      <c r="G351" s="20"/>
      <c r="H351" s="20">
        <v>1</v>
      </c>
      <c r="I351" s="126">
        <f t="shared" si="24"/>
        <v>0</v>
      </c>
      <c r="J351" s="38">
        <f t="shared" si="25"/>
        <v>0</v>
      </c>
      <c r="K351" s="80"/>
      <c r="L351" s="82"/>
    </row>
    <row r="352" spans="2:15" s="1" customFormat="1" ht="12.95" customHeight="1" x14ac:dyDescent="0.15">
      <c r="B352" s="16">
        <v>16</v>
      </c>
      <c r="C352" s="23"/>
      <c r="D352" s="48"/>
      <c r="E352" s="48"/>
      <c r="F352" s="129"/>
      <c r="G352" s="20"/>
      <c r="H352" s="20">
        <v>1</v>
      </c>
      <c r="I352" s="126">
        <f t="shared" si="24"/>
        <v>0</v>
      </c>
      <c r="J352" s="38">
        <f t="shared" si="25"/>
        <v>0</v>
      </c>
      <c r="K352" s="80"/>
      <c r="L352" s="82"/>
    </row>
    <row r="353" spans="2:20" s="1" customFormat="1" ht="12.95" customHeight="1" x14ac:dyDescent="0.2">
      <c r="B353" s="16">
        <v>17</v>
      </c>
      <c r="C353" s="410"/>
      <c r="D353" s="410"/>
      <c r="E353" s="410"/>
      <c r="F353" s="129"/>
      <c r="G353" s="20"/>
      <c r="H353" s="20">
        <v>1</v>
      </c>
      <c r="I353" s="126">
        <f t="shared" si="24"/>
        <v>0</v>
      </c>
      <c r="J353" s="21">
        <f t="shared" si="25"/>
        <v>0</v>
      </c>
      <c r="K353" s="80"/>
      <c r="L353" s="82"/>
      <c r="M353" s="10"/>
      <c r="N353" s="10"/>
      <c r="O353" s="10"/>
      <c r="P353" s="10"/>
      <c r="Q353" s="43"/>
      <c r="R353" s="10"/>
      <c r="T353" s="10"/>
    </row>
    <row r="354" spans="2:20" s="1" customFormat="1" ht="12.95" customHeight="1" x14ac:dyDescent="0.15">
      <c r="B354" s="16">
        <v>18</v>
      </c>
      <c r="C354" s="60"/>
      <c r="D354" s="49"/>
      <c r="E354" s="49"/>
      <c r="F354" s="129"/>
      <c r="G354" s="20"/>
      <c r="H354" s="20">
        <v>1</v>
      </c>
      <c r="I354" s="126">
        <f>J354*$C$32</f>
        <v>0</v>
      </c>
      <c r="J354" s="21">
        <f t="shared" si="25"/>
        <v>0</v>
      </c>
      <c r="K354" s="80"/>
      <c r="L354" s="82"/>
      <c r="M354" s="10"/>
      <c r="N354" s="10"/>
      <c r="O354" s="10"/>
      <c r="P354" s="10"/>
      <c r="Q354" s="43"/>
      <c r="R354" s="10"/>
      <c r="T354" s="10"/>
    </row>
    <row r="355" spans="2:20" s="1" customFormat="1" ht="12.95" customHeight="1" x14ac:dyDescent="0.15">
      <c r="B355" s="16">
        <v>19</v>
      </c>
      <c r="C355" s="59"/>
      <c r="D355" s="49"/>
      <c r="E355" s="49"/>
      <c r="F355" s="129"/>
      <c r="G355" s="20"/>
      <c r="H355" s="20">
        <v>1</v>
      </c>
      <c r="I355" s="126">
        <f t="shared" ref="I355:I369" si="26">J355*$C$32</f>
        <v>0</v>
      </c>
      <c r="J355" s="21">
        <f t="shared" si="25"/>
        <v>0</v>
      </c>
      <c r="K355" s="80"/>
      <c r="L355" s="82"/>
      <c r="M355" s="10"/>
      <c r="N355" s="10"/>
      <c r="O355" s="10"/>
      <c r="P355" s="10"/>
      <c r="Q355" s="43"/>
      <c r="R355" s="10"/>
      <c r="T355" s="10"/>
    </row>
    <row r="356" spans="2:20" s="1" customFormat="1" ht="12.95" customHeight="1" x14ac:dyDescent="0.15">
      <c r="B356" s="16">
        <v>20</v>
      </c>
      <c r="C356" s="70"/>
      <c r="D356" s="49"/>
      <c r="E356" s="49"/>
      <c r="F356" s="129"/>
      <c r="G356" s="20"/>
      <c r="H356" s="20">
        <v>1</v>
      </c>
      <c r="I356" s="126">
        <f t="shared" si="26"/>
        <v>0</v>
      </c>
      <c r="J356" s="21">
        <f t="shared" si="25"/>
        <v>0</v>
      </c>
      <c r="K356" s="80"/>
      <c r="L356" s="82"/>
      <c r="M356" s="10"/>
      <c r="N356" s="10"/>
      <c r="O356" s="10"/>
      <c r="P356" s="10"/>
      <c r="Q356" s="43"/>
      <c r="R356" s="10"/>
      <c r="T356" s="10"/>
    </row>
    <row r="357" spans="2:20" s="1" customFormat="1" ht="12.95" customHeight="1" x14ac:dyDescent="0.15">
      <c r="B357" s="16"/>
      <c r="C357" s="70"/>
      <c r="D357" s="49"/>
      <c r="E357" s="49"/>
      <c r="F357" s="129"/>
      <c r="G357" s="20"/>
      <c r="H357" s="20"/>
      <c r="I357" s="126"/>
      <c r="J357" s="21"/>
      <c r="K357" s="80"/>
      <c r="L357" s="82"/>
      <c r="M357" s="10"/>
      <c r="N357" s="10"/>
      <c r="O357" s="10"/>
      <c r="P357" s="10"/>
      <c r="Q357" s="43"/>
      <c r="R357" s="10"/>
      <c r="T357" s="10"/>
    </row>
    <row r="358" spans="2:20" s="1" customFormat="1" ht="12.95" customHeight="1" x14ac:dyDescent="0.15">
      <c r="B358" s="16"/>
      <c r="C358" s="70"/>
      <c r="D358" s="49"/>
      <c r="E358" s="49"/>
      <c r="F358" s="129"/>
      <c r="G358" s="20"/>
      <c r="H358" s="20"/>
      <c r="I358" s="126"/>
      <c r="J358" s="21"/>
      <c r="K358" s="80"/>
      <c r="L358" s="82"/>
      <c r="M358" s="10"/>
      <c r="N358" s="10"/>
      <c r="O358" s="10"/>
      <c r="P358" s="10"/>
      <c r="Q358" s="43"/>
      <c r="R358" s="10"/>
      <c r="T358" s="10"/>
    </row>
    <row r="359" spans="2:20" s="1" customFormat="1" ht="12.95" customHeight="1" x14ac:dyDescent="0.15">
      <c r="B359" s="16"/>
      <c r="C359" s="70" t="s">
        <v>159</v>
      </c>
      <c r="D359" s="49"/>
      <c r="E359" s="49"/>
      <c r="F359" s="129"/>
      <c r="G359" s="20"/>
      <c r="H359" s="20"/>
      <c r="I359" s="126"/>
      <c r="J359" s="21"/>
      <c r="K359" s="80"/>
      <c r="L359" s="82"/>
      <c r="M359" s="10"/>
      <c r="N359" s="10"/>
      <c r="O359" s="10"/>
      <c r="P359" s="10"/>
      <c r="Q359" s="43"/>
      <c r="R359" s="10"/>
      <c r="T359" s="10"/>
    </row>
    <row r="360" spans="2:20" s="1" customFormat="1" ht="12.95" customHeight="1" x14ac:dyDescent="0.15">
      <c r="B360" s="16">
        <v>1</v>
      </c>
      <c r="C360" s="61"/>
      <c r="D360" s="49"/>
      <c r="E360" s="49"/>
      <c r="F360" s="129"/>
      <c r="G360" s="20"/>
      <c r="H360" s="20">
        <v>1</v>
      </c>
      <c r="I360" s="126">
        <f t="shared" si="26"/>
        <v>0</v>
      </c>
      <c r="J360" s="21">
        <f t="shared" si="25"/>
        <v>0</v>
      </c>
      <c r="K360" s="80"/>
      <c r="L360" s="82"/>
      <c r="M360" s="10"/>
      <c r="N360" s="10"/>
      <c r="O360" s="10"/>
      <c r="P360" s="10"/>
      <c r="Q360" s="43"/>
      <c r="R360" s="10"/>
      <c r="T360" s="10"/>
    </row>
    <row r="361" spans="2:20" s="1" customFormat="1" ht="14.25" x14ac:dyDescent="0.15">
      <c r="B361" s="16">
        <v>2</v>
      </c>
      <c r="C361" s="61"/>
      <c r="D361" s="49"/>
      <c r="E361" s="49"/>
      <c r="F361" s="129"/>
      <c r="G361" s="20"/>
      <c r="H361" s="20">
        <v>1</v>
      </c>
      <c r="I361" s="126">
        <f t="shared" si="26"/>
        <v>0</v>
      </c>
      <c r="J361" s="21">
        <f t="shared" si="25"/>
        <v>0</v>
      </c>
      <c r="K361" s="80"/>
      <c r="L361" s="82"/>
    </row>
    <row r="362" spans="2:20" s="1" customFormat="1" ht="14.25" x14ac:dyDescent="0.15">
      <c r="B362" s="16">
        <v>3</v>
      </c>
      <c r="C362" s="61"/>
      <c r="D362" s="49"/>
      <c r="E362" s="49"/>
      <c r="F362" s="129"/>
      <c r="G362" s="20"/>
      <c r="H362" s="20">
        <v>1</v>
      </c>
      <c r="I362" s="126">
        <f t="shared" si="26"/>
        <v>0</v>
      </c>
      <c r="J362" s="21">
        <f t="shared" si="25"/>
        <v>0</v>
      </c>
      <c r="K362" s="80"/>
      <c r="L362" s="82"/>
    </row>
    <row r="363" spans="2:20" s="1" customFormat="1" ht="14.25" x14ac:dyDescent="0.15">
      <c r="B363" s="16">
        <v>4</v>
      </c>
      <c r="C363" s="61"/>
      <c r="D363" s="49"/>
      <c r="E363" s="49"/>
      <c r="F363" s="129"/>
      <c r="G363" s="20"/>
      <c r="H363" s="20">
        <v>1</v>
      </c>
      <c r="I363" s="126">
        <f t="shared" si="26"/>
        <v>0</v>
      </c>
      <c r="J363" s="21">
        <f t="shared" si="25"/>
        <v>0</v>
      </c>
      <c r="K363" s="80"/>
      <c r="L363" s="82"/>
    </row>
    <row r="364" spans="2:20" s="1" customFormat="1" ht="16.5" x14ac:dyDescent="0.2">
      <c r="B364" s="16">
        <v>5</v>
      </c>
      <c r="C364" s="71"/>
      <c r="D364" s="49"/>
      <c r="E364" s="49"/>
      <c r="F364" s="129"/>
      <c r="G364" s="20"/>
      <c r="H364" s="20">
        <v>1</v>
      </c>
      <c r="I364" s="126">
        <f t="shared" si="26"/>
        <v>0</v>
      </c>
      <c r="J364" s="21">
        <f t="shared" si="25"/>
        <v>0</v>
      </c>
      <c r="K364" s="80"/>
      <c r="L364" s="82"/>
    </row>
    <row r="365" spans="2:20" s="1" customFormat="1" ht="14.25" x14ac:dyDescent="0.15">
      <c r="B365" s="16">
        <v>6</v>
      </c>
      <c r="C365" s="61"/>
      <c r="D365" s="49"/>
      <c r="E365" s="49"/>
      <c r="F365" s="129"/>
      <c r="G365" s="20"/>
      <c r="H365" s="20">
        <v>1</v>
      </c>
      <c r="I365" s="126">
        <f t="shared" si="26"/>
        <v>0</v>
      </c>
      <c r="J365" s="21">
        <f t="shared" si="25"/>
        <v>0</v>
      </c>
      <c r="K365" s="80"/>
      <c r="L365" s="82"/>
    </row>
    <row r="366" spans="2:20" s="1" customFormat="1" ht="14.25" x14ac:dyDescent="0.15">
      <c r="B366" s="16">
        <v>7</v>
      </c>
      <c r="C366" s="61"/>
      <c r="D366" s="49"/>
      <c r="E366" s="49"/>
      <c r="F366" s="129"/>
      <c r="G366" s="20"/>
      <c r="H366" s="20">
        <v>1</v>
      </c>
      <c r="I366" s="126">
        <f t="shared" si="26"/>
        <v>0</v>
      </c>
      <c r="J366" s="21">
        <f t="shared" si="25"/>
        <v>0</v>
      </c>
      <c r="K366" s="80"/>
      <c r="L366" s="82"/>
    </row>
    <row r="367" spans="2:20" s="1" customFormat="1" ht="14.25" x14ac:dyDescent="0.15">
      <c r="B367" s="16">
        <v>8</v>
      </c>
      <c r="C367" s="61"/>
      <c r="D367" s="49"/>
      <c r="E367" s="49"/>
      <c r="F367" s="129"/>
      <c r="G367" s="20"/>
      <c r="H367" s="20">
        <v>1</v>
      </c>
      <c r="I367" s="126">
        <f t="shared" si="26"/>
        <v>0</v>
      </c>
      <c r="J367" s="21">
        <f t="shared" si="25"/>
        <v>0</v>
      </c>
      <c r="K367" s="80"/>
      <c r="L367" s="82"/>
    </row>
    <row r="368" spans="2:20" s="1" customFormat="1" ht="14.25" x14ac:dyDescent="0.15">
      <c r="B368" s="16">
        <v>9</v>
      </c>
      <c r="C368" s="61"/>
      <c r="D368" s="49"/>
      <c r="E368" s="49"/>
      <c r="F368" s="129"/>
      <c r="G368" s="20"/>
      <c r="H368" s="20">
        <v>1</v>
      </c>
      <c r="I368" s="126">
        <f t="shared" si="26"/>
        <v>0</v>
      </c>
      <c r="J368" s="21">
        <f t="shared" si="25"/>
        <v>0</v>
      </c>
      <c r="K368" s="80"/>
      <c r="L368" s="82"/>
    </row>
    <row r="369" spans="2:12" s="1" customFormat="1" ht="14.25" x14ac:dyDescent="0.15">
      <c r="B369" s="16">
        <v>10</v>
      </c>
      <c r="C369" s="61"/>
      <c r="D369" s="49"/>
      <c r="E369" s="49"/>
      <c r="F369" s="129"/>
      <c r="G369" s="20"/>
      <c r="H369" s="20">
        <v>1</v>
      </c>
      <c r="I369" s="126">
        <f t="shared" si="26"/>
        <v>0</v>
      </c>
      <c r="J369" s="21">
        <f t="shared" si="25"/>
        <v>0</v>
      </c>
      <c r="K369" s="80"/>
      <c r="L369" s="82"/>
    </row>
    <row r="370" spans="2:12" s="1" customFormat="1" ht="14.25" x14ac:dyDescent="0.15">
      <c r="B370" s="16">
        <v>11</v>
      </c>
      <c r="C370" s="61"/>
      <c r="D370" s="49"/>
      <c r="E370" s="49"/>
      <c r="F370" s="129"/>
      <c r="G370" s="20"/>
      <c r="H370" s="20">
        <v>1</v>
      </c>
      <c r="I370" s="126">
        <f>J370*$C$32</f>
        <v>0</v>
      </c>
      <c r="J370" s="21">
        <f t="shared" si="25"/>
        <v>0</v>
      </c>
      <c r="K370" s="80"/>
      <c r="L370" s="82"/>
    </row>
    <row r="371" spans="2:12" s="1" customFormat="1" ht="14.25" x14ac:dyDescent="0.15">
      <c r="B371" s="16">
        <v>12</v>
      </c>
      <c r="C371" s="46"/>
      <c r="D371" s="18"/>
      <c r="E371" s="18"/>
      <c r="F371" s="129"/>
      <c r="G371" s="20"/>
      <c r="H371" s="20">
        <v>1</v>
      </c>
      <c r="I371" s="126">
        <f t="shared" ref="I371:I379" si="27">J371*$C$32</f>
        <v>0</v>
      </c>
      <c r="J371" s="21">
        <f t="shared" si="25"/>
        <v>0</v>
      </c>
      <c r="K371" s="80"/>
      <c r="L371" s="82"/>
    </row>
    <row r="372" spans="2:12" s="1" customFormat="1" ht="14.25" x14ac:dyDescent="0.15">
      <c r="B372" s="16">
        <v>13</v>
      </c>
      <c r="C372" s="46"/>
      <c r="D372" s="18"/>
      <c r="E372" s="18"/>
      <c r="F372" s="129"/>
      <c r="G372" s="20"/>
      <c r="H372" s="20">
        <v>1</v>
      </c>
      <c r="I372" s="126">
        <f t="shared" si="27"/>
        <v>0</v>
      </c>
      <c r="J372" s="21">
        <f t="shared" si="25"/>
        <v>0</v>
      </c>
      <c r="K372" s="80"/>
      <c r="L372" s="82"/>
    </row>
    <row r="373" spans="2:12" s="1" customFormat="1" ht="14.25" x14ac:dyDescent="0.15">
      <c r="B373" s="16">
        <v>14</v>
      </c>
      <c r="C373" s="46"/>
      <c r="D373" s="18"/>
      <c r="E373" s="18"/>
      <c r="F373" s="129"/>
      <c r="G373" s="20"/>
      <c r="H373" s="20">
        <v>1</v>
      </c>
      <c r="I373" s="126">
        <f t="shared" si="27"/>
        <v>0</v>
      </c>
      <c r="J373" s="21">
        <f t="shared" si="25"/>
        <v>0</v>
      </c>
      <c r="K373" s="80"/>
      <c r="L373" s="82"/>
    </row>
    <row r="374" spans="2:12" s="1" customFormat="1" ht="14.25" x14ac:dyDescent="0.15">
      <c r="B374" s="16">
        <v>15</v>
      </c>
      <c r="C374" s="46"/>
      <c r="D374" s="18"/>
      <c r="E374" s="18"/>
      <c r="F374" s="129"/>
      <c r="G374" s="20"/>
      <c r="H374" s="20">
        <v>1</v>
      </c>
      <c r="I374" s="126">
        <f t="shared" si="27"/>
        <v>0</v>
      </c>
      <c r="J374" s="21">
        <f t="shared" si="25"/>
        <v>0</v>
      </c>
      <c r="K374" s="80"/>
      <c r="L374" s="82"/>
    </row>
    <row r="375" spans="2:12" s="1" customFormat="1" ht="14.25" x14ac:dyDescent="0.15">
      <c r="B375" s="16">
        <v>16</v>
      </c>
      <c r="C375" s="46"/>
      <c r="D375" s="18"/>
      <c r="E375" s="18"/>
      <c r="F375" s="129"/>
      <c r="G375" s="20"/>
      <c r="H375" s="20">
        <v>1</v>
      </c>
      <c r="I375" s="126">
        <f t="shared" si="27"/>
        <v>0</v>
      </c>
      <c r="J375" s="21">
        <f t="shared" si="25"/>
        <v>0</v>
      </c>
      <c r="K375" s="80"/>
      <c r="L375" s="82"/>
    </row>
    <row r="376" spans="2:12" s="1" customFormat="1" ht="14.25" x14ac:dyDescent="0.15">
      <c r="B376" s="16">
        <v>17</v>
      </c>
      <c r="C376" s="46"/>
      <c r="D376" s="18"/>
      <c r="E376" s="18"/>
      <c r="F376" s="129"/>
      <c r="G376" s="20"/>
      <c r="H376" s="20">
        <v>1</v>
      </c>
      <c r="I376" s="126">
        <f t="shared" si="27"/>
        <v>0</v>
      </c>
      <c r="J376" s="78">
        <f t="shared" si="25"/>
        <v>0</v>
      </c>
      <c r="K376" s="111"/>
      <c r="L376" s="119"/>
    </row>
    <row r="377" spans="2:12" s="1" customFormat="1" ht="14.25" x14ac:dyDescent="0.15">
      <c r="B377" s="16">
        <v>18</v>
      </c>
      <c r="C377" s="46"/>
      <c r="D377" s="18"/>
      <c r="E377" s="18"/>
      <c r="F377" s="129"/>
      <c r="G377" s="20"/>
      <c r="H377" s="20">
        <v>1</v>
      </c>
      <c r="I377" s="254">
        <f t="shared" si="27"/>
        <v>0</v>
      </c>
      <c r="J377" s="94">
        <f t="shared" si="25"/>
        <v>0</v>
      </c>
      <c r="K377" s="82"/>
      <c r="L377" s="82"/>
    </row>
    <row r="378" spans="2:12" s="1" customFormat="1" ht="14.25" x14ac:dyDescent="0.15">
      <c r="B378" s="16">
        <v>19</v>
      </c>
      <c r="C378" s="46"/>
      <c r="D378" s="18"/>
      <c r="E378" s="18"/>
      <c r="F378" s="129"/>
      <c r="G378" s="20"/>
      <c r="H378" s="20">
        <v>1</v>
      </c>
      <c r="I378" s="254">
        <f t="shared" si="27"/>
        <v>0</v>
      </c>
      <c r="J378" s="94">
        <f t="shared" si="25"/>
        <v>0</v>
      </c>
      <c r="K378" s="82"/>
      <c r="L378" s="82"/>
    </row>
    <row r="379" spans="2:12" s="1" customFormat="1" ht="14.25" x14ac:dyDescent="0.15">
      <c r="B379" s="16">
        <v>20</v>
      </c>
      <c r="C379" s="46"/>
      <c r="D379" s="18"/>
      <c r="E379" s="18"/>
      <c r="F379" s="129"/>
      <c r="G379" s="20"/>
      <c r="H379" s="20">
        <v>1</v>
      </c>
      <c r="I379" s="254">
        <f t="shared" si="27"/>
        <v>0</v>
      </c>
      <c r="J379" s="94">
        <f t="shared" si="25"/>
        <v>0</v>
      </c>
      <c r="K379" s="82"/>
      <c r="L379" s="82"/>
    </row>
    <row r="380" spans="2:12" s="1" customFormat="1" ht="14.25" x14ac:dyDescent="0.15">
      <c r="B380" s="83"/>
      <c r="C380" s="174"/>
      <c r="D380" s="75"/>
      <c r="E380" s="75"/>
      <c r="F380" s="132"/>
      <c r="G380" s="77"/>
      <c r="H380" s="77"/>
      <c r="I380" s="255"/>
      <c r="J380" s="94"/>
      <c r="K380" s="82"/>
      <c r="L380" s="82"/>
    </row>
    <row r="381" spans="2:12" s="1" customFormat="1" ht="12.75" x14ac:dyDescent="0.15">
      <c r="B381" s="82"/>
      <c r="C381" s="102"/>
      <c r="D381" s="103"/>
      <c r="E381" s="102"/>
      <c r="F381" s="128">
        <f>SUM(F321:F380)</f>
        <v>0</v>
      </c>
      <c r="G381" s="104"/>
      <c r="H381" s="105"/>
      <c r="I381" s="256">
        <f>SUM(I322:I380)</f>
        <v>0</v>
      </c>
      <c r="J381" s="257">
        <f>SUM(J321:J380)</f>
        <v>0</v>
      </c>
    </row>
    <row r="382" spans="2:12" s="67" customFormat="1" ht="12.75" x14ac:dyDescent="0.15">
      <c r="B382" s="116"/>
      <c r="C382" s="114"/>
      <c r="D382" s="114"/>
      <c r="E382" s="114" t="s">
        <v>147</v>
      </c>
      <c r="F382" s="162">
        <f>100/115*F381</f>
        <v>0</v>
      </c>
      <c r="G382" s="114"/>
      <c r="H382" s="114" t="s">
        <v>147</v>
      </c>
      <c r="I382" s="264">
        <f>100/115*I381</f>
        <v>0</v>
      </c>
      <c r="J382" s="114"/>
    </row>
    <row r="383" spans="2:12" s="1" customFormat="1" ht="12.75" x14ac:dyDescent="0.15"/>
    <row r="384" spans="2:12" s="1" customFormat="1" ht="12.75" x14ac:dyDescent="0.15"/>
    <row r="385" spans="2:12" s="1" customFormat="1" ht="12.75" x14ac:dyDescent="0.15"/>
    <row r="386" spans="2:12" s="1" customFormat="1" ht="12.75" x14ac:dyDescent="0.15"/>
    <row r="387" spans="2:12" s="247" customFormat="1" ht="32.25" x14ac:dyDescent="0.4">
      <c r="B387" s="248"/>
      <c r="C387" s="380" t="s">
        <v>112</v>
      </c>
      <c r="D387" s="380"/>
      <c r="E387" s="428" t="s">
        <v>101</v>
      </c>
      <c r="F387" s="428"/>
      <c r="G387" s="428"/>
      <c r="H387" s="428"/>
      <c r="I387" s="428"/>
      <c r="J387" s="382">
        <v>2026</v>
      </c>
      <c r="K387" s="382"/>
      <c r="L387" s="382"/>
    </row>
    <row r="388" spans="2:12" s="1" customFormat="1" ht="22.5" x14ac:dyDescent="0.15">
      <c r="B388" s="82"/>
      <c r="C388" s="102" t="s">
        <v>114</v>
      </c>
      <c r="D388" s="388" t="s">
        <v>115</v>
      </c>
      <c r="E388" s="388"/>
      <c r="F388" s="102" t="s">
        <v>116</v>
      </c>
      <c r="G388" s="102" t="s">
        <v>117</v>
      </c>
      <c r="H388" s="102" t="s">
        <v>118</v>
      </c>
      <c r="I388" s="102" t="s">
        <v>119</v>
      </c>
      <c r="J388" s="102" t="s">
        <v>120</v>
      </c>
      <c r="K388" s="82"/>
      <c r="L388" s="82"/>
    </row>
    <row r="389" spans="2:12" s="1" customFormat="1" ht="12.75" x14ac:dyDescent="0.15">
      <c r="B389" s="82"/>
      <c r="C389" s="66">
        <f>C319</f>
        <v>450</v>
      </c>
      <c r="D389" s="389">
        <v>21</v>
      </c>
      <c r="E389" s="389"/>
      <c r="F389" s="13">
        <f>F319</f>
        <v>0.8</v>
      </c>
      <c r="G389" s="14">
        <f>G319</f>
        <v>8</v>
      </c>
      <c r="H389" s="142">
        <f>D389*G389*F389</f>
        <v>134.4</v>
      </c>
      <c r="I389" s="66">
        <f>I451</f>
        <v>0</v>
      </c>
      <c r="J389" s="143">
        <f>H389-J451</f>
        <v>134.4</v>
      </c>
      <c r="K389" s="82"/>
      <c r="L389" s="82"/>
    </row>
    <row r="390" spans="2:12" s="1" customFormat="1" ht="33.75" x14ac:dyDescent="0.15">
      <c r="B390" s="84"/>
      <c r="C390" s="136" t="s">
        <v>121</v>
      </c>
      <c r="D390" s="414" t="s">
        <v>122</v>
      </c>
      <c r="E390" s="414"/>
      <c r="F390" s="137" t="s">
        <v>123</v>
      </c>
      <c r="G390" s="138" t="s">
        <v>124</v>
      </c>
      <c r="H390" s="139" t="s">
        <v>125</v>
      </c>
      <c r="I390" s="140" t="s">
        <v>126</v>
      </c>
      <c r="J390" s="138" t="s">
        <v>127</v>
      </c>
      <c r="K390" s="122" t="s">
        <v>128</v>
      </c>
      <c r="L390" s="123" t="s">
        <v>129</v>
      </c>
    </row>
    <row r="391" spans="2:12" s="1" customFormat="1" ht="12.75" x14ac:dyDescent="0.15">
      <c r="B391" s="16"/>
      <c r="C391" s="17"/>
      <c r="D391" s="405"/>
      <c r="E391" s="405"/>
      <c r="F391" s="36"/>
      <c r="G391" s="20"/>
      <c r="H391" s="20"/>
      <c r="I391" s="126"/>
      <c r="J391" s="21"/>
      <c r="K391" s="80"/>
      <c r="L391" s="82"/>
    </row>
    <row r="392" spans="2:12" s="1" customFormat="1" ht="12.95" customHeight="1" x14ac:dyDescent="0.15">
      <c r="B392" s="16"/>
      <c r="C392" s="411" t="s">
        <v>130</v>
      </c>
      <c r="D392" s="411"/>
      <c r="E392" s="411"/>
      <c r="F392" s="129"/>
      <c r="G392" s="20"/>
      <c r="H392" s="20"/>
      <c r="I392" s="126"/>
      <c r="J392" s="21"/>
      <c r="K392" s="80"/>
      <c r="L392" s="82"/>
    </row>
    <row r="393" spans="2:12" s="1" customFormat="1" ht="12.75" customHeight="1" x14ac:dyDescent="0.15">
      <c r="B393" s="16"/>
      <c r="C393" s="37" t="s">
        <v>149</v>
      </c>
      <c r="D393" s="24"/>
      <c r="E393" s="24"/>
      <c r="F393" s="129"/>
      <c r="G393" s="20"/>
      <c r="H393" s="20"/>
      <c r="I393" s="126"/>
      <c r="J393" s="38"/>
      <c r="K393" s="80"/>
      <c r="L393" s="82"/>
    </row>
    <row r="394" spans="2:12" s="1" customFormat="1" ht="12.75" x14ac:dyDescent="0.15">
      <c r="B394" s="16">
        <v>1</v>
      </c>
      <c r="C394" s="23"/>
      <c r="D394" s="24"/>
      <c r="E394" s="24"/>
      <c r="F394" s="129"/>
      <c r="G394" s="20"/>
      <c r="H394" s="20">
        <v>1</v>
      </c>
      <c r="I394" s="126">
        <f t="shared" ref="I394:I449" si="28">J394*$C$32</f>
        <v>0</v>
      </c>
      <c r="J394" s="38">
        <f t="shared" ref="J394:J413" si="29">(F394*G394*H394)/$C$32</f>
        <v>0</v>
      </c>
      <c r="K394" s="80"/>
      <c r="L394" s="82"/>
    </row>
    <row r="395" spans="2:12" s="1" customFormat="1" ht="12.75" customHeight="1" x14ac:dyDescent="0.15">
      <c r="B395" s="16">
        <v>2</v>
      </c>
      <c r="C395" s="23"/>
      <c r="D395" s="24"/>
      <c r="E395" s="24"/>
      <c r="F395" s="126"/>
      <c r="G395" s="20"/>
      <c r="H395" s="20">
        <v>1</v>
      </c>
      <c r="I395" s="126">
        <f t="shared" si="28"/>
        <v>0</v>
      </c>
      <c r="J395" s="38">
        <f t="shared" si="29"/>
        <v>0</v>
      </c>
      <c r="K395" s="80"/>
      <c r="L395" s="82"/>
    </row>
    <row r="396" spans="2:12" s="1" customFormat="1" ht="12.95" customHeight="1" x14ac:dyDescent="0.15">
      <c r="B396" s="16">
        <v>3</v>
      </c>
      <c r="C396" s="23"/>
      <c r="D396" s="25"/>
      <c r="E396" s="25"/>
      <c r="F396" s="129"/>
      <c r="G396" s="20"/>
      <c r="H396" s="20">
        <v>1</v>
      </c>
      <c r="I396" s="126">
        <f t="shared" si="28"/>
        <v>0</v>
      </c>
      <c r="J396" s="38">
        <f t="shared" si="29"/>
        <v>0</v>
      </c>
      <c r="K396" s="80"/>
      <c r="L396" s="82"/>
    </row>
    <row r="397" spans="2:12" s="1" customFormat="1" ht="12.95" customHeight="1" x14ac:dyDescent="0.15">
      <c r="B397" s="16">
        <v>4</v>
      </c>
      <c r="C397" s="23"/>
      <c r="D397" s="24"/>
      <c r="E397" s="24"/>
      <c r="F397" s="129"/>
      <c r="G397" s="20"/>
      <c r="H397" s="20">
        <v>1</v>
      </c>
      <c r="I397" s="126">
        <f t="shared" si="28"/>
        <v>0</v>
      </c>
      <c r="J397" s="38">
        <f t="shared" si="29"/>
        <v>0</v>
      </c>
      <c r="K397" s="80"/>
      <c r="L397" s="82"/>
    </row>
    <row r="398" spans="2:12" s="1" customFormat="1" ht="12.95" customHeight="1" x14ac:dyDescent="0.15">
      <c r="B398" s="16">
        <v>5</v>
      </c>
      <c r="C398" s="16"/>
      <c r="D398" s="18"/>
      <c r="E398" s="18"/>
      <c r="F398" s="129"/>
      <c r="G398" s="20"/>
      <c r="H398" s="20">
        <v>1</v>
      </c>
      <c r="I398" s="126">
        <f t="shared" si="28"/>
        <v>0</v>
      </c>
      <c r="J398" s="38">
        <f t="shared" si="29"/>
        <v>0</v>
      </c>
      <c r="K398" s="80"/>
      <c r="L398" s="82"/>
    </row>
    <row r="399" spans="2:12" s="1" customFormat="1" ht="12.95" customHeight="1" x14ac:dyDescent="0.15">
      <c r="B399" s="16">
        <v>6</v>
      </c>
      <c r="C399" s="17"/>
      <c r="D399" s="24"/>
      <c r="E399" s="24"/>
      <c r="F399" s="129"/>
      <c r="G399" s="20"/>
      <c r="H399" s="20">
        <v>1</v>
      </c>
      <c r="I399" s="126">
        <f t="shared" si="28"/>
        <v>0</v>
      </c>
      <c r="J399" s="38">
        <f t="shared" si="29"/>
        <v>0</v>
      </c>
      <c r="K399" s="80"/>
      <c r="L399" s="82"/>
    </row>
    <row r="400" spans="2:12" s="1" customFormat="1" ht="12.95" customHeight="1" x14ac:dyDescent="0.15">
      <c r="B400" s="16">
        <v>7</v>
      </c>
      <c r="C400" s="17"/>
      <c r="D400" s="24"/>
      <c r="E400" s="24"/>
      <c r="F400" s="129"/>
      <c r="G400" s="20"/>
      <c r="H400" s="20">
        <v>1</v>
      </c>
      <c r="I400" s="126">
        <f t="shared" si="28"/>
        <v>0</v>
      </c>
      <c r="J400" s="38">
        <f t="shared" si="29"/>
        <v>0</v>
      </c>
      <c r="K400" s="80"/>
      <c r="L400" s="82"/>
    </row>
    <row r="401" spans="2:15" s="1" customFormat="1" ht="12.95" customHeight="1" x14ac:dyDescent="0.15">
      <c r="B401" s="16">
        <v>8</v>
      </c>
      <c r="C401" s="17"/>
      <c r="D401" s="24"/>
      <c r="E401" s="24"/>
      <c r="F401" s="129"/>
      <c r="G401" s="20"/>
      <c r="H401" s="20">
        <v>1</v>
      </c>
      <c r="I401" s="126">
        <f t="shared" si="28"/>
        <v>0</v>
      </c>
      <c r="J401" s="38">
        <f t="shared" si="29"/>
        <v>0</v>
      </c>
      <c r="K401" s="80"/>
      <c r="L401" s="82"/>
    </row>
    <row r="402" spans="2:15" s="1" customFormat="1" ht="12.95" customHeight="1" x14ac:dyDescent="0.15">
      <c r="B402" s="16">
        <v>9</v>
      </c>
      <c r="C402" s="17"/>
      <c r="D402" s="24"/>
      <c r="E402" s="24"/>
      <c r="F402" s="129"/>
      <c r="G402" s="20"/>
      <c r="H402" s="20">
        <v>1</v>
      </c>
      <c r="I402" s="126">
        <f t="shared" si="28"/>
        <v>0</v>
      </c>
      <c r="J402" s="38">
        <f t="shared" si="29"/>
        <v>0</v>
      </c>
      <c r="K402" s="80"/>
      <c r="L402" s="82"/>
    </row>
    <row r="403" spans="2:15" s="1" customFormat="1" ht="12.95" customHeight="1" x14ac:dyDescent="0.15">
      <c r="B403" s="16">
        <v>10</v>
      </c>
      <c r="C403" s="17"/>
      <c r="D403" s="24"/>
      <c r="E403" s="24"/>
      <c r="F403" s="129"/>
      <c r="G403" s="20"/>
      <c r="H403" s="20">
        <v>1</v>
      </c>
      <c r="I403" s="126">
        <f t="shared" si="28"/>
        <v>0</v>
      </c>
      <c r="J403" s="38">
        <f t="shared" si="29"/>
        <v>0</v>
      </c>
      <c r="K403" s="80"/>
      <c r="L403" s="82"/>
    </row>
    <row r="404" spans="2:15" s="1" customFormat="1" ht="12.95" customHeight="1" x14ac:dyDescent="0.15">
      <c r="B404" s="16"/>
      <c r="C404" s="17"/>
      <c r="D404" s="24"/>
      <c r="E404" s="24"/>
      <c r="F404" s="129"/>
      <c r="G404" s="20"/>
      <c r="H404" s="20"/>
      <c r="I404" s="126"/>
      <c r="J404" s="38"/>
      <c r="K404" s="80"/>
      <c r="L404" s="82"/>
    </row>
    <row r="405" spans="2:15" s="1" customFormat="1" ht="12.95" customHeight="1" x14ac:dyDescent="0.15">
      <c r="B405" s="16"/>
      <c r="C405" s="17"/>
      <c r="D405" s="24"/>
      <c r="E405" s="24"/>
      <c r="F405" s="129"/>
      <c r="G405" s="20"/>
      <c r="H405" s="20"/>
      <c r="I405" s="126"/>
      <c r="J405" s="38"/>
      <c r="K405" s="80"/>
      <c r="L405" s="82"/>
    </row>
    <row r="406" spans="2:15" s="1" customFormat="1" ht="12.95" customHeight="1" x14ac:dyDescent="0.15">
      <c r="B406" s="16"/>
      <c r="C406" s="22" t="s">
        <v>153</v>
      </c>
      <c r="D406" s="24"/>
      <c r="E406" s="24"/>
      <c r="F406" s="129"/>
      <c r="G406" s="20"/>
      <c r="H406" s="20"/>
      <c r="I406" s="126"/>
      <c r="J406" s="38"/>
      <c r="K406" s="80"/>
      <c r="L406" s="82"/>
    </row>
    <row r="407" spans="2:15" s="1" customFormat="1" ht="12.95" customHeight="1" x14ac:dyDescent="0.15">
      <c r="B407" s="16">
        <v>1</v>
      </c>
      <c r="C407" s="17"/>
      <c r="D407" s="18"/>
      <c r="E407" s="24"/>
      <c r="F407" s="129"/>
      <c r="G407" s="20"/>
      <c r="H407" s="20">
        <v>1</v>
      </c>
      <c r="I407" s="126">
        <f t="shared" si="28"/>
        <v>0</v>
      </c>
      <c r="J407" s="38">
        <f t="shared" si="29"/>
        <v>0</v>
      </c>
      <c r="K407" s="80"/>
      <c r="L407" s="82"/>
    </row>
    <row r="408" spans="2:15" s="1" customFormat="1" ht="12.95" customHeight="1" x14ac:dyDescent="0.15">
      <c r="B408" s="16">
        <v>2</v>
      </c>
      <c r="C408" s="17"/>
      <c r="D408" s="18"/>
      <c r="E408" s="24"/>
      <c r="F408" s="129"/>
      <c r="G408" s="20"/>
      <c r="H408" s="20">
        <v>1</v>
      </c>
      <c r="I408" s="126">
        <f t="shared" si="28"/>
        <v>0</v>
      </c>
      <c r="J408" s="38">
        <f t="shared" si="29"/>
        <v>0</v>
      </c>
      <c r="K408" s="80"/>
      <c r="L408" s="82"/>
    </row>
    <row r="409" spans="2:15" s="1" customFormat="1" ht="12.95" customHeight="1" x14ac:dyDescent="0.15">
      <c r="B409" s="16">
        <v>3</v>
      </c>
      <c r="C409" s="17"/>
      <c r="D409" s="24"/>
      <c r="E409" s="18"/>
      <c r="F409" s="129"/>
      <c r="G409" s="20"/>
      <c r="H409" s="20">
        <v>1</v>
      </c>
      <c r="I409" s="126">
        <f t="shared" si="28"/>
        <v>0</v>
      </c>
      <c r="J409" s="38">
        <f t="shared" si="29"/>
        <v>0</v>
      </c>
      <c r="K409" s="80"/>
      <c r="L409" s="82"/>
    </row>
    <row r="410" spans="2:15" s="4" customFormat="1" ht="12.95" customHeight="1" x14ac:dyDescent="0.15">
      <c r="B410" s="26">
        <v>4</v>
      </c>
      <c r="C410" s="23"/>
      <c r="D410" s="48"/>
      <c r="E410" s="49"/>
      <c r="F410" s="126"/>
      <c r="G410" s="50"/>
      <c r="H410" s="50">
        <v>1</v>
      </c>
      <c r="I410" s="126">
        <f t="shared" si="28"/>
        <v>0</v>
      </c>
      <c r="J410" s="38">
        <f t="shared" si="29"/>
        <v>0</v>
      </c>
      <c r="K410" s="108"/>
      <c r="L410" s="113"/>
    </row>
    <row r="411" spans="2:15" s="1" customFormat="1" ht="12.95" customHeight="1" x14ac:dyDescent="0.15">
      <c r="B411" s="16">
        <v>5</v>
      </c>
      <c r="C411" s="17"/>
      <c r="D411" s="24"/>
      <c r="E411" s="18"/>
      <c r="F411" s="129"/>
      <c r="G411" s="20"/>
      <c r="H411" s="20">
        <v>1</v>
      </c>
      <c r="I411" s="126">
        <f t="shared" si="28"/>
        <v>0</v>
      </c>
      <c r="J411" s="38">
        <f t="shared" si="29"/>
        <v>0</v>
      </c>
      <c r="K411" s="80"/>
      <c r="L411" s="82"/>
    </row>
    <row r="412" spans="2:15" s="1" customFormat="1" ht="12.95" customHeight="1" x14ac:dyDescent="0.15">
      <c r="B412" s="16">
        <v>6</v>
      </c>
      <c r="C412" s="17"/>
      <c r="D412" s="24"/>
      <c r="E412" s="18"/>
      <c r="F412" s="129"/>
      <c r="G412" s="20"/>
      <c r="H412" s="20">
        <v>1</v>
      </c>
      <c r="I412" s="126">
        <f t="shared" si="28"/>
        <v>0</v>
      </c>
      <c r="J412" s="38">
        <f t="shared" si="29"/>
        <v>0</v>
      </c>
      <c r="K412" s="80"/>
      <c r="L412" s="82"/>
    </row>
    <row r="413" spans="2:15" s="1" customFormat="1" ht="12.95" customHeight="1" x14ac:dyDescent="0.15">
      <c r="B413" s="16">
        <v>7</v>
      </c>
      <c r="C413" s="17"/>
      <c r="D413" s="24"/>
      <c r="E413" s="24"/>
      <c r="F413" s="129"/>
      <c r="G413" s="20"/>
      <c r="H413" s="20">
        <v>1</v>
      </c>
      <c r="I413" s="126">
        <f t="shared" si="28"/>
        <v>0</v>
      </c>
      <c r="J413" s="38">
        <f t="shared" si="29"/>
        <v>0</v>
      </c>
      <c r="K413" s="80"/>
      <c r="L413" s="82"/>
    </row>
    <row r="414" spans="2:15" s="1" customFormat="1" ht="12.95" customHeight="1" x14ac:dyDescent="0.15">
      <c r="B414" s="16">
        <v>8</v>
      </c>
      <c r="C414" s="17"/>
      <c r="D414" s="24"/>
      <c r="E414" s="24"/>
      <c r="F414" s="129"/>
      <c r="G414" s="20"/>
      <c r="H414" s="20">
        <v>1</v>
      </c>
      <c r="I414" s="126">
        <f t="shared" si="28"/>
        <v>0</v>
      </c>
      <c r="J414" s="38">
        <f>(F414*G414*H414)/$C$32</f>
        <v>0</v>
      </c>
      <c r="K414" s="80"/>
      <c r="L414" s="82"/>
    </row>
    <row r="415" spans="2:15" s="1" customFormat="1" ht="14.85" customHeight="1" x14ac:dyDescent="0.15">
      <c r="B415" s="16">
        <v>9</v>
      </c>
      <c r="C415" s="17"/>
      <c r="D415" s="24"/>
      <c r="E415" s="24"/>
      <c r="F415" s="129"/>
      <c r="G415" s="20"/>
      <c r="H415" s="20">
        <v>1</v>
      </c>
      <c r="I415" s="126">
        <f t="shared" si="28"/>
        <v>0</v>
      </c>
      <c r="J415" s="38">
        <f>(F415*G415*H415)/$C$32</f>
        <v>0</v>
      </c>
      <c r="K415" s="80"/>
      <c r="L415" s="82"/>
    </row>
    <row r="416" spans="2:15" s="1" customFormat="1" ht="12.95" customHeight="1" x14ac:dyDescent="0.15">
      <c r="B416" s="16">
        <v>10</v>
      </c>
      <c r="C416" s="17"/>
      <c r="D416" s="24"/>
      <c r="E416" s="24"/>
      <c r="F416" s="129"/>
      <c r="G416" s="20"/>
      <c r="H416" s="20">
        <v>1</v>
      </c>
      <c r="I416" s="126">
        <f t="shared" si="28"/>
        <v>0</v>
      </c>
      <c r="J416" s="38">
        <f t="shared" ref="J416:J449" si="30">(F416*G416*H416)/$C$32</f>
        <v>0</v>
      </c>
      <c r="K416" s="80"/>
      <c r="L416" s="82"/>
      <c r="M416" s="39"/>
      <c r="N416" s="40"/>
      <c r="O416" s="40"/>
    </row>
    <row r="417" spans="2:20" s="1" customFormat="1" ht="12.95" customHeight="1" x14ac:dyDescent="0.15">
      <c r="B417" s="16">
        <v>11</v>
      </c>
      <c r="C417" s="17"/>
      <c r="D417" s="24"/>
      <c r="E417" s="24"/>
      <c r="F417" s="129"/>
      <c r="G417" s="20"/>
      <c r="H417" s="20">
        <v>1</v>
      </c>
      <c r="I417" s="126">
        <f t="shared" si="28"/>
        <v>0</v>
      </c>
      <c r="J417" s="38">
        <f t="shared" si="30"/>
        <v>0</v>
      </c>
      <c r="K417" s="80"/>
      <c r="L417" s="82"/>
    </row>
    <row r="418" spans="2:20" s="1" customFormat="1" ht="12.95" customHeight="1" x14ac:dyDescent="0.15">
      <c r="B418" s="16">
        <v>12</v>
      </c>
      <c r="C418" s="17"/>
      <c r="D418" s="24"/>
      <c r="E418" s="24"/>
      <c r="F418" s="129"/>
      <c r="G418" s="20"/>
      <c r="H418" s="20">
        <v>1</v>
      </c>
      <c r="I418" s="126">
        <f t="shared" si="28"/>
        <v>0</v>
      </c>
      <c r="J418" s="38">
        <f t="shared" si="30"/>
        <v>0</v>
      </c>
      <c r="K418" s="80"/>
      <c r="L418" s="82"/>
    </row>
    <row r="419" spans="2:20" s="1" customFormat="1" ht="12.95" customHeight="1" x14ac:dyDescent="0.15">
      <c r="B419" s="16">
        <v>13</v>
      </c>
      <c r="C419" s="17"/>
      <c r="D419" s="24"/>
      <c r="E419" s="24"/>
      <c r="F419" s="130"/>
      <c r="G419" s="20"/>
      <c r="H419" s="20">
        <v>1</v>
      </c>
      <c r="I419" s="126">
        <f t="shared" si="28"/>
        <v>0</v>
      </c>
      <c r="J419" s="38">
        <f t="shared" si="30"/>
        <v>0</v>
      </c>
      <c r="K419" s="80"/>
      <c r="L419" s="82"/>
    </row>
    <row r="420" spans="2:20" s="1" customFormat="1" ht="12.95" customHeight="1" x14ac:dyDescent="0.15">
      <c r="B420" s="16">
        <v>14</v>
      </c>
      <c r="C420" s="17"/>
      <c r="D420" s="24"/>
      <c r="E420" s="24"/>
      <c r="F420" s="129"/>
      <c r="G420" s="20"/>
      <c r="H420" s="20">
        <v>1</v>
      </c>
      <c r="I420" s="126">
        <f t="shared" si="28"/>
        <v>0</v>
      </c>
      <c r="J420" s="38">
        <f t="shared" si="30"/>
        <v>0</v>
      </c>
      <c r="K420" s="80"/>
      <c r="L420" s="82"/>
    </row>
    <row r="421" spans="2:20" s="1" customFormat="1" ht="12.95" customHeight="1" x14ac:dyDescent="0.15">
      <c r="B421" s="16">
        <v>15</v>
      </c>
      <c r="C421" s="17"/>
      <c r="D421" s="24"/>
      <c r="E421" s="24"/>
      <c r="F421" s="129"/>
      <c r="G421" s="20"/>
      <c r="H421" s="20">
        <v>1</v>
      </c>
      <c r="I421" s="126">
        <f t="shared" si="28"/>
        <v>0</v>
      </c>
      <c r="J421" s="38">
        <f t="shared" si="30"/>
        <v>0</v>
      </c>
      <c r="K421" s="80"/>
      <c r="L421" s="82"/>
    </row>
    <row r="422" spans="2:20" s="1" customFormat="1" ht="12.95" customHeight="1" x14ac:dyDescent="0.15">
      <c r="B422" s="16">
        <v>16</v>
      </c>
      <c r="C422" s="17"/>
      <c r="D422" s="24"/>
      <c r="E422" s="24"/>
      <c r="F422" s="129"/>
      <c r="G422" s="20"/>
      <c r="H422" s="20">
        <v>1</v>
      </c>
      <c r="I422" s="126">
        <f t="shared" si="28"/>
        <v>0</v>
      </c>
      <c r="J422" s="38">
        <f t="shared" si="30"/>
        <v>0</v>
      </c>
      <c r="K422" s="80"/>
      <c r="L422" s="82"/>
    </row>
    <row r="423" spans="2:20" s="1" customFormat="1" ht="12.95" customHeight="1" x14ac:dyDescent="0.15">
      <c r="B423" s="16">
        <v>17</v>
      </c>
      <c r="C423" s="17"/>
      <c r="D423" s="24"/>
      <c r="E423" s="24"/>
      <c r="F423" s="129"/>
      <c r="G423" s="20"/>
      <c r="H423" s="20">
        <v>1</v>
      </c>
      <c r="I423" s="126">
        <f t="shared" si="28"/>
        <v>0</v>
      </c>
      <c r="J423" s="38">
        <f t="shared" si="30"/>
        <v>0</v>
      </c>
      <c r="K423" s="80"/>
      <c r="L423" s="82"/>
    </row>
    <row r="424" spans="2:20" s="1" customFormat="1" ht="12.95" customHeight="1" x14ac:dyDescent="0.15">
      <c r="B424" s="16">
        <v>18</v>
      </c>
      <c r="C424" s="17"/>
      <c r="D424" s="24"/>
      <c r="E424" s="24"/>
      <c r="F424" s="129"/>
      <c r="G424" s="20"/>
      <c r="H424" s="20">
        <v>1</v>
      </c>
      <c r="I424" s="126">
        <f t="shared" si="28"/>
        <v>0</v>
      </c>
      <c r="J424" s="38">
        <f t="shared" si="30"/>
        <v>0</v>
      </c>
      <c r="K424" s="80"/>
      <c r="L424" s="82"/>
    </row>
    <row r="425" spans="2:20" s="1" customFormat="1" ht="12.95" customHeight="1" x14ac:dyDescent="0.15">
      <c r="B425" s="16">
        <v>19</v>
      </c>
      <c r="C425" s="17"/>
      <c r="D425" s="18"/>
      <c r="E425" s="18"/>
      <c r="F425" s="129"/>
      <c r="G425" s="20"/>
      <c r="H425" s="20">
        <v>1</v>
      </c>
      <c r="I425" s="126">
        <f t="shared" si="28"/>
        <v>0</v>
      </c>
      <c r="J425" s="21">
        <f t="shared" si="30"/>
        <v>0</v>
      </c>
      <c r="K425" s="80"/>
      <c r="L425" s="82"/>
      <c r="M425" s="10"/>
      <c r="N425" s="10"/>
      <c r="O425" s="10"/>
      <c r="P425" s="10"/>
      <c r="Q425" s="43"/>
      <c r="R425" s="10"/>
      <c r="T425" s="10"/>
    </row>
    <row r="426" spans="2:20" s="1" customFormat="1" ht="12.95" customHeight="1" x14ac:dyDescent="0.15">
      <c r="B426" s="16">
        <v>20</v>
      </c>
      <c r="C426" s="17"/>
      <c r="D426" s="18"/>
      <c r="E426" s="18"/>
      <c r="F426" s="129"/>
      <c r="G426" s="20"/>
      <c r="H426" s="20">
        <v>1</v>
      </c>
      <c r="I426" s="126">
        <f t="shared" si="28"/>
        <v>0</v>
      </c>
      <c r="J426" s="21">
        <f t="shared" si="30"/>
        <v>0</v>
      </c>
      <c r="K426" s="80"/>
      <c r="L426" s="82"/>
      <c r="M426" s="10"/>
      <c r="N426" s="10"/>
      <c r="O426" s="10"/>
      <c r="P426" s="10"/>
      <c r="Q426" s="43"/>
      <c r="R426" s="10"/>
      <c r="T426" s="10"/>
    </row>
    <row r="427" spans="2:20" s="1" customFormat="1" ht="12.95" customHeight="1" x14ac:dyDescent="0.15">
      <c r="B427" s="16"/>
      <c r="C427" s="17"/>
      <c r="D427" s="18"/>
      <c r="E427" s="18"/>
      <c r="F427" s="129"/>
      <c r="G427" s="20"/>
      <c r="H427" s="20"/>
      <c r="I427" s="126"/>
      <c r="J427" s="21"/>
      <c r="K427" s="80"/>
      <c r="L427" s="82"/>
      <c r="M427" s="10"/>
      <c r="N427" s="10"/>
      <c r="O427" s="10"/>
      <c r="P427" s="10"/>
      <c r="Q427" s="43"/>
      <c r="R427" s="10"/>
      <c r="T427" s="10"/>
    </row>
    <row r="428" spans="2:20" s="1" customFormat="1" ht="12.95" customHeight="1" x14ac:dyDescent="0.15">
      <c r="B428" s="16"/>
      <c r="C428" s="17"/>
      <c r="D428" s="18"/>
      <c r="E428" s="18"/>
      <c r="F428" s="129"/>
      <c r="G428" s="20"/>
      <c r="H428" s="20"/>
      <c r="I428" s="126"/>
      <c r="J428" s="21"/>
      <c r="K428" s="80"/>
      <c r="L428" s="82"/>
      <c r="M428" s="10"/>
      <c r="N428" s="10"/>
      <c r="O428" s="10"/>
      <c r="P428" s="10"/>
      <c r="Q428" s="43"/>
      <c r="R428" s="10"/>
      <c r="T428" s="10"/>
    </row>
    <row r="429" spans="2:20" s="1" customFormat="1" ht="12.95" customHeight="1" x14ac:dyDescent="0.15">
      <c r="B429" s="16"/>
      <c r="C429" s="22" t="s">
        <v>160</v>
      </c>
      <c r="D429" s="18"/>
      <c r="E429" s="18"/>
      <c r="F429" s="129"/>
      <c r="G429" s="20"/>
      <c r="H429" s="20"/>
      <c r="I429" s="126"/>
      <c r="J429" s="21"/>
      <c r="K429" s="80"/>
      <c r="L429" s="82"/>
      <c r="M429" s="10"/>
      <c r="N429" s="10"/>
      <c r="O429" s="10"/>
      <c r="P429" s="10"/>
      <c r="Q429" s="43"/>
      <c r="R429" s="10"/>
      <c r="T429" s="10"/>
    </row>
    <row r="430" spans="2:20" s="1" customFormat="1" ht="12.95" customHeight="1" x14ac:dyDescent="0.15">
      <c r="B430" s="16">
        <v>1</v>
      </c>
      <c r="C430" s="22"/>
      <c r="D430" s="18"/>
      <c r="E430" s="18"/>
      <c r="F430" s="129"/>
      <c r="G430" s="20"/>
      <c r="H430" s="20">
        <v>1</v>
      </c>
      <c r="I430" s="126">
        <f t="shared" si="28"/>
        <v>0</v>
      </c>
      <c r="J430" s="21">
        <f t="shared" si="30"/>
        <v>0</v>
      </c>
      <c r="K430" s="80"/>
      <c r="L430" s="82"/>
      <c r="M430" s="10"/>
      <c r="N430" s="10"/>
      <c r="O430" s="10"/>
      <c r="P430" s="10"/>
      <c r="Q430" s="43"/>
      <c r="R430" s="10"/>
      <c r="T430" s="10"/>
    </row>
    <row r="431" spans="2:20" s="1" customFormat="1" ht="12.95" customHeight="1" x14ac:dyDescent="0.15">
      <c r="B431" s="16">
        <v>2</v>
      </c>
      <c r="C431" s="22"/>
      <c r="D431" s="18"/>
      <c r="E431" s="18"/>
      <c r="F431" s="129"/>
      <c r="G431" s="20"/>
      <c r="H431" s="20">
        <v>1</v>
      </c>
      <c r="I431" s="126">
        <f t="shared" si="28"/>
        <v>0</v>
      </c>
      <c r="J431" s="21">
        <f t="shared" si="30"/>
        <v>0</v>
      </c>
      <c r="K431" s="80"/>
      <c r="L431" s="82"/>
      <c r="M431" s="10"/>
      <c r="N431" s="10"/>
      <c r="O431" s="10"/>
      <c r="P431" s="10"/>
      <c r="Q431" s="43"/>
      <c r="R431" s="10"/>
      <c r="T431" s="10"/>
    </row>
    <row r="432" spans="2:20" s="1" customFormat="1" ht="12.95" customHeight="1" x14ac:dyDescent="0.15">
      <c r="B432" s="16">
        <v>3</v>
      </c>
      <c r="C432" s="22"/>
      <c r="D432" s="18"/>
      <c r="E432" s="18"/>
      <c r="F432" s="129"/>
      <c r="G432" s="20"/>
      <c r="H432" s="20">
        <v>1</v>
      </c>
      <c r="I432" s="126">
        <f t="shared" si="28"/>
        <v>0</v>
      </c>
      <c r="J432" s="21">
        <f t="shared" si="30"/>
        <v>0</v>
      </c>
      <c r="K432" s="80"/>
      <c r="L432" s="82"/>
      <c r="M432" s="10"/>
      <c r="N432" s="10"/>
      <c r="O432" s="10"/>
      <c r="P432" s="10"/>
      <c r="Q432" s="43"/>
      <c r="R432" s="10"/>
      <c r="T432" s="10"/>
    </row>
    <row r="433" spans="2:20" s="1" customFormat="1" ht="12.95" customHeight="1" x14ac:dyDescent="0.15">
      <c r="B433" s="16">
        <v>4</v>
      </c>
      <c r="C433" s="22"/>
      <c r="D433" s="18"/>
      <c r="E433" s="18"/>
      <c r="F433" s="129"/>
      <c r="G433" s="20"/>
      <c r="H433" s="20">
        <v>1</v>
      </c>
      <c r="I433" s="126">
        <f t="shared" si="28"/>
        <v>0</v>
      </c>
      <c r="J433" s="21">
        <f t="shared" si="30"/>
        <v>0</v>
      </c>
      <c r="K433" s="80"/>
      <c r="L433" s="82"/>
      <c r="M433" s="10"/>
      <c r="N433" s="10"/>
      <c r="O433" s="10"/>
      <c r="P433" s="10"/>
      <c r="Q433" s="43"/>
      <c r="R433" s="10"/>
      <c r="T433" s="10"/>
    </row>
    <row r="434" spans="2:20" s="1" customFormat="1" ht="12.95" customHeight="1" x14ac:dyDescent="0.15">
      <c r="B434" s="16">
        <v>5</v>
      </c>
      <c r="C434" s="22"/>
      <c r="D434" s="18"/>
      <c r="E434" s="18"/>
      <c r="F434" s="129"/>
      <c r="G434" s="20"/>
      <c r="H434" s="20">
        <v>1</v>
      </c>
      <c r="I434" s="126">
        <f t="shared" si="28"/>
        <v>0</v>
      </c>
      <c r="J434" s="21">
        <f t="shared" si="30"/>
        <v>0</v>
      </c>
      <c r="K434" s="80"/>
      <c r="L434" s="82"/>
      <c r="M434" s="10"/>
      <c r="N434" s="10"/>
      <c r="O434" s="10"/>
      <c r="P434" s="10"/>
      <c r="Q434" s="43"/>
      <c r="R434" s="10"/>
      <c r="T434" s="10"/>
    </row>
    <row r="435" spans="2:20" s="1" customFormat="1" ht="12.95" customHeight="1" x14ac:dyDescent="0.15">
      <c r="B435" s="16">
        <v>6</v>
      </c>
      <c r="C435" s="22"/>
      <c r="D435" s="18"/>
      <c r="E435" s="18"/>
      <c r="F435" s="129"/>
      <c r="G435" s="20"/>
      <c r="H435" s="20">
        <v>1</v>
      </c>
      <c r="I435" s="126">
        <f t="shared" si="28"/>
        <v>0</v>
      </c>
      <c r="J435" s="21">
        <f t="shared" si="30"/>
        <v>0</v>
      </c>
      <c r="K435" s="80"/>
      <c r="L435" s="82"/>
      <c r="M435" s="10"/>
      <c r="N435" s="10"/>
      <c r="O435" s="10"/>
      <c r="P435" s="10"/>
      <c r="Q435" s="43"/>
      <c r="R435" s="10"/>
      <c r="T435" s="10"/>
    </row>
    <row r="436" spans="2:20" s="1" customFormat="1" ht="12.95" customHeight="1" x14ac:dyDescent="0.15">
      <c r="B436" s="16">
        <v>7</v>
      </c>
      <c r="C436" s="22"/>
      <c r="D436" s="18"/>
      <c r="E436" s="18"/>
      <c r="F436" s="129"/>
      <c r="G436" s="20"/>
      <c r="H436" s="20">
        <v>1</v>
      </c>
      <c r="I436" s="126">
        <f t="shared" si="28"/>
        <v>0</v>
      </c>
      <c r="J436" s="21">
        <f t="shared" si="30"/>
        <v>0</v>
      </c>
      <c r="K436" s="80"/>
      <c r="L436" s="82"/>
      <c r="M436" s="10"/>
      <c r="N436" s="10"/>
      <c r="O436" s="10"/>
      <c r="P436" s="10"/>
      <c r="Q436" s="43"/>
      <c r="R436" s="10"/>
      <c r="T436" s="10"/>
    </row>
    <row r="437" spans="2:20" s="1" customFormat="1" ht="12.95" customHeight="1" x14ac:dyDescent="0.15">
      <c r="B437" s="16">
        <v>8</v>
      </c>
      <c r="C437" s="22"/>
      <c r="D437" s="18"/>
      <c r="E437" s="18"/>
      <c r="F437" s="129"/>
      <c r="G437" s="20"/>
      <c r="H437" s="20">
        <v>1</v>
      </c>
      <c r="I437" s="126">
        <f t="shared" si="28"/>
        <v>0</v>
      </c>
      <c r="J437" s="21">
        <f t="shared" si="30"/>
        <v>0</v>
      </c>
      <c r="K437" s="80"/>
      <c r="L437" s="82"/>
      <c r="M437" s="10"/>
      <c r="N437" s="10"/>
      <c r="O437" s="10"/>
      <c r="P437" s="10"/>
      <c r="Q437" s="43"/>
      <c r="R437" s="10"/>
      <c r="T437" s="10"/>
    </row>
    <row r="438" spans="2:20" s="1" customFormat="1" ht="12.95" customHeight="1" x14ac:dyDescent="0.15">
      <c r="B438" s="16">
        <v>9</v>
      </c>
      <c r="C438" s="22"/>
      <c r="D438" s="18"/>
      <c r="E438" s="18"/>
      <c r="F438" s="129"/>
      <c r="G438" s="20"/>
      <c r="H438" s="20">
        <v>1</v>
      </c>
      <c r="I438" s="126">
        <f t="shared" si="28"/>
        <v>0</v>
      </c>
      <c r="J438" s="21">
        <f t="shared" si="30"/>
        <v>0</v>
      </c>
      <c r="K438" s="80"/>
      <c r="L438" s="82"/>
      <c r="M438" s="10"/>
      <c r="N438" s="10"/>
      <c r="O438" s="10"/>
      <c r="P438" s="10"/>
      <c r="Q438" s="43"/>
      <c r="R438" s="10"/>
      <c r="T438" s="10"/>
    </row>
    <row r="439" spans="2:20" s="1" customFormat="1" ht="12.95" customHeight="1" x14ac:dyDescent="0.15">
      <c r="B439" s="16">
        <v>10</v>
      </c>
      <c r="C439" s="22"/>
      <c r="D439" s="18"/>
      <c r="E439" s="18"/>
      <c r="F439" s="129"/>
      <c r="G439" s="20"/>
      <c r="H439" s="20">
        <v>1</v>
      </c>
      <c r="I439" s="126">
        <f t="shared" si="28"/>
        <v>0</v>
      </c>
      <c r="J439" s="21">
        <f t="shared" si="30"/>
        <v>0</v>
      </c>
      <c r="K439" s="80"/>
      <c r="L439" s="82"/>
      <c r="M439" s="10"/>
      <c r="N439" s="10"/>
      <c r="O439" s="10"/>
      <c r="P439" s="10"/>
      <c r="Q439" s="43"/>
      <c r="R439" s="10"/>
      <c r="T439" s="10"/>
    </row>
    <row r="440" spans="2:20" s="1" customFormat="1" ht="12.95" customHeight="1" x14ac:dyDescent="0.15">
      <c r="B440" s="16">
        <v>11</v>
      </c>
      <c r="C440" s="22"/>
      <c r="D440" s="18"/>
      <c r="E440" s="18"/>
      <c r="F440" s="129"/>
      <c r="G440" s="20"/>
      <c r="H440" s="20">
        <v>1</v>
      </c>
      <c r="I440" s="126">
        <f t="shared" si="28"/>
        <v>0</v>
      </c>
      <c r="J440" s="21">
        <f t="shared" si="30"/>
        <v>0</v>
      </c>
      <c r="K440" s="80"/>
      <c r="L440" s="82"/>
      <c r="M440" s="10"/>
      <c r="N440" s="10"/>
      <c r="O440" s="10"/>
      <c r="P440" s="10"/>
      <c r="Q440" s="43"/>
      <c r="R440" s="10"/>
      <c r="T440" s="10"/>
    </row>
    <row r="441" spans="2:20" s="1" customFormat="1" ht="12.95" customHeight="1" x14ac:dyDescent="0.2">
      <c r="B441" s="16">
        <v>12</v>
      </c>
      <c r="C441" s="45"/>
      <c r="D441" s="18"/>
      <c r="E441" s="18"/>
      <c r="F441" s="51"/>
      <c r="G441" s="20"/>
      <c r="H441" s="20">
        <v>1</v>
      </c>
      <c r="I441" s="126">
        <f t="shared" si="28"/>
        <v>0</v>
      </c>
      <c r="J441" s="21">
        <f t="shared" si="30"/>
        <v>0</v>
      </c>
      <c r="K441" s="80"/>
      <c r="L441" s="82"/>
      <c r="N441" s="10"/>
      <c r="O441" s="10"/>
      <c r="P441" s="10"/>
      <c r="Q441" s="43"/>
      <c r="R441" s="10"/>
      <c r="T441" s="10"/>
    </row>
    <row r="442" spans="2:20" s="1" customFormat="1" ht="12.95" customHeight="1" x14ac:dyDescent="0.2">
      <c r="B442" s="16">
        <v>13</v>
      </c>
      <c r="C442" s="45"/>
      <c r="D442" s="18"/>
      <c r="E442" s="18"/>
      <c r="F442" s="51"/>
      <c r="G442" s="20"/>
      <c r="H442" s="20">
        <v>1</v>
      </c>
      <c r="I442" s="126">
        <f t="shared" si="28"/>
        <v>0</v>
      </c>
      <c r="J442" s="21">
        <f t="shared" si="30"/>
        <v>0</v>
      </c>
      <c r="K442" s="80"/>
      <c r="L442" s="82"/>
      <c r="N442" s="10"/>
      <c r="O442" s="10"/>
      <c r="P442" s="10"/>
      <c r="Q442" s="43"/>
      <c r="R442" s="10"/>
      <c r="T442" s="10"/>
    </row>
    <row r="443" spans="2:20" s="1" customFormat="1" ht="12.95" customHeight="1" x14ac:dyDescent="0.2">
      <c r="B443" s="16">
        <v>14</v>
      </c>
      <c r="C443" s="45"/>
      <c r="D443" s="18"/>
      <c r="E443" s="18"/>
      <c r="F443" s="51"/>
      <c r="G443" s="20"/>
      <c r="H443" s="20">
        <v>1</v>
      </c>
      <c r="I443" s="126">
        <f t="shared" si="28"/>
        <v>0</v>
      </c>
      <c r="J443" s="21">
        <f t="shared" si="30"/>
        <v>0</v>
      </c>
      <c r="K443" s="80"/>
      <c r="L443" s="82"/>
      <c r="N443" s="10"/>
      <c r="O443" s="10"/>
      <c r="P443" s="10"/>
      <c r="Q443" s="43"/>
      <c r="R443" s="10"/>
      <c r="T443" s="10"/>
    </row>
    <row r="444" spans="2:20" s="1" customFormat="1" ht="12.95" customHeight="1" x14ac:dyDescent="0.2">
      <c r="B444" s="16">
        <v>15</v>
      </c>
      <c r="C444" s="45"/>
      <c r="D444" s="18"/>
      <c r="E444" s="18"/>
      <c r="F444" s="51"/>
      <c r="G444" s="20"/>
      <c r="H444" s="20">
        <v>1</v>
      </c>
      <c r="I444" s="126">
        <f t="shared" si="28"/>
        <v>0</v>
      </c>
      <c r="J444" s="21">
        <f t="shared" si="30"/>
        <v>0</v>
      </c>
      <c r="K444" s="80"/>
      <c r="L444" s="82"/>
      <c r="N444" s="10"/>
      <c r="O444" s="10"/>
      <c r="P444" s="10"/>
      <c r="Q444" s="43"/>
      <c r="R444" s="10"/>
      <c r="T444" s="10"/>
    </row>
    <row r="445" spans="2:20" s="1" customFormat="1" ht="12.95" customHeight="1" x14ac:dyDescent="0.2">
      <c r="B445" s="16">
        <v>16</v>
      </c>
      <c r="C445" s="45"/>
      <c r="D445" s="18"/>
      <c r="E445" s="18"/>
      <c r="F445" s="51"/>
      <c r="G445" s="20"/>
      <c r="H445" s="20">
        <v>1</v>
      </c>
      <c r="I445" s="126">
        <f t="shared" si="28"/>
        <v>0</v>
      </c>
      <c r="J445" s="21">
        <f t="shared" si="30"/>
        <v>0</v>
      </c>
      <c r="K445" s="80"/>
      <c r="L445" s="82"/>
      <c r="N445" s="10"/>
      <c r="O445" s="10"/>
      <c r="P445" s="10"/>
      <c r="Q445" s="43"/>
      <c r="R445" s="10"/>
      <c r="T445" s="10"/>
    </row>
    <row r="446" spans="2:20" s="1" customFormat="1" ht="12.95" customHeight="1" x14ac:dyDescent="0.2">
      <c r="B446" s="16">
        <v>17</v>
      </c>
      <c r="C446" s="45"/>
      <c r="D446" s="18"/>
      <c r="E446" s="18"/>
      <c r="F446" s="51"/>
      <c r="G446" s="20"/>
      <c r="H446" s="20">
        <v>1</v>
      </c>
      <c r="I446" s="126">
        <f t="shared" si="28"/>
        <v>0</v>
      </c>
      <c r="J446" s="21">
        <f t="shared" si="30"/>
        <v>0</v>
      </c>
      <c r="K446" s="80"/>
      <c r="L446" s="82"/>
      <c r="N446" s="10"/>
      <c r="O446" s="10"/>
      <c r="P446" s="10"/>
      <c r="Q446" s="43"/>
      <c r="R446" s="10"/>
      <c r="T446" s="10"/>
    </row>
    <row r="447" spans="2:20" s="1" customFormat="1" ht="12.95" customHeight="1" x14ac:dyDescent="0.2">
      <c r="B447" s="16">
        <v>18</v>
      </c>
      <c r="C447" s="45"/>
      <c r="D447" s="18"/>
      <c r="E447" s="18"/>
      <c r="F447" s="51"/>
      <c r="G447" s="20"/>
      <c r="H447" s="20">
        <v>1</v>
      </c>
      <c r="I447" s="126">
        <f t="shared" si="28"/>
        <v>0</v>
      </c>
      <c r="J447" s="21">
        <f t="shared" si="30"/>
        <v>0</v>
      </c>
      <c r="K447" s="80"/>
      <c r="L447" s="82"/>
      <c r="N447" s="10"/>
      <c r="O447" s="10"/>
      <c r="P447" s="10"/>
      <c r="Q447" s="43"/>
      <c r="R447" s="10"/>
      <c r="T447" s="10"/>
    </row>
    <row r="448" spans="2:20" s="1" customFormat="1" ht="12.95" customHeight="1" x14ac:dyDescent="0.2">
      <c r="B448" s="16">
        <v>19</v>
      </c>
      <c r="C448" s="45"/>
      <c r="D448" s="18"/>
      <c r="E448" s="18"/>
      <c r="F448" s="51"/>
      <c r="G448" s="20"/>
      <c r="H448" s="20">
        <v>1</v>
      </c>
      <c r="I448" s="126">
        <f t="shared" si="28"/>
        <v>0</v>
      </c>
      <c r="J448" s="78">
        <f t="shared" si="30"/>
        <v>0</v>
      </c>
      <c r="K448" s="111"/>
      <c r="L448" s="119"/>
      <c r="N448" s="10"/>
      <c r="O448" s="10"/>
      <c r="P448" s="10"/>
      <c r="Q448" s="43"/>
      <c r="R448" s="10"/>
      <c r="T448" s="10"/>
    </row>
    <row r="449" spans="2:20" s="1" customFormat="1" ht="12.95" customHeight="1" x14ac:dyDescent="0.2">
      <c r="B449" s="16">
        <v>20</v>
      </c>
      <c r="C449" s="45"/>
      <c r="D449" s="18"/>
      <c r="E449" s="18"/>
      <c r="F449" s="51"/>
      <c r="G449" s="20"/>
      <c r="H449" s="20">
        <v>1</v>
      </c>
      <c r="I449" s="254">
        <f t="shared" si="28"/>
        <v>0</v>
      </c>
      <c r="J449" s="94">
        <f t="shared" si="30"/>
        <v>0</v>
      </c>
      <c r="K449" s="82"/>
      <c r="L449" s="82"/>
      <c r="N449" s="10"/>
      <c r="O449" s="10"/>
      <c r="P449" s="10"/>
      <c r="Q449" s="43"/>
      <c r="R449" s="10"/>
      <c r="T449" s="10"/>
    </row>
    <row r="450" spans="2:20" s="1" customFormat="1" ht="12.95" customHeight="1" x14ac:dyDescent="0.2">
      <c r="B450" s="83"/>
      <c r="C450" s="171"/>
      <c r="D450" s="75"/>
      <c r="E450" s="75"/>
      <c r="F450" s="172"/>
      <c r="G450" s="77"/>
      <c r="H450" s="77"/>
      <c r="I450" s="255"/>
      <c r="J450" s="94"/>
      <c r="K450" s="82"/>
      <c r="L450" s="82"/>
      <c r="N450" s="10"/>
      <c r="O450" s="10"/>
      <c r="P450" s="10"/>
      <c r="Q450" s="43"/>
      <c r="R450" s="10"/>
      <c r="T450" s="10"/>
    </row>
    <row r="451" spans="2:20" s="1" customFormat="1" ht="12.95" customHeight="1" x14ac:dyDescent="0.15">
      <c r="B451" s="82"/>
      <c r="C451" s="102"/>
      <c r="D451" s="103"/>
      <c r="E451" s="102"/>
      <c r="F451" s="128">
        <f>SUM(F391:F450)</f>
        <v>0</v>
      </c>
      <c r="G451" s="104"/>
      <c r="H451" s="105"/>
      <c r="I451" s="256">
        <f>SUM(I392:I450)</f>
        <v>0</v>
      </c>
      <c r="J451" s="257">
        <f>SUM(J391:J450)</f>
        <v>0</v>
      </c>
    </row>
    <row r="452" spans="2:20" s="67" customFormat="1" ht="12.95" customHeight="1" x14ac:dyDescent="0.15">
      <c r="B452" s="116"/>
      <c r="C452" s="114"/>
      <c r="D452" s="114"/>
      <c r="E452" s="114" t="s">
        <v>147</v>
      </c>
      <c r="F452" s="162">
        <f>100/115*F451</f>
        <v>0</v>
      </c>
      <c r="G452" s="114"/>
      <c r="H452" s="114" t="s">
        <v>147</v>
      </c>
      <c r="I452" s="264">
        <f>100/115*I451</f>
        <v>0</v>
      </c>
      <c r="J452" s="114"/>
    </row>
    <row r="453" spans="2:20" s="1" customFormat="1" ht="12.95" customHeight="1" x14ac:dyDescent="0.15"/>
    <row r="454" spans="2:20" s="1" customFormat="1" ht="12.95" customHeight="1" x14ac:dyDescent="0.15"/>
    <row r="455" spans="2:20" s="1" customFormat="1" ht="12.95" customHeight="1" x14ac:dyDescent="0.15"/>
    <row r="456" spans="2:20" s="1" customFormat="1" ht="12.95" customHeight="1" x14ac:dyDescent="0.15"/>
    <row r="457" spans="2:20" s="247" customFormat="1" ht="32.25" x14ac:dyDescent="0.4">
      <c r="B457" s="248"/>
      <c r="C457" s="380" t="s">
        <v>112</v>
      </c>
      <c r="D457" s="380"/>
      <c r="E457" s="400" t="s">
        <v>161</v>
      </c>
      <c r="F457" s="401"/>
      <c r="G457" s="401"/>
      <c r="H457" s="401"/>
      <c r="I457" s="402"/>
      <c r="J457" s="407">
        <v>2026</v>
      </c>
      <c r="K457" s="408"/>
      <c r="L457" s="409"/>
    </row>
    <row r="458" spans="2:20" s="1" customFormat="1" ht="42" customHeight="1" x14ac:dyDescent="0.15">
      <c r="B458" s="82"/>
      <c r="C458" s="102" t="s">
        <v>114</v>
      </c>
      <c r="D458" s="388" t="s">
        <v>115</v>
      </c>
      <c r="E458" s="388"/>
      <c r="F458" s="102" t="s">
        <v>116</v>
      </c>
      <c r="G458" s="102" t="s">
        <v>117</v>
      </c>
      <c r="H458" s="102" t="s">
        <v>118</v>
      </c>
      <c r="I458" s="173" t="s">
        <v>119</v>
      </c>
      <c r="J458" s="102" t="s">
        <v>120</v>
      </c>
      <c r="K458" s="82"/>
      <c r="L458" s="82"/>
    </row>
    <row r="459" spans="2:20" s="1" customFormat="1" ht="12.95" customHeight="1" x14ac:dyDescent="0.15">
      <c r="B459" s="84"/>
      <c r="C459" s="149">
        <f>C389</f>
        <v>450</v>
      </c>
      <c r="D459" s="412">
        <v>21</v>
      </c>
      <c r="E459" s="412"/>
      <c r="F459" s="146">
        <f>F389</f>
        <v>0.8</v>
      </c>
      <c r="G459" s="147">
        <f>G389</f>
        <v>8</v>
      </c>
      <c r="H459" s="148">
        <f>D459*G459*F459</f>
        <v>134.4</v>
      </c>
      <c r="I459" s="149">
        <f>I521</f>
        <v>0</v>
      </c>
      <c r="J459" s="150">
        <f>H459-J521</f>
        <v>134.4</v>
      </c>
      <c r="K459" s="79"/>
      <c r="L459" s="120"/>
    </row>
    <row r="460" spans="2:20" s="1" customFormat="1" ht="69.95" customHeight="1" x14ac:dyDescent="0.15">
      <c r="B460" s="16"/>
      <c r="C460" s="22" t="s">
        <v>121</v>
      </c>
      <c r="D460" s="413" t="s">
        <v>122</v>
      </c>
      <c r="E460" s="413"/>
      <c r="F460" s="33" t="s">
        <v>123</v>
      </c>
      <c r="G460" s="34" t="s">
        <v>124</v>
      </c>
      <c r="H460" s="35" t="s">
        <v>125</v>
      </c>
      <c r="I460" s="125" t="s">
        <v>126</v>
      </c>
      <c r="J460" s="34" t="s">
        <v>127</v>
      </c>
      <c r="K460" s="107" t="s">
        <v>128</v>
      </c>
      <c r="L460" s="123" t="s">
        <v>129</v>
      </c>
    </row>
    <row r="461" spans="2:20" s="1" customFormat="1" ht="12.75" customHeight="1" x14ac:dyDescent="0.15">
      <c r="B461" s="83"/>
      <c r="C461" s="159"/>
      <c r="D461" s="164"/>
      <c r="E461" s="164"/>
      <c r="F461" s="76"/>
      <c r="G461" s="20"/>
      <c r="H461" s="20"/>
      <c r="I461" s="126"/>
      <c r="J461" s="38"/>
      <c r="K461" s="80"/>
      <c r="L461" s="82"/>
    </row>
    <row r="462" spans="2:20" s="1" customFormat="1" ht="12.75" x14ac:dyDescent="0.15">
      <c r="B462" s="82"/>
      <c r="C462" s="392" t="s">
        <v>130</v>
      </c>
      <c r="D462" s="392"/>
      <c r="E462" s="392"/>
      <c r="F462" s="168"/>
      <c r="G462" s="163"/>
      <c r="H462" s="20"/>
      <c r="I462" s="126"/>
      <c r="J462" s="21"/>
      <c r="K462" s="80"/>
      <c r="L462" s="82"/>
    </row>
    <row r="463" spans="2:20" s="1" customFormat="1" ht="12.95" customHeight="1" x14ac:dyDescent="0.15">
      <c r="B463" s="82"/>
      <c r="C463" s="116" t="s">
        <v>149</v>
      </c>
      <c r="D463" s="169"/>
      <c r="E463" s="169"/>
      <c r="F463" s="168"/>
      <c r="G463" s="163"/>
      <c r="H463" s="20"/>
      <c r="I463" s="126"/>
      <c r="J463" s="38"/>
      <c r="K463" s="80"/>
      <c r="L463" s="82"/>
    </row>
    <row r="464" spans="2:20" s="1" customFormat="1" ht="12.95" customHeight="1" x14ac:dyDescent="0.15">
      <c r="B464" s="82">
        <v>1</v>
      </c>
      <c r="C464" s="89"/>
      <c r="D464" s="169"/>
      <c r="E464" s="169"/>
      <c r="F464" s="168"/>
      <c r="G464" s="163"/>
      <c r="H464" s="20">
        <v>1</v>
      </c>
      <c r="I464" s="129">
        <f t="shared" ref="I464:I496" si="31">J464*$C$32</f>
        <v>0</v>
      </c>
      <c r="J464" s="52">
        <f t="shared" ref="J464:J477" si="32">(F464*G464*H464)/$C$32</f>
        <v>0</v>
      </c>
      <c r="K464" s="80"/>
      <c r="L464" s="82"/>
    </row>
    <row r="465" spans="2:20" s="1" customFormat="1" ht="12.95" customHeight="1" x14ac:dyDescent="0.15">
      <c r="B465" s="82">
        <v>2</v>
      </c>
      <c r="C465" s="89"/>
      <c r="D465" s="169"/>
      <c r="E465" s="169"/>
      <c r="F465" s="168"/>
      <c r="G465" s="163"/>
      <c r="H465" s="20">
        <v>1</v>
      </c>
      <c r="I465" s="129">
        <f t="shared" si="31"/>
        <v>0</v>
      </c>
      <c r="J465" s="52">
        <f t="shared" si="32"/>
        <v>0</v>
      </c>
      <c r="K465" s="80"/>
      <c r="L465" s="82"/>
    </row>
    <row r="466" spans="2:20" s="1" customFormat="1" ht="12.95" customHeight="1" x14ac:dyDescent="0.15">
      <c r="B466" s="82">
        <v>3</v>
      </c>
      <c r="C466" s="89"/>
      <c r="D466" s="169"/>
      <c r="E466" s="169"/>
      <c r="F466" s="168"/>
      <c r="G466" s="163"/>
      <c r="H466" s="20">
        <v>1</v>
      </c>
      <c r="I466" s="129">
        <f t="shared" si="31"/>
        <v>0</v>
      </c>
      <c r="J466" s="52">
        <f t="shared" si="32"/>
        <v>0</v>
      </c>
      <c r="K466" s="80"/>
      <c r="L466" s="82"/>
    </row>
    <row r="467" spans="2:20" s="1" customFormat="1" ht="12.95" customHeight="1" x14ac:dyDescent="0.15">
      <c r="B467" s="82">
        <v>4</v>
      </c>
      <c r="C467" s="82"/>
      <c r="D467" s="90"/>
      <c r="E467" s="90"/>
      <c r="F467" s="168"/>
      <c r="G467" s="163"/>
      <c r="H467" s="20">
        <v>1</v>
      </c>
      <c r="I467" s="129">
        <f t="shared" si="31"/>
        <v>0</v>
      </c>
      <c r="J467" s="52">
        <f t="shared" si="32"/>
        <v>0</v>
      </c>
      <c r="K467" s="80"/>
      <c r="L467" s="82"/>
    </row>
    <row r="468" spans="2:20" s="1" customFormat="1" ht="12.95" customHeight="1" x14ac:dyDescent="0.15">
      <c r="B468" s="82">
        <v>5</v>
      </c>
      <c r="C468" s="89"/>
      <c r="D468" s="170"/>
      <c r="E468" s="170"/>
      <c r="F468" s="168"/>
      <c r="G468" s="163"/>
      <c r="H468" s="20">
        <v>1</v>
      </c>
      <c r="I468" s="129">
        <f t="shared" si="31"/>
        <v>0</v>
      </c>
      <c r="J468" s="27">
        <f t="shared" si="32"/>
        <v>0</v>
      </c>
      <c r="K468" s="80"/>
      <c r="L468" s="82"/>
    </row>
    <row r="469" spans="2:20" s="1" customFormat="1" ht="12.95" customHeight="1" x14ac:dyDescent="0.15">
      <c r="B469" s="82">
        <v>6</v>
      </c>
      <c r="C469" s="89"/>
      <c r="D469" s="169"/>
      <c r="E469" s="169"/>
      <c r="F469" s="168"/>
      <c r="G469" s="163"/>
      <c r="H469" s="20">
        <v>1</v>
      </c>
      <c r="I469" s="129">
        <f t="shared" si="31"/>
        <v>0</v>
      </c>
      <c r="J469" s="52">
        <f t="shared" si="32"/>
        <v>0</v>
      </c>
      <c r="K469" s="80"/>
      <c r="L469" s="82"/>
    </row>
    <row r="470" spans="2:20" s="1" customFormat="1" ht="12.95" customHeight="1" x14ac:dyDescent="0.15">
      <c r="B470" s="82">
        <v>7</v>
      </c>
      <c r="C470" s="89"/>
      <c r="D470" s="167"/>
      <c r="E470" s="167"/>
      <c r="F470" s="168"/>
      <c r="G470" s="163"/>
      <c r="H470" s="20">
        <v>1</v>
      </c>
      <c r="I470" s="129">
        <f t="shared" si="31"/>
        <v>0</v>
      </c>
      <c r="J470" s="27">
        <f t="shared" si="32"/>
        <v>0</v>
      </c>
      <c r="K470" s="80"/>
      <c r="L470" s="82"/>
    </row>
    <row r="471" spans="2:20" s="1" customFormat="1" ht="12.95" customHeight="1" x14ac:dyDescent="0.15">
      <c r="B471" s="84">
        <v>8</v>
      </c>
      <c r="C471" s="81"/>
      <c r="D471" s="85"/>
      <c r="E471" s="165"/>
      <c r="F471" s="166"/>
      <c r="G471" s="20"/>
      <c r="H471" s="20">
        <v>1</v>
      </c>
      <c r="I471" s="129">
        <f t="shared" si="31"/>
        <v>0</v>
      </c>
      <c r="J471" s="52">
        <f t="shared" si="32"/>
        <v>0</v>
      </c>
      <c r="K471" s="80"/>
      <c r="L471" s="82"/>
    </row>
    <row r="472" spans="2:20" s="1" customFormat="1" ht="12.95" customHeight="1" x14ac:dyDescent="0.15">
      <c r="B472" s="16">
        <v>9</v>
      </c>
      <c r="C472" s="17"/>
      <c r="D472" s="18"/>
      <c r="E472" s="24"/>
      <c r="F472" s="129"/>
      <c r="G472" s="20"/>
      <c r="H472" s="20">
        <v>1</v>
      </c>
      <c r="I472" s="129">
        <f t="shared" si="31"/>
        <v>0</v>
      </c>
      <c r="J472" s="52">
        <f t="shared" si="32"/>
        <v>0</v>
      </c>
      <c r="K472" s="80"/>
      <c r="L472" s="82"/>
    </row>
    <row r="473" spans="2:20" s="1" customFormat="1" ht="12.95" customHeight="1" x14ac:dyDescent="0.15">
      <c r="B473" s="16">
        <v>10</v>
      </c>
      <c r="C473" s="17"/>
      <c r="D473" s="24"/>
      <c r="E473" s="18"/>
      <c r="F473" s="129"/>
      <c r="G473" s="20"/>
      <c r="H473" s="20">
        <v>1</v>
      </c>
      <c r="I473" s="129">
        <f t="shared" si="31"/>
        <v>0</v>
      </c>
      <c r="J473" s="52">
        <f t="shared" si="32"/>
        <v>0</v>
      </c>
      <c r="K473" s="80"/>
      <c r="L473" s="82"/>
    </row>
    <row r="474" spans="2:20" s="1" customFormat="1" ht="12.95" customHeight="1" x14ac:dyDescent="0.15">
      <c r="B474" s="16"/>
      <c r="C474" s="17"/>
      <c r="D474" s="24"/>
      <c r="E474" s="18"/>
      <c r="F474" s="129"/>
      <c r="G474" s="20"/>
      <c r="H474" s="20"/>
      <c r="I474" s="129"/>
      <c r="J474" s="52"/>
      <c r="K474" s="80"/>
      <c r="L474" s="82"/>
    </row>
    <row r="475" spans="2:20" s="1" customFormat="1" ht="12.95" customHeight="1" x14ac:dyDescent="0.15">
      <c r="B475" s="16"/>
      <c r="C475" s="17"/>
      <c r="D475" s="24"/>
      <c r="E475" s="18"/>
      <c r="F475" s="129"/>
      <c r="G475" s="20"/>
      <c r="H475" s="20"/>
      <c r="I475" s="129"/>
      <c r="J475" s="52"/>
      <c r="K475" s="80"/>
      <c r="L475" s="82"/>
    </row>
    <row r="476" spans="2:20" s="1" customFormat="1" ht="12.95" customHeight="1" x14ac:dyDescent="0.15">
      <c r="B476" s="16"/>
      <c r="C476" s="22" t="s">
        <v>153</v>
      </c>
      <c r="D476" s="24"/>
      <c r="E476" s="18"/>
      <c r="F476" s="129"/>
      <c r="G476" s="20"/>
      <c r="H476" s="20"/>
      <c r="I476" s="129"/>
      <c r="J476" s="52"/>
      <c r="K476" s="80"/>
      <c r="L476" s="82"/>
    </row>
    <row r="477" spans="2:20" s="1" customFormat="1" ht="12.95" customHeight="1" x14ac:dyDescent="0.15">
      <c r="B477" s="16">
        <v>1</v>
      </c>
      <c r="C477" s="17"/>
      <c r="D477" s="24"/>
      <c r="E477" s="24"/>
      <c r="F477" s="129"/>
      <c r="G477" s="20"/>
      <c r="H477" s="20">
        <v>1</v>
      </c>
      <c r="I477" s="129">
        <f t="shared" si="31"/>
        <v>0</v>
      </c>
      <c r="J477" s="52">
        <f t="shared" si="32"/>
        <v>0</v>
      </c>
      <c r="K477" s="80"/>
      <c r="L477" s="82"/>
    </row>
    <row r="478" spans="2:20" s="1" customFormat="1" ht="12.95" customHeight="1" x14ac:dyDescent="0.15">
      <c r="B478" s="16">
        <v>2</v>
      </c>
      <c r="C478" s="17"/>
      <c r="D478" s="24"/>
      <c r="E478" s="24"/>
      <c r="F478" s="129"/>
      <c r="G478" s="20"/>
      <c r="H478" s="20">
        <v>1</v>
      </c>
      <c r="I478" s="129">
        <f t="shared" si="31"/>
        <v>0</v>
      </c>
      <c r="J478" s="52">
        <f>(F478*G478*H478)/$C$32</f>
        <v>0</v>
      </c>
      <c r="K478" s="80"/>
      <c r="L478" s="82"/>
    </row>
    <row r="479" spans="2:20" s="1" customFormat="1" ht="12.95" customHeight="1" x14ac:dyDescent="0.15">
      <c r="B479" s="16">
        <v>3</v>
      </c>
      <c r="C479" s="24"/>
      <c r="D479" s="24"/>
      <c r="E479" s="24"/>
      <c r="F479" s="129"/>
      <c r="G479" s="20"/>
      <c r="H479" s="20">
        <v>1</v>
      </c>
      <c r="I479" s="129">
        <f t="shared" si="31"/>
        <v>0</v>
      </c>
      <c r="J479" s="52">
        <f>(F479*G479*H479)/$C$32</f>
        <v>0</v>
      </c>
      <c r="K479" s="80"/>
      <c r="L479" s="82"/>
    </row>
    <row r="480" spans="2:20" s="1" customFormat="1" ht="12.95" customHeight="1" x14ac:dyDescent="0.15">
      <c r="B480" s="16">
        <v>4</v>
      </c>
      <c r="C480" s="24"/>
      <c r="D480" s="18"/>
      <c r="E480" s="18"/>
      <c r="F480" s="129"/>
      <c r="G480" s="20"/>
      <c r="H480" s="20">
        <v>1</v>
      </c>
      <c r="I480" s="129">
        <f t="shared" si="31"/>
        <v>0</v>
      </c>
      <c r="J480" s="27">
        <f t="shared" ref="J480:J506" si="33">(F480*G480*H480)/$C$32</f>
        <v>0</v>
      </c>
      <c r="K480" s="80"/>
      <c r="L480" s="82"/>
      <c r="M480" s="10"/>
      <c r="N480" s="10"/>
      <c r="O480" s="10"/>
      <c r="P480" s="10"/>
      <c r="Q480" s="43"/>
      <c r="R480" s="10"/>
      <c r="T480" s="10"/>
    </row>
    <row r="481" spans="2:20" s="1" customFormat="1" ht="12.95" customHeight="1" x14ac:dyDescent="0.15">
      <c r="B481" s="16">
        <v>5</v>
      </c>
      <c r="C481" s="24"/>
      <c r="D481" s="24"/>
      <c r="E481" s="24"/>
      <c r="F481" s="129"/>
      <c r="G481" s="20"/>
      <c r="H481" s="20">
        <v>1</v>
      </c>
      <c r="I481" s="129">
        <f t="shared" si="31"/>
        <v>0</v>
      </c>
      <c r="J481" s="52">
        <f t="shared" si="33"/>
        <v>0</v>
      </c>
      <c r="K481" s="80"/>
      <c r="L481" s="82"/>
      <c r="M481" s="39"/>
      <c r="N481" s="40"/>
      <c r="O481" s="40"/>
    </row>
    <row r="482" spans="2:20" s="1" customFormat="1" ht="12.95" customHeight="1" x14ac:dyDescent="0.15">
      <c r="B482" s="16">
        <v>6</v>
      </c>
      <c r="C482" s="17"/>
      <c r="D482" s="18"/>
      <c r="E482" s="18"/>
      <c r="F482" s="129"/>
      <c r="G482" s="20"/>
      <c r="H482" s="20">
        <v>1</v>
      </c>
      <c r="I482" s="129">
        <f>J482*$C$32</f>
        <v>0</v>
      </c>
      <c r="J482" s="27">
        <f t="shared" si="33"/>
        <v>0</v>
      </c>
      <c r="K482" s="80"/>
      <c r="L482" s="82"/>
      <c r="N482" s="10"/>
      <c r="O482" s="10"/>
      <c r="P482" s="10"/>
      <c r="Q482" s="43"/>
      <c r="R482" s="10"/>
      <c r="T482" s="10"/>
    </row>
    <row r="483" spans="2:20" s="1" customFormat="1" ht="12.95" customHeight="1" x14ac:dyDescent="0.15">
      <c r="B483" s="16">
        <v>7</v>
      </c>
      <c r="C483" s="17"/>
      <c r="D483" s="24"/>
      <c r="E483" s="24"/>
      <c r="F483" s="129"/>
      <c r="G483" s="20"/>
      <c r="H483" s="20">
        <v>1</v>
      </c>
      <c r="I483" s="129">
        <f t="shared" si="31"/>
        <v>0</v>
      </c>
      <c r="J483" s="54">
        <f>(F483*G483*H483)/$C$32</f>
        <v>0</v>
      </c>
      <c r="K483" s="80"/>
      <c r="L483" s="82"/>
    </row>
    <row r="484" spans="2:20" s="1" customFormat="1" ht="12.95" customHeight="1" x14ac:dyDescent="0.15">
      <c r="B484" s="16">
        <v>8</v>
      </c>
      <c r="C484" s="17"/>
      <c r="D484" s="24"/>
      <c r="E484" s="24"/>
      <c r="F484" s="129"/>
      <c r="G484" s="20"/>
      <c r="H484" s="20">
        <v>1</v>
      </c>
      <c r="I484" s="129">
        <f>J484*$C$32</f>
        <v>0</v>
      </c>
      <c r="J484" s="54">
        <f>(F484*G484*H484)/$C$32</f>
        <v>0</v>
      </c>
      <c r="K484" s="80"/>
      <c r="L484" s="82"/>
    </row>
    <row r="485" spans="2:20" s="1" customFormat="1" ht="12.95" customHeight="1" x14ac:dyDescent="0.15">
      <c r="B485" s="16">
        <v>9</v>
      </c>
      <c r="C485" s="17"/>
      <c r="D485" s="24"/>
      <c r="E485" s="24"/>
      <c r="F485" s="129"/>
      <c r="G485" s="20"/>
      <c r="H485" s="20">
        <v>1</v>
      </c>
      <c r="I485" s="129">
        <f t="shared" si="31"/>
        <v>0</v>
      </c>
      <c r="J485" s="52">
        <f t="shared" si="33"/>
        <v>0</v>
      </c>
      <c r="K485" s="80"/>
      <c r="L485" s="82"/>
    </row>
    <row r="486" spans="2:20" s="1" customFormat="1" ht="12.95" customHeight="1" x14ac:dyDescent="0.15">
      <c r="B486" s="16">
        <v>10</v>
      </c>
      <c r="C486" s="17"/>
      <c r="D486" s="24"/>
      <c r="E486" s="24"/>
      <c r="F486" s="129"/>
      <c r="G486" s="20"/>
      <c r="H486" s="20">
        <v>1</v>
      </c>
      <c r="I486" s="129">
        <f t="shared" si="31"/>
        <v>0</v>
      </c>
      <c r="J486" s="52">
        <f t="shared" si="33"/>
        <v>0</v>
      </c>
      <c r="K486" s="80"/>
      <c r="L486" s="82"/>
    </row>
    <row r="487" spans="2:20" s="1" customFormat="1" ht="12" customHeight="1" x14ac:dyDescent="0.15">
      <c r="B487" s="16">
        <v>11</v>
      </c>
      <c r="C487" s="17"/>
      <c r="D487" s="24"/>
      <c r="E487" s="24"/>
      <c r="F487" s="129"/>
      <c r="G487" s="20"/>
      <c r="H487" s="20">
        <v>1</v>
      </c>
      <c r="I487" s="129">
        <f t="shared" si="31"/>
        <v>0</v>
      </c>
      <c r="J487" s="52">
        <f t="shared" si="33"/>
        <v>0</v>
      </c>
      <c r="K487" s="80"/>
      <c r="L487" s="82"/>
    </row>
    <row r="488" spans="2:20" s="1" customFormat="1" ht="12.95" customHeight="1" x14ac:dyDescent="0.15">
      <c r="B488" s="16">
        <v>12</v>
      </c>
      <c r="C488" s="17"/>
      <c r="D488" s="24"/>
      <c r="E488" s="24"/>
      <c r="F488" s="129"/>
      <c r="G488" s="20"/>
      <c r="H488" s="20">
        <v>1</v>
      </c>
      <c r="I488" s="129">
        <f t="shared" si="31"/>
        <v>0</v>
      </c>
      <c r="J488" s="52">
        <f t="shared" si="33"/>
        <v>0</v>
      </c>
      <c r="K488" s="80"/>
      <c r="L488" s="82"/>
    </row>
    <row r="489" spans="2:20" s="1" customFormat="1" ht="12.95" customHeight="1" x14ac:dyDescent="0.15">
      <c r="B489" s="16">
        <v>13</v>
      </c>
      <c r="C489" s="17"/>
      <c r="D489" s="18"/>
      <c r="E489" s="18"/>
      <c r="F489" s="129"/>
      <c r="G489" s="20"/>
      <c r="H489" s="20">
        <v>1</v>
      </c>
      <c r="I489" s="129">
        <f t="shared" si="31"/>
        <v>0</v>
      </c>
      <c r="J489" s="52">
        <f t="shared" si="33"/>
        <v>0</v>
      </c>
      <c r="K489" s="80"/>
      <c r="L489" s="82"/>
      <c r="M489" s="10"/>
      <c r="N489" s="10"/>
      <c r="O489" s="10"/>
      <c r="P489" s="10"/>
      <c r="Q489" s="43"/>
      <c r="R489" s="10"/>
      <c r="T489" s="10"/>
    </row>
    <row r="490" spans="2:20" s="1" customFormat="1" ht="12.95" customHeight="1" x14ac:dyDescent="0.15">
      <c r="B490" s="16">
        <v>14</v>
      </c>
      <c r="C490" s="17"/>
      <c r="D490" s="18"/>
      <c r="E490" s="18"/>
      <c r="F490" s="129"/>
      <c r="G490" s="20"/>
      <c r="H490" s="20">
        <v>1</v>
      </c>
      <c r="I490" s="129">
        <f t="shared" si="31"/>
        <v>0</v>
      </c>
      <c r="J490" s="52">
        <f t="shared" si="33"/>
        <v>0</v>
      </c>
      <c r="K490" s="80"/>
      <c r="L490" s="82"/>
      <c r="M490" s="10"/>
      <c r="N490" s="10"/>
      <c r="O490" s="10"/>
      <c r="P490" s="10"/>
      <c r="Q490" s="43"/>
      <c r="R490" s="10"/>
      <c r="T490" s="10"/>
    </row>
    <row r="491" spans="2:20" s="1" customFormat="1" ht="12.95" customHeight="1" x14ac:dyDescent="0.15">
      <c r="B491" s="16">
        <v>15</v>
      </c>
      <c r="C491" s="17"/>
      <c r="D491" s="18"/>
      <c r="E491" s="18"/>
      <c r="F491" s="129"/>
      <c r="G491" s="20"/>
      <c r="H491" s="20">
        <v>1</v>
      </c>
      <c r="I491" s="129">
        <f t="shared" si="31"/>
        <v>0</v>
      </c>
      <c r="J491" s="52">
        <f t="shared" si="33"/>
        <v>0</v>
      </c>
      <c r="K491" s="80"/>
      <c r="L491" s="82"/>
      <c r="M491" s="10"/>
      <c r="N491" s="10"/>
      <c r="O491" s="10"/>
      <c r="P491" s="10"/>
      <c r="Q491" s="43"/>
      <c r="R491" s="10"/>
      <c r="T491" s="10"/>
    </row>
    <row r="492" spans="2:20" s="1" customFormat="1" ht="12.95" customHeight="1" x14ac:dyDescent="0.15">
      <c r="B492" s="16">
        <v>16</v>
      </c>
      <c r="C492" s="17"/>
      <c r="D492" s="18"/>
      <c r="E492" s="18"/>
      <c r="F492" s="129"/>
      <c r="G492" s="20"/>
      <c r="H492" s="20">
        <v>1</v>
      </c>
      <c r="I492" s="129">
        <f t="shared" si="31"/>
        <v>0</v>
      </c>
      <c r="J492" s="52">
        <f t="shared" si="33"/>
        <v>0</v>
      </c>
      <c r="K492" s="80"/>
      <c r="L492" s="82"/>
      <c r="M492" s="10"/>
      <c r="N492" s="10"/>
      <c r="O492" s="10"/>
      <c r="P492" s="10"/>
      <c r="Q492" s="43"/>
      <c r="R492" s="10"/>
      <c r="T492" s="10"/>
    </row>
    <row r="493" spans="2:20" s="1" customFormat="1" ht="12.95" customHeight="1" x14ac:dyDescent="0.15">
      <c r="B493" s="16">
        <v>17</v>
      </c>
      <c r="C493" s="17"/>
      <c r="D493" s="18"/>
      <c r="E493" s="18"/>
      <c r="F493" s="129"/>
      <c r="G493" s="20"/>
      <c r="H493" s="20">
        <v>1</v>
      </c>
      <c r="I493" s="129">
        <f t="shared" si="31"/>
        <v>0</v>
      </c>
      <c r="J493" s="52">
        <f t="shared" si="33"/>
        <v>0</v>
      </c>
      <c r="K493" s="80"/>
      <c r="L493" s="82"/>
      <c r="M493" s="10"/>
      <c r="N493" s="10"/>
      <c r="O493" s="10"/>
      <c r="P493" s="10"/>
      <c r="Q493" s="43"/>
      <c r="R493" s="10"/>
      <c r="T493" s="10"/>
    </row>
    <row r="494" spans="2:20" s="1" customFormat="1" ht="12.95" customHeight="1" x14ac:dyDescent="0.15">
      <c r="B494" s="16">
        <v>18</v>
      </c>
      <c r="C494" s="17"/>
      <c r="D494" s="18"/>
      <c r="E494" s="18"/>
      <c r="F494" s="129"/>
      <c r="G494" s="20"/>
      <c r="H494" s="20">
        <v>1</v>
      </c>
      <c r="I494" s="129">
        <f t="shared" si="31"/>
        <v>0</v>
      </c>
      <c r="J494" s="52">
        <f t="shared" si="33"/>
        <v>0</v>
      </c>
      <c r="K494" s="80"/>
      <c r="L494" s="82"/>
      <c r="M494" s="10"/>
      <c r="N494" s="10"/>
      <c r="O494" s="10"/>
      <c r="P494" s="10"/>
      <c r="Q494" s="43"/>
      <c r="R494" s="10"/>
      <c r="T494" s="10"/>
    </row>
    <row r="495" spans="2:20" s="1" customFormat="1" ht="12.95" customHeight="1" x14ac:dyDescent="0.15">
      <c r="B495" s="16">
        <v>19</v>
      </c>
      <c r="C495" s="17"/>
      <c r="D495" s="18"/>
      <c r="E495" s="18"/>
      <c r="F495" s="129"/>
      <c r="G495" s="20"/>
      <c r="H495" s="20">
        <v>1</v>
      </c>
      <c r="I495" s="129">
        <f t="shared" si="31"/>
        <v>0</v>
      </c>
      <c r="J495" s="52">
        <f t="shared" si="33"/>
        <v>0</v>
      </c>
      <c r="K495" s="80"/>
      <c r="L495" s="82"/>
      <c r="M495" s="10"/>
      <c r="N495" s="10"/>
      <c r="O495" s="10"/>
      <c r="P495" s="10"/>
      <c r="Q495" s="43"/>
      <c r="R495" s="10"/>
      <c r="T495" s="10"/>
    </row>
    <row r="496" spans="2:20" s="1" customFormat="1" ht="12.95" customHeight="1" x14ac:dyDescent="0.15">
      <c r="B496" s="16">
        <v>20</v>
      </c>
      <c r="C496" s="17"/>
      <c r="D496" s="18"/>
      <c r="E496" s="18"/>
      <c r="F496" s="129"/>
      <c r="G496" s="20"/>
      <c r="H496" s="20">
        <v>1</v>
      </c>
      <c r="I496" s="129">
        <f t="shared" si="31"/>
        <v>0</v>
      </c>
      <c r="J496" s="52">
        <f t="shared" si="33"/>
        <v>0</v>
      </c>
      <c r="K496" s="80"/>
      <c r="L496" s="82"/>
      <c r="M496" s="10"/>
      <c r="N496" s="10"/>
      <c r="O496" s="10"/>
      <c r="P496" s="10"/>
      <c r="Q496" s="43"/>
      <c r="R496" s="10"/>
      <c r="T496" s="10"/>
    </row>
    <row r="497" spans="2:20" s="1" customFormat="1" ht="12.95" customHeight="1" x14ac:dyDescent="0.15">
      <c r="B497" s="16"/>
      <c r="C497" s="17"/>
      <c r="D497" s="18"/>
      <c r="E497" s="18"/>
      <c r="F497" s="129"/>
      <c r="G497" s="20"/>
      <c r="H497" s="20"/>
      <c r="I497" s="129"/>
      <c r="J497" s="52"/>
      <c r="K497" s="80"/>
      <c r="L497" s="82"/>
      <c r="M497" s="10"/>
      <c r="N497" s="10"/>
      <c r="O497" s="10"/>
      <c r="P497" s="10"/>
      <c r="Q497" s="43"/>
      <c r="R497" s="10"/>
      <c r="T497" s="10"/>
    </row>
    <row r="498" spans="2:20" s="1" customFormat="1" ht="12.95" customHeight="1" x14ac:dyDescent="0.15">
      <c r="B498" s="16"/>
      <c r="C498" s="17"/>
      <c r="D498" s="18"/>
      <c r="E498" s="18"/>
      <c r="F498" s="129"/>
      <c r="G498" s="20"/>
      <c r="H498" s="20"/>
      <c r="I498" s="129"/>
      <c r="J498" s="52"/>
      <c r="K498" s="80"/>
      <c r="L498" s="82"/>
      <c r="M498" s="10"/>
      <c r="N498" s="10"/>
      <c r="O498" s="10"/>
      <c r="P498" s="10"/>
      <c r="Q498" s="43"/>
      <c r="R498" s="10"/>
      <c r="T498" s="10"/>
    </row>
    <row r="499" spans="2:20" s="1" customFormat="1" ht="12.95" customHeight="1" x14ac:dyDescent="0.15">
      <c r="B499" s="16"/>
      <c r="C499" s="73" t="s">
        <v>132</v>
      </c>
      <c r="D499" s="18"/>
      <c r="E499" s="18"/>
      <c r="F499" s="129"/>
      <c r="G499" s="55"/>
      <c r="H499" s="20"/>
      <c r="I499" s="129"/>
      <c r="J499" s="52"/>
      <c r="K499" s="80"/>
      <c r="L499" s="82"/>
      <c r="N499" s="10"/>
      <c r="O499" s="10"/>
      <c r="P499" s="10"/>
      <c r="Q499" s="43"/>
      <c r="R499" s="10"/>
      <c r="T499" s="10"/>
    </row>
    <row r="500" spans="2:20" s="1" customFormat="1" ht="12.95" customHeight="1" x14ac:dyDescent="0.15">
      <c r="B500" s="16">
        <v>1</v>
      </c>
      <c r="C500" s="45"/>
      <c r="D500" s="18"/>
      <c r="E500" s="18"/>
      <c r="F500" s="129"/>
      <c r="G500" s="20"/>
      <c r="H500" s="20">
        <v>1</v>
      </c>
      <c r="I500" s="129">
        <f>J500*$C$32</f>
        <v>0</v>
      </c>
      <c r="J500" s="52">
        <f t="shared" si="33"/>
        <v>0</v>
      </c>
      <c r="K500" s="80"/>
      <c r="L500" s="82"/>
      <c r="N500" s="10"/>
      <c r="O500" s="10"/>
      <c r="P500" s="10"/>
      <c r="Q500" s="43"/>
      <c r="R500" s="10"/>
      <c r="T500" s="10"/>
    </row>
    <row r="501" spans="2:20" s="1" customFormat="1" ht="12.95" customHeight="1" x14ac:dyDescent="0.15">
      <c r="B501" s="16">
        <v>2</v>
      </c>
      <c r="C501" s="44"/>
      <c r="D501" s="18"/>
      <c r="E501" s="18"/>
      <c r="F501" s="129"/>
      <c r="G501" s="20"/>
      <c r="H501" s="20">
        <v>1</v>
      </c>
      <c r="I501" s="129">
        <f>J501*$C$32</f>
        <v>0</v>
      </c>
      <c r="J501" s="52">
        <f t="shared" si="33"/>
        <v>0</v>
      </c>
      <c r="K501" s="80"/>
      <c r="L501" s="82"/>
      <c r="N501" s="10"/>
      <c r="O501" s="10"/>
      <c r="P501" s="10"/>
      <c r="Q501" s="43"/>
      <c r="R501" s="10"/>
      <c r="T501" s="10"/>
    </row>
    <row r="502" spans="2:20" s="1" customFormat="1" ht="12.95" customHeight="1" x14ac:dyDescent="0.15">
      <c r="B502" s="16">
        <v>3</v>
      </c>
      <c r="C502" s="11"/>
      <c r="D502" s="18"/>
      <c r="E502" s="18"/>
      <c r="F502" s="129"/>
      <c r="G502" s="20"/>
      <c r="H502" s="20">
        <v>1</v>
      </c>
      <c r="I502" s="129">
        <f t="shared" ref="I502:I519" si="34">J502*$C$32</f>
        <v>0</v>
      </c>
      <c r="J502" s="52">
        <f t="shared" si="33"/>
        <v>0</v>
      </c>
      <c r="K502" s="80"/>
      <c r="L502" s="82"/>
      <c r="N502" s="10"/>
      <c r="O502" s="10"/>
      <c r="P502" s="10"/>
      <c r="Q502" s="43"/>
      <c r="R502" s="10"/>
      <c r="T502" s="10"/>
    </row>
    <row r="503" spans="2:20" s="1" customFormat="1" ht="12.95" customHeight="1" x14ac:dyDescent="0.2">
      <c r="B503" s="16">
        <v>4</v>
      </c>
      <c r="C503" s="56"/>
      <c r="D503" s="17"/>
      <c r="E503" s="17"/>
      <c r="F503" s="129"/>
      <c r="G503" s="20"/>
      <c r="H503" s="20">
        <v>1</v>
      </c>
      <c r="I503" s="129">
        <f t="shared" si="34"/>
        <v>0</v>
      </c>
      <c r="J503" s="52">
        <f t="shared" si="33"/>
        <v>0</v>
      </c>
      <c r="K503" s="80"/>
      <c r="L503" s="82"/>
      <c r="M503" s="10"/>
      <c r="N503" s="10"/>
      <c r="O503" s="10"/>
      <c r="P503" s="10"/>
      <c r="Q503" s="43"/>
      <c r="R503" s="10"/>
      <c r="T503" s="10"/>
    </row>
    <row r="504" spans="2:20" s="1" customFormat="1" ht="12.95" customHeight="1" x14ac:dyDescent="0.15">
      <c r="B504" s="16">
        <v>5</v>
      </c>
      <c r="C504" s="17"/>
      <c r="D504" s="17"/>
      <c r="E504" s="17"/>
      <c r="F504" s="129"/>
      <c r="G504" s="20"/>
      <c r="H504" s="20">
        <v>1</v>
      </c>
      <c r="I504" s="129">
        <f t="shared" si="34"/>
        <v>0</v>
      </c>
      <c r="J504" s="52">
        <f t="shared" si="33"/>
        <v>0</v>
      </c>
      <c r="K504" s="80"/>
      <c r="L504" s="82"/>
      <c r="M504" s="10"/>
      <c r="N504" s="10"/>
      <c r="O504" s="10"/>
      <c r="P504" s="10"/>
      <c r="Q504" s="43"/>
      <c r="R504" s="10"/>
      <c r="T504" s="10"/>
    </row>
    <row r="505" spans="2:20" s="1" customFormat="1" ht="12.95" customHeight="1" x14ac:dyDescent="0.15">
      <c r="B505" s="16">
        <v>6</v>
      </c>
      <c r="C505" s="17"/>
      <c r="D505" s="17"/>
      <c r="E505" s="17"/>
      <c r="F505" s="129"/>
      <c r="G505" s="20"/>
      <c r="H505" s="20">
        <v>1</v>
      </c>
      <c r="I505" s="129">
        <f t="shared" si="34"/>
        <v>0</v>
      </c>
      <c r="J505" s="52">
        <f t="shared" si="33"/>
        <v>0</v>
      </c>
      <c r="K505" s="80"/>
      <c r="L505" s="82"/>
      <c r="M505" s="10"/>
      <c r="N505" s="10"/>
      <c r="O505" s="10"/>
      <c r="P505" s="10"/>
      <c r="Q505" s="43"/>
      <c r="R505" s="10"/>
      <c r="T505" s="10"/>
    </row>
    <row r="506" spans="2:20" s="1" customFormat="1" ht="12.95" customHeight="1" x14ac:dyDescent="0.15">
      <c r="B506" s="16">
        <v>7</v>
      </c>
      <c r="C506" s="17"/>
      <c r="D506" s="17"/>
      <c r="E506" s="17"/>
      <c r="F506" s="129"/>
      <c r="G506" s="20"/>
      <c r="H506" s="20">
        <v>1</v>
      </c>
      <c r="I506" s="129">
        <f t="shared" si="34"/>
        <v>0</v>
      </c>
      <c r="J506" s="52">
        <f t="shared" si="33"/>
        <v>0</v>
      </c>
      <c r="K506" s="80"/>
      <c r="L506" s="82"/>
      <c r="M506" s="10"/>
      <c r="N506" s="10"/>
      <c r="O506" s="10"/>
      <c r="P506" s="10"/>
      <c r="Q506" s="43"/>
      <c r="R506" s="10"/>
      <c r="T506" s="10"/>
    </row>
    <row r="507" spans="2:20" s="1" customFormat="1" ht="12.95" customHeight="1" x14ac:dyDescent="0.15">
      <c r="B507" s="16">
        <v>8</v>
      </c>
      <c r="C507" s="17"/>
      <c r="D507" s="17"/>
      <c r="E507" s="17"/>
      <c r="F507" s="129"/>
      <c r="G507" s="20"/>
      <c r="H507" s="20">
        <v>1</v>
      </c>
      <c r="I507" s="129">
        <f t="shared" si="34"/>
        <v>0</v>
      </c>
      <c r="J507" s="52">
        <f>(F507*G507*H507)/$C$32</f>
        <v>0</v>
      </c>
      <c r="K507" s="80"/>
      <c r="L507" s="82"/>
    </row>
    <row r="508" spans="2:20" s="1" customFormat="1" ht="12.95" customHeight="1" x14ac:dyDescent="0.15">
      <c r="B508" s="16">
        <v>9</v>
      </c>
      <c r="C508" s="17"/>
      <c r="D508" s="17"/>
      <c r="E508" s="17"/>
      <c r="F508" s="129"/>
      <c r="G508" s="20"/>
      <c r="H508" s="20">
        <v>1</v>
      </c>
      <c r="I508" s="129">
        <f t="shared" si="34"/>
        <v>0</v>
      </c>
      <c r="J508" s="52">
        <f>(F508*G508*H508)/$C$32</f>
        <v>0</v>
      </c>
      <c r="K508" s="80"/>
      <c r="L508" s="82"/>
    </row>
    <row r="509" spans="2:20" s="1" customFormat="1" ht="12.95" customHeight="1" x14ac:dyDescent="0.15">
      <c r="B509" s="16">
        <v>10</v>
      </c>
      <c r="C509" s="17"/>
      <c r="D509" s="17"/>
      <c r="E509" s="17"/>
      <c r="F509" s="129"/>
      <c r="G509" s="20"/>
      <c r="H509" s="20">
        <v>1</v>
      </c>
      <c r="I509" s="129">
        <f t="shared" si="34"/>
        <v>0</v>
      </c>
      <c r="J509" s="52">
        <f t="shared" ref="J509:J519" si="35">(F509*G509*H509)/$C$32</f>
        <v>0</v>
      </c>
      <c r="K509" s="80"/>
      <c r="L509" s="82"/>
      <c r="M509" s="10"/>
      <c r="N509" s="10"/>
      <c r="O509" s="10"/>
      <c r="P509" s="10"/>
      <c r="Q509" s="43"/>
      <c r="R509" s="10"/>
      <c r="T509" s="10"/>
    </row>
    <row r="510" spans="2:20" s="1" customFormat="1" ht="12.95" customHeight="1" x14ac:dyDescent="0.15">
      <c r="B510" s="16">
        <v>11</v>
      </c>
      <c r="C510" s="17"/>
      <c r="D510" s="17"/>
      <c r="E510" s="17"/>
      <c r="F510" s="129"/>
      <c r="G510" s="20"/>
      <c r="H510" s="20">
        <v>1</v>
      </c>
      <c r="I510" s="129">
        <f t="shared" si="34"/>
        <v>0</v>
      </c>
      <c r="J510" s="52">
        <f t="shared" si="35"/>
        <v>0</v>
      </c>
      <c r="K510" s="80"/>
      <c r="L510" s="82"/>
      <c r="M510" s="10"/>
      <c r="N510" s="10"/>
      <c r="O510" s="10"/>
      <c r="P510" s="10"/>
      <c r="Q510" s="43"/>
      <c r="R510" s="10"/>
      <c r="T510" s="10"/>
    </row>
    <row r="511" spans="2:20" s="1" customFormat="1" ht="12.95" customHeight="1" x14ac:dyDescent="0.15">
      <c r="B511" s="16">
        <v>12</v>
      </c>
      <c r="C511" s="17"/>
      <c r="D511" s="17"/>
      <c r="E511" s="17"/>
      <c r="F511" s="129"/>
      <c r="G511" s="20"/>
      <c r="H511" s="20">
        <v>1</v>
      </c>
      <c r="I511" s="129">
        <f t="shared" si="34"/>
        <v>0</v>
      </c>
      <c r="J511" s="52">
        <f t="shared" si="35"/>
        <v>0</v>
      </c>
      <c r="K511" s="80"/>
      <c r="L511" s="82"/>
      <c r="M511" s="10"/>
      <c r="N511" s="10"/>
      <c r="O511" s="10"/>
      <c r="P511" s="10"/>
      <c r="Q511" s="43"/>
      <c r="R511" s="10"/>
      <c r="T511" s="10"/>
    </row>
    <row r="512" spans="2:20" s="1" customFormat="1" ht="12.95" customHeight="1" x14ac:dyDescent="0.15">
      <c r="B512" s="16">
        <v>13</v>
      </c>
      <c r="C512" s="17"/>
      <c r="D512" s="17"/>
      <c r="E512" s="17"/>
      <c r="F512" s="129"/>
      <c r="G512" s="20"/>
      <c r="H512" s="20">
        <v>1</v>
      </c>
      <c r="I512" s="129">
        <f t="shared" si="34"/>
        <v>0</v>
      </c>
      <c r="J512" s="52">
        <f t="shared" si="35"/>
        <v>0</v>
      </c>
      <c r="K512" s="80"/>
      <c r="L512" s="82"/>
      <c r="M512" s="10"/>
      <c r="N512" s="10"/>
      <c r="O512" s="10"/>
      <c r="P512" s="10"/>
      <c r="Q512" s="43"/>
      <c r="R512" s="10"/>
      <c r="T512" s="10"/>
    </row>
    <row r="513" spans="2:20" s="1" customFormat="1" ht="12.95" customHeight="1" x14ac:dyDescent="0.15">
      <c r="B513" s="16">
        <v>14</v>
      </c>
      <c r="C513" s="17"/>
      <c r="D513" s="17"/>
      <c r="E513" s="17"/>
      <c r="F513" s="129"/>
      <c r="G513" s="20"/>
      <c r="H513" s="20">
        <v>1</v>
      </c>
      <c r="I513" s="129">
        <f t="shared" si="34"/>
        <v>0</v>
      </c>
      <c r="J513" s="52">
        <f t="shared" si="35"/>
        <v>0</v>
      </c>
      <c r="K513" s="80"/>
      <c r="L513" s="82"/>
      <c r="M513" s="10"/>
      <c r="N513" s="10"/>
      <c r="O513" s="10"/>
      <c r="P513" s="10"/>
      <c r="Q513" s="43"/>
      <c r="R513" s="10"/>
      <c r="T513" s="10"/>
    </row>
    <row r="514" spans="2:20" s="1" customFormat="1" ht="12.95" customHeight="1" x14ac:dyDescent="0.15">
      <c r="B514" s="16">
        <v>15</v>
      </c>
      <c r="C514" s="17"/>
      <c r="D514" s="17"/>
      <c r="E514" s="17"/>
      <c r="F514" s="129"/>
      <c r="G514" s="20"/>
      <c r="H514" s="20">
        <v>1</v>
      </c>
      <c r="I514" s="129">
        <f t="shared" si="34"/>
        <v>0</v>
      </c>
      <c r="J514" s="52">
        <f t="shared" si="35"/>
        <v>0</v>
      </c>
      <c r="K514" s="80"/>
      <c r="L514" s="82"/>
      <c r="M514" s="10"/>
      <c r="N514" s="10"/>
      <c r="O514" s="10"/>
      <c r="P514" s="10"/>
      <c r="Q514" s="43"/>
      <c r="R514" s="10"/>
      <c r="T514" s="10"/>
    </row>
    <row r="515" spans="2:20" s="1" customFormat="1" ht="12.95" customHeight="1" x14ac:dyDescent="0.15">
      <c r="B515" s="16">
        <v>16</v>
      </c>
      <c r="C515" s="17"/>
      <c r="D515" s="17"/>
      <c r="E515" s="17"/>
      <c r="F515" s="129"/>
      <c r="G515" s="20"/>
      <c r="H515" s="20">
        <v>1</v>
      </c>
      <c r="I515" s="129">
        <f t="shared" si="34"/>
        <v>0</v>
      </c>
      <c r="J515" s="52">
        <f t="shared" si="35"/>
        <v>0</v>
      </c>
      <c r="K515" s="80"/>
      <c r="L515" s="82"/>
      <c r="M515" s="10"/>
      <c r="N515" s="10"/>
      <c r="O515" s="10"/>
      <c r="P515" s="10"/>
      <c r="Q515" s="43"/>
      <c r="R515" s="10"/>
      <c r="T515" s="10"/>
    </row>
    <row r="516" spans="2:20" s="1" customFormat="1" ht="12.95" customHeight="1" x14ac:dyDescent="0.15">
      <c r="B516" s="16">
        <v>17</v>
      </c>
      <c r="C516" s="17"/>
      <c r="D516" s="17"/>
      <c r="E516" s="17"/>
      <c r="F516" s="129"/>
      <c r="G516" s="20"/>
      <c r="H516" s="20">
        <v>1</v>
      </c>
      <c r="I516" s="129">
        <f t="shared" si="34"/>
        <v>0</v>
      </c>
      <c r="J516" s="52">
        <f t="shared" si="35"/>
        <v>0</v>
      </c>
      <c r="K516" s="80"/>
      <c r="L516" s="82"/>
      <c r="M516" s="10"/>
      <c r="N516" s="10"/>
      <c r="O516" s="10"/>
      <c r="P516" s="10"/>
      <c r="Q516" s="43"/>
      <c r="R516" s="10"/>
      <c r="T516" s="10"/>
    </row>
    <row r="517" spans="2:20" s="1" customFormat="1" ht="12.95" customHeight="1" x14ac:dyDescent="0.15">
      <c r="B517" s="16">
        <v>18</v>
      </c>
      <c r="C517" s="17"/>
      <c r="D517" s="17"/>
      <c r="E517" s="17"/>
      <c r="F517" s="129"/>
      <c r="G517" s="20"/>
      <c r="H517" s="20">
        <v>1</v>
      </c>
      <c r="I517" s="129">
        <f t="shared" si="34"/>
        <v>0</v>
      </c>
      <c r="J517" s="265">
        <f t="shared" si="35"/>
        <v>0</v>
      </c>
      <c r="K517" s="111"/>
      <c r="L517" s="119"/>
      <c r="M517" s="10"/>
      <c r="N517" s="10"/>
      <c r="O517" s="10"/>
      <c r="P517" s="10"/>
      <c r="Q517" s="43"/>
      <c r="R517" s="10"/>
      <c r="T517" s="10"/>
    </row>
    <row r="518" spans="2:20" s="1" customFormat="1" ht="12.95" customHeight="1" x14ac:dyDescent="0.15">
      <c r="B518" s="16">
        <v>19</v>
      </c>
      <c r="C518" s="17"/>
      <c r="D518" s="17"/>
      <c r="E518" s="17"/>
      <c r="F518" s="129"/>
      <c r="G518" s="20"/>
      <c r="H518" s="20">
        <v>1</v>
      </c>
      <c r="I518" s="262">
        <f t="shared" si="34"/>
        <v>0</v>
      </c>
      <c r="J518" s="266">
        <f t="shared" si="35"/>
        <v>0</v>
      </c>
      <c r="K518" s="82"/>
      <c r="L518" s="82"/>
      <c r="M518" s="10"/>
      <c r="N518" s="10"/>
      <c r="O518" s="10"/>
      <c r="P518" s="10"/>
      <c r="Q518" s="43"/>
      <c r="R518" s="10"/>
      <c r="T518" s="10"/>
    </row>
    <row r="519" spans="2:20" s="1" customFormat="1" ht="12.95" customHeight="1" x14ac:dyDescent="0.15">
      <c r="B519" s="16">
        <v>20</v>
      </c>
      <c r="C519" s="17"/>
      <c r="D519" s="17"/>
      <c r="E519" s="17"/>
      <c r="F519" s="129"/>
      <c r="G519" s="20"/>
      <c r="H519" s="20">
        <v>1</v>
      </c>
      <c r="I519" s="262">
        <f t="shared" si="34"/>
        <v>0</v>
      </c>
      <c r="J519" s="266">
        <f t="shared" si="35"/>
        <v>0</v>
      </c>
      <c r="K519" s="82"/>
      <c r="L519" s="82"/>
      <c r="M519" s="10"/>
      <c r="N519" s="10"/>
      <c r="O519" s="10"/>
      <c r="P519" s="10"/>
      <c r="Q519" s="43"/>
      <c r="R519" s="10"/>
      <c r="T519" s="10"/>
    </row>
    <row r="520" spans="2:20" s="1" customFormat="1" ht="12.95" customHeight="1" x14ac:dyDescent="0.15">
      <c r="B520" s="83"/>
      <c r="C520" s="160"/>
      <c r="D520" s="160"/>
      <c r="E520" s="160"/>
      <c r="F520" s="132"/>
      <c r="G520" s="76"/>
      <c r="H520" s="76"/>
      <c r="I520" s="263"/>
      <c r="J520" s="184"/>
      <c r="K520" s="82"/>
      <c r="L520" s="82"/>
      <c r="M520" s="10"/>
      <c r="N520" s="10"/>
      <c r="O520" s="10"/>
      <c r="P520" s="10"/>
      <c r="Q520" s="43"/>
      <c r="R520" s="10"/>
      <c r="T520" s="10"/>
    </row>
    <row r="521" spans="2:20" s="1" customFormat="1" ht="12.75" x14ac:dyDescent="0.15">
      <c r="B521" s="82"/>
      <c r="C521" s="102"/>
      <c r="D521" s="103"/>
      <c r="E521" s="102"/>
      <c r="F521" s="128">
        <f>SUM(F461:F520)</f>
        <v>0</v>
      </c>
      <c r="G521" s="104"/>
      <c r="H521" s="105"/>
      <c r="I521" s="256">
        <f>SUM(I463:I520)</f>
        <v>0</v>
      </c>
      <c r="J521" s="257">
        <f>SUM(J461:J520)</f>
        <v>0</v>
      </c>
    </row>
    <row r="522" spans="2:20" s="67" customFormat="1" ht="12.75" x14ac:dyDescent="0.15">
      <c r="B522" s="116"/>
      <c r="C522" s="114"/>
      <c r="D522" s="114"/>
      <c r="E522" s="114" t="s">
        <v>147</v>
      </c>
      <c r="F522" s="162">
        <f>100/115*F521</f>
        <v>0</v>
      </c>
      <c r="G522" s="114"/>
      <c r="H522" s="114" t="s">
        <v>147</v>
      </c>
      <c r="I522" s="264">
        <f>100/115*I521</f>
        <v>0</v>
      </c>
      <c r="J522" s="114"/>
    </row>
    <row r="523" spans="2:20" s="1" customFormat="1" ht="13.5" customHeight="1" x14ac:dyDescent="0.15"/>
    <row r="524" spans="2:20" s="1" customFormat="1" ht="16.899999999999999" customHeight="1" x14ac:dyDescent="0.15"/>
    <row r="525" spans="2:20" s="1" customFormat="1" ht="13.5" customHeight="1" x14ac:dyDescent="0.15"/>
    <row r="526" spans="2:20" s="1" customFormat="1" ht="13.5" customHeight="1" x14ac:dyDescent="0.15"/>
    <row r="527" spans="2:20" s="247" customFormat="1" ht="32.25" x14ac:dyDescent="0.4">
      <c r="B527" s="248"/>
      <c r="C527" s="380" t="s">
        <v>112</v>
      </c>
      <c r="D527" s="380"/>
      <c r="E527" s="428" t="s">
        <v>162</v>
      </c>
      <c r="F527" s="428"/>
      <c r="G527" s="428"/>
      <c r="H527" s="428"/>
      <c r="I527" s="428"/>
      <c r="J527" s="382">
        <v>2026</v>
      </c>
      <c r="K527" s="382"/>
      <c r="L527" s="382"/>
    </row>
    <row r="528" spans="2:20" s="1" customFormat="1" ht="42" customHeight="1" x14ac:dyDescent="0.15">
      <c r="B528" s="82"/>
      <c r="C528" s="102" t="s">
        <v>114</v>
      </c>
      <c r="D528" s="388" t="s">
        <v>115</v>
      </c>
      <c r="E528" s="388"/>
      <c r="F528" s="102" t="s">
        <v>116</v>
      </c>
      <c r="G528" s="102" t="s">
        <v>117</v>
      </c>
      <c r="H528" s="102" t="s">
        <v>118</v>
      </c>
      <c r="I528" s="102" t="s">
        <v>119</v>
      </c>
      <c r="J528" s="102" t="s">
        <v>120</v>
      </c>
      <c r="K528" s="82"/>
      <c r="L528" s="82"/>
    </row>
    <row r="529" spans="2:13" s="1" customFormat="1" ht="12.95" customHeight="1" x14ac:dyDescent="0.15">
      <c r="B529" s="84"/>
      <c r="C529" s="149">
        <f>C459</f>
        <v>450</v>
      </c>
      <c r="D529" s="412">
        <v>21</v>
      </c>
      <c r="E529" s="412"/>
      <c r="F529" s="146">
        <f>F459</f>
        <v>0.8</v>
      </c>
      <c r="G529" s="147">
        <f>G459</f>
        <v>8</v>
      </c>
      <c r="H529" s="148">
        <f>D529*G529*F529</f>
        <v>134.4</v>
      </c>
      <c r="I529" s="149">
        <f>I591</f>
        <v>0</v>
      </c>
      <c r="J529" s="150">
        <f>H529-J591</f>
        <v>134.4</v>
      </c>
      <c r="K529" s="79"/>
      <c r="L529" s="120"/>
    </row>
    <row r="530" spans="2:13" s="1" customFormat="1" ht="33.75" x14ac:dyDescent="0.15">
      <c r="B530" s="16"/>
      <c r="C530" s="22" t="s">
        <v>121</v>
      </c>
      <c r="D530" s="413" t="s">
        <v>122</v>
      </c>
      <c r="E530" s="413"/>
      <c r="F530" s="33" t="s">
        <v>123</v>
      </c>
      <c r="G530" s="34" t="s">
        <v>124</v>
      </c>
      <c r="H530" s="35" t="s">
        <v>125</v>
      </c>
      <c r="I530" s="125" t="s">
        <v>126</v>
      </c>
      <c r="J530" s="34" t="s">
        <v>127</v>
      </c>
      <c r="K530" s="107" t="s">
        <v>128</v>
      </c>
      <c r="L530" s="123" t="s">
        <v>129</v>
      </c>
    </row>
    <row r="531" spans="2:13" s="1" customFormat="1" ht="12.75" x14ac:dyDescent="0.15">
      <c r="B531" s="16"/>
      <c r="C531" s="22"/>
      <c r="D531" s="32"/>
      <c r="E531" s="32"/>
      <c r="F531" s="33"/>
      <c r="G531" s="34"/>
      <c r="H531" s="35"/>
      <c r="I531" s="125"/>
      <c r="J531" s="34"/>
      <c r="K531" s="110"/>
      <c r="L531" s="117"/>
    </row>
    <row r="532" spans="2:13" s="1" customFormat="1" ht="12.75" x14ac:dyDescent="0.15">
      <c r="B532" s="16"/>
      <c r="C532" s="22" t="s">
        <v>130</v>
      </c>
      <c r="D532" s="32"/>
      <c r="E532" s="32"/>
      <c r="F532" s="151"/>
      <c r="G532" s="34"/>
      <c r="H532" s="35"/>
      <c r="I532" s="125"/>
      <c r="J532" s="34"/>
      <c r="K532" s="110"/>
      <c r="L532" s="117"/>
    </row>
    <row r="533" spans="2:13" s="1" customFormat="1" ht="12.75" customHeight="1" x14ac:dyDescent="0.15">
      <c r="B533" s="16"/>
      <c r="C533" s="37" t="s">
        <v>149</v>
      </c>
      <c r="D533" s="24"/>
      <c r="E533" s="24"/>
      <c r="F533" s="129"/>
      <c r="G533" s="20"/>
      <c r="H533" s="20"/>
      <c r="I533" s="126"/>
      <c r="J533" s="38"/>
      <c r="K533" s="80"/>
      <c r="L533" s="82"/>
    </row>
    <row r="534" spans="2:13" s="4" customFormat="1" ht="12.75" customHeight="1" x14ac:dyDescent="0.15">
      <c r="B534" s="26">
        <v>1</v>
      </c>
      <c r="C534" s="17"/>
      <c r="D534" s="24"/>
      <c r="E534" s="24"/>
      <c r="F534" s="129"/>
      <c r="G534" s="20"/>
      <c r="H534" s="20">
        <v>1</v>
      </c>
      <c r="I534" s="129">
        <f t="shared" ref="I534:I551" si="36">J534*$C$32</f>
        <v>0</v>
      </c>
      <c r="J534" s="52">
        <f t="shared" ref="J534:J547" si="37">(F534*G534*H534)/$C$32</f>
        <v>0</v>
      </c>
      <c r="K534" s="108"/>
      <c r="L534" s="113"/>
    </row>
    <row r="535" spans="2:13" s="4" customFormat="1" ht="12.75" customHeight="1" x14ac:dyDescent="0.15">
      <c r="B535" s="26">
        <v>2</v>
      </c>
      <c r="C535" s="17"/>
      <c r="D535" s="24"/>
      <c r="E535" s="24"/>
      <c r="F535" s="129"/>
      <c r="G535" s="20"/>
      <c r="H535" s="20">
        <v>1</v>
      </c>
      <c r="I535" s="129">
        <f t="shared" si="36"/>
        <v>0</v>
      </c>
      <c r="J535" s="52">
        <f t="shared" si="37"/>
        <v>0</v>
      </c>
      <c r="K535" s="108"/>
      <c r="L535" s="113"/>
      <c r="M535" s="144"/>
    </row>
    <row r="536" spans="2:13" s="4" customFormat="1" ht="12.95" customHeight="1" x14ac:dyDescent="0.15">
      <c r="B536" s="26">
        <v>3</v>
      </c>
      <c r="C536" s="17"/>
      <c r="D536" s="24"/>
      <c r="E536" s="24"/>
      <c r="F536" s="129"/>
      <c r="G536" s="20"/>
      <c r="H536" s="20">
        <v>1</v>
      </c>
      <c r="I536" s="129">
        <f t="shared" si="36"/>
        <v>0</v>
      </c>
      <c r="J536" s="52">
        <f t="shared" si="37"/>
        <v>0</v>
      </c>
      <c r="K536" s="108"/>
      <c r="L536" s="113"/>
      <c r="M536" s="145"/>
    </row>
    <row r="537" spans="2:13" s="4" customFormat="1" ht="12.95" customHeight="1" x14ac:dyDescent="0.15">
      <c r="B537" s="26">
        <v>4</v>
      </c>
      <c r="C537" s="16"/>
      <c r="D537" s="18"/>
      <c r="E537" s="18"/>
      <c r="F537" s="129"/>
      <c r="G537" s="20"/>
      <c r="H537" s="20">
        <v>1</v>
      </c>
      <c r="I537" s="129">
        <f t="shared" si="36"/>
        <v>0</v>
      </c>
      <c r="J537" s="52">
        <f t="shared" si="37"/>
        <v>0</v>
      </c>
      <c r="K537" s="108"/>
      <c r="L537" s="113"/>
    </row>
    <row r="538" spans="2:13" s="4" customFormat="1" ht="12.95" customHeight="1" x14ac:dyDescent="0.15">
      <c r="B538" s="26">
        <v>5</v>
      </c>
      <c r="C538" s="17"/>
      <c r="D538" s="53"/>
      <c r="E538" s="53"/>
      <c r="F538" s="129"/>
      <c r="G538" s="20"/>
      <c r="H538" s="20">
        <v>1</v>
      </c>
      <c r="I538" s="129">
        <f t="shared" si="36"/>
        <v>0</v>
      </c>
      <c r="J538" s="27">
        <f t="shared" si="37"/>
        <v>0</v>
      </c>
      <c r="K538" s="108"/>
      <c r="L538" s="113"/>
    </row>
    <row r="539" spans="2:13" s="4" customFormat="1" ht="12.95" customHeight="1" x14ac:dyDescent="0.15">
      <c r="B539" s="26">
        <v>6</v>
      </c>
      <c r="C539" s="17"/>
      <c r="D539" s="24"/>
      <c r="E539" s="24"/>
      <c r="F539" s="129"/>
      <c r="G539" s="20"/>
      <c r="H539" s="20">
        <v>1</v>
      </c>
      <c r="I539" s="129">
        <f t="shared" si="36"/>
        <v>0</v>
      </c>
      <c r="J539" s="52">
        <f t="shared" si="37"/>
        <v>0</v>
      </c>
      <c r="K539" s="108"/>
      <c r="L539" s="113"/>
    </row>
    <row r="540" spans="2:13" s="4" customFormat="1" ht="12.95" customHeight="1" x14ac:dyDescent="0.15">
      <c r="B540" s="26">
        <v>7</v>
      </c>
      <c r="C540" s="17"/>
      <c r="D540" s="22"/>
      <c r="E540" s="22"/>
      <c r="F540" s="129"/>
      <c r="G540" s="20"/>
      <c r="H540" s="20">
        <v>1</v>
      </c>
      <c r="I540" s="129">
        <f t="shared" si="36"/>
        <v>0</v>
      </c>
      <c r="J540" s="27">
        <f t="shared" si="37"/>
        <v>0</v>
      </c>
      <c r="K540" s="108"/>
      <c r="L540" s="113"/>
    </row>
    <row r="541" spans="2:13" s="4" customFormat="1" ht="12.95" customHeight="1" x14ac:dyDescent="0.15">
      <c r="B541" s="26">
        <v>8</v>
      </c>
      <c r="C541" s="17"/>
      <c r="D541" s="18"/>
      <c r="E541" s="24"/>
      <c r="F541" s="129"/>
      <c r="G541" s="20"/>
      <c r="H541" s="20">
        <v>1</v>
      </c>
      <c r="I541" s="129">
        <f t="shared" si="36"/>
        <v>0</v>
      </c>
      <c r="J541" s="52">
        <f t="shared" si="37"/>
        <v>0</v>
      </c>
      <c r="K541" s="108"/>
      <c r="L541" s="113"/>
    </row>
    <row r="542" spans="2:13" s="4" customFormat="1" ht="12.95" customHeight="1" x14ac:dyDescent="0.15">
      <c r="B542" s="26">
        <v>9</v>
      </c>
      <c r="C542" s="17"/>
      <c r="D542" s="18"/>
      <c r="E542" s="24"/>
      <c r="F542" s="129"/>
      <c r="G542" s="20"/>
      <c r="H542" s="20">
        <v>1</v>
      </c>
      <c r="I542" s="129">
        <f t="shared" si="36"/>
        <v>0</v>
      </c>
      <c r="J542" s="52">
        <f t="shared" si="37"/>
        <v>0</v>
      </c>
      <c r="K542" s="108"/>
      <c r="L542" s="113"/>
    </row>
    <row r="543" spans="2:13" s="4" customFormat="1" ht="12.95" customHeight="1" x14ac:dyDescent="0.15">
      <c r="B543" s="26">
        <v>10</v>
      </c>
      <c r="C543" s="17"/>
      <c r="D543" s="24"/>
      <c r="E543" s="18"/>
      <c r="F543" s="129"/>
      <c r="G543" s="20"/>
      <c r="H543" s="20">
        <v>1</v>
      </c>
      <c r="I543" s="129">
        <f t="shared" si="36"/>
        <v>0</v>
      </c>
      <c r="J543" s="52">
        <f t="shared" si="37"/>
        <v>0</v>
      </c>
      <c r="K543" s="108"/>
      <c r="L543" s="113"/>
    </row>
    <row r="544" spans="2:13" s="4" customFormat="1" ht="12.95" customHeight="1" x14ac:dyDescent="0.15">
      <c r="B544" s="26"/>
      <c r="C544" s="17"/>
      <c r="D544" s="24"/>
      <c r="E544" s="18"/>
      <c r="F544" s="129"/>
      <c r="G544" s="20"/>
      <c r="H544" s="20"/>
      <c r="I544" s="129"/>
      <c r="J544" s="52"/>
      <c r="K544" s="108"/>
      <c r="L544" s="113"/>
    </row>
    <row r="545" spans="2:12" s="4" customFormat="1" ht="12.95" customHeight="1" x14ac:dyDescent="0.15">
      <c r="B545" s="26"/>
      <c r="C545" s="17"/>
      <c r="D545" s="24"/>
      <c r="E545" s="18"/>
      <c r="F545" s="129"/>
      <c r="G545" s="20"/>
      <c r="H545" s="20"/>
      <c r="I545" s="129"/>
      <c r="J545" s="52"/>
      <c r="K545" s="108"/>
      <c r="L545" s="113"/>
    </row>
    <row r="546" spans="2:12" s="4" customFormat="1" ht="12.95" customHeight="1" x14ac:dyDescent="0.15">
      <c r="B546" s="26"/>
      <c r="C546" s="22" t="s">
        <v>153</v>
      </c>
      <c r="D546" s="24"/>
      <c r="E546" s="18"/>
      <c r="F546" s="129"/>
      <c r="G546" s="20"/>
      <c r="H546" s="20"/>
      <c r="I546" s="129"/>
      <c r="J546" s="52"/>
      <c r="K546" s="108"/>
      <c r="L546" s="113"/>
    </row>
    <row r="547" spans="2:12" s="4" customFormat="1" ht="12.95" customHeight="1" x14ac:dyDescent="0.15">
      <c r="B547" s="26">
        <v>1</v>
      </c>
      <c r="C547" s="17"/>
      <c r="D547" s="24"/>
      <c r="E547" s="24"/>
      <c r="F547" s="129"/>
      <c r="G547" s="20"/>
      <c r="H547" s="20">
        <v>1</v>
      </c>
      <c r="I547" s="129">
        <f t="shared" si="36"/>
        <v>0</v>
      </c>
      <c r="J547" s="52">
        <f t="shared" si="37"/>
        <v>0</v>
      </c>
      <c r="K547" s="108"/>
      <c r="L547" s="113"/>
    </row>
    <row r="548" spans="2:12" s="4" customFormat="1" ht="12.95" customHeight="1" x14ac:dyDescent="0.15">
      <c r="B548" s="26">
        <v>2</v>
      </c>
      <c r="C548" s="17"/>
      <c r="D548" s="24"/>
      <c r="E548" s="24"/>
      <c r="F548" s="129"/>
      <c r="G548" s="20"/>
      <c r="H548" s="20">
        <v>1</v>
      </c>
      <c r="I548" s="129">
        <f t="shared" si="36"/>
        <v>0</v>
      </c>
      <c r="J548" s="52">
        <f>(F548*G548*H548)/$C$32</f>
        <v>0</v>
      </c>
      <c r="K548" s="108"/>
      <c r="L548" s="113"/>
    </row>
    <row r="549" spans="2:12" s="4" customFormat="1" ht="12.95" customHeight="1" x14ac:dyDescent="0.15">
      <c r="B549" s="26">
        <v>3</v>
      </c>
      <c r="C549" s="24"/>
      <c r="D549" s="24"/>
      <c r="E549" s="24"/>
      <c r="F549" s="129"/>
      <c r="G549" s="20"/>
      <c r="H549" s="20">
        <v>1</v>
      </c>
      <c r="I549" s="129">
        <f t="shared" si="36"/>
        <v>0</v>
      </c>
      <c r="J549" s="52">
        <f>(F549*G549*H549)/$C$32</f>
        <v>0</v>
      </c>
      <c r="K549" s="108"/>
      <c r="L549" s="113"/>
    </row>
    <row r="550" spans="2:12" s="4" customFormat="1" ht="12.95" customHeight="1" x14ac:dyDescent="0.15">
      <c r="B550" s="26">
        <v>4</v>
      </c>
      <c r="C550" s="24"/>
      <c r="D550" s="18"/>
      <c r="E550" s="18"/>
      <c r="F550" s="129"/>
      <c r="G550" s="20"/>
      <c r="H550" s="20">
        <v>1</v>
      </c>
      <c r="I550" s="129">
        <f t="shared" si="36"/>
        <v>0</v>
      </c>
      <c r="J550" s="27">
        <f t="shared" ref="J550:J552" si="38">(F550*G550*H550)/$C$32</f>
        <v>0</v>
      </c>
      <c r="K550" s="108"/>
      <c r="L550" s="113"/>
    </row>
    <row r="551" spans="2:12" s="4" customFormat="1" ht="14.85" customHeight="1" x14ac:dyDescent="0.15">
      <c r="B551" s="26">
        <v>5</v>
      </c>
      <c r="C551" s="24"/>
      <c r="D551" s="24"/>
      <c r="E551" s="24"/>
      <c r="F551" s="129"/>
      <c r="G551" s="20"/>
      <c r="H551" s="20">
        <v>1</v>
      </c>
      <c r="I551" s="129">
        <f t="shared" si="36"/>
        <v>0</v>
      </c>
      <c r="J551" s="52">
        <f t="shared" si="38"/>
        <v>0</v>
      </c>
      <c r="K551" s="108"/>
      <c r="L551" s="113"/>
    </row>
    <row r="552" spans="2:12" s="4" customFormat="1" ht="12.95" customHeight="1" x14ac:dyDescent="0.15">
      <c r="B552" s="26">
        <v>6</v>
      </c>
      <c r="C552" s="17"/>
      <c r="D552" s="18"/>
      <c r="E552" s="18"/>
      <c r="F552" s="129"/>
      <c r="G552" s="20"/>
      <c r="H552" s="20">
        <v>1</v>
      </c>
      <c r="I552" s="129">
        <f>J552*$C$32</f>
        <v>0</v>
      </c>
      <c r="J552" s="27">
        <f t="shared" si="38"/>
        <v>0</v>
      </c>
      <c r="K552" s="108"/>
      <c r="L552" s="113"/>
    </row>
    <row r="553" spans="2:12" s="4" customFormat="1" ht="12.95" customHeight="1" x14ac:dyDescent="0.15">
      <c r="B553" s="26">
        <v>7</v>
      </c>
      <c r="C553" s="17"/>
      <c r="D553" s="24"/>
      <c r="E553" s="24"/>
      <c r="F553" s="129"/>
      <c r="G553" s="20"/>
      <c r="H553" s="20">
        <v>1</v>
      </c>
      <c r="I553" s="129">
        <f t="shared" ref="I553" si="39">J553*$C$32</f>
        <v>0</v>
      </c>
      <c r="J553" s="54">
        <f>(F553*G553*H553)/$C$32</f>
        <v>0</v>
      </c>
      <c r="K553" s="108"/>
      <c r="L553" s="113"/>
    </row>
    <row r="554" spans="2:12" s="4" customFormat="1" ht="12.95" customHeight="1" x14ac:dyDescent="0.15">
      <c r="B554" s="26">
        <v>8</v>
      </c>
      <c r="C554" s="17"/>
      <c r="D554" s="24"/>
      <c r="E554" s="24"/>
      <c r="F554" s="129"/>
      <c r="G554" s="20"/>
      <c r="H554" s="20">
        <v>1</v>
      </c>
      <c r="I554" s="129">
        <f>J554*$C$32</f>
        <v>0</v>
      </c>
      <c r="J554" s="54">
        <f>(F554*G554*H554)/$C$32</f>
        <v>0</v>
      </c>
      <c r="K554" s="108"/>
      <c r="L554" s="113"/>
    </row>
    <row r="555" spans="2:12" s="4" customFormat="1" ht="12.95" customHeight="1" x14ac:dyDescent="0.15">
      <c r="B555" s="26">
        <v>9</v>
      </c>
      <c r="C555" s="17"/>
      <c r="D555" s="24"/>
      <c r="E555" s="24"/>
      <c r="F555" s="129"/>
      <c r="G555" s="20"/>
      <c r="H555" s="20">
        <v>1</v>
      </c>
      <c r="I555" s="129">
        <f t="shared" ref="I555:I566" si="40">J555*$C$32</f>
        <v>0</v>
      </c>
      <c r="J555" s="52">
        <f t="shared" ref="J555:J566" si="41">(F555*G555*H555)/$C$32</f>
        <v>0</v>
      </c>
      <c r="K555" s="108"/>
      <c r="L555" s="113"/>
    </row>
    <row r="556" spans="2:12" s="4" customFormat="1" ht="12.95" customHeight="1" x14ac:dyDescent="0.15">
      <c r="B556" s="26">
        <v>10</v>
      </c>
      <c r="C556" s="17"/>
      <c r="D556" s="24"/>
      <c r="E556" s="24"/>
      <c r="F556" s="129"/>
      <c r="G556" s="20"/>
      <c r="H556" s="20">
        <v>1</v>
      </c>
      <c r="I556" s="129">
        <f t="shared" si="40"/>
        <v>0</v>
      </c>
      <c r="J556" s="52">
        <f t="shared" si="41"/>
        <v>0</v>
      </c>
      <c r="K556" s="108"/>
      <c r="L556" s="113"/>
    </row>
    <row r="557" spans="2:12" s="4" customFormat="1" ht="12.95" customHeight="1" x14ac:dyDescent="0.15">
      <c r="B557" s="26">
        <v>11</v>
      </c>
      <c r="C557" s="17"/>
      <c r="D557" s="24"/>
      <c r="E557" s="24"/>
      <c r="F557" s="129"/>
      <c r="G557" s="20"/>
      <c r="H557" s="20">
        <v>1</v>
      </c>
      <c r="I557" s="129">
        <f t="shared" si="40"/>
        <v>0</v>
      </c>
      <c r="J557" s="52">
        <f t="shared" si="41"/>
        <v>0</v>
      </c>
      <c r="K557" s="108"/>
      <c r="L557" s="113"/>
    </row>
    <row r="558" spans="2:12" s="4" customFormat="1" ht="12.95" customHeight="1" x14ac:dyDescent="0.15">
      <c r="B558" s="26">
        <v>12</v>
      </c>
      <c r="C558" s="17"/>
      <c r="D558" s="24"/>
      <c r="E558" s="24"/>
      <c r="F558" s="129"/>
      <c r="G558" s="20"/>
      <c r="H558" s="20">
        <v>1</v>
      </c>
      <c r="I558" s="129">
        <f t="shared" si="40"/>
        <v>0</v>
      </c>
      <c r="J558" s="52">
        <f t="shared" si="41"/>
        <v>0</v>
      </c>
      <c r="K558" s="108"/>
      <c r="L558" s="113"/>
    </row>
    <row r="559" spans="2:12" s="4" customFormat="1" ht="12.95" customHeight="1" x14ac:dyDescent="0.15">
      <c r="B559" s="26">
        <v>13</v>
      </c>
      <c r="C559" s="17"/>
      <c r="D559" s="18"/>
      <c r="E559" s="18"/>
      <c r="F559" s="129"/>
      <c r="G559" s="20"/>
      <c r="H559" s="20">
        <v>1</v>
      </c>
      <c r="I559" s="129">
        <f t="shared" si="40"/>
        <v>0</v>
      </c>
      <c r="J559" s="52">
        <f t="shared" si="41"/>
        <v>0</v>
      </c>
      <c r="K559" s="108"/>
      <c r="L559" s="113"/>
    </row>
    <row r="560" spans="2:12" s="4" customFormat="1" ht="12.95" customHeight="1" x14ac:dyDescent="0.15">
      <c r="B560" s="26">
        <v>14</v>
      </c>
      <c r="C560" s="17"/>
      <c r="D560" s="18"/>
      <c r="E560" s="18"/>
      <c r="F560" s="129"/>
      <c r="G560" s="20"/>
      <c r="H560" s="20">
        <v>1</v>
      </c>
      <c r="I560" s="129">
        <f t="shared" si="40"/>
        <v>0</v>
      </c>
      <c r="J560" s="52">
        <f t="shared" si="41"/>
        <v>0</v>
      </c>
      <c r="K560" s="108"/>
      <c r="L560" s="113"/>
    </row>
    <row r="561" spans="2:20" s="4" customFormat="1" ht="12.95" customHeight="1" x14ac:dyDescent="0.15">
      <c r="B561" s="26">
        <v>15</v>
      </c>
      <c r="C561" s="17"/>
      <c r="D561" s="18"/>
      <c r="E561" s="18"/>
      <c r="F561" s="129"/>
      <c r="G561" s="20"/>
      <c r="H561" s="20">
        <v>1</v>
      </c>
      <c r="I561" s="129">
        <f t="shared" si="40"/>
        <v>0</v>
      </c>
      <c r="J561" s="52">
        <f t="shared" si="41"/>
        <v>0</v>
      </c>
      <c r="K561" s="108"/>
      <c r="L561" s="113"/>
    </row>
    <row r="562" spans="2:20" s="4" customFormat="1" ht="12.95" customHeight="1" x14ac:dyDescent="0.15">
      <c r="B562" s="26">
        <v>16</v>
      </c>
      <c r="C562" s="11"/>
      <c r="D562" s="18"/>
      <c r="E562" s="18"/>
      <c r="F562" s="129"/>
      <c r="G562" s="20"/>
      <c r="H562" s="20">
        <v>1</v>
      </c>
      <c r="I562" s="126">
        <f t="shared" si="40"/>
        <v>0</v>
      </c>
      <c r="J562" s="21">
        <f t="shared" si="41"/>
        <v>0</v>
      </c>
      <c r="K562" s="108"/>
      <c r="L562" s="113"/>
    </row>
    <row r="563" spans="2:20" s="4" customFormat="1" ht="12.95" customHeight="1" x14ac:dyDescent="0.15">
      <c r="B563" s="26">
        <v>17</v>
      </c>
      <c r="C563" s="23"/>
      <c r="D563" s="48"/>
      <c r="E563" s="48"/>
      <c r="F563" s="126"/>
      <c r="G563" s="50"/>
      <c r="H563" s="20">
        <v>1</v>
      </c>
      <c r="I563" s="126">
        <f t="shared" si="40"/>
        <v>0</v>
      </c>
      <c r="J563" s="21">
        <f t="shared" si="41"/>
        <v>0</v>
      </c>
      <c r="K563" s="108"/>
      <c r="L563" s="113"/>
    </row>
    <row r="564" spans="2:20" s="4" customFormat="1" ht="12.95" customHeight="1" x14ac:dyDescent="0.15">
      <c r="B564" s="26">
        <v>18</v>
      </c>
      <c r="C564" s="23"/>
      <c r="D564" s="48"/>
      <c r="E564" s="48"/>
      <c r="F564" s="126"/>
      <c r="G564" s="50"/>
      <c r="H564" s="20">
        <v>1</v>
      </c>
      <c r="I564" s="126">
        <f t="shared" si="40"/>
        <v>0</v>
      </c>
      <c r="J564" s="21">
        <f t="shared" si="41"/>
        <v>0</v>
      </c>
      <c r="K564" s="108"/>
      <c r="L564" s="113"/>
    </row>
    <row r="565" spans="2:20" s="4" customFormat="1" ht="12.95" customHeight="1" x14ac:dyDescent="0.15">
      <c r="B565" s="26">
        <v>19</v>
      </c>
      <c r="C565" s="23"/>
      <c r="D565" s="48"/>
      <c r="E565" s="48"/>
      <c r="F565" s="126"/>
      <c r="G565" s="50"/>
      <c r="H565" s="20">
        <v>1</v>
      </c>
      <c r="I565" s="126">
        <f t="shared" si="40"/>
        <v>0</v>
      </c>
      <c r="J565" s="21">
        <f t="shared" si="41"/>
        <v>0</v>
      </c>
      <c r="K565" s="108"/>
      <c r="L565" s="113"/>
    </row>
    <row r="566" spans="2:20" s="4" customFormat="1" ht="12.95" customHeight="1" x14ac:dyDescent="0.15">
      <c r="B566" s="26">
        <v>20</v>
      </c>
      <c r="C566" s="23"/>
      <c r="D566" s="48"/>
      <c r="E566" s="48"/>
      <c r="F566" s="126"/>
      <c r="G566" s="50"/>
      <c r="H566" s="20">
        <v>1</v>
      </c>
      <c r="I566" s="126">
        <f t="shared" si="40"/>
        <v>0</v>
      </c>
      <c r="J566" s="21">
        <f t="shared" si="41"/>
        <v>0</v>
      </c>
      <c r="K566" s="108"/>
      <c r="L566" s="113"/>
    </row>
    <row r="567" spans="2:20" s="4" customFormat="1" ht="12.95" customHeight="1" x14ac:dyDescent="0.15">
      <c r="B567" s="26"/>
      <c r="C567" s="23"/>
      <c r="D567" s="48"/>
      <c r="E567" s="48"/>
      <c r="F567" s="126"/>
      <c r="G567" s="50"/>
      <c r="H567" s="50"/>
      <c r="I567" s="126"/>
      <c r="J567" s="38"/>
      <c r="K567" s="108"/>
      <c r="L567" s="113"/>
    </row>
    <row r="568" spans="2:20" s="4" customFormat="1" ht="12.95" customHeight="1" x14ac:dyDescent="0.15">
      <c r="B568" s="26"/>
      <c r="C568" s="23"/>
      <c r="D568" s="48"/>
      <c r="E568" s="48"/>
      <c r="F568" s="126"/>
      <c r="G568" s="50"/>
      <c r="H568" s="50"/>
      <c r="I568" s="126"/>
      <c r="J568" s="38"/>
      <c r="K568" s="108"/>
      <c r="L568" s="113"/>
    </row>
    <row r="569" spans="2:20" s="4" customFormat="1" ht="12.95" customHeight="1" x14ac:dyDescent="0.15">
      <c r="B569" s="26"/>
      <c r="C569" s="72" t="s">
        <v>132</v>
      </c>
      <c r="D569" s="48"/>
      <c r="E569" s="48"/>
      <c r="F569" s="126"/>
      <c r="G569" s="50"/>
      <c r="H569" s="50"/>
      <c r="I569" s="126"/>
      <c r="J569" s="38"/>
      <c r="K569" s="108"/>
      <c r="L569" s="113"/>
    </row>
    <row r="570" spans="2:20" s="4" customFormat="1" ht="12.95" customHeight="1" x14ac:dyDescent="0.15">
      <c r="B570" s="26">
        <v>1</v>
      </c>
      <c r="C570" s="59"/>
      <c r="D570" s="49"/>
      <c r="E570" s="49"/>
      <c r="F570" s="126"/>
      <c r="G570" s="50"/>
      <c r="H570" s="50">
        <v>1</v>
      </c>
      <c r="I570" s="126">
        <f t="shared" ref="I570" si="42">J570*$C$32</f>
        <v>0</v>
      </c>
      <c r="J570" s="21">
        <f t="shared" ref="J570:J589" si="43">(F570*G570*H570)/$C$32</f>
        <v>0</v>
      </c>
      <c r="K570" s="108"/>
      <c r="L570" s="113"/>
      <c r="M570" s="57"/>
      <c r="N570" s="57"/>
      <c r="O570" s="57"/>
      <c r="P570" s="57"/>
      <c r="Q570" s="58"/>
      <c r="R570" s="57"/>
      <c r="T570" s="57"/>
    </row>
    <row r="571" spans="2:20" s="4" customFormat="1" ht="12.95" customHeight="1" x14ac:dyDescent="0.15">
      <c r="B571" s="26">
        <v>2</v>
      </c>
      <c r="C571" s="60"/>
      <c r="D571" s="49"/>
      <c r="E571" s="49"/>
      <c r="F571" s="126"/>
      <c r="G571" s="50"/>
      <c r="H571" s="50">
        <v>1</v>
      </c>
      <c r="I571" s="126">
        <f>J571*$C$32</f>
        <v>0</v>
      </c>
      <c r="J571" s="21">
        <f t="shared" si="43"/>
        <v>0</v>
      </c>
      <c r="K571" s="108"/>
      <c r="L571" s="113"/>
      <c r="M571" s="57"/>
      <c r="N571" s="57"/>
      <c r="O571" s="57"/>
      <c r="P571" s="57"/>
      <c r="Q571" s="58"/>
      <c r="R571" s="57"/>
      <c r="T571" s="57"/>
    </row>
    <row r="572" spans="2:20" s="4" customFormat="1" ht="12.95" customHeight="1" x14ac:dyDescent="0.15">
      <c r="B572" s="26">
        <v>3</v>
      </c>
      <c r="C572" s="59"/>
      <c r="D572" s="49"/>
      <c r="E572" s="49"/>
      <c r="F572" s="126"/>
      <c r="G572" s="50"/>
      <c r="H572" s="50">
        <v>1</v>
      </c>
      <c r="I572" s="126">
        <f t="shared" ref="I572:I589" si="44">J572*$C$32</f>
        <v>0</v>
      </c>
      <c r="J572" s="21">
        <f t="shared" si="43"/>
        <v>0</v>
      </c>
      <c r="K572" s="108"/>
      <c r="L572" s="113"/>
      <c r="M572" s="57"/>
      <c r="N572" s="57"/>
      <c r="O572" s="57"/>
      <c r="P572" s="57"/>
      <c r="Q572" s="58"/>
      <c r="R572" s="57"/>
      <c r="T572" s="57"/>
    </row>
    <row r="573" spans="2:20" s="4" customFormat="1" ht="12.95" customHeight="1" x14ac:dyDescent="0.15">
      <c r="B573" s="26">
        <v>4</v>
      </c>
      <c r="C573" s="61"/>
      <c r="D573" s="49"/>
      <c r="E573" s="49"/>
      <c r="F573" s="126"/>
      <c r="G573" s="50"/>
      <c r="H573" s="50">
        <v>1</v>
      </c>
      <c r="I573" s="126">
        <f t="shared" si="44"/>
        <v>0</v>
      </c>
      <c r="J573" s="21">
        <f t="shared" si="43"/>
        <v>0</v>
      </c>
      <c r="K573" s="108"/>
      <c r="L573" s="113"/>
      <c r="M573" s="57"/>
      <c r="N573" s="57"/>
      <c r="O573" s="57"/>
      <c r="P573" s="57"/>
      <c r="Q573" s="58"/>
      <c r="R573" s="57"/>
      <c r="T573" s="57"/>
    </row>
    <row r="574" spans="2:20" s="1" customFormat="1" ht="12.95" customHeight="1" x14ac:dyDescent="0.15">
      <c r="B574" s="16">
        <v>5</v>
      </c>
      <c r="C574" s="11"/>
      <c r="D574" s="18"/>
      <c r="E574" s="18"/>
      <c r="F574" s="129"/>
      <c r="G574" s="20"/>
      <c r="H574" s="20">
        <v>1</v>
      </c>
      <c r="I574" s="126">
        <f t="shared" si="44"/>
        <v>0</v>
      </c>
      <c r="J574" s="21">
        <f t="shared" si="43"/>
        <v>0</v>
      </c>
      <c r="K574" s="80"/>
      <c r="L574" s="82"/>
      <c r="M574" s="10"/>
      <c r="N574" s="10"/>
      <c r="O574" s="10"/>
      <c r="P574" s="10"/>
      <c r="Q574" s="43"/>
      <c r="R574" s="10"/>
      <c r="T574" s="10"/>
    </row>
    <row r="575" spans="2:20" s="1" customFormat="1" ht="12.95" customHeight="1" x14ac:dyDescent="0.15">
      <c r="B575" s="16">
        <v>6</v>
      </c>
      <c r="C575" s="46"/>
      <c r="D575" s="18"/>
      <c r="E575" s="18"/>
      <c r="F575" s="129"/>
      <c r="G575" s="20"/>
      <c r="H575" s="20">
        <v>1</v>
      </c>
      <c r="I575" s="126">
        <f t="shared" si="44"/>
        <v>0</v>
      </c>
      <c r="J575" s="21">
        <f t="shared" si="43"/>
        <v>0</v>
      </c>
      <c r="K575" s="80"/>
      <c r="L575" s="82"/>
      <c r="M575" s="10"/>
      <c r="N575" s="10"/>
      <c r="O575" s="10"/>
      <c r="P575" s="10"/>
      <c r="Q575" s="43"/>
      <c r="R575" s="10"/>
      <c r="T575" s="10"/>
    </row>
    <row r="576" spans="2:20" s="1" customFormat="1" ht="12.95" customHeight="1" x14ac:dyDescent="0.15">
      <c r="B576" s="16">
        <v>7</v>
      </c>
      <c r="C576" s="11"/>
      <c r="D576" s="18"/>
      <c r="E576" s="18"/>
      <c r="F576" s="129"/>
      <c r="G576" s="20"/>
      <c r="H576" s="20">
        <v>1</v>
      </c>
      <c r="I576" s="126">
        <f t="shared" si="44"/>
        <v>0</v>
      </c>
      <c r="J576" s="21">
        <f t="shared" si="43"/>
        <v>0</v>
      </c>
      <c r="K576" s="80"/>
      <c r="L576" s="82"/>
      <c r="M576" s="10"/>
      <c r="N576" s="10"/>
      <c r="O576" s="10"/>
      <c r="P576" s="10"/>
      <c r="Q576" s="43"/>
      <c r="R576" s="10"/>
      <c r="T576" s="10"/>
    </row>
    <row r="577" spans="2:20" s="1" customFormat="1" ht="12.95" customHeight="1" x14ac:dyDescent="0.15">
      <c r="B577" s="16">
        <v>8</v>
      </c>
      <c r="C577" s="11"/>
      <c r="D577" s="18"/>
      <c r="E577" s="18"/>
      <c r="F577" s="129"/>
      <c r="G577" s="20"/>
      <c r="H577" s="20">
        <v>1</v>
      </c>
      <c r="I577" s="126">
        <f t="shared" si="44"/>
        <v>0</v>
      </c>
      <c r="J577" s="21">
        <f t="shared" si="43"/>
        <v>0</v>
      </c>
      <c r="K577" s="80"/>
      <c r="L577" s="82"/>
      <c r="M577" s="10"/>
      <c r="N577" s="10"/>
      <c r="O577" s="10"/>
      <c r="P577" s="10"/>
      <c r="Q577" s="43"/>
      <c r="R577" s="10"/>
      <c r="T577" s="10"/>
    </row>
    <row r="578" spans="2:20" s="1" customFormat="1" ht="12.95" customHeight="1" x14ac:dyDescent="0.15">
      <c r="B578" s="16">
        <v>9</v>
      </c>
      <c r="C578" s="11"/>
      <c r="D578" s="18"/>
      <c r="E578" s="18"/>
      <c r="F578" s="129"/>
      <c r="G578" s="20"/>
      <c r="H578" s="20">
        <v>1</v>
      </c>
      <c r="I578" s="126">
        <f t="shared" si="44"/>
        <v>0</v>
      </c>
      <c r="J578" s="21">
        <f t="shared" si="43"/>
        <v>0</v>
      </c>
      <c r="K578" s="80"/>
      <c r="L578" s="82"/>
      <c r="M578" s="10"/>
      <c r="N578" s="10"/>
      <c r="O578" s="10"/>
      <c r="P578" s="10"/>
      <c r="Q578" s="43"/>
      <c r="R578" s="10"/>
      <c r="T578" s="10"/>
    </row>
    <row r="579" spans="2:20" s="1" customFormat="1" ht="12.95" customHeight="1" x14ac:dyDescent="0.15">
      <c r="B579" s="16">
        <v>10</v>
      </c>
      <c r="C579" s="11"/>
      <c r="D579" s="18"/>
      <c r="E579" s="18"/>
      <c r="F579" s="129"/>
      <c r="G579" s="20"/>
      <c r="H579" s="20">
        <v>1</v>
      </c>
      <c r="I579" s="126">
        <f t="shared" si="44"/>
        <v>0</v>
      </c>
      <c r="J579" s="21">
        <f t="shared" si="43"/>
        <v>0</v>
      </c>
      <c r="K579" s="80"/>
      <c r="L579" s="82"/>
      <c r="M579" s="10"/>
      <c r="N579" s="10"/>
      <c r="O579" s="10"/>
      <c r="P579" s="10"/>
      <c r="Q579" s="43"/>
      <c r="R579" s="10"/>
      <c r="T579" s="10"/>
    </row>
    <row r="580" spans="2:20" s="1" customFormat="1" ht="12.95" customHeight="1" x14ac:dyDescent="0.15">
      <c r="B580" s="16">
        <v>11</v>
      </c>
      <c r="C580" s="11"/>
      <c r="D580" s="18"/>
      <c r="E580" s="18"/>
      <c r="F580" s="129"/>
      <c r="G580" s="20"/>
      <c r="H580" s="20">
        <v>1</v>
      </c>
      <c r="I580" s="126">
        <f t="shared" si="44"/>
        <v>0</v>
      </c>
      <c r="J580" s="21">
        <f t="shared" si="43"/>
        <v>0</v>
      </c>
      <c r="K580" s="80"/>
      <c r="L580" s="82"/>
      <c r="M580" s="10"/>
      <c r="N580" s="10"/>
      <c r="O580" s="10"/>
      <c r="P580" s="10"/>
      <c r="Q580" s="43"/>
      <c r="R580" s="10"/>
      <c r="T580" s="10"/>
    </row>
    <row r="581" spans="2:20" s="1" customFormat="1" ht="12.95" customHeight="1" x14ac:dyDescent="0.15">
      <c r="B581" s="16">
        <v>12</v>
      </c>
      <c r="C581" s="11"/>
      <c r="D581" s="18"/>
      <c r="E581" s="18"/>
      <c r="F581" s="129"/>
      <c r="G581" s="20"/>
      <c r="H581" s="20">
        <v>1</v>
      </c>
      <c r="I581" s="126">
        <f t="shared" si="44"/>
        <v>0</v>
      </c>
      <c r="J581" s="21">
        <f t="shared" si="43"/>
        <v>0</v>
      </c>
      <c r="K581" s="80"/>
      <c r="L581" s="82"/>
      <c r="M581" s="10"/>
      <c r="N581" s="10"/>
      <c r="O581" s="10"/>
      <c r="P581" s="10"/>
      <c r="Q581" s="43"/>
      <c r="R581" s="10"/>
      <c r="T581" s="10"/>
    </row>
    <row r="582" spans="2:20" s="1" customFormat="1" ht="12.95" customHeight="1" x14ac:dyDescent="0.15">
      <c r="B582" s="16">
        <v>13</v>
      </c>
      <c r="C582" s="11"/>
      <c r="D582" s="18"/>
      <c r="E582" s="18"/>
      <c r="F582" s="129"/>
      <c r="G582" s="20"/>
      <c r="H582" s="20">
        <v>1</v>
      </c>
      <c r="I582" s="126">
        <f t="shared" si="44"/>
        <v>0</v>
      </c>
      <c r="J582" s="21">
        <f t="shared" si="43"/>
        <v>0</v>
      </c>
      <c r="K582" s="80"/>
      <c r="L582" s="82"/>
      <c r="M582" s="10"/>
      <c r="N582" s="10"/>
      <c r="O582" s="10"/>
      <c r="P582" s="10"/>
      <c r="Q582" s="43"/>
      <c r="R582" s="10"/>
      <c r="T582" s="10"/>
    </row>
    <row r="583" spans="2:20" s="1" customFormat="1" ht="12.95" customHeight="1" x14ac:dyDescent="0.15">
      <c r="B583" s="16">
        <v>14</v>
      </c>
      <c r="C583" s="11"/>
      <c r="D583" s="18"/>
      <c r="E583" s="18"/>
      <c r="F583" s="129"/>
      <c r="G583" s="20"/>
      <c r="H583" s="20">
        <v>1</v>
      </c>
      <c r="I583" s="126">
        <f t="shared" si="44"/>
        <v>0</v>
      </c>
      <c r="J583" s="21">
        <f t="shared" si="43"/>
        <v>0</v>
      </c>
      <c r="K583" s="80"/>
      <c r="L583" s="82"/>
      <c r="M583" s="10"/>
      <c r="N583" s="10"/>
      <c r="O583" s="10"/>
      <c r="P583" s="10"/>
      <c r="Q583" s="43"/>
      <c r="R583" s="10"/>
      <c r="T583" s="10"/>
    </row>
    <row r="584" spans="2:20" s="1" customFormat="1" ht="12.95" customHeight="1" x14ac:dyDescent="0.15">
      <c r="B584" s="16">
        <v>15</v>
      </c>
      <c r="C584" s="11"/>
      <c r="D584" s="18"/>
      <c r="E584" s="18"/>
      <c r="F584" s="129"/>
      <c r="G584" s="20"/>
      <c r="H584" s="20">
        <v>1</v>
      </c>
      <c r="I584" s="126">
        <f t="shared" si="44"/>
        <v>0</v>
      </c>
      <c r="J584" s="21">
        <f t="shared" si="43"/>
        <v>0</v>
      </c>
      <c r="K584" s="80"/>
      <c r="L584" s="82"/>
      <c r="M584" s="10"/>
      <c r="N584" s="10"/>
      <c r="O584" s="10"/>
      <c r="P584" s="10"/>
      <c r="Q584" s="43"/>
      <c r="R584" s="10"/>
      <c r="T584" s="10"/>
    </row>
    <row r="585" spans="2:20" s="1" customFormat="1" ht="12.95" customHeight="1" x14ac:dyDescent="0.15">
      <c r="B585" s="16">
        <v>16</v>
      </c>
      <c r="C585" s="74"/>
      <c r="D585" s="75"/>
      <c r="E585" s="75"/>
      <c r="F585" s="132"/>
      <c r="G585" s="77"/>
      <c r="H585" s="77">
        <v>1</v>
      </c>
      <c r="I585" s="131">
        <f t="shared" si="44"/>
        <v>0</v>
      </c>
      <c r="J585" s="78">
        <f t="shared" si="43"/>
        <v>0</v>
      </c>
      <c r="K585" s="80"/>
      <c r="L585" s="82"/>
      <c r="M585" s="10"/>
      <c r="N585" s="10"/>
      <c r="O585" s="10"/>
      <c r="P585" s="10"/>
      <c r="Q585" s="43"/>
      <c r="R585" s="10"/>
      <c r="T585" s="10"/>
    </row>
    <row r="586" spans="2:20" s="1" customFormat="1" ht="12.95" customHeight="1" x14ac:dyDescent="0.15">
      <c r="B586" s="80">
        <v>17</v>
      </c>
      <c r="C586" s="82"/>
      <c r="D586" s="82"/>
      <c r="E586" s="82"/>
      <c r="F586" s="156"/>
      <c r="G586" s="82"/>
      <c r="H586" s="77">
        <v>1</v>
      </c>
      <c r="I586" s="131">
        <f t="shared" si="44"/>
        <v>0</v>
      </c>
      <c r="J586" s="78">
        <f t="shared" si="43"/>
        <v>0</v>
      </c>
      <c r="K586" s="109"/>
      <c r="L586" s="82"/>
      <c r="M586" s="10"/>
      <c r="N586" s="10"/>
      <c r="O586" s="10"/>
      <c r="P586" s="10"/>
      <c r="Q586" s="43"/>
      <c r="R586" s="10"/>
      <c r="T586" s="10"/>
    </row>
    <row r="587" spans="2:20" s="1" customFormat="1" ht="12.95" customHeight="1" x14ac:dyDescent="0.15">
      <c r="B587" s="80">
        <v>18</v>
      </c>
      <c r="C587" s="82"/>
      <c r="D587" s="82"/>
      <c r="E587" s="82"/>
      <c r="F587" s="156"/>
      <c r="G587" s="82"/>
      <c r="H587" s="77">
        <v>1</v>
      </c>
      <c r="I587" s="131">
        <f t="shared" si="44"/>
        <v>0</v>
      </c>
      <c r="J587" s="78">
        <f t="shared" si="43"/>
        <v>0</v>
      </c>
      <c r="K587" s="155"/>
      <c r="L587" s="119"/>
      <c r="M587" s="10"/>
      <c r="N587" s="10"/>
      <c r="O587" s="10"/>
      <c r="P587" s="10"/>
      <c r="Q587" s="43"/>
      <c r="R587" s="10"/>
      <c r="T587" s="10"/>
    </row>
    <row r="588" spans="2:20" s="1" customFormat="1" ht="12.95" customHeight="1" x14ac:dyDescent="0.15">
      <c r="B588" s="80">
        <v>19</v>
      </c>
      <c r="C588" s="82"/>
      <c r="D588" s="82"/>
      <c r="E588" s="82"/>
      <c r="F588" s="156"/>
      <c r="G588" s="82"/>
      <c r="H588" s="77">
        <v>1</v>
      </c>
      <c r="I588" s="131">
        <f t="shared" si="44"/>
        <v>0</v>
      </c>
      <c r="J588" s="260">
        <f t="shared" si="43"/>
        <v>0</v>
      </c>
      <c r="K588" s="82"/>
      <c r="L588" s="82"/>
      <c r="M588" s="10"/>
      <c r="N588" s="10"/>
      <c r="O588" s="10"/>
      <c r="P588" s="10"/>
      <c r="Q588" s="43"/>
      <c r="R588" s="10"/>
      <c r="T588" s="10"/>
    </row>
    <row r="589" spans="2:20" s="1" customFormat="1" ht="12.95" customHeight="1" x14ac:dyDescent="0.15">
      <c r="B589" s="80">
        <v>20</v>
      </c>
      <c r="C589" s="82"/>
      <c r="D589" s="82"/>
      <c r="E589" s="82"/>
      <c r="F589" s="156"/>
      <c r="G589" s="82"/>
      <c r="H589" s="77">
        <v>1</v>
      </c>
      <c r="I589" s="131">
        <f t="shared" si="44"/>
        <v>0</v>
      </c>
      <c r="J589" s="260">
        <f t="shared" si="43"/>
        <v>0</v>
      </c>
      <c r="K589" s="82"/>
      <c r="L589" s="82"/>
      <c r="M589" s="10"/>
      <c r="N589" s="10"/>
      <c r="O589" s="10"/>
      <c r="P589" s="10"/>
      <c r="Q589" s="43"/>
      <c r="R589" s="10"/>
      <c r="T589" s="10"/>
    </row>
    <row r="590" spans="2:20" s="1" customFormat="1" ht="12.95" customHeight="1" x14ac:dyDescent="0.15">
      <c r="B590" s="111"/>
      <c r="C590" s="152"/>
      <c r="D590" s="153"/>
      <c r="E590" s="153"/>
      <c r="F590" s="157"/>
      <c r="G590" s="154"/>
      <c r="H590" s="154"/>
      <c r="I590" s="158"/>
      <c r="J590" s="261"/>
      <c r="K590" s="82"/>
      <c r="L590" s="82"/>
      <c r="M590" s="10"/>
      <c r="N590" s="10"/>
      <c r="O590" s="10"/>
      <c r="P590" s="10"/>
      <c r="Q590" s="43"/>
      <c r="R590" s="10"/>
      <c r="T590" s="10"/>
    </row>
    <row r="591" spans="2:20" s="1" customFormat="1" ht="12.75" x14ac:dyDescent="0.15">
      <c r="B591" s="82"/>
      <c r="C591" s="102"/>
      <c r="D591" s="103"/>
      <c r="E591" s="102"/>
      <c r="F591" s="128">
        <f>SUM(F533:F590)</f>
        <v>0</v>
      </c>
      <c r="G591" s="104"/>
      <c r="H591" s="105"/>
      <c r="I591" s="128">
        <f>SUM(I533:I590)</f>
        <v>0</v>
      </c>
      <c r="J591" s="106">
        <f>SUM(J533:J590)</f>
        <v>0</v>
      </c>
    </row>
    <row r="592" spans="2:20" s="1" customFormat="1" ht="12.75" x14ac:dyDescent="0.15">
      <c r="B592" s="82"/>
      <c r="C592" s="102"/>
      <c r="D592" s="103"/>
      <c r="E592" s="102" t="s">
        <v>147</v>
      </c>
      <c r="F592" s="128">
        <f>100/115*F591</f>
        <v>0</v>
      </c>
      <c r="G592" s="104"/>
      <c r="H592" s="105" t="s">
        <v>147</v>
      </c>
      <c r="I592" s="128">
        <f>100/115*I591</f>
        <v>0</v>
      </c>
      <c r="J592" s="106"/>
    </row>
    <row r="593" spans="2:20" s="1" customFormat="1" ht="12.75" x14ac:dyDescent="0.15"/>
    <row r="594" spans="2:20" s="1" customFormat="1" ht="12.75" x14ac:dyDescent="0.15"/>
    <row r="595" spans="2:20" s="1" customFormat="1" ht="12.75" x14ac:dyDescent="0.15"/>
    <row r="596" spans="2:20" s="1" customFormat="1" ht="12.75" x14ac:dyDescent="0.15"/>
    <row r="597" spans="2:20" s="247" customFormat="1" ht="32.25" x14ac:dyDescent="0.4">
      <c r="B597" s="248"/>
      <c r="C597" s="380" t="s">
        <v>112</v>
      </c>
      <c r="D597" s="380"/>
      <c r="E597" s="428" t="s">
        <v>163</v>
      </c>
      <c r="F597" s="428"/>
      <c r="G597" s="428"/>
      <c r="H597" s="428"/>
      <c r="I597" s="428"/>
      <c r="J597" s="382">
        <v>2026</v>
      </c>
      <c r="K597" s="382"/>
      <c r="L597" s="382"/>
    </row>
    <row r="598" spans="2:20" s="1" customFormat="1" ht="22.5" x14ac:dyDescent="0.15">
      <c r="B598" s="82"/>
      <c r="C598" s="102" t="s">
        <v>114</v>
      </c>
      <c r="D598" s="388" t="s">
        <v>115</v>
      </c>
      <c r="E598" s="388"/>
      <c r="F598" s="102" t="s">
        <v>116</v>
      </c>
      <c r="G598" s="102" t="s">
        <v>117</v>
      </c>
      <c r="H598" s="102" t="s">
        <v>118</v>
      </c>
      <c r="I598" s="102" t="s">
        <v>119</v>
      </c>
      <c r="J598" s="102" t="s">
        <v>120</v>
      </c>
      <c r="K598" s="82"/>
      <c r="L598" s="82"/>
    </row>
    <row r="599" spans="2:20" s="1" customFormat="1" ht="12.75" x14ac:dyDescent="0.15">
      <c r="B599" s="84"/>
      <c r="C599" s="149">
        <f>C529</f>
        <v>450</v>
      </c>
      <c r="D599" s="412">
        <v>23</v>
      </c>
      <c r="E599" s="412"/>
      <c r="F599" s="146">
        <f>F529</f>
        <v>0.8</v>
      </c>
      <c r="G599" s="147">
        <f>G529</f>
        <v>8</v>
      </c>
      <c r="H599" s="148">
        <f>D599*G599*F599</f>
        <v>147.20000000000002</v>
      </c>
      <c r="I599" s="149">
        <f>I661</f>
        <v>0</v>
      </c>
      <c r="J599" s="150">
        <f>H599-J661</f>
        <v>147.20000000000002</v>
      </c>
      <c r="K599" s="79"/>
      <c r="L599" s="120"/>
    </row>
    <row r="600" spans="2:20" s="1" customFormat="1" ht="33.75" x14ac:dyDescent="0.15">
      <c r="B600" s="16"/>
      <c r="C600" s="22" t="s">
        <v>121</v>
      </c>
      <c r="D600" s="413" t="s">
        <v>122</v>
      </c>
      <c r="E600" s="413"/>
      <c r="F600" s="33" t="s">
        <v>123</v>
      </c>
      <c r="G600" s="34" t="s">
        <v>124</v>
      </c>
      <c r="H600" s="35" t="s">
        <v>125</v>
      </c>
      <c r="I600" s="125" t="s">
        <v>126</v>
      </c>
      <c r="J600" s="34" t="s">
        <v>127</v>
      </c>
      <c r="K600" s="107" t="s">
        <v>128</v>
      </c>
      <c r="L600" s="123" t="s">
        <v>129</v>
      </c>
    </row>
    <row r="601" spans="2:20" s="1" customFormat="1" ht="12.75" x14ac:dyDescent="0.15">
      <c r="B601" s="16"/>
      <c r="C601" s="22"/>
      <c r="D601" s="32"/>
      <c r="E601" s="32"/>
      <c r="F601" s="33"/>
      <c r="G601" s="34"/>
      <c r="H601" s="35"/>
      <c r="I601" s="125"/>
      <c r="J601" s="34"/>
      <c r="K601" s="110"/>
      <c r="L601" s="82"/>
    </row>
    <row r="602" spans="2:20" s="1" customFormat="1" ht="12.75" x14ac:dyDescent="0.15">
      <c r="B602" s="16"/>
      <c r="C602" s="22" t="s">
        <v>130</v>
      </c>
      <c r="D602" s="32"/>
      <c r="E602" s="32"/>
      <c r="F602" s="151"/>
      <c r="G602" s="34"/>
      <c r="H602" s="35"/>
      <c r="I602" s="125"/>
      <c r="J602" s="34"/>
      <c r="K602" s="110"/>
      <c r="L602" s="82"/>
    </row>
    <row r="603" spans="2:20" s="1" customFormat="1" ht="12.75" x14ac:dyDescent="0.15">
      <c r="B603" s="16"/>
      <c r="C603" s="22" t="s">
        <v>149</v>
      </c>
      <c r="D603" s="32"/>
      <c r="E603" s="32"/>
      <c r="F603" s="151"/>
      <c r="G603" s="34"/>
      <c r="H603" s="35"/>
      <c r="I603" s="125"/>
      <c r="J603" s="34"/>
      <c r="K603" s="110"/>
      <c r="L603" s="82"/>
    </row>
    <row r="604" spans="2:20" s="1" customFormat="1" ht="13.15" customHeight="1" x14ac:dyDescent="0.15">
      <c r="B604" s="26">
        <v>1</v>
      </c>
      <c r="C604" s="17"/>
      <c r="D604" s="24"/>
      <c r="E604" s="24"/>
      <c r="F604" s="129"/>
      <c r="G604" s="20"/>
      <c r="H604" s="20">
        <v>1</v>
      </c>
      <c r="I604" s="129">
        <f t="shared" ref="I604:I620" si="45">J604*$C$32</f>
        <v>0</v>
      </c>
      <c r="J604" s="52">
        <f t="shared" ref="J604:J617" si="46">(F604*G604*H604)/$C$32</f>
        <v>0</v>
      </c>
      <c r="K604" s="108"/>
      <c r="L604" s="113"/>
      <c r="M604" s="4"/>
      <c r="N604" s="4"/>
      <c r="O604" s="4"/>
      <c r="P604" s="4"/>
      <c r="Q604" s="4"/>
      <c r="R604" s="4"/>
      <c r="S604" s="4"/>
      <c r="T604" s="4"/>
    </row>
    <row r="605" spans="2:20" s="1" customFormat="1" ht="12.75" customHeight="1" x14ac:dyDescent="0.15">
      <c r="B605" s="26">
        <v>2</v>
      </c>
      <c r="C605" s="17"/>
      <c r="D605" s="24"/>
      <c r="E605" s="24"/>
      <c r="F605" s="129"/>
      <c r="G605" s="20"/>
      <c r="H605" s="20">
        <v>1</v>
      </c>
      <c r="I605" s="129">
        <f t="shared" si="45"/>
        <v>0</v>
      </c>
      <c r="J605" s="52">
        <f t="shared" si="46"/>
        <v>0</v>
      </c>
      <c r="K605" s="108"/>
      <c r="L605" s="113"/>
      <c r="M605" s="144"/>
      <c r="N605" s="4"/>
      <c r="O605" s="4"/>
      <c r="P605" s="4"/>
      <c r="Q605" s="4"/>
      <c r="R605" s="4"/>
      <c r="S605" s="4"/>
      <c r="T605" s="4"/>
    </row>
    <row r="606" spans="2:20" s="1" customFormat="1" ht="16.5" x14ac:dyDescent="0.15">
      <c r="B606" s="26">
        <v>3</v>
      </c>
      <c r="C606" s="17"/>
      <c r="D606" s="24"/>
      <c r="E606" s="24"/>
      <c r="F606" s="129"/>
      <c r="G606" s="20"/>
      <c r="H606" s="20">
        <v>1</v>
      </c>
      <c r="I606" s="129">
        <f t="shared" si="45"/>
        <v>0</v>
      </c>
      <c r="J606" s="52">
        <f t="shared" si="46"/>
        <v>0</v>
      </c>
      <c r="K606" s="108"/>
      <c r="L606" s="113"/>
      <c r="M606" s="145"/>
      <c r="N606" s="4"/>
      <c r="O606" s="4"/>
      <c r="P606" s="4"/>
      <c r="Q606" s="4"/>
      <c r="R606" s="4"/>
      <c r="S606" s="4"/>
      <c r="T606" s="4"/>
    </row>
    <row r="607" spans="2:20" s="1" customFormat="1" ht="12.75" customHeight="1" x14ac:dyDescent="0.15">
      <c r="B607" s="26">
        <v>4</v>
      </c>
      <c r="C607" s="16"/>
      <c r="D607" s="18"/>
      <c r="E607" s="18"/>
      <c r="F607" s="129"/>
      <c r="G607" s="20"/>
      <c r="H607" s="20">
        <v>1</v>
      </c>
      <c r="I607" s="129">
        <f t="shared" si="45"/>
        <v>0</v>
      </c>
      <c r="J607" s="52">
        <f t="shared" si="46"/>
        <v>0</v>
      </c>
      <c r="K607" s="108"/>
      <c r="L607" s="113"/>
      <c r="M607" s="4"/>
      <c r="N607" s="4"/>
      <c r="O607" s="4"/>
      <c r="P607" s="4"/>
      <c r="Q607" s="4"/>
      <c r="R607" s="4"/>
      <c r="S607" s="4"/>
      <c r="T607" s="4"/>
    </row>
    <row r="608" spans="2:20" s="1" customFormat="1" ht="12.75" customHeight="1" x14ac:dyDescent="0.15">
      <c r="B608" s="26">
        <v>5</v>
      </c>
      <c r="C608" s="17"/>
      <c r="D608" s="53"/>
      <c r="E608" s="53"/>
      <c r="F608" s="129"/>
      <c r="G608" s="20"/>
      <c r="H608" s="20">
        <v>1</v>
      </c>
      <c r="I608" s="129">
        <f t="shared" si="45"/>
        <v>0</v>
      </c>
      <c r="J608" s="27">
        <f t="shared" si="46"/>
        <v>0</v>
      </c>
      <c r="K608" s="108"/>
      <c r="L608" s="113"/>
      <c r="M608" s="4"/>
      <c r="N608" s="4"/>
      <c r="O608" s="4"/>
      <c r="P608" s="4"/>
      <c r="Q608" s="4"/>
      <c r="R608" s="4"/>
      <c r="S608" s="4"/>
      <c r="T608" s="4"/>
    </row>
    <row r="609" spans="2:20" s="1" customFormat="1" ht="12.75" x14ac:dyDescent="0.15">
      <c r="B609" s="26">
        <v>6</v>
      </c>
      <c r="C609" s="17"/>
      <c r="D609" s="24"/>
      <c r="E609" s="24"/>
      <c r="F609" s="129"/>
      <c r="G609" s="20"/>
      <c r="H609" s="20">
        <v>1</v>
      </c>
      <c r="I609" s="129">
        <f t="shared" si="45"/>
        <v>0</v>
      </c>
      <c r="J609" s="52">
        <f t="shared" si="46"/>
        <v>0</v>
      </c>
      <c r="K609" s="108"/>
      <c r="L609" s="113"/>
      <c r="M609" s="4"/>
      <c r="N609" s="4"/>
      <c r="O609" s="4"/>
      <c r="P609" s="4"/>
      <c r="Q609" s="4"/>
      <c r="R609" s="4"/>
      <c r="S609" s="4"/>
      <c r="T609" s="4"/>
    </row>
    <row r="610" spans="2:20" s="1" customFormat="1" ht="12.75" customHeight="1" x14ac:dyDescent="0.15">
      <c r="B610" s="26">
        <v>7</v>
      </c>
      <c r="C610" s="17"/>
      <c r="D610" s="22"/>
      <c r="E610" s="22"/>
      <c r="F610" s="129"/>
      <c r="G610" s="20"/>
      <c r="H610" s="20">
        <v>1</v>
      </c>
      <c r="I610" s="129">
        <f t="shared" si="45"/>
        <v>0</v>
      </c>
      <c r="J610" s="27">
        <f t="shared" si="46"/>
        <v>0</v>
      </c>
      <c r="K610" s="108"/>
      <c r="L610" s="113"/>
      <c r="M610" s="4"/>
      <c r="N610" s="4"/>
      <c r="O610" s="4"/>
      <c r="P610" s="4"/>
      <c r="Q610" s="4"/>
      <c r="R610" s="4"/>
      <c r="S610" s="4"/>
      <c r="T610" s="4"/>
    </row>
    <row r="611" spans="2:20" s="1" customFormat="1" ht="12.95" customHeight="1" x14ac:dyDescent="0.15">
      <c r="B611" s="26">
        <v>8</v>
      </c>
      <c r="C611" s="17"/>
      <c r="D611" s="18"/>
      <c r="E611" s="24"/>
      <c r="F611" s="129"/>
      <c r="G611" s="20"/>
      <c r="H611" s="20">
        <v>1</v>
      </c>
      <c r="I611" s="129">
        <f t="shared" si="45"/>
        <v>0</v>
      </c>
      <c r="J611" s="52">
        <f t="shared" si="46"/>
        <v>0</v>
      </c>
      <c r="K611" s="108"/>
      <c r="L611" s="113"/>
      <c r="M611" s="4"/>
      <c r="N611" s="4"/>
      <c r="O611" s="4"/>
      <c r="P611" s="4"/>
      <c r="Q611" s="4"/>
      <c r="R611" s="4"/>
      <c r="S611" s="4"/>
      <c r="T611" s="4"/>
    </row>
    <row r="612" spans="2:20" s="1" customFormat="1" ht="12.95" customHeight="1" x14ac:dyDescent="0.15">
      <c r="B612" s="26">
        <v>9</v>
      </c>
      <c r="C612" s="17"/>
      <c r="D612" s="18"/>
      <c r="E612" s="24"/>
      <c r="F612" s="129"/>
      <c r="G612" s="20"/>
      <c r="H612" s="20">
        <v>1</v>
      </c>
      <c r="I612" s="129">
        <f t="shared" si="45"/>
        <v>0</v>
      </c>
      <c r="J612" s="52">
        <f t="shared" si="46"/>
        <v>0</v>
      </c>
      <c r="K612" s="108"/>
      <c r="L612" s="113"/>
      <c r="M612" s="4"/>
      <c r="N612" s="4"/>
      <c r="O612" s="4"/>
      <c r="P612" s="4"/>
      <c r="Q612" s="4"/>
      <c r="R612" s="4"/>
      <c r="S612" s="4"/>
      <c r="T612" s="4"/>
    </row>
    <row r="613" spans="2:20" s="1" customFormat="1" ht="12.95" customHeight="1" x14ac:dyDescent="0.15">
      <c r="B613" s="26">
        <v>10</v>
      </c>
      <c r="C613" s="17"/>
      <c r="D613" s="24"/>
      <c r="E613" s="18"/>
      <c r="F613" s="129"/>
      <c r="G613" s="20"/>
      <c r="H613" s="20">
        <v>1</v>
      </c>
      <c r="I613" s="129">
        <f t="shared" si="45"/>
        <v>0</v>
      </c>
      <c r="J613" s="52">
        <f t="shared" si="46"/>
        <v>0</v>
      </c>
      <c r="K613" s="108"/>
      <c r="L613" s="113"/>
      <c r="M613" s="4"/>
      <c r="N613" s="4"/>
      <c r="O613" s="4"/>
      <c r="P613" s="4"/>
      <c r="Q613" s="4"/>
      <c r="R613" s="4"/>
      <c r="S613" s="4"/>
      <c r="T613" s="4"/>
    </row>
    <row r="614" spans="2:20" s="1" customFormat="1" ht="12.95" customHeight="1" x14ac:dyDescent="0.15">
      <c r="B614" s="26"/>
      <c r="C614" s="17"/>
      <c r="D614" s="24"/>
      <c r="E614" s="18"/>
      <c r="F614" s="129"/>
      <c r="G614" s="20"/>
      <c r="H614" s="20"/>
      <c r="I614" s="129"/>
      <c r="J614" s="52"/>
      <c r="K614" s="108"/>
      <c r="L614" s="113"/>
      <c r="M614" s="4"/>
      <c r="N614" s="4"/>
      <c r="O614" s="4"/>
      <c r="P614" s="4"/>
      <c r="Q614" s="4"/>
      <c r="R614" s="4"/>
      <c r="S614" s="4"/>
      <c r="T614" s="4"/>
    </row>
    <row r="615" spans="2:20" s="1" customFormat="1" ht="12.95" customHeight="1" x14ac:dyDescent="0.15">
      <c r="B615" s="26"/>
      <c r="C615" s="17"/>
      <c r="D615" s="24"/>
      <c r="E615" s="18"/>
      <c r="F615" s="129"/>
      <c r="G615" s="20"/>
      <c r="H615" s="20"/>
      <c r="I615" s="129"/>
      <c r="J615" s="52"/>
      <c r="K615" s="108"/>
      <c r="L615" s="113"/>
      <c r="M615" s="4"/>
      <c r="N615" s="4"/>
      <c r="O615" s="4"/>
      <c r="P615" s="4"/>
      <c r="Q615" s="4"/>
      <c r="R615" s="4"/>
      <c r="S615" s="4"/>
      <c r="T615" s="4"/>
    </row>
    <row r="616" spans="2:20" s="1" customFormat="1" ht="12.95" customHeight="1" x14ac:dyDescent="0.15">
      <c r="B616" s="26"/>
      <c r="C616" s="22" t="s">
        <v>153</v>
      </c>
      <c r="D616" s="24"/>
      <c r="E616" s="18"/>
      <c r="F616" s="129"/>
      <c r="G616" s="20"/>
      <c r="H616" s="20"/>
      <c r="I616" s="129"/>
      <c r="J616" s="52"/>
      <c r="K616" s="108"/>
      <c r="L616" s="113"/>
      <c r="M616" s="4"/>
      <c r="N616" s="4"/>
      <c r="O616" s="4"/>
      <c r="P616" s="4"/>
      <c r="Q616" s="4"/>
      <c r="R616" s="4"/>
      <c r="S616" s="4"/>
      <c r="T616" s="4"/>
    </row>
    <row r="617" spans="2:20" s="1" customFormat="1" ht="12.95" customHeight="1" x14ac:dyDescent="0.15">
      <c r="B617" s="26">
        <v>1</v>
      </c>
      <c r="C617" s="17"/>
      <c r="D617" s="24"/>
      <c r="E617" s="24"/>
      <c r="F617" s="129"/>
      <c r="G617" s="20"/>
      <c r="H617" s="20">
        <v>1</v>
      </c>
      <c r="I617" s="129">
        <f t="shared" si="45"/>
        <v>0</v>
      </c>
      <c r="J617" s="52">
        <f t="shared" si="46"/>
        <v>0</v>
      </c>
      <c r="K617" s="108"/>
      <c r="L617" s="113"/>
      <c r="M617" s="4"/>
      <c r="N617" s="4"/>
      <c r="O617" s="4"/>
      <c r="P617" s="4"/>
      <c r="Q617" s="4"/>
      <c r="R617" s="4"/>
      <c r="S617" s="4"/>
      <c r="T617" s="4"/>
    </row>
    <row r="618" spans="2:20" s="1" customFormat="1" ht="12.95" customHeight="1" x14ac:dyDescent="0.15">
      <c r="B618" s="26">
        <v>2</v>
      </c>
      <c r="C618" s="17"/>
      <c r="D618" s="24"/>
      <c r="E618" s="24"/>
      <c r="F618" s="129"/>
      <c r="G618" s="20"/>
      <c r="H618" s="20">
        <v>1</v>
      </c>
      <c r="I618" s="129">
        <f t="shared" si="45"/>
        <v>0</v>
      </c>
      <c r="J618" s="52">
        <f>(F618*G618*H618)/$C$32</f>
        <v>0</v>
      </c>
      <c r="K618" s="108"/>
      <c r="L618" s="113"/>
      <c r="M618" s="4"/>
      <c r="N618" s="4"/>
      <c r="O618" s="4"/>
      <c r="P618" s="4"/>
      <c r="Q618" s="4"/>
      <c r="R618" s="4"/>
      <c r="S618" s="4"/>
      <c r="T618" s="4"/>
    </row>
    <row r="619" spans="2:20" s="1" customFormat="1" ht="12.95" customHeight="1" x14ac:dyDescent="0.15">
      <c r="B619" s="26">
        <v>3</v>
      </c>
      <c r="C619" s="24"/>
      <c r="D619" s="24"/>
      <c r="E619" s="24"/>
      <c r="F619" s="129"/>
      <c r="G619" s="20"/>
      <c r="H619" s="20">
        <v>1</v>
      </c>
      <c r="I619" s="129">
        <f t="shared" si="45"/>
        <v>0</v>
      </c>
      <c r="J619" s="52">
        <f>(F619*G619*H619)/$C$32</f>
        <v>0</v>
      </c>
      <c r="K619" s="108"/>
      <c r="L619" s="113"/>
      <c r="M619" s="4"/>
      <c r="N619" s="4"/>
      <c r="O619" s="4"/>
      <c r="P619" s="4"/>
      <c r="Q619" s="4"/>
      <c r="R619" s="4"/>
      <c r="S619" s="4"/>
      <c r="T619" s="4"/>
    </row>
    <row r="620" spans="2:20" s="1" customFormat="1" ht="12.95" customHeight="1" x14ac:dyDescent="0.15">
      <c r="B620" s="26">
        <v>4</v>
      </c>
      <c r="C620" s="24"/>
      <c r="D620" s="24"/>
      <c r="E620" s="24"/>
      <c r="F620" s="129"/>
      <c r="G620" s="20"/>
      <c r="H620" s="20">
        <v>1</v>
      </c>
      <c r="I620" s="129">
        <f t="shared" si="45"/>
        <v>0</v>
      </c>
      <c r="J620" s="52">
        <f t="shared" ref="J620:J621" si="47">(F620*G620*H620)/$C$32</f>
        <v>0</v>
      </c>
      <c r="K620" s="108"/>
      <c r="L620" s="113"/>
      <c r="M620" s="4"/>
      <c r="N620" s="4"/>
      <c r="O620" s="4"/>
      <c r="P620" s="4"/>
      <c r="Q620" s="4"/>
      <c r="R620" s="4"/>
      <c r="S620" s="4"/>
      <c r="T620" s="4"/>
    </row>
    <row r="621" spans="2:20" s="1" customFormat="1" ht="12.95" customHeight="1" x14ac:dyDescent="0.15">
      <c r="B621" s="26">
        <v>5</v>
      </c>
      <c r="C621" s="17"/>
      <c r="D621" s="18"/>
      <c r="E621" s="18"/>
      <c r="F621" s="129"/>
      <c r="G621" s="20"/>
      <c r="H621" s="20">
        <v>1</v>
      </c>
      <c r="I621" s="129">
        <f>J621*$C$32</f>
        <v>0</v>
      </c>
      <c r="J621" s="27">
        <f t="shared" si="47"/>
        <v>0</v>
      </c>
      <c r="K621" s="108"/>
      <c r="L621" s="113"/>
      <c r="M621" s="4"/>
      <c r="N621" s="4"/>
      <c r="O621" s="4"/>
      <c r="P621" s="4"/>
      <c r="Q621" s="4"/>
      <c r="R621" s="4"/>
      <c r="S621" s="4"/>
      <c r="T621" s="4"/>
    </row>
    <row r="622" spans="2:20" s="1" customFormat="1" ht="12.95" customHeight="1" x14ac:dyDescent="0.15">
      <c r="B622" s="26">
        <v>6</v>
      </c>
      <c r="C622" s="17"/>
      <c r="D622" s="24"/>
      <c r="E622" s="24"/>
      <c r="F622" s="129"/>
      <c r="G622" s="20"/>
      <c r="H622" s="20">
        <v>1</v>
      </c>
      <c r="I622" s="129">
        <f t="shared" ref="I622" si="48">J622*$C$32</f>
        <v>0</v>
      </c>
      <c r="J622" s="54">
        <f>(F622*G622*H622)/$C$32</f>
        <v>0</v>
      </c>
      <c r="K622" s="108"/>
      <c r="L622" s="113"/>
      <c r="M622" s="4"/>
      <c r="N622" s="4"/>
      <c r="O622" s="4"/>
      <c r="P622" s="4"/>
      <c r="Q622" s="4"/>
      <c r="R622" s="4"/>
      <c r="S622" s="4"/>
      <c r="T622" s="4"/>
    </row>
    <row r="623" spans="2:20" s="1" customFormat="1" ht="12.95" customHeight="1" x14ac:dyDescent="0.15">
      <c r="B623" s="26">
        <v>7</v>
      </c>
      <c r="C623" s="17"/>
      <c r="D623" s="24"/>
      <c r="E623" s="24"/>
      <c r="F623" s="129"/>
      <c r="G623" s="20"/>
      <c r="H623" s="20">
        <v>1</v>
      </c>
      <c r="I623" s="129">
        <f>J623*$C$32</f>
        <v>0</v>
      </c>
      <c r="J623" s="54">
        <f>(F623*G623*H623)/$C$32</f>
        <v>0</v>
      </c>
      <c r="K623" s="108"/>
      <c r="L623" s="113"/>
      <c r="M623" s="4"/>
      <c r="N623" s="4"/>
      <c r="O623" s="4"/>
      <c r="P623" s="4"/>
      <c r="Q623" s="4"/>
      <c r="R623" s="4"/>
      <c r="S623" s="4"/>
      <c r="T623" s="4"/>
    </row>
    <row r="624" spans="2:20" s="1" customFormat="1" ht="14.85" customHeight="1" x14ac:dyDescent="0.15">
      <c r="B624" s="26">
        <v>8</v>
      </c>
      <c r="C624" s="17"/>
      <c r="D624" s="24"/>
      <c r="E624" s="24"/>
      <c r="F624" s="129"/>
      <c r="G624" s="20"/>
      <c r="H624" s="20">
        <v>1</v>
      </c>
      <c r="I624" s="129">
        <f t="shared" ref="I624:I636" si="49">J624*$C$32</f>
        <v>0</v>
      </c>
      <c r="J624" s="52">
        <f t="shared" ref="J624:J636" si="50">(F624*G624*H624)/$C$32</f>
        <v>0</v>
      </c>
      <c r="K624" s="108"/>
      <c r="L624" s="113"/>
      <c r="M624" s="4"/>
      <c r="N624" s="4"/>
      <c r="O624" s="4"/>
      <c r="P624" s="4"/>
      <c r="Q624" s="4"/>
      <c r="R624" s="4"/>
      <c r="S624" s="4"/>
      <c r="T624" s="4"/>
    </row>
    <row r="625" spans="2:20" s="1" customFormat="1" ht="12.95" customHeight="1" x14ac:dyDescent="0.15">
      <c r="B625" s="26">
        <v>9</v>
      </c>
      <c r="C625" s="17"/>
      <c r="D625" s="24"/>
      <c r="E625" s="24"/>
      <c r="F625" s="129"/>
      <c r="G625" s="20"/>
      <c r="H625" s="20">
        <v>1</v>
      </c>
      <c r="I625" s="129">
        <f t="shared" si="49"/>
        <v>0</v>
      </c>
      <c r="J625" s="52">
        <f t="shared" si="50"/>
        <v>0</v>
      </c>
      <c r="K625" s="108"/>
      <c r="L625" s="113"/>
      <c r="M625" s="4"/>
      <c r="N625" s="4"/>
      <c r="O625" s="4"/>
      <c r="P625" s="4"/>
      <c r="Q625" s="4"/>
      <c r="R625" s="4"/>
      <c r="S625" s="4"/>
      <c r="T625" s="4"/>
    </row>
    <row r="626" spans="2:20" s="1" customFormat="1" ht="12.95" customHeight="1" x14ac:dyDescent="0.15">
      <c r="B626" s="26">
        <v>10</v>
      </c>
      <c r="C626" s="17"/>
      <c r="D626" s="24"/>
      <c r="E626" s="24"/>
      <c r="F626" s="129"/>
      <c r="G626" s="20"/>
      <c r="H626" s="20">
        <v>1</v>
      </c>
      <c r="I626" s="129">
        <f t="shared" si="49"/>
        <v>0</v>
      </c>
      <c r="J626" s="52">
        <f t="shared" si="50"/>
        <v>0</v>
      </c>
      <c r="K626" s="108"/>
      <c r="L626" s="113"/>
      <c r="M626" s="4"/>
      <c r="N626" s="4"/>
      <c r="O626" s="4"/>
      <c r="P626" s="4"/>
      <c r="Q626" s="4"/>
      <c r="R626" s="4"/>
      <c r="S626" s="4"/>
      <c r="T626" s="4"/>
    </row>
    <row r="627" spans="2:20" s="1" customFormat="1" ht="12.95" customHeight="1" x14ac:dyDescent="0.15">
      <c r="B627" s="26">
        <v>11</v>
      </c>
      <c r="C627" s="17"/>
      <c r="D627" s="24"/>
      <c r="E627" s="24"/>
      <c r="F627" s="129"/>
      <c r="G627" s="20"/>
      <c r="H627" s="20">
        <v>1</v>
      </c>
      <c r="I627" s="129">
        <f t="shared" si="49"/>
        <v>0</v>
      </c>
      <c r="J627" s="52">
        <f t="shared" si="50"/>
        <v>0</v>
      </c>
      <c r="K627" s="108"/>
      <c r="L627" s="113"/>
      <c r="M627" s="4"/>
      <c r="N627" s="4"/>
      <c r="O627" s="4"/>
      <c r="P627" s="4"/>
      <c r="Q627" s="4"/>
      <c r="R627" s="4"/>
      <c r="S627" s="4"/>
      <c r="T627" s="4"/>
    </row>
    <row r="628" spans="2:20" s="1" customFormat="1" ht="12.95" customHeight="1" x14ac:dyDescent="0.15">
      <c r="B628" s="26">
        <v>12</v>
      </c>
      <c r="C628" s="17"/>
      <c r="D628" s="18"/>
      <c r="E628" s="18"/>
      <c r="F628" s="129"/>
      <c r="G628" s="20"/>
      <c r="H628" s="20">
        <v>1</v>
      </c>
      <c r="I628" s="129">
        <f t="shared" si="49"/>
        <v>0</v>
      </c>
      <c r="J628" s="52">
        <f t="shared" si="50"/>
        <v>0</v>
      </c>
      <c r="K628" s="108"/>
      <c r="L628" s="113"/>
      <c r="M628" s="4"/>
      <c r="N628" s="4"/>
      <c r="O628" s="4"/>
      <c r="P628" s="4"/>
      <c r="Q628" s="4"/>
      <c r="R628" s="4"/>
      <c r="S628" s="4"/>
      <c r="T628" s="4"/>
    </row>
    <row r="629" spans="2:20" s="1" customFormat="1" ht="12.95" customHeight="1" x14ac:dyDescent="0.15">
      <c r="B629" s="26">
        <v>13</v>
      </c>
      <c r="C629" s="17"/>
      <c r="D629" s="18"/>
      <c r="E629" s="18"/>
      <c r="F629" s="129"/>
      <c r="G629" s="20"/>
      <c r="H629" s="20">
        <v>1</v>
      </c>
      <c r="I629" s="129">
        <f t="shared" si="49"/>
        <v>0</v>
      </c>
      <c r="J629" s="52">
        <f t="shared" si="50"/>
        <v>0</v>
      </c>
      <c r="K629" s="108"/>
      <c r="L629" s="113"/>
      <c r="M629" s="4"/>
      <c r="N629" s="4"/>
      <c r="O629" s="4"/>
      <c r="P629" s="4"/>
      <c r="Q629" s="4"/>
      <c r="R629" s="4"/>
      <c r="S629" s="4"/>
      <c r="T629" s="4"/>
    </row>
    <row r="630" spans="2:20" s="1" customFormat="1" ht="12.95" customHeight="1" x14ac:dyDescent="0.15">
      <c r="B630" s="26">
        <v>14</v>
      </c>
      <c r="C630" s="17"/>
      <c r="D630" s="18"/>
      <c r="E630" s="18"/>
      <c r="F630" s="129"/>
      <c r="G630" s="20"/>
      <c r="H630" s="20">
        <v>1</v>
      </c>
      <c r="I630" s="129">
        <f t="shared" si="49"/>
        <v>0</v>
      </c>
      <c r="J630" s="52">
        <f t="shared" si="50"/>
        <v>0</v>
      </c>
      <c r="K630" s="108"/>
      <c r="L630" s="113"/>
      <c r="M630" s="4"/>
      <c r="N630" s="4"/>
      <c r="O630" s="4"/>
      <c r="P630" s="4"/>
      <c r="Q630" s="4"/>
      <c r="R630" s="4"/>
      <c r="S630" s="4"/>
      <c r="T630" s="4"/>
    </row>
    <row r="631" spans="2:20" s="1" customFormat="1" ht="12.95" customHeight="1" x14ac:dyDescent="0.15">
      <c r="B631" s="26">
        <v>15</v>
      </c>
      <c r="C631" s="11"/>
      <c r="D631" s="18"/>
      <c r="E631" s="18"/>
      <c r="F631" s="129"/>
      <c r="G631" s="20"/>
      <c r="H631" s="20">
        <v>1</v>
      </c>
      <c r="I631" s="126">
        <f t="shared" si="49"/>
        <v>0</v>
      </c>
      <c r="J631" s="21">
        <f t="shared" si="50"/>
        <v>0</v>
      </c>
      <c r="K631" s="108"/>
      <c r="L631" s="113"/>
      <c r="M631" s="4"/>
      <c r="N631" s="4"/>
      <c r="O631" s="4"/>
      <c r="P631" s="4"/>
      <c r="Q631" s="4"/>
      <c r="R631" s="4"/>
      <c r="S631" s="4"/>
      <c r="T631" s="4"/>
    </row>
    <row r="632" spans="2:20" s="1" customFormat="1" ht="12.95" customHeight="1" x14ac:dyDescent="0.15">
      <c r="B632" s="26">
        <v>16</v>
      </c>
      <c r="C632" s="23"/>
      <c r="D632" s="49"/>
      <c r="E632" s="49"/>
      <c r="F632" s="126"/>
      <c r="G632" s="50"/>
      <c r="H632" s="20">
        <v>1</v>
      </c>
      <c r="I632" s="126">
        <f t="shared" si="49"/>
        <v>0</v>
      </c>
      <c r="J632" s="21">
        <f t="shared" si="50"/>
        <v>0</v>
      </c>
      <c r="K632" s="108"/>
      <c r="L632" s="113"/>
      <c r="M632" s="4"/>
      <c r="N632" s="4"/>
      <c r="O632" s="4"/>
      <c r="P632" s="4"/>
      <c r="Q632" s="4"/>
      <c r="R632" s="4"/>
      <c r="S632" s="4"/>
      <c r="T632" s="4"/>
    </row>
    <row r="633" spans="2:20" s="1" customFormat="1" ht="12.95" customHeight="1" x14ac:dyDescent="0.15">
      <c r="B633" s="26">
        <v>17</v>
      </c>
      <c r="C633" s="23"/>
      <c r="D633" s="48"/>
      <c r="E633" s="48"/>
      <c r="F633" s="126"/>
      <c r="G633" s="50"/>
      <c r="H633" s="20">
        <v>1</v>
      </c>
      <c r="I633" s="126">
        <f t="shared" si="49"/>
        <v>0</v>
      </c>
      <c r="J633" s="21">
        <f t="shared" si="50"/>
        <v>0</v>
      </c>
      <c r="K633" s="108"/>
      <c r="L633" s="113"/>
      <c r="M633" s="4"/>
      <c r="N633" s="4"/>
      <c r="O633" s="4"/>
      <c r="P633" s="4"/>
      <c r="Q633" s="4"/>
      <c r="R633" s="4"/>
      <c r="S633" s="4"/>
      <c r="T633" s="4"/>
    </row>
    <row r="634" spans="2:20" s="1" customFormat="1" ht="12.95" customHeight="1" x14ac:dyDescent="0.15">
      <c r="B634" s="26">
        <v>18</v>
      </c>
      <c r="C634" s="23"/>
      <c r="D634" s="48"/>
      <c r="E634" s="48"/>
      <c r="F634" s="126"/>
      <c r="G634" s="50"/>
      <c r="H634" s="20">
        <v>1</v>
      </c>
      <c r="I634" s="126">
        <f t="shared" si="49"/>
        <v>0</v>
      </c>
      <c r="J634" s="21">
        <f t="shared" si="50"/>
        <v>0</v>
      </c>
      <c r="K634" s="108"/>
      <c r="L634" s="113"/>
      <c r="M634" s="4"/>
      <c r="N634" s="4"/>
      <c r="O634" s="4"/>
      <c r="P634" s="4"/>
      <c r="Q634" s="4"/>
      <c r="R634" s="4"/>
      <c r="S634" s="4"/>
      <c r="T634" s="4"/>
    </row>
    <row r="635" spans="2:20" s="1" customFormat="1" ht="12.95" customHeight="1" x14ac:dyDescent="0.15">
      <c r="B635" s="26">
        <v>19</v>
      </c>
      <c r="C635" s="23"/>
      <c r="D635" s="48"/>
      <c r="E635" s="48"/>
      <c r="F635" s="126"/>
      <c r="G635" s="50"/>
      <c r="H635" s="20">
        <v>1</v>
      </c>
      <c r="I635" s="126">
        <f t="shared" si="49"/>
        <v>0</v>
      </c>
      <c r="J635" s="21">
        <f t="shared" si="50"/>
        <v>0</v>
      </c>
      <c r="K635" s="108"/>
      <c r="L635" s="113"/>
      <c r="M635" s="4"/>
      <c r="N635" s="4"/>
      <c r="O635" s="4"/>
      <c r="P635" s="4"/>
      <c r="Q635" s="4"/>
      <c r="R635" s="4"/>
      <c r="S635" s="4"/>
      <c r="T635" s="4"/>
    </row>
    <row r="636" spans="2:20" s="1" customFormat="1" ht="12.95" customHeight="1" x14ac:dyDescent="0.15">
      <c r="B636" s="26">
        <v>20</v>
      </c>
      <c r="C636" s="23"/>
      <c r="D636" s="48"/>
      <c r="E636" s="48"/>
      <c r="F636" s="126"/>
      <c r="G636" s="50"/>
      <c r="H636" s="20">
        <v>1</v>
      </c>
      <c r="I636" s="126">
        <f t="shared" si="49"/>
        <v>0</v>
      </c>
      <c r="J636" s="21">
        <f t="shared" si="50"/>
        <v>0</v>
      </c>
      <c r="K636" s="108"/>
      <c r="L636" s="113"/>
      <c r="M636" s="4"/>
      <c r="N636" s="4"/>
      <c r="O636" s="4"/>
      <c r="P636" s="4"/>
      <c r="Q636" s="4"/>
      <c r="R636" s="4"/>
      <c r="S636" s="4"/>
      <c r="T636" s="4"/>
    </row>
    <row r="637" spans="2:20" s="1" customFormat="1" ht="12.95" customHeight="1" x14ac:dyDescent="0.15">
      <c r="B637" s="26"/>
      <c r="C637" s="23"/>
      <c r="D637" s="48"/>
      <c r="E637" s="48"/>
      <c r="F637" s="126"/>
      <c r="G637" s="50"/>
      <c r="H637" s="50"/>
      <c r="I637" s="126"/>
      <c r="J637" s="38"/>
      <c r="K637" s="108"/>
      <c r="L637" s="113"/>
      <c r="M637" s="4"/>
      <c r="N637" s="4"/>
      <c r="O637" s="4"/>
      <c r="P637" s="4"/>
      <c r="Q637" s="4"/>
      <c r="R637" s="4"/>
      <c r="S637" s="4"/>
      <c r="T637" s="4"/>
    </row>
    <row r="638" spans="2:20" s="1" customFormat="1" ht="12.95" customHeight="1" x14ac:dyDescent="0.15">
      <c r="B638" s="26"/>
      <c r="C638" s="23"/>
      <c r="D638" s="48"/>
      <c r="E638" s="48"/>
      <c r="F638" s="126"/>
      <c r="G638" s="50"/>
      <c r="H638" s="50"/>
      <c r="I638" s="126"/>
      <c r="J638" s="38"/>
      <c r="K638" s="108"/>
      <c r="L638" s="113"/>
      <c r="M638" s="4"/>
      <c r="N638" s="4"/>
      <c r="O638" s="4"/>
      <c r="P638" s="4"/>
      <c r="Q638" s="4"/>
      <c r="R638" s="4"/>
      <c r="S638" s="4"/>
      <c r="T638" s="4"/>
    </row>
    <row r="639" spans="2:20" s="1" customFormat="1" ht="12.95" customHeight="1" x14ac:dyDescent="0.15">
      <c r="B639" s="26"/>
      <c r="C639" s="95" t="s">
        <v>132</v>
      </c>
      <c r="D639" s="49"/>
      <c r="E639" s="49"/>
      <c r="F639" s="126"/>
      <c r="G639" s="50"/>
      <c r="H639" s="50"/>
      <c r="I639" s="126"/>
      <c r="J639" s="21"/>
      <c r="K639" s="108"/>
      <c r="L639" s="113"/>
      <c r="M639" s="57"/>
      <c r="N639" s="57"/>
      <c r="O639" s="57"/>
      <c r="P639" s="57"/>
      <c r="Q639" s="58"/>
      <c r="R639" s="57"/>
      <c r="S639" s="4"/>
      <c r="T639" s="57"/>
    </row>
    <row r="640" spans="2:20" s="1" customFormat="1" ht="12.95" customHeight="1" x14ac:dyDescent="0.15">
      <c r="B640" s="26">
        <v>1</v>
      </c>
      <c r="C640" s="60"/>
      <c r="D640" s="49"/>
      <c r="E640" s="49"/>
      <c r="F640" s="126"/>
      <c r="G640" s="50"/>
      <c r="H640" s="50">
        <v>1</v>
      </c>
      <c r="I640" s="126">
        <f>J640*$C$32</f>
        <v>0</v>
      </c>
      <c r="J640" s="21">
        <f t="shared" ref="J640:J659" si="51">(F640*G640*H640)/$C$32</f>
        <v>0</v>
      </c>
      <c r="K640" s="108"/>
      <c r="L640" s="113"/>
      <c r="M640" s="57"/>
      <c r="N640" s="57"/>
      <c r="O640" s="57"/>
      <c r="P640" s="57"/>
      <c r="Q640" s="58"/>
      <c r="R640" s="57"/>
      <c r="S640" s="4"/>
      <c r="T640" s="57"/>
    </row>
    <row r="641" spans="2:20" s="1" customFormat="1" ht="12.95" customHeight="1" x14ac:dyDescent="0.15">
      <c r="B641" s="26">
        <v>2</v>
      </c>
      <c r="C641" s="59"/>
      <c r="D641" s="49"/>
      <c r="E641" s="49"/>
      <c r="F641" s="126"/>
      <c r="G641" s="50"/>
      <c r="H641" s="50">
        <v>1</v>
      </c>
      <c r="I641" s="126">
        <f t="shared" ref="I641:I659" si="52">J641*$C$32</f>
        <v>0</v>
      </c>
      <c r="J641" s="21">
        <f t="shared" si="51"/>
        <v>0</v>
      </c>
      <c r="K641" s="108"/>
      <c r="L641" s="113"/>
      <c r="M641" s="57"/>
      <c r="N641" s="57"/>
      <c r="O641" s="57"/>
      <c r="P641" s="57"/>
      <c r="Q641" s="58"/>
      <c r="R641" s="57"/>
      <c r="S641" s="4"/>
      <c r="T641" s="57"/>
    </row>
    <row r="642" spans="2:20" s="1" customFormat="1" ht="12.95" customHeight="1" x14ac:dyDescent="0.15">
      <c r="B642" s="26">
        <v>3</v>
      </c>
      <c r="C642" s="61"/>
      <c r="D642" s="49"/>
      <c r="E642" s="49"/>
      <c r="F642" s="126"/>
      <c r="G642" s="50"/>
      <c r="H642" s="50">
        <v>1</v>
      </c>
      <c r="I642" s="126">
        <f t="shared" si="52"/>
        <v>0</v>
      </c>
      <c r="J642" s="21">
        <f t="shared" si="51"/>
        <v>0</v>
      </c>
      <c r="K642" s="108"/>
      <c r="L642" s="113"/>
      <c r="M642" s="57"/>
      <c r="N642" s="57"/>
      <c r="O642" s="57"/>
      <c r="P642" s="57"/>
      <c r="Q642" s="58"/>
      <c r="R642" s="57"/>
      <c r="S642" s="4"/>
      <c r="T642" s="57"/>
    </row>
    <row r="643" spans="2:20" s="1" customFormat="1" ht="12.95" customHeight="1" x14ac:dyDescent="0.15">
      <c r="B643" s="16">
        <v>4</v>
      </c>
      <c r="C643" s="11"/>
      <c r="D643" s="18"/>
      <c r="E643" s="18"/>
      <c r="F643" s="129"/>
      <c r="G643" s="20"/>
      <c r="H643" s="20">
        <v>1</v>
      </c>
      <c r="I643" s="126">
        <f t="shared" si="52"/>
        <v>0</v>
      </c>
      <c r="J643" s="21">
        <f t="shared" si="51"/>
        <v>0</v>
      </c>
      <c r="K643" s="80"/>
      <c r="L643" s="82"/>
      <c r="M643" s="10"/>
      <c r="N643" s="10"/>
      <c r="O643" s="10"/>
      <c r="P643" s="10"/>
      <c r="Q643" s="43"/>
      <c r="R643" s="10"/>
      <c r="T643" s="10"/>
    </row>
    <row r="644" spans="2:20" s="1" customFormat="1" ht="12.95" customHeight="1" x14ac:dyDescent="0.15">
      <c r="B644" s="16">
        <v>5</v>
      </c>
      <c r="C644" s="46"/>
      <c r="D644" s="18"/>
      <c r="E644" s="18"/>
      <c r="F644" s="129"/>
      <c r="G644" s="20"/>
      <c r="H644" s="20">
        <v>1</v>
      </c>
      <c r="I644" s="126">
        <f t="shared" si="52"/>
        <v>0</v>
      </c>
      <c r="J644" s="21">
        <f t="shared" si="51"/>
        <v>0</v>
      </c>
      <c r="K644" s="80"/>
      <c r="L644" s="82"/>
      <c r="M644" s="10"/>
      <c r="N644" s="10"/>
      <c r="O644" s="10"/>
      <c r="P644" s="10"/>
      <c r="Q644" s="43"/>
      <c r="R644" s="10"/>
      <c r="T644" s="10"/>
    </row>
    <row r="645" spans="2:20" s="1" customFormat="1" ht="12.95" customHeight="1" x14ac:dyDescent="0.15">
      <c r="B645" s="16">
        <v>6</v>
      </c>
      <c r="C645" s="11"/>
      <c r="D645" s="18"/>
      <c r="E645" s="18"/>
      <c r="F645" s="129"/>
      <c r="G645" s="20"/>
      <c r="H645" s="20">
        <v>1</v>
      </c>
      <c r="I645" s="126">
        <f t="shared" si="52"/>
        <v>0</v>
      </c>
      <c r="J645" s="21">
        <f t="shared" si="51"/>
        <v>0</v>
      </c>
      <c r="K645" s="80"/>
      <c r="L645" s="82"/>
      <c r="M645" s="10"/>
      <c r="N645" s="10"/>
      <c r="O645" s="10"/>
      <c r="P645" s="10"/>
      <c r="Q645" s="43"/>
      <c r="R645" s="10"/>
      <c r="T645" s="10"/>
    </row>
    <row r="646" spans="2:20" s="1" customFormat="1" ht="12.95" customHeight="1" x14ac:dyDescent="0.15">
      <c r="B646" s="16">
        <v>7</v>
      </c>
      <c r="C646" s="11"/>
      <c r="D646" s="18"/>
      <c r="E646" s="18"/>
      <c r="F646" s="129"/>
      <c r="G646" s="20"/>
      <c r="H646" s="20">
        <v>1</v>
      </c>
      <c r="I646" s="126">
        <f t="shared" si="52"/>
        <v>0</v>
      </c>
      <c r="J646" s="21">
        <f t="shared" si="51"/>
        <v>0</v>
      </c>
      <c r="K646" s="80"/>
      <c r="L646" s="82"/>
      <c r="M646" s="10"/>
      <c r="N646" s="10"/>
      <c r="O646" s="10"/>
      <c r="P646" s="10"/>
      <c r="Q646" s="43"/>
      <c r="R646" s="10"/>
      <c r="T646" s="10"/>
    </row>
    <row r="647" spans="2:20" s="1" customFormat="1" ht="12.95" customHeight="1" x14ac:dyDescent="0.15">
      <c r="B647" s="16">
        <v>8</v>
      </c>
      <c r="C647" s="11"/>
      <c r="D647" s="18"/>
      <c r="E647" s="18"/>
      <c r="F647" s="129"/>
      <c r="G647" s="20"/>
      <c r="H647" s="20">
        <v>1</v>
      </c>
      <c r="I647" s="126">
        <f t="shared" si="52"/>
        <v>0</v>
      </c>
      <c r="J647" s="21">
        <f t="shared" si="51"/>
        <v>0</v>
      </c>
      <c r="K647" s="80"/>
      <c r="L647" s="82"/>
      <c r="M647" s="10"/>
      <c r="N647" s="10"/>
      <c r="O647" s="10"/>
      <c r="P647" s="10"/>
      <c r="Q647" s="43"/>
      <c r="R647" s="10"/>
      <c r="T647" s="10"/>
    </row>
    <row r="648" spans="2:20" s="1" customFormat="1" ht="12.95" customHeight="1" x14ac:dyDescent="0.15">
      <c r="B648" s="16">
        <v>9</v>
      </c>
      <c r="C648" s="11"/>
      <c r="D648" s="18"/>
      <c r="E648" s="18"/>
      <c r="F648" s="129"/>
      <c r="G648" s="20"/>
      <c r="H648" s="20">
        <v>1</v>
      </c>
      <c r="I648" s="126">
        <f t="shared" si="52"/>
        <v>0</v>
      </c>
      <c r="J648" s="21">
        <f t="shared" si="51"/>
        <v>0</v>
      </c>
      <c r="K648" s="80"/>
      <c r="L648" s="82"/>
      <c r="M648" s="10"/>
      <c r="N648" s="10"/>
      <c r="O648" s="10"/>
      <c r="P648" s="10"/>
      <c r="Q648" s="43"/>
      <c r="R648" s="10"/>
      <c r="T648" s="10"/>
    </row>
    <row r="649" spans="2:20" s="1" customFormat="1" ht="12.95" customHeight="1" x14ac:dyDescent="0.15">
      <c r="B649" s="16">
        <v>10</v>
      </c>
      <c r="C649" s="11"/>
      <c r="D649" s="18"/>
      <c r="E649" s="18"/>
      <c r="F649" s="129"/>
      <c r="G649" s="20"/>
      <c r="H649" s="20">
        <v>1</v>
      </c>
      <c r="I649" s="126">
        <f t="shared" si="52"/>
        <v>0</v>
      </c>
      <c r="J649" s="21">
        <f t="shared" si="51"/>
        <v>0</v>
      </c>
      <c r="K649" s="80"/>
      <c r="L649" s="82"/>
      <c r="M649" s="10"/>
      <c r="N649" s="10"/>
      <c r="O649" s="10"/>
      <c r="P649" s="10"/>
      <c r="Q649" s="43"/>
      <c r="R649" s="10"/>
      <c r="T649" s="10"/>
    </row>
    <row r="650" spans="2:20" s="1" customFormat="1" ht="12.95" customHeight="1" x14ac:dyDescent="0.15">
      <c r="B650" s="16">
        <v>11</v>
      </c>
      <c r="C650" s="11"/>
      <c r="D650" s="18"/>
      <c r="E650" s="18"/>
      <c r="F650" s="129"/>
      <c r="G650" s="20"/>
      <c r="H650" s="20">
        <v>1</v>
      </c>
      <c r="I650" s="126">
        <f t="shared" si="52"/>
        <v>0</v>
      </c>
      <c r="J650" s="21">
        <f t="shared" si="51"/>
        <v>0</v>
      </c>
      <c r="K650" s="80"/>
      <c r="L650" s="82"/>
      <c r="M650" s="10"/>
      <c r="N650" s="10"/>
      <c r="O650" s="10"/>
      <c r="P650" s="10"/>
      <c r="Q650" s="43"/>
      <c r="R650" s="10"/>
      <c r="T650" s="10"/>
    </row>
    <row r="651" spans="2:20" s="1" customFormat="1" ht="12.95" customHeight="1" x14ac:dyDescent="0.15">
      <c r="B651" s="16">
        <v>12</v>
      </c>
      <c r="C651" s="11"/>
      <c r="D651" s="18"/>
      <c r="E651" s="18"/>
      <c r="F651" s="129"/>
      <c r="G651" s="20"/>
      <c r="H651" s="20">
        <v>1</v>
      </c>
      <c r="I651" s="126">
        <f t="shared" si="52"/>
        <v>0</v>
      </c>
      <c r="J651" s="21">
        <f t="shared" si="51"/>
        <v>0</v>
      </c>
      <c r="K651" s="80"/>
      <c r="L651" s="82"/>
      <c r="M651" s="10"/>
      <c r="N651" s="10"/>
      <c r="O651" s="10"/>
      <c r="P651" s="10"/>
      <c r="Q651" s="43"/>
      <c r="R651" s="10"/>
      <c r="T651" s="10"/>
    </row>
    <row r="652" spans="2:20" s="1" customFormat="1" ht="12.95" customHeight="1" x14ac:dyDescent="0.15">
      <c r="B652" s="16">
        <v>13</v>
      </c>
      <c r="C652" s="11"/>
      <c r="D652" s="18"/>
      <c r="E652" s="18"/>
      <c r="F652" s="129"/>
      <c r="G652" s="20"/>
      <c r="H652" s="20">
        <v>1</v>
      </c>
      <c r="I652" s="126">
        <f t="shared" si="52"/>
        <v>0</v>
      </c>
      <c r="J652" s="21">
        <f t="shared" si="51"/>
        <v>0</v>
      </c>
      <c r="K652" s="80"/>
      <c r="L652" s="82"/>
      <c r="M652" s="10"/>
      <c r="N652" s="10"/>
      <c r="O652" s="10"/>
      <c r="P652" s="10"/>
      <c r="Q652" s="43"/>
      <c r="R652" s="10"/>
      <c r="T652" s="10"/>
    </row>
    <row r="653" spans="2:20" s="1" customFormat="1" ht="12.95" customHeight="1" x14ac:dyDescent="0.15">
      <c r="B653" s="16">
        <v>14</v>
      </c>
      <c r="C653" s="11"/>
      <c r="D653" s="18"/>
      <c r="E653" s="18"/>
      <c r="F653" s="129"/>
      <c r="G653" s="20"/>
      <c r="H653" s="20">
        <v>1</v>
      </c>
      <c r="I653" s="126">
        <f t="shared" si="52"/>
        <v>0</v>
      </c>
      <c r="J653" s="21">
        <f t="shared" si="51"/>
        <v>0</v>
      </c>
      <c r="K653" s="80"/>
      <c r="L653" s="82"/>
      <c r="M653" s="10"/>
      <c r="N653" s="10"/>
      <c r="O653" s="10"/>
      <c r="P653" s="10"/>
      <c r="Q653" s="43"/>
      <c r="R653" s="10"/>
      <c r="T653" s="10"/>
    </row>
    <row r="654" spans="2:20" s="1" customFormat="1" ht="12.95" customHeight="1" x14ac:dyDescent="0.15">
      <c r="B654" s="16">
        <v>15</v>
      </c>
      <c r="C654" s="11"/>
      <c r="D654" s="18"/>
      <c r="E654" s="18"/>
      <c r="F654" s="129"/>
      <c r="G654" s="20"/>
      <c r="H654" s="20">
        <v>1</v>
      </c>
      <c r="I654" s="126">
        <f t="shared" si="52"/>
        <v>0</v>
      </c>
      <c r="J654" s="21">
        <f t="shared" si="51"/>
        <v>0</v>
      </c>
      <c r="K654" s="80"/>
      <c r="L654" s="82"/>
      <c r="M654" s="10"/>
      <c r="N654" s="10"/>
      <c r="O654" s="10"/>
      <c r="P654" s="10"/>
      <c r="Q654" s="43"/>
      <c r="R654" s="10"/>
      <c r="T654" s="10"/>
    </row>
    <row r="655" spans="2:20" s="1" customFormat="1" ht="12.95" customHeight="1" x14ac:dyDescent="0.15">
      <c r="B655" s="16">
        <v>16</v>
      </c>
      <c r="C655" s="11"/>
      <c r="D655" s="18"/>
      <c r="E655" s="18"/>
      <c r="F655" s="129"/>
      <c r="G655" s="20"/>
      <c r="H655" s="20">
        <v>1</v>
      </c>
      <c r="I655" s="126">
        <f t="shared" si="52"/>
        <v>0</v>
      </c>
      <c r="J655" s="21">
        <f t="shared" si="51"/>
        <v>0</v>
      </c>
      <c r="K655" s="80"/>
      <c r="L655" s="82"/>
      <c r="M655" s="10"/>
      <c r="N655" s="10"/>
      <c r="O655" s="10"/>
      <c r="P655" s="10"/>
      <c r="Q655" s="43"/>
      <c r="R655" s="10"/>
      <c r="T655" s="10"/>
    </row>
    <row r="656" spans="2:20" s="1" customFormat="1" ht="12.95" customHeight="1" x14ac:dyDescent="0.15">
      <c r="B656" s="16">
        <v>17</v>
      </c>
      <c r="C656" s="11"/>
      <c r="D656" s="18"/>
      <c r="E656" s="18"/>
      <c r="F656" s="129"/>
      <c r="G656" s="20"/>
      <c r="H656" s="20">
        <v>1</v>
      </c>
      <c r="I656" s="126">
        <f t="shared" si="52"/>
        <v>0</v>
      </c>
      <c r="J656" s="21">
        <f t="shared" si="51"/>
        <v>0</v>
      </c>
      <c r="K656" s="80"/>
      <c r="L656" s="82"/>
      <c r="M656" s="10"/>
      <c r="N656" s="10"/>
      <c r="O656" s="10"/>
      <c r="P656" s="10"/>
      <c r="Q656" s="43"/>
      <c r="R656" s="10"/>
      <c r="T656" s="10"/>
    </row>
    <row r="657" spans="2:20" s="1" customFormat="1" ht="12.95" customHeight="1" x14ac:dyDescent="0.15">
      <c r="B657" s="16">
        <v>18</v>
      </c>
      <c r="C657" s="11"/>
      <c r="D657" s="18"/>
      <c r="E657" s="18"/>
      <c r="F657" s="129"/>
      <c r="G657" s="20"/>
      <c r="H657" s="20">
        <v>1</v>
      </c>
      <c r="I657" s="126">
        <f t="shared" si="52"/>
        <v>0</v>
      </c>
      <c r="J657" s="21">
        <f t="shared" si="51"/>
        <v>0</v>
      </c>
      <c r="K657" s="111"/>
      <c r="L657" s="119"/>
      <c r="M657" s="10"/>
      <c r="N657" s="10"/>
      <c r="O657" s="10"/>
      <c r="P657" s="10"/>
      <c r="Q657" s="43"/>
      <c r="R657" s="10"/>
      <c r="T657" s="10"/>
    </row>
    <row r="658" spans="2:20" s="1" customFormat="1" ht="12.95" customHeight="1" x14ac:dyDescent="0.15">
      <c r="B658" s="16">
        <v>19</v>
      </c>
      <c r="C658" s="16"/>
      <c r="D658" s="18"/>
      <c r="E658" s="18"/>
      <c r="F658" s="129"/>
      <c r="G658" s="20"/>
      <c r="H658" s="20">
        <v>1</v>
      </c>
      <c r="I658" s="126">
        <f t="shared" si="52"/>
        <v>0</v>
      </c>
      <c r="J658" s="259">
        <f t="shared" si="51"/>
        <v>0</v>
      </c>
      <c r="K658" s="82"/>
      <c r="L658" s="82"/>
      <c r="M658" s="10"/>
      <c r="N658" s="10"/>
      <c r="O658" s="10"/>
      <c r="P658" s="10"/>
      <c r="Q658" s="43"/>
      <c r="R658" s="10"/>
      <c r="T658" s="10"/>
    </row>
    <row r="659" spans="2:20" s="1" customFormat="1" ht="12.95" customHeight="1" x14ac:dyDescent="0.15">
      <c r="B659" s="16">
        <v>20</v>
      </c>
      <c r="C659" s="11"/>
      <c r="D659" s="18"/>
      <c r="E659" s="18"/>
      <c r="F659" s="129"/>
      <c r="G659" s="20"/>
      <c r="H659" s="20">
        <v>1</v>
      </c>
      <c r="I659" s="126">
        <f t="shared" si="52"/>
        <v>0</v>
      </c>
      <c r="J659" s="260">
        <f t="shared" si="51"/>
        <v>0</v>
      </c>
      <c r="K659" s="82"/>
      <c r="L659" s="82"/>
      <c r="M659" s="10"/>
      <c r="N659" s="10"/>
      <c r="O659" s="10"/>
      <c r="P659" s="10"/>
      <c r="Q659" s="43"/>
      <c r="R659" s="10"/>
      <c r="T659" s="10"/>
    </row>
    <row r="660" spans="2:20" s="1" customFormat="1" ht="12.95" customHeight="1" x14ac:dyDescent="0.15">
      <c r="B660" s="16"/>
      <c r="C660" s="17"/>
      <c r="D660" s="62"/>
      <c r="E660" s="63"/>
      <c r="F660" s="129"/>
      <c r="G660" s="20"/>
      <c r="H660" s="20"/>
      <c r="I660" s="254"/>
      <c r="J660" s="261"/>
      <c r="K660" s="82"/>
      <c r="L660" s="82"/>
    </row>
    <row r="661" spans="2:20" s="1" customFormat="1" ht="13.15" customHeight="1" x14ac:dyDescent="0.15">
      <c r="B661" s="83"/>
      <c r="C661" s="98"/>
      <c r="D661" s="99"/>
      <c r="E661" s="98"/>
      <c r="F661" s="127">
        <f>SUM(F602:F660)</f>
        <v>0</v>
      </c>
      <c r="G661" s="100"/>
      <c r="H661" s="101"/>
      <c r="I661" s="258">
        <f>SUM(I602:I660)</f>
        <v>0</v>
      </c>
      <c r="J661" s="106">
        <f>SUM(J604:J640)</f>
        <v>0</v>
      </c>
    </row>
    <row r="662" spans="2:20" s="1" customFormat="1" ht="13.15" customHeight="1" x14ac:dyDescent="0.15">
      <c r="B662" s="82"/>
      <c r="C662" s="102"/>
      <c r="D662" s="103"/>
      <c r="E662" s="102" t="s">
        <v>147</v>
      </c>
      <c r="F662" s="128">
        <f>100/115*F661</f>
        <v>0</v>
      </c>
      <c r="G662" s="104"/>
      <c r="H662" s="105" t="s">
        <v>147</v>
      </c>
      <c r="I662" s="256">
        <f>100/115*I661</f>
        <v>0</v>
      </c>
      <c r="J662" s="106">
        <f>SUM(J605:J641)</f>
        <v>0</v>
      </c>
    </row>
    <row r="663" spans="2:20" s="1" customFormat="1" ht="13.15" customHeight="1" x14ac:dyDescent="0.15">
      <c r="I663" s="135"/>
    </row>
    <row r="664" spans="2:20" s="1" customFormat="1" ht="13.15" customHeight="1" x14ac:dyDescent="0.15">
      <c r="I664" s="135"/>
    </row>
    <row r="665" spans="2:20" s="1" customFormat="1" ht="13.15" customHeight="1" x14ac:dyDescent="0.15">
      <c r="I665" s="135"/>
    </row>
    <row r="666" spans="2:20" s="1" customFormat="1" ht="13.15" customHeight="1" x14ac:dyDescent="0.15">
      <c r="I666" s="135"/>
    </row>
    <row r="667" spans="2:20" s="247" customFormat="1" ht="32.25" x14ac:dyDescent="0.4">
      <c r="B667" s="248"/>
      <c r="C667" s="380" t="s">
        <v>112</v>
      </c>
      <c r="D667" s="380"/>
      <c r="E667" s="428" t="s">
        <v>164</v>
      </c>
      <c r="F667" s="428"/>
      <c r="G667" s="428"/>
      <c r="H667" s="428"/>
      <c r="I667" s="428"/>
      <c r="J667" s="382">
        <v>2026</v>
      </c>
      <c r="K667" s="382"/>
      <c r="L667" s="382"/>
    </row>
    <row r="668" spans="2:20" s="1" customFormat="1" ht="39.6" customHeight="1" x14ac:dyDescent="0.15">
      <c r="B668" s="82"/>
      <c r="C668" s="102" t="s">
        <v>114</v>
      </c>
      <c r="D668" s="388" t="s">
        <v>115</v>
      </c>
      <c r="E668" s="388"/>
      <c r="F668" s="102" t="s">
        <v>116</v>
      </c>
      <c r="G668" s="102" t="s">
        <v>117</v>
      </c>
      <c r="H668" s="102" t="s">
        <v>118</v>
      </c>
      <c r="I668" s="141" t="s">
        <v>119</v>
      </c>
      <c r="J668" s="102" t="s">
        <v>120</v>
      </c>
      <c r="K668" s="82"/>
      <c r="L668" s="82"/>
    </row>
    <row r="669" spans="2:20" s="1" customFormat="1" ht="13.15" customHeight="1" x14ac:dyDescent="0.15">
      <c r="B669" s="82"/>
      <c r="C669" s="66">
        <f>C599</f>
        <v>450</v>
      </c>
      <c r="D669" s="389">
        <v>20</v>
      </c>
      <c r="E669" s="389"/>
      <c r="F669" s="13">
        <f>F599</f>
        <v>0.8</v>
      </c>
      <c r="G669" s="14">
        <f>G599</f>
        <v>8</v>
      </c>
      <c r="H669" s="142">
        <f>D669*G669*F669</f>
        <v>128</v>
      </c>
      <c r="I669" s="66">
        <f>I731</f>
        <v>0</v>
      </c>
      <c r="J669" s="143">
        <f>H669-J731</f>
        <v>128</v>
      </c>
      <c r="K669" s="82"/>
      <c r="L669" s="82"/>
    </row>
    <row r="670" spans="2:20" s="1" customFormat="1" ht="66" customHeight="1" x14ac:dyDescent="0.15">
      <c r="B670" s="84"/>
      <c r="C670" s="136" t="s">
        <v>121</v>
      </c>
      <c r="D670" s="420" t="s">
        <v>122</v>
      </c>
      <c r="E670" s="421"/>
      <c r="F670" s="137" t="s">
        <v>123</v>
      </c>
      <c r="G670" s="138" t="s">
        <v>124</v>
      </c>
      <c r="H670" s="139" t="s">
        <v>125</v>
      </c>
      <c r="I670" s="140" t="s">
        <v>126</v>
      </c>
      <c r="J670" s="138" t="s">
        <v>127</v>
      </c>
      <c r="K670" s="122" t="s">
        <v>128</v>
      </c>
      <c r="L670" s="123" t="s">
        <v>129</v>
      </c>
    </row>
    <row r="671" spans="2:20" s="1" customFormat="1" ht="12.95" customHeight="1" x14ac:dyDescent="0.15">
      <c r="B671" s="16"/>
      <c r="C671" s="17"/>
      <c r="D671" s="422"/>
      <c r="E671" s="423"/>
      <c r="F671" s="36"/>
      <c r="G671" s="20"/>
      <c r="H671" s="20"/>
      <c r="I671" s="126"/>
      <c r="J671" s="21"/>
      <c r="K671" s="80"/>
      <c r="L671" s="82"/>
    </row>
    <row r="672" spans="2:20" s="1" customFormat="1" ht="12.95" customHeight="1" x14ac:dyDescent="0.15">
      <c r="B672" s="16"/>
      <c r="C672" s="37" t="s">
        <v>130</v>
      </c>
      <c r="D672" s="24"/>
      <c r="E672" s="24"/>
      <c r="F672" s="129"/>
      <c r="G672" s="20"/>
      <c r="H672" s="20"/>
      <c r="I672" s="126"/>
      <c r="J672" s="38"/>
      <c r="K672" s="80"/>
      <c r="L672" s="82"/>
    </row>
    <row r="673" spans="2:13" s="1" customFormat="1" ht="12.75" customHeight="1" x14ac:dyDescent="0.15">
      <c r="B673" s="16"/>
      <c r="C673" s="72" t="s">
        <v>149</v>
      </c>
      <c r="D673" s="24"/>
      <c r="E673" s="24"/>
      <c r="F673" s="129"/>
      <c r="G673" s="20"/>
      <c r="H673" s="20"/>
      <c r="I673" s="126"/>
      <c r="J673" s="38"/>
      <c r="K673" s="80"/>
      <c r="L673" s="82"/>
    </row>
    <row r="674" spans="2:13" s="1" customFormat="1" ht="16.5" x14ac:dyDescent="0.15">
      <c r="B674" s="16">
        <v>1</v>
      </c>
      <c r="C674" s="23"/>
      <c r="D674" s="48"/>
      <c r="E674" s="48"/>
      <c r="F674" s="126"/>
      <c r="G674" s="50"/>
      <c r="H674" s="20">
        <v>1</v>
      </c>
      <c r="I674" s="126">
        <f t="shared" ref="I674:I696" si="53">J674*$C$32</f>
        <v>0</v>
      </c>
      <c r="J674" s="38">
        <f t="shared" ref="J674:J690" si="54">(F674*G674*H674)/$C$32</f>
        <v>0</v>
      </c>
      <c r="K674" s="80"/>
      <c r="L674" s="82"/>
      <c r="M674" s="133"/>
    </row>
    <row r="675" spans="2:13" s="1" customFormat="1" ht="12.75" customHeight="1" x14ac:dyDescent="0.15">
      <c r="B675" s="16">
        <v>2</v>
      </c>
      <c r="C675" s="23"/>
      <c r="D675" s="97"/>
      <c r="E675" s="97"/>
      <c r="F675" s="126"/>
      <c r="G675" s="50"/>
      <c r="H675" s="20">
        <v>1</v>
      </c>
      <c r="I675" s="126">
        <f t="shared" si="53"/>
        <v>0</v>
      </c>
      <c r="J675" s="38">
        <f t="shared" si="54"/>
        <v>0</v>
      </c>
      <c r="K675" s="80"/>
      <c r="L675" s="82"/>
      <c r="M675" s="134"/>
    </row>
    <row r="676" spans="2:13" s="1" customFormat="1" ht="12.75" customHeight="1" x14ac:dyDescent="0.15">
      <c r="B676" s="16">
        <v>3</v>
      </c>
      <c r="C676" s="23"/>
      <c r="D676" s="48"/>
      <c r="E676" s="48"/>
      <c r="F676" s="126"/>
      <c r="G676" s="50"/>
      <c r="H676" s="20">
        <v>1</v>
      </c>
      <c r="I676" s="126">
        <f t="shared" si="53"/>
        <v>0</v>
      </c>
      <c r="J676" s="38">
        <f t="shared" si="54"/>
        <v>0</v>
      </c>
      <c r="K676" s="80"/>
      <c r="L676" s="82"/>
    </row>
    <row r="677" spans="2:13" s="1" customFormat="1" ht="12.75" x14ac:dyDescent="0.15">
      <c r="B677" s="16">
        <v>4</v>
      </c>
      <c r="C677" s="26"/>
      <c r="D677" s="49"/>
      <c r="E677" s="49"/>
      <c r="F677" s="126"/>
      <c r="G677" s="50"/>
      <c r="H677" s="20">
        <v>1</v>
      </c>
      <c r="I677" s="126">
        <f t="shared" si="53"/>
        <v>0</v>
      </c>
      <c r="J677" s="38">
        <f t="shared" si="54"/>
        <v>0</v>
      </c>
      <c r="K677" s="80"/>
      <c r="L677" s="82"/>
    </row>
    <row r="678" spans="2:13" s="1" customFormat="1" ht="12.75" customHeight="1" x14ac:dyDescent="0.15">
      <c r="B678" s="16">
        <v>5</v>
      </c>
      <c r="C678" s="23"/>
      <c r="D678" s="48"/>
      <c r="E678" s="48"/>
      <c r="F678" s="126"/>
      <c r="G678" s="50"/>
      <c r="H678" s="20">
        <v>1</v>
      </c>
      <c r="I678" s="126">
        <f t="shared" si="53"/>
        <v>0</v>
      </c>
      <c r="J678" s="38">
        <f t="shared" si="54"/>
        <v>0</v>
      </c>
      <c r="K678" s="80"/>
      <c r="L678" s="82"/>
    </row>
    <row r="679" spans="2:13" s="1" customFormat="1" ht="12.95" customHeight="1" x14ac:dyDescent="0.15">
      <c r="B679" s="16">
        <v>6</v>
      </c>
      <c r="C679" s="23"/>
      <c r="D679" s="48"/>
      <c r="E679" s="48"/>
      <c r="F679" s="126"/>
      <c r="G679" s="50"/>
      <c r="H679" s="20">
        <v>1</v>
      </c>
      <c r="I679" s="126">
        <f t="shared" si="53"/>
        <v>0</v>
      </c>
      <c r="J679" s="38">
        <f t="shared" si="54"/>
        <v>0</v>
      </c>
      <c r="K679" s="80"/>
      <c r="L679" s="82"/>
    </row>
    <row r="680" spans="2:13" s="1" customFormat="1" ht="12.95" customHeight="1" x14ac:dyDescent="0.15">
      <c r="B680" s="16">
        <v>7</v>
      </c>
      <c r="C680" s="23"/>
      <c r="D680" s="48"/>
      <c r="E680" s="48"/>
      <c r="F680" s="126"/>
      <c r="G680" s="50"/>
      <c r="H680" s="20">
        <v>1</v>
      </c>
      <c r="I680" s="126">
        <f t="shared" si="53"/>
        <v>0</v>
      </c>
      <c r="J680" s="38">
        <f t="shared" si="54"/>
        <v>0</v>
      </c>
      <c r="K680" s="80"/>
      <c r="L680" s="82"/>
    </row>
    <row r="681" spans="2:13" s="1" customFormat="1" ht="12.95" customHeight="1" x14ac:dyDescent="0.15">
      <c r="B681" s="16">
        <v>8</v>
      </c>
      <c r="C681" s="23"/>
      <c r="D681" s="48"/>
      <c r="E681" s="48"/>
      <c r="F681" s="126"/>
      <c r="G681" s="50"/>
      <c r="H681" s="20">
        <v>1</v>
      </c>
      <c r="I681" s="126">
        <f t="shared" si="53"/>
        <v>0</v>
      </c>
      <c r="J681" s="38">
        <f t="shared" si="54"/>
        <v>0</v>
      </c>
      <c r="K681" s="80"/>
      <c r="L681" s="82"/>
    </row>
    <row r="682" spans="2:13" s="1" customFormat="1" ht="12.95" customHeight="1" x14ac:dyDescent="0.15">
      <c r="B682" s="16">
        <v>9</v>
      </c>
      <c r="C682" s="23"/>
      <c r="D682" s="48"/>
      <c r="E682" s="48"/>
      <c r="F682" s="126"/>
      <c r="G682" s="50"/>
      <c r="H682" s="20">
        <v>1</v>
      </c>
      <c r="I682" s="126">
        <f t="shared" si="53"/>
        <v>0</v>
      </c>
      <c r="J682" s="38">
        <f t="shared" si="54"/>
        <v>0</v>
      </c>
      <c r="K682" s="80"/>
      <c r="L682" s="82"/>
    </row>
    <row r="683" spans="2:13" s="1" customFormat="1" ht="12.95" customHeight="1" x14ac:dyDescent="0.15">
      <c r="B683" s="16">
        <v>10</v>
      </c>
      <c r="C683" s="23"/>
      <c r="D683" s="49"/>
      <c r="E683" s="48"/>
      <c r="F683" s="126"/>
      <c r="G683" s="50"/>
      <c r="H683" s="20">
        <v>1</v>
      </c>
      <c r="I683" s="126">
        <f t="shared" si="53"/>
        <v>0</v>
      </c>
      <c r="J683" s="38">
        <f t="shared" si="54"/>
        <v>0</v>
      </c>
      <c r="K683" s="80"/>
      <c r="L683" s="82"/>
    </row>
    <row r="684" spans="2:13" s="1" customFormat="1" ht="12.95" customHeight="1" x14ac:dyDescent="0.15">
      <c r="B684" s="16"/>
      <c r="C684" s="23"/>
      <c r="D684" s="49"/>
      <c r="E684" s="48"/>
      <c r="F684" s="126"/>
      <c r="G684" s="50"/>
      <c r="H684" s="20"/>
      <c r="I684" s="126"/>
      <c r="J684" s="38"/>
      <c r="K684" s="80"/>
      <c r="L684" s="82"/>
    </row>
    <row r="685" spans="2:13" s="1" customFormat="1" ht="12.95" customHeight="1" x14ac:dyDescent="0.15">
      <c r="B685" s="16"/>
      <c r="C685" s="23"/>
      <c r="D685" s="48"/>
      <c r="E685" s="49"/>
      <c r="F685" s="126"/>
      <c r="G685" s="50"/>
      <c r="H685" s="20"/>
      <c r="I685" s="126"/>
      <c r="J685" s="38"/>
      <c r="K685" s="80"/>
      <c r="L685" s="82"/>
    </row>
    <row r="686" spans="2:13" s="1" customFormat="1" ht="12.95" customHeight="1" x14ac:dyDescent="0.15">
      <c r="B686" s="16"/>
      <c r="C686" s="22" t="s">
        <v>156</v>
      </c>
      <c r="D686" s="24"/>
      <c r="E686" s="18"/>
      <c r="F686" s="129"/>
      <c r="G686" s="20"/>
      <c r="H686" s="20"/>
      <c r="I686" s="126"/>
      <c r="J686" s="38"/>
      <c r="K686" s="80"/>
      <c r="L686" s="82"/>
    </row>
    <row r="687" spans="2:13" s="1" customFormat="1" ht="12.95" customHeight="1" x14ac:dyDescent="0.15">
      <c r="B687" s="16">
        <v>1</v>
      </c>
      <c r="C687" s="17"/>
      <c r="D687" s="24"/>
      <c r="E687" s="18"/>
      <c r="F687" s="129"/>
      <c r="G687" s="20"/>
      <c r="H687" s="20">
        <v>1</v>
      </c>
      <c r="I687" s="126">
        <f t="shared" si="53"/>
        <v>0</v>
      </c>
      <c r="J687" s="38">
        <f t="shared" si="54"/>
        <v>0</v>
      </c>
      <c r="K687" s="80"/>
      <c r="L687" s="82"/>
    </row>
    <row r="688" spans="2:13" s="1" customFormat="1" ht="12.95" customHeight="1" x14ac:dyDescent="0.15">
      <c r="B688" s="16">
        <v>2</v>
      </c>
      <c r="C688" s="17"/>
      <c r="D688" s="24"/>
      <c r="E688" s="18"/>
      <c r="F688" s="129"/>
      <c r="G688" s="20"/>
      <c r="H688" s="20">
        <v>1</v>
      </c>
      <c r="I688" s="126">
        <f t="shared" si="53"/>
        <v>0</v>
      </c>
      <c r="J688" s="38">
        <f t="shared" si="54"/>
        <v>0</v>
      </c>
      <c r="K688" s="80"/>
      <c r="L688" s="82"/>
    </row>
    <row r="689" spans="2:20" s="1" customFormat="1" ht="12.95" customHeight="1" x14ac:dyDescent="0.15">
      <c r="B689" s="16">
        <v>3</v>
      </c>
      <c r="C689" s="17"/>
      <c r="D689" s="24"/>
      <c r="E689" s="18"/>
      <c r="F689" s="129"/>
      <c r="G689" s="20"/>
      <c r="H689" s="20">
        <v>1</v>
      </c>
      <c r="I689" s="126">
        <f t="shared" si="53"/>
        <v>0</v>
      </c>
      <c r="J689" s="38">
        <f t="shared" si="54"/>
        <v>0</v>
      </c>
      <c r="K689" s="80"/>
      <c r="L689" s="82"/>
    </row>
    <row r="690" spans="2:20" s="1" customFormat="1" ht="12.95" customHeight="1" x14ac:dyDescent="0.15">
      <c r="B690" s="16">
        <v>4</v>
      </c>
      <c r="C690" s="17"/>
      <c r="D690" s="24"/>
      <c r="E690" s="24"/>
      <c r="F690" s="129"/>
      <c r="G690" s="20"/>
      <c r="H690" s="20">
        <v>1</v>
      </c>
      <c r="I690" s="126">
        <f t="shared" si="53"/>
        <v>0</v>
      </c>
      <c r="J690" s="38">
        <f t="shared" si="54"/>
        <v>0</v>
      </c>
      <c r="K690" s="80"/>
      <c r="L690" s="82"/>
    </row>
    <row r="691" spans="2:20" s="1" customFormat="1" ht="12.95" customHeight="1" x14ac:dyDescent="0.15">
      <c r="B691" s="16">
        <v>5</v>
      </c>
      <c r="C691" s="17"/>
      <c r="D691" s="24"/>
      <c r="E691" s="24"/>
      <c r="F691" s="129"/>
      <c r="G691" s="20"/>
      <c r="H691" s="20">
        <v>1</v>
      </c>
      <c r="I691" s="126">
        <f t="shared" si="53"/>
        <v>0</v>
      </c>
      <c r="J691" s="38">
        <f>(F691*G691*H691)/$C$32</f>
        <v>0</v>
      </c>
      <c r="K691" s="80"/>
      <c r="L691" s="82"/>
    </row>
    <row r="692" spans="2:20" s="1" customFormat="1" ht="12.95" customHeight="1" x14ac:dyDescent="0.15">
      <c r="B692" s="16">
        <v>6</v>
      </c>
      <c r="C692" s="17"/>
      <c r="D692" s="24"/>
      <c r="E692" s="24"/>
      <c r="F692" s="129"/>
      <c r="G692" s="20"/>
      <c r="H692" s="20">
        <v>1</v>
      </c>
      <c r="I692" s="126">
        <f t="shared" si="53"/>
        <v>0</v>
      </c>
      <c r="J692" s="38">
        <f>(F692*G692*H692)/$C$32</f>
        <v>0</v>
      </c>
      <c r="K692" s="80"/>
      <c r="L692" s="82"/>
    </row>
    <row r="693" spans="2:20" s="1" customFormat="1" ht="12.95" customHeight="1" x14ac:dyDescent="0.15">
      <c r="B693" s="16">
        <v>7</v>
      </c>
      <c r="C693" s="17"/>
      <c r="D693" s="24"/>
      <c r="E693" s="24"/>
      <c r="F693" s="129"/>
      <c r="G693" s="20"/>
      <c r="H693" s="20">
        <v>1</v>
      </c>
      <c r="I693" s="126">
        <f t="shared" si="53"/>
        <v>0</v>
      </c>
      <c r="J693" s="21">
        <f t="shared" ref="J693:J729" si="55">(F693*G693*H693)/$C$32</f>
        <v>0</v>
      </c>
      <c r="K693" s="80"/>
      <c r="L693" s="82"/>
    </row>
    <row r="694" spans="2:20" s="1" customFormat="1" ht="12.95" customHeight="1" x14ac:dyDescent="0.15">
      <c r="B694" s="16">
        <v>8</v>
      </c>
      <c r="C694" s="17"/>
      <c r="D694" s="24"/>
      <c r="E694" s="24"/>
      <c r="F694" s="129"/>
      <c r="G694" s="20"/>
      <c r="H694" s="20">
        <v>1</v>
      </c>
      <c r="I694" s="126">
        <f t="shared" si="53"/>
        <v>0</v>
      </c>
      <c r="J694" s="38">
        <f t="shared" si="55"/>
        <v>0</v>
      </c>
      <c r="K694" s="80"/>
      <c r="L694" s="82"/>
    </row>
    <row r="695" spans="2:20" s="1" customFormat="1" ht="12.95" customHeight="1" x14ac:dyDescent="0.15">
      <c r="B695" s="16">
        <v>9</v>
      </c>
      <c r="C695" s="17"/>
      <c r="D695" s="24"/>
      <c r="E695" s="24"/>
      <c r="F695" s="129"/>
      <c r="G695" s="20"/>
      <c r="H695" s="20">
        <v>1</v>
      </c>
      <c r="I695" s="126">
        <f t="shared" si="53"/>
        <v>0</v>
      </c>
      <c r="J695" s="38">
        <f t="shared" si="55"/>
        <v>0</v>
      </c>
      <c r="K695" s="80"/>
      <c r="L695" s="82"/>
    </row>
    <row r="696" spans="2:20" s="1" customFormat="1" ht="12.95" customHeight="1" x14ac:dyDescent="0.15">
      <c r="B696" s="16">
        <v>10</v>
      </c>
      <c r="C696" s="44"/>
      <c r="D696" s="18"/>
      <c r="E696" s="18"/>
      <c r="F696" s="129"/>
      <c r="G696" s="20"/>
      <c r="H696" s="20">
        <v>1</v>
      </c>
      <c r="I696" s="126">
        <f t="shared" si="53"/>
        <v>0</v>
      </c>
      <c r="J696" s="21">
        <f t="shared" si="55"/>
        <v>0</v>
      </c>
      <c r="K696" s="80"/>
      <c r="L696" s="82"/>
      <c r="M696" s="10"/>
      <c r="N696" s="10"/>
      <c r="O696" s="10"/>
      <c r="P696" s="10"/>
      <c r="Q696" s="43"/>
      <c r="R696" s="10"/>
      <c r="T696" s="10"/>
    </row>
    <row r="697" spans="2:20" s="1" customFormat="1" ht="12.95" customHeight="1" x14ac:dyDescent="0.15">
      <c r="B697" s="16">
        <v>11</v>
      </c>
      <c r="C697" s="45"/>
      <c r="D697" s="18"/>
      <c r="E697" s="18"/>
      <c r="F697" s="130"/>
      <c r="G697" s="20"/>
      <c r="H697" s="20">
        <v>1</v>
      </c>
      <c r="I697" s="126">
        <f>J697*$C$32</f>
        <v>0</v>
      </c>
      <c r="J697" s="21">
        <f t="shared" si="55"/>
        <v>0</v>
      </c>
      <c r="K697" s="80"/>
      <c r="L697" s="82"/>
      <c r="M697" s="10"/>
      <c r="N697" s="10"/>
      <c r="O697" s="10"/>
      <c r="P697" s="10"/>
      <c r="Q697" s="43"/>
      <c r="R697" s="10"/>
      <c r="T697" s="10"/>
    </row>
    <row r="698" spans="2:20" s="1" customFormat="1" ht="12.95" customHeight="1" x14ac:dyDescent="0.15">
      <c r="B698" s="16">
        <v>12</v>
      </c>
      <c r="C698" s="44"/>
      <c r="D698" s="18"/>
      <c r="E698" s="18"/>
      <c r="F698" s="129"/>
      <c r="G698" s="20"/>
      <c r="H698" s="20">
        <v>1</v>
      </c>
      <c r="I698" s="126">
        <f t="shared" ref="I698:I729" si="56">J698*$C$32</f>
        <v>0</v>
      </c>
      <c r="J698" s="21">
        <f t="shared" si="55"/>
        <v>0</v>
      </c>
      <c r="K698" s="80"/>
      <c r="L698" s="82"/>
      <c r="M698" s="10"/>
      <c r="N698" s="10"/>
      <c r="O698" s="10"/>
      <c r="P698" s="10"/>
      <c r="Q698" s="43"/>
      <c r="R698" s="10"/>
      <c r="T698" s="10"/>
    </row>
    <row r="699" spans="2:20" s="1" customFormat="1" ht="12.95" customHeight="1" x14ac:dyDescent="0.15">
      <c r="B699" s="16">
        <v>13</v>
      </c>
      <c r="C699" s="11"/>
      <c r="D699" s="18"/>
      <c r="E699" s="18"/>
      <c r="F699" s="129"/>
      <c r="G699" s="20"/>
      <c r="H699" s="20">
        <v>1</v>
      </c>
      <c r="I699" s="126">
        <f t="shared" si="56"/>
        <v>0</v>
      </c>
      <c r="J699" s="21">
        <f t="shared" si="55"/>
        <v>0</v>
      </c>
      <c r="K699" s="80"/>
      <c r="L699" s="82"/>
      <c r="M699" s="10"/>
      <c r="N699" s="10"/>
      <c r="O699" s="10"/>
      <c r="P699" s="10"/>
      <c r="Q699" s="43"/>
      <c r="R699" s="10"/>
      <c r="T699" s="10"/>
    </row>
    <row r="700" spans="2:20" s="1" customFormat="1" ht="12.95" customHeight="1" x14ac:dyDescent="0.15">
      <c r="B700" s="16">
        <v>14</v>
      </c>
      <c r="C700" s="11"/>
      <c r="D700" s="18"/>
      <c r="E700" s="18"/>
      <c r="F700" s="129"/>
      <c r="G700" s="20"/>
      <c r="H700" s="20">
        <v>1</v>
      </c>
      <c r="I700" s="126">
        <f t="shared" si="56"/>
        <v>0</v>
      </c>
      <c r="J700" s="21">
        <f t="shared" si="55"/>
        <v>0</v>
      </c>
      <c r="K700" s="80"/>
      <c r="L700" s="82"/>
      <c r="M700" s="10"/>
      <c r="N700" s="10"/>
      <c r="O700" s="10"/>
      <c r="P700" s="10"/>
      <c r="Q700" s="43"/>
      <c r="R700" s="10"/>
      <c r="T700" s="10"/>
    </row>
    <row r="701" spans="2:20" s="1" customFormat="1" ht="12.95" customHeight="1" x14ac:dyDescent="0.15">
      <c r="B701" s="16">
        <v>15</v>
      </c>
      <c r="C701" s="11"/>
      <c r="D701" s="18"/>
      <c r="E701" s="18"/>
      <c r="F701" s="129"/>
      <c r="G701" s="20"/>
      <c r="H701" s="20">
        <v>1</v>
      </c>
      <c r="I701" s="126">
        <f t="shared" si="56"/>
        <v>0</v>
      </c>
      <c r="J701" s="21">
        <f t="shared" si="55"/>
        <v>0</v>
      </c>
      <c r="K701" s="80"/>
      <c r="L701" s="82"/>
      <c r="M701" s="10"/>
      <c r="N701" s="10"/>
      <c r="O701" s="10"/>
      <c r="P701" s="10"/>
      <c r="Q701" s="43"/>
      <c r="R701" s="10"/>
      <c r="T701" s="10"/>
    </row>
    <row r="702" spans="2:20" s="1" customFormat="1" ht="12.95" customHeight="1" x14ac:dyDescent="0.15">
      <c r="B702" s="16">
        <v>16</v>
      </c>
      <c r="C702" s="11"/>
      <c r="D702" s="18"/>
      <c r="E702" s="18"/>
      <c r="F702" s="129"/>
      <c r="G702" s="20"/>
      <c r="H702" s="20">
        <v>1</v>
      </c>
      <c r="I702" s="126">
        <f t="shared" si="56"/>
        <v>0</v>
      </c>
      <c r="J702" s="21">
        <f t="shared" si="55"/>
        <v>0</v>
      </c>
      <c r="K702" s="80"/>
      <c r="L702" s="82"/>
      <c r="M702" s="10"/>
      <c r="N702" s="10"/>
      <c r="O702" s="10"/>
      <c r="P702" s="10"/>
      <c r="Q702" s="43"/>
      <c r="R702" s="10"/>
      <c r="T702" s="10"/>
    </row>
    <row r="703" spans="2:20" s="1" customFormat="1" ht="12.95" customHeight="1" x14ac:dyDescent="0.15">
      <c r="B703" s="16">
        <v>17</v>
      </c>
      <c r="C703" s="11"/>
      <c r="D703" s="18"/>
      <c r="E703" s="18"/>
      <c r="F703" s="129"/>
      <c r="G703" s="20"/>
      <c r="H703" s="20">
        <v>1</v>
      </c>
      <c r="I703" s="126">
        <f t="shared" si="56"/>
        <v>0</v>
      </c>
      <c r="J703" s="21">
        <f t="shared" si="55"/>
        <v>0</v>
      </c>
      <c r="K703" s="80"/>
      <c r="L703" s="82"/>
      <c r="M703" s="10"/>
      <c r="N703" s="10"/>
      <c r="O703" s="10"/>
      <c r="P703" s="10"/>
      <c r="Q703" s="43"/>
      <c r="R703" s="10"/>
      <c r="T703" s="10"/>
    </row>
    <row r="704" spans="2:20" s="1" customFormat="1" ht="12.95" customHeight="1" x14ac:dyDescent="0.15">
      <c r="B704" s="16">
        <v>18</v>
      </c>
      <c r="C704" s="11"/>
      <c r="D704" s="18"/>
      <c r="E704" s="18"/>
      <c r="F704" s="129"/>
      <c r="G704" s="20"/>
      <c r="H704" s="20">
        <v>1</v>
      </c>
      <c r="I704" s="126">
        <f t="shared" si="56"/>
        <v>0</v>
      </c>
      <c r="J704" s="21">
        <f t="shared" si="55"/>
        <v>0</v>
      </c>
      <c r="K704" s="80"/>
      <c r="L704" s="82"/>
      <c r="M704" s="10"/>
      <c r="N704" s="10"/>
      <c r="O704" s="10"/>
      <c r="P704" s="10"/>
      <c r="Q704" s="43"/>
      <c r="R704" s="10"/>
      <c r="T704" s="10"/>
    </row>
    <row r="705" spans="2:20" s="1" customFormat="1" ht="12.95" customHeight="1" x14ac:dyDescent="0.15">
      <c r="B705" s="16">
        <v>19</v>
      </c>
      <c r="C705" s="11"/>
      <c r="D705" s="18"/>
      <c r="E705" s="18"/>
      <c r="F705" s="129"/>
      <c r="G705" s="20"/>
      <c r="H705" s="20">
        <v>1</v>
      </c>
      <c r="I705" s="126">
        <f t="shared" si="56"/>
        <v>0</v>
      </c>
      <c r="J705" s="21">
        <f t="shared" si="55"/>
        <v>0</v>
      </c>
      <c r="K705" s="80"/>
      <c r="L705" s="82"/>
      <c r="M705" s="10"/>
      <c r="N705" s="10"/>
      <c r="O705" s="10"/>
      <c r="P705" s="10"/>
      <c r="Q705" s="43"/>
      <c r="R705" s="10"/>
      <c r="T705" s="10"/>
    </row>
    <row r="706" spans="2:20" s="1" customFormat="1" ht="12.95" customHeight="1" x14ac:dyDescent="0.15">
      <c r="B706" s="16">
        <v>20</v>
      </c>
      <c r="C706" s="11"/>
      <c r="D706" s="18"/>
      <c r="E706" s="18"/>
      <c r="F706" s="129"/>
      <c r="G706" s="20"/>
      <c r="H706" s="20">
        <v>1</v>
      </c>
      <c r="I706" s="126">
        <f t="shared" si="56"/>
        <v>0</v>
      </c>
      <c r="J706" s="21">
        <f t="shared" si="55"/>
        <v>0</v>
      </c>
      <c r="K706" s="80"/>
      <c r="L706" s="82"/>
      <c r="M706" s="10"/>
      <c r="N706" s="10"/>
      <c r="O706" s="10"/>
      <c r="P706" s="10"/>
      <c r="Q706" s="43"/>
      <c r="R706" s="10"/>
      <c r="T706" s="10"/>
    </row>
    <row r="707" spans="2:20" s="1" customFormat="1" ht="12.95" customHeight="1" x14ac:dyDescent="0.15">
      <c r="B707" s="16"/>
      <c r="C707" s="11"/>
      <c r="D707" s="18"/>
      <c r="E707" s="18"/>
      <c r="F707" s="129"/>
      <c r="G707" s="20"/>
      <c r="H707" s="20"/>
      <c r="I707" s="126"/>
      <c r="J707" s="21"/>
      <c r="K707" s="80"/>
      <c r="L707" s="82"/>
      <c r="M707" s="10"/>
      <c r="N707" s="10"/>
      <c r="O707" s="10"/>
      <c r="P707" s="10"/>
      <c r="Q707" s="43"/>
      <c r="R707" s="10"/>
      <c r="T707" s="10"/>
    </row>
    <row r="708" spans="2:20" s="1" customFormat="1" ht="12.95" customHeight="1" x14ac:dyDescent="0.15">
      <c r="B708" s="16"/>
      <c r="C708" s="11"/>
      <c r="D708" s="18"/>
      <c r="E708" s="18"/>
      <c r="F708" s="129"/>
      <c r="G708" s="20"/>
      <c r="H708" s="20"/>
      <c r="I708" s="126"/>
      <c r="J708" s="21"/>
      <c r="K708" s="80"/>
      <c r="L708" s="82"/>
      <c r="M708" s="10"/>
      <c r="N708" s="10"/>
      <c r="O708" s="10"/>
      <c r="P708" s="10"/>
      <c r="Q708" s="43"/>
      <c r="R708" s="10"/>
      <c r="T708" s="10"/>
    </row>
    <row r="709" spans="2:20" s="1" customFormat="1" ht="12.95" customHeight="1" x14ac:dyDescent="0.15">
      <c r="B709" s="16"/>
      <c r="C709" s="96" t="s">
        <v>132</v>
      </c>
      <c r="D709" s="18"/>
      <c r="E709" s="18"/>
      <c r="F709" s="129"/>
      <c r="G709" s="20"/>
      <c r="H709" s="20"/>
      <c r="I709" s="126"/>
      <c r="J709" s="21"/>
      <c r="K709" s="80"/>
      <c r="L709" s="82"/>
      <c r="M709" s="10"/>
      <c r="N709" s="10"/>
      <c r="O709" s="10"/>
      <c r="P709" s="10"/>
      <c r="Q709" s="43"/>
      <c r="R709" s="10"/>
      <c r="T709" s="10"/>
    </row>
    <row r="710" spans="2:20" s="1" customFormat="1" ht="12.95" customHeight="1" x14ac:dyDescent="0.15">
      <c r="B710" s="16">
        <v>1</v>
      </c>
      <c r="C710" s="11"/>
      <c r="D710" s="18"/>
      <c r="E710" s="18"/>
      <c r="F710" s="129"/>
      <c r="G710" s="20"/>
      <c r="H710" s="20">
        <v>1</v>
      </c>
      <c r="I710" s="126">
        <f t="shared" si="56"/>
        <v>0</v>
      </c>
      <c r="J710" s="21">
        <f t="shared" si="55"/>
        <v>0</v>
      </c>
      <c r="K710" s="80"/>
      <c r="L710" s="82"/>
      <c r="M710" s="10"/>
      <c r="N710" s="10"/>
      <c r="O710" s="10"/>
      <c r="P710" s="10"/>
      <c r="Q710" s="43"/>
      <c r="R710" s="10"/>
      <c r="T710" s="10"/>
    </row>
    <row r="711" spans="2:20" s="1" customFormat="1" ht="12.95" customHeight="1" x14ac:dyDescent="0.15">
      <c r="B711" s="16">
        <v>2</v>
      </c>
      <c r="C711" s="11"/>
      <c r="D711" s="18"/>
      <c r="E711" s="18"/>
      <c r="F711" s="129"/>
      <c r="G711" s="20"/>
      <c r="H711" s="20">
        <v>1</v>
      </c>
      <c r="I711" s="126">
        <f t="shared" si="56"/>
        <v>0</v>
      </c>
      <c r="J711" s="21">
        <f t="shared" si="55"/>
        <v>0</v>
      </c>
      <c r="K711" s="80"/>
      <c r="L711" s="82"/>
      <c r="M711" s="10"/>
      <c r="N711" s="10"/>
      <c r="O711" s="10"/>
      <c r="P711" s="10"/>
      <c r="Q711" s="43"/>
      <c r="R711" s="10"/>
      <c r="T711" s="10"/>
    </row>
    <row r="712" spans="2:20" s="1" customFormat="1" ht="12.95" customHeight="1" x14ac:dyDescent="0.15">
      <c r="B712" s="16">
        <v>3</v>
      </c>
      <c r="C712" s="11"/>
      <c r="D712" s="18"/>
      <c r="E712" s="18"/>
      <c r="F712" s="129"/>
      <c r="G712" s="20"/>
      <c r="H712" s="20">
        <v>1</v>
      </c>
      <c r="I712" s="126">
        <f t="shared" si="56"/>
        <v>0</v>
      </c>
      <c r="J712" s="21">
        <f t="shared" si="55"/>
        <v>0</v>
      </c>
      <c r="K712" s="80"/>
      <c r="L712" s="82"/>
      <c r="M712" s="10"/>
      <c r="N712" s="10"/>
      <c r="O712" s="10"/>
      <c r="P712" s="10"/>
      <c r="Q712" s="43"/>
      <c r="R712" s="10"/>
      <c r="T712" s="10"/>
    </row>
    <row r="713" spans="2:20" s="1" customFormat="1" ht="12.95" customHeight="1" x14ac:dyDescent="0.15">
      <c r="B713" s="16">
        <v>4</v>
      </c>
      <c r="C713" s="11"/>
      <c r="D713" s="18"/>
      <c r="E713" s="18"/>
      <c r="F713" s="129"/>
      <c r="G713" s="20"/>
      <c r="H713" s="20">
        <v>1</v>
      </c>
      <c r="I713" s="126">
        <f t="shared" si="56"/>
        <v>0</v>
      </c>
      <c r="J713" s="21">
        <f t="shared" si="55"/>
        <v>0</v>
      </c>
      <c r="K713" s="80"/>
      <c r="L713" s="82"/>
      <c r="M713" s="10"/>
      <c r="N713" s="10"/>
      <c r="O713" s="10"/>
      <c r="P713" s="10"/>
      <c r="Q713" s="43"/>
      <c r="R713" s="10"/>
      <c r="T713" s="10"/>
    </row>
    <row r="714" spans="2:20" s="1" customFormat="1" ht="12.95" customHeight="1" x14ac:dyDescent="0.15">
      <c r="B714" s="16">
        <v>5</v>
      </c>
      <c r="C714" s="11"/>
      <c r="D714" s="18"/>
      <c r="E714" s="18"/>
      <c r="F714" s="129"/>
      <c r="G714" s="20"/>
      <c r="H714" s="20">
        <v>1</v>
      </c>
      <c r="I714" s="126">
        <f t="shared" si="56"/>
        <v>0</v>
      </c>
      <c r="J714" s="21">
        <f t="shared" si="55"/>
        <v>0</v>
      </c>
      <c r="K714" s="80"/>
      <c r="L714" s="82"/>
      <c r="M714" s="10"/>
      <c r="N714" s="10"/>
      <c r="O714" s="10"/>
      <c r="P714" s="10"/>
      <c r="Q714" s="43"/>
      <c r="R714" s="10"/>
      <c r="T714" s="10"/>
    </row>
    <row r="715" spans="2:20" s="1" customFormat="1" ht="12.95" customHeight="1" x14ac:dyDescent="0.15">
      <c r="B715" s="16">
        <v>6</v>
      </c>
      <c r="C715" s="11"/>
      <c r="D715" s="18"/>
      <c r="E715" s="18"/>
      <c r="F715" s="129"/>
      <c r="G715" s="20"/>
      <c r="H715" s="20">
        <v>1</v>
      </c>
      <c r="I715" s="126">
        <f t="shared" si="56"/>
        <v>0</v>
      </c>
      <c r="J715" s="21">
        <f t="shared" si="55"/>
        <v>0</v>
      </c>
      <c r="K715" s="80"/>
      <c r="L715" s="82"/>
      <c r="M715" s="10"/>
      <c r="N715" s="10"/>
      <c r="O715" s="10"/>
      <c r="P715" s="10"/>
      <c r="Q715" s="43"/>
      <c r="R715" s="10"/>
      <c r="T715" s="10"/>
    </row>
    <row r="716" spans="2:20" s="1" customFormat="1" ht="12.95" customHeight="1" x14ac:dyDescent="0.15">
      <c r="B716" s="16">
        <v>7</v>
      </c>
      <c r="C716" s="11"/>
      <c r="D716" s="18"/>
      <c r="E716" s="18"/>
      <c r="F716" s="129"/>
      <c r="G716" s="20"/>
      <c r="H716" s="20">
        <v>1</v>
      </c>
      <c r="I716" s="126">
        <f t="shared" si="56"/>
        <v>0</v>
      </c>
      <c r="J716" s="21">
        <f t="shared" si="55"/>
        <v>0</v>
      </c>
      <c r="K716" s="80"/>
      <c r="L716" s="82"/>
      <c r="M716" s="10"/>
      <c r="N716" s="10"/>
      <c r="O716" s="10"/>
      <c r="P716" s="10"/>
      <c r="Q716" s="43"/>
      <c r="R716" s="10"/>
      <c r="T716" s="10"/>
    </row>
    <row r="717" spans="2:20" s="1" customFormat="1" ht="12.95" customHeight="1" x14ac:dyDescent="0.15">
      <c r="B717" s="16">
        <v>8</v>
      </c>
      <c r="C717" s="11"/>
      <c r="D717" s="18"/>
      <c r="E717" s="18"/>
      <c r="F717" s="129"/>
      <c r="G717" s="20"/>
      <c r="H717" s="20">
        <v>1</v>
      </c>
      <c r="I717" s="126">
        <f t="shared" si="56"/>
        <v>0</v>
      </c>
      <c r="J717" s="21">
        <f t="shared" si="55"/>
        <v>0</v>
      </c>
      <c r="K717" s="80"/>
      <c r="L717" s="82"/>
      <c r="M717" s="10"/>
      <c r="N717" s="10"/>
      <c r="O717" s="10"/>
      <c r="P717" s="10"/>
      <c r="Q717" s="43"/>
      <c r="R717" s="10"/>
      <c r="T717" s="10"/>
    </row>
    <row r="718" spans="2:20" s="1" customFormat="1" ht="12.95" customHeight="1" x14ac:dyDescent="0.15">
      <c r="B718" s="16">
        <v>9</v>
      </c>
      <c r="C718" s="11"/>
      <c r="D718" s="18"/>
      <c r="E718" s="18"/>
      <c r="F718" s="129"/>
      <c r="G718" s="20"/>
      <c r="H718" s="20">
        <v>1</v>
      </c>
      <c r="I718" s="126">
        <f t="shared" si="56"/>
        <v>0</v>
      </c>
      <c r="J718" s="21">
        <f t="shared" si="55"/>
        <v>0</v>
      </c>
      <c r="K718" s="80"/>
      <c r="L718" s="82"/>
      <c r="M718" s="10"/>
      <c r="N718" s="10"/>
      <c r="O718" s="10"/>
      <c r="P718" s="10"/>
      <c r="Q718" s="43"/>
      <c r="R718" s="10"/>
      <c r="T718" s="10"/>
    </row>
    <row r="719" spans="2:20" s="1" customFormat="1" ht="12.95" customHeight="1" x14ac:dyDescent="0.15">
      <c r="B719" s="16">
        <v>10</v>
      </c>
      <c r="C719" s="11"/>
      <c r="D719" s="18"/>
      <c r="E719" s="18"/>
      <c r="F719" s="129"/>
      <c r="G719" s="20"/>
      <c r="H719" s="20">
        <v>1</v>
      </c>
      <c r="I719" s="126">
        <f t="shared" si="56"/>
        <v>0</v>
      </c>
      <c r="J719" s="21">
        <f t="shared" si="55"/>
        <v>0</v>
      </c>
      <c r="K719" s="80"/>
      <c r="L719" s="82"/>
      <c r="M719" s="10"/>
      <c r="N719" s="10"/>
      <c r="O719" s="10"/>
      <c r="P719" s="10"/>
      <c r="Q719" s="43"/>
      <c r="R719" s="10"/>
      <c r="T719" s="10"/>
    </row>
    <row r="720" spans="2:20" s="1" customFormat="1" ht="12.95" customHeight="1" x14ac:dyDescent="0.15">
      <c r="B720" s="16">
        <v>11</v>
      </c>
      <c r="C720" s="12" t="s">
        <v>165</v>
      </c>
      <c r="D720" s="18"/>
      <c r="E720" s="18"/>
      <c r="F720" s="129"/>
      <c r="G720" s="20"/>
      <c r="H720" s="20">
        <v>1</v>
      </c>
      <c r="I720" s="126">
        <f t="shared" si="56"/>
        <v>0</v>
      </c>
      <c r="J720" s="21">
        <f t="shared" si="55"/>
        <v>0</v>
      </c>
      <c r="K720" s="80"/>
      <c r="L720" s="82"/>
      <c r="M720" s="10"/>
      <c r="N720" s="10"/>
      <c r="O720" s="10"/>
      <c r="P720" s="10"/>
      <c r="Q720" s="43"/>
      <c r="R720" s="10"/>
      <c r="T720" s="10"/>
    </row>
    <row r="721" spans="2:20" s="1" customFormat="1" ht="12.95" customHeight="1" x14ac:dyDescent="0.15">
      <c r="B721" s="16">
        <v>12</v>
      </c>
      <c r="C721" s="12"/>
      <c r="D721" s="18"/>
      <c r="E721" s="18"/>
      <c r="F721" s="129"/>
      <c r="G721" s="20"/>
      <c r="H721" s="20">
        <v>1</v>
      </c>
      <c r="I721" s="126">
        <f t="shared" si="56"/>
        <v>0</v>
      </c>
      <c r="J721" s="21">
        <f t="shared" si="55"/>
        <v>0</v>
      </c>
      <c r="K721" s="80"/>
      <c r="L721" s="82"/>
      <c r="M721" s="10"/>
      <c r="N721" s="10"/>
      <c r="O721" s="10"/>
      <c r="P721" s="10"/>
      <c r="Q721" s="43"/>
      <c r="R721" s="10"/>
      <c r="T721" s="10"/>
    </row>
    <row r="722" spans="2:20" s="1" customFormat="1" ht="12.95" customHeight="1" x14ac:dyDescent="0.15">
      <c r="B722" s="16">
        <v>13</v>
      </c>
      <c r="C722" s="12"/>
      <c r="D722" s="18"/>
      <c r="E722" s="18"/>
      <c r="F722" s="129"/>
      <c r="G722" s="20"/>
      <c r="H722" s="20">
        <v>1</v>
      </c>
      <c r="I722" s="126">
        <f t="shared" si="56"/>
        <v>0</v>
      </c>
      <c r="J722" s="21">
        <f t="shared" si="55"/>
        <v>0</v>
      </c>
      <c r="K722" s="80"/>
      <c r="L722" s="82"/>
      <c r="M722" s="10"/>
      <c r="N722" s="10"/>
      <c r="O722" s="10"/>
      <c r="P722" s="10"/>
      <c r="Q722" s="43"/>
      <c r="R722" s="10"/>
      <c r="T722" s="10"/>
    </row>
    <row r="723" spans="2:20" s="1" customFormat="1" ht="12.95" customHeight="1" x14ac:dyDescent="0.15">
      <c r="B723" s="16">
        <v>14</v>
      </c>
      <c r="C723" s="12"/>
      <c r="D723" s="18"/>
      <c r="E723" s="18"/>
      <c r="F723" s="129"/>
      <c r="G723" s="20"/>
      <c r="H723" s="20">
        <v>1</v>
      </c>
      <c r="I723" s="126">
        <f t="shared" si="56"/>
        <v>0</v>
      </c>
      <c r="J723" s="21">
        <f t="shared" si="55"/>
        <v>0</v>
      </c>
      <c r="K723" s="80"/>
      <c r="L723" s="82"/>
      <c r="M723" s="10"/>
      <c r="N723" s="10"/>
      <c r="O723" s="10"/>
      <c r="P723" s="10"/>
      <c r="Q723" s="43"/>
      <c r="R723" s="10"/>
      <c r="T723" s="10"/>
    </row>
    <row r="724" spans="2:20" s="1" customFormat="1" ht="12.95" customHeight="1" x14ac:dyDescent="0.15">
      <c r="B724" s="16">
        <v>15</v>
      </c>
      <c r="C724" s="12"/>
      <c r="D724" s="18"/>
      <c r="E724" s="18"/>
      <c r="F724" s="129"/>
      <c r="G724" s="20"/>
      <c r="H724" s="20">
        <v>1</v>
      </c>
      <c r="I724" s="126">
        <f t="shared" si="56"/>
        <v>0</v>
      </c>
      <c r="J724" s="21">
        <f t="shared" si="55"/>
        <v>0</v>
      </c>
      <c r="K724" s="80"/>
      <c r="L724" s="82"/>
      <c r="M724" s="10"/>
      <c r="N724" s="10"/>
      <c r="O724" s="10"/>
      <c r="P724" s="10"/>
      <c r="Q724" s="43"/>
      <c r="R724" s="10"/>
      <c r="T724" s="10"/>
    </row>
    <row r="725" spans="2:20" s="1" customFormat="1" ht="12.95" customHeight="1" x14ac:dyDescent="0.15">
      <c r="B725" s="16">
        <v>16</v>
      </c>
      <c r="C725" s="12"/>
      <c r="D725" s="18"/>
      <c r="E725" s="18"/>
      <c r="F725" s="129"/>
      <c r="G725" s="20"/>
      <c r="H725" s="20">
        <v>1</v>
      </c>
      <c r="I725" s="126">
        <f t="shared" si="56"/>
        <v>0</v>
      </c>
      <c r="J725" s="21">
        <f t="shared" si="55"/>
        <v>0</v>
      </c>
      <c r="K725" s="80"/>
      <c r="L725" s="82"/>
      <c r="M725" s="10"/>
      <c r="N725" s="10"/>
      <c r="O725" s="10"/>
      <c r="P725" s="10"/>
      <c r="Q725" s="43"/>
      <c r="R725" s="10"/>
      <c r="T725" s="10"/>
    </row>
    <row r="726" spans="2:20" s="1" customFormat="1" ht="12.95" customHeight="1" x14ac:dyDescent="0.15">
      <c r="B726" s="16">
        <v>17</v>
      </c>
      <c r="C726" s="12"/>
      <c r="D726" s="18"/>
      <c r="E726" s="18"/>
      <c r="F726" s="129"/>
      <c r="G726" s="20"/>
      <c r="H726" s="20">
        <v>1</v>
      </c>
      <c r="I726" s="126">
        <f t="shared" si="56"/>
        <v>0</v>
      </c>
      <c r="J726" s="21">
        <f t="shared" si="55"/>
        <v>0</v>
      </c>
      <c r="K726" s="80"/>
      <c r="L726" s="82"/>
      <c r="M726" s="10"/>
      <c r="N726" s="10"/>
      <c r="O726" s="10"/>
      <c r="P726" s="10"/>
      <c r="Q726" s="43"/>
      <c r="R726" s="10"/>
      <c r="T726" s="10"/>
    </row>
    <row r="727" spans="2:20" s="1" customFormat="1" ht="12.95" customHeight="1" x14ac:dyDescent="0.15">
      <c r="B727" s="16">
        <v>18</v>
      </c>
      <c r="C727" s="12"/>
      <c r="D727" s="18"/>
      <c r="E727" s="18"/>
      <c r="F727" s="129"/>
      <c r="G727" s="20"/>
      <c r="H727" s="20">
        <v>1</v>
      </c>
      <c r="I727" s="126">
        <f t="shared" si="56"/>
        <v>0</v>
      </c>
      <c r="J727" s="78">
        <f t="shared" si="55"/>
        <v>0</v>
      </c>
      <c r="K727" s="111"/>
      <c r="L727" s="119"/>
      <c r="M727" s="10"/>
      <c r="N727" s="10"/>
      <c r="O727" s="10"/>
      <c r="P727" s="10"/>
      <c r="Q727" s="43"/>
      <c r="R727" s="10"/>
      <c r="T727" s="10"/>
    </row>
    <row r="728" spans="2:20" s="1" customFormat="1" ht="12.95" customHeight="1" x14ac:dyDescent="0.15">
      <c r="B728" s="16">
        <v>19</v>
      </c>
      <c r="C728" s="12"/>
      <c r="D728" s="18"/>
      <c r="E728" s="18"/>
      <c r="F728" s="129"/>
      <c r="G728" s="20"/>
      <c r="H728" s="20">
        <v>1</v>
      </c>
      <c r="I728" s="254">
        <f t="shared" si="56"/>
        <v>0</v>
      </c>
      <c r="J728" s="94">
        <f t="shared" si="55"/>
        <v>0</v>
      </c>
      <c r="K728" s="82"/>
      <c r="L728" s="82"/>
      <c r="M728" s="10"/>
      <c r="N728" s="10"/>
      <c r="O728" s="10"/>
      <c r="P728" s="10"/>
      <c r="Q728" s="43"/>
      <c r="R728" s="10"/>
      <c r="T728" s="10"/>
    </row>
    <row r="729" spans="2:20" s="1" customFormat="1" ht="12.95" customHeight="1" x14ac:dyDescent="0.15">
      <c r="B729" s="16">
        <v>20</v>
      </c>
      <c r="C729" s="12"/>
      <c r="D729" s="18"/>
      <c r="E729" s="18"/>
      <c r="F729" s="129"/>
      <c r="G729" s="20"/>
      <c r="H729" s="20">
        <v>1</v>
      </c>
      <c r="I729" s="254">
        <f t="shared" si="56"/>
        <v>0</v>
      </c>
      <c r="J729" s="94">
        <f t="shared" si="55"/>
        <v>0</v>
      </c>
      <c r="K729" s="82"/>
      <c r="L729" s="82"/>
      <c r="M729" s="10"/>
      <c r="N729" s="10"/>
      <c r="O729" s="10"/>
      <c r="P729" s="10"/>
      <c r="Q729" s="43"/>
      <c r="R729" s="10"/>
      <c r="T729" s="10"/>
    </row>
    <row r="730" spans="2:20" s="1" customFormat="1" ht="12.95" customHeight="1" x14ac:dyDescent="0.15">
      <c r="B730" s="83"/>
      <c r="C730" s="74"/>
      <c r="D730" s="75"/>
      <c r="E730" s="75"/>
      <c r="F730" s="132"/>
      <c r="G730" s="77"/>
      <c r="H730" s="77"/>
      <c r="I730" s="255"/>
      <c r="J730" s="94"/>
      <c r="K730" s="82"/>
      <c r="L730" s="82"/>
      <c r="M730" s="10"/>
      <c r="N730" s="10"/>
      <c r="O730" s="10"/>
      <c r="P730" s="10"/>
      <c r="Q730" s="43"/>
      <c r="R730" s="10"/>
      <c r="T730" s="10"/>
    </row>
    <row r="731" spans="2:20" s="1" customFormat="1" ht="12.75" x14ac:dyDescent="0.15">
      <c r="B731" s="82"/>
      <c r="C731" s="102"/>
      <c r="D731" s="103"/>
      <c r="E731" s="102"/>
      <c r="F731" s="128">
        <f>SUM(F671:F730)</f>
        <v>0</v>
      </c>
      <c r="G731" s="104"/>
      <c r="H731" s="105"/>
      <c r="I731" s="128">
        <f>SUM(I671:I730)</f>
        <v>0</v>
      </c>
      <c r="J731" s="257">
        <f>SUM(J671:J730)</f>
        <v>0</v>
      </c>
    </row>
    <row r="732" spans="2:20" s="1" customFormat="1" ht="12.75" x14ac:dyDescent="0.15">
      <c r="B732" s="82"/>
      <c r="C732" s="102"/>
      <c r="D732" s="103"/>
      <c r="E732" s="102" t="s">
        <v>147</v>
      </c>
      <c r="F732" s="128">
        <f>100/115*F731</f>
        <v>0</v>
      </c>
      <c r="G732" s="104"/>
      <c r="H732" s="105" t="s">
        <v>147</v>
      </c>
      <c r="I732" s="128">
        <f>100/115*I731</f>
        <v>0</v>
      </c>
      <c r="J732" s="106"/>
    </row>
    <row r="733" spans="2:20" s="1" customFormat="1" ht="12.75" x14ac:dyDescent="0.15"/>
    <row r="734" spans="2:20" s="1" customFormat="1" ht="12.75" x14ac:dyDescent="0.15"/>
    <row r="735" spans="2:20" s="1" customFormat="1" ht="12.75" x14ac:dyDescent="0.15"/>
    <row r="736" spans="2:20" s="1" customFormat="1" ht="12.75" x14ac:dyDescent="0.15"/>
    <row r="737" spans="2:12" s="247" customFormat="1" ht="32.25" x14ac:dyDescent="0.4">
      <c r="B737" s="251"/>
      <c r="C737" s="424" t="s">
        <v>166</v>
      </c>
      <c r="D737" s="424"/>
      <c r="E737" s="425" t="s">
        <v>167</v>
      </c>
      <c r="F737" s="426"/>
      <c r="G737" s="426"/>
      <c r="H737" s="426"/>
      <c r="I737" s="427"/>
      <c r="J737" s="415">
        <v>2026</v>
      </c>
      <c r="K737" s="416"/>
      <c r="L737" s="417"/>
    </row>
    <row r="738" spans="2:12" s="1" customFormat="1" ht="22.5" x14ac:dyDescent="0.15">
      <c r="B738" s="16"/>
      <c r="C738" s="28" t="s">
        <v>114</v>
      </c>
      <c r="D738" s="418" t="s">
        <v>115</v>
      </c>
      <c r="E738" s="418"/>
      <c r="F738" s="28" t="s">
        <v>116</v>
      </c>
      <c r="G738" s="28" t="s">
        <v>117</v>
      </c>
      <c r="H738" s="28" t="s">
        <v>118</v>
      </c>
      <c r="I738" s="28" t="s">
        <v>119</v>
      </c>
      <c r="J738" s="64" t="s">
        <v>120</v>
      </c>
      <c r="K738" s="82"/>
      <c r="L738" s="82"/>
    </row>
    <row r="739" spans="2:12" s="1" customFormat="1" ht="12.75" x14ac:dyDescent="0.15">
      <c r="B739" s="16"/>
      <c r="C739" s="124">
        <f>C669</f>
        <v>450</v>
      </c>
      <c r="D739" s="419">
        <v>20</v>
      </c>
      <c r="E739" s="419"/>
      <c r="F739" s="29">
        <f>F669</f>
        <v>0.8</v>
      </c>
      <c r="G739" s="30">
        <f>G669</f>
        <v>8</v>
      </c>
      <c r="H739" s="31">
        <f>D739*G739*F739</f>
        <v>128</v>
      </c>
      <c r="I739" s="124">
        <f>I801</f>
        <v>0</v>
      </c>
      <c r="J739" s="121">
        <f>H739-J801</f>
        <v>128</v>
      </c>
      <c r="K739" s="82"/>
      <c r="L739" s="82"/>
    </row>
    <row r="740" spans="2:12" s="1" customFormat="1" ht="33.75" x14ac:dyDescent="0.15">
      <c r="B740" s="16"/>
      <c r="C740" s="22" t="s">
        <v>121</v>
      </c>
      <c r="D740" s="413" t="s">
        <v>122</v>
      </c>
      <c r="E740" s="413"/>
      <c r="F740" s="33" t="s">
        <v>123</v>
      </c>
      <c r="G740" s="34" t="s">
        <v>124</v>
      </c>
      <c r="H740" s="35" t="s">
        <v>125</v>
      </c>
      <c r="I740" s="125" t="s">
        <v>126</v>
      </c>
      <c r="J740" s="34" t="s">
        <v>127</v>
      </c>
      <c r="K740" s="122" t="s">
        <v>128</v>
      </c>
      <c r="L740" s="123" t="s">
        <v>168</v>
      </c>
    </row>
    <row r="741" spans="2:12" s="1" customFormat="1" ht="12.75" x14ac:dyDescent="0.15">
      <c r="B741" s="16"/>
      <c r="C741" s="22"/>
      <c r="D741" s="32"/>
      <c r="E741" s="32"/>
      <c r="F741" s="33"/>
      <c r="G741" s="34"/>
      <c r="H741" s="35"/>
      <c r="I741" s="125"/>
      <c r="J741" s="34"/>
      <c r="K741" s="110"/>
      <c r="L741" s="117"/>
    </row>
    <row r="742" spans="2:12" s="1" customFormat="1" ht="12.75" x14ac:dyDescent="0.15">
      <c r="B742" s="16"/>
      <c r="C742" s="22" t="s">
        <v>130</v>
      </c>
      <c r="D742" s="32"/>
      <c r="E742" s="32"/>
      <c r="F742" s="33"/>
      <c r="G742" s="34"/>
      <c r="H742" s="35"/>
      <c r="I742" s="125"/>
      <c r="J742" s="34"/>
      <c r="K742" s="110"/>
      <c r="L742" s="117"/>
    </row>
    <row r="743" spans="2:12" s="1" customFormat="1" ht="12.75" customHeight="1" x14ac:dyDescent="0.15">
      <c r="B743" s="16"/>
      <c r="C743" s="37" t="s">
        <v>149</v>
      </c>
      <c r="D743" s="24"/>
      <c r="E743" s="24"/>
      <c r="F743" s="19"/>
      <c r="G743" s="20"/>
      <c r="H743" s="20"/>
      <c r="I743" s="126"/>
      <c r="J743" s="38"/>
      <c r="K743" s="80"/>
      <c r="L743" s="82"/>
    </row>
    <row r="744" spans="2:12" s="1" customFormat="1" ht="12.75" x14ac:dyDescent="0.15">
      <c r="B744" s="16">
        <v>1</v>
      </c>
      <c r="C744" s="23"/>
      <c r="D744" s="24"/>
      <c r="E744" s="24"/>
      <c r="F744" s="129"/>
      <c r="G744" s="20"/>
      <c r="H744" s="20">
        <v>1</v>
      </c>
      <c r="I744" s="126">
        <f t="shared" ref="I744:I753" si="57">J744*$C$32</f>
        <v>0</v>
      </c>
      <c r="J744" s="38">
        <f t="shared" ref="J744:J753" si="58">(F744*G744*H744)/$C$32</f>
        <v>0</v>
      </c>
      <c r="K744" s="80"/>
      <c r="L744" s="82"/>
    </row>
    <row r="745" spans="2:12" s="1" customFormat="1" ht="12.75" customHeight="1" x14ac:dyDescent="0.15">
      <c r="B745" s="16">
        <v>2</v>
      </c>
      <c r="C745" s="23"/>
      <c r="D745" s="24"/>
      <c r="E745" s="24"/>
      <c r="F745" s="126"/>
      <c r="G745" s="20"/>
      <c r="H745" s="20">
        <v>1</v>
      </c>
      <c r="I745" s="126">
        <f t="shared" si="57"/>
        <v>0</v>
      </c>
      <c r="J745" s="38">
        <f t="shared" si="58"/>
        <v>0</v>
      </c>
      <c r="K745" s="80"/>
      <c r="L745" s="82"/>
    </row>
    <row r="746" spans="2:12" s="1" customFormat="1" ht="12.75" customHeight="1" x14ac:dyDescent="0.15">
      <c r="B746" s="16">
        <v>3</v>
      </c>
      <c r="C746" s="23"/>
      <c r="D746" s="25"/>
      <c r="E746" s="25"/>
      <c r="F746" s="129"/>
      <c r="G746" s="20"/>
      <c r="H746" s="20">
        <v>1</v>
      </c>
      <c r="I746" s="126">
        <f t="shared" si="57"/>
        <v>0</v>
      </c>
      <c r="J746" s="38">
        <f t="shared" si="58"/>
        <v>0</v>
      </c>
      <c r="K746" s="80"/>
      <c r="L746" s="82"/>
    </row>
    <row r="747" spans="2:12" s="1" customFormat="1" ht="12.95" customHeight="1" x14ac:dyDescent="0.15">
      <c r="B747" s="16">
        <v>4</v>
      </c>
      <c r="C747" s="23"/>
      <c r="D747" s="24"/>
      <c r="E747" s="24"/>
      <c r="F747" s="129"/>
      <c r="G747" s="20"/>
      <c r="H747" s="20">
        <v>1</v>
      </c>
      <c r="I747" s="126">
        <f t="shared" si="57"/>
        <v>0</v>
      </c>
      <c r="J747" s="38">
        <f t="shared" si="58"/>
        <v>0</v>
      </c>
      <c r="K747" s="80"/>
      <c r="L747" s="82"/>
    </row>
    <row r="748" spans="2:12" s="1" customFormat="1" ht="14.1" customHeight="1" x14ac:dyDescent="0.15">
      <c r="B748" s="16">
        <v>5</v>
      </c>
      <c r="C748" s="16"/>
      <c r="D748" s="18"/>
      <c r="E748" s="18"/>
      <c r="F748" s="129"/>
      <c r="G748" s="20"/>
      <c r="H748" s="20">
        <v>1</v>
      </c>
      <c r="I748" s="126">
        <f t="shared" si="57"/>
        <v>0</v>
      </c>
      <c r="J748" s="38">
        <f t="shared" si="58"/>
        <v>0</v>
      </c>
      <c r="K748" s="80"/>
      <c r="L748" s="82"/>
    </row>
    <row r="749" spans="2:12" s="1" customFormat="1" ht="12.95" customHeight="1" x14ac:dyDescent="0.15">
      <c r="B749" s="16">
        <v>6</v>
      </c>
      <c r="C749" s="17"/>
      <c r="D749" s="24"/>
      <c r="E749" s="24"/>
      <c r="F749" s="129"/>
      <c r="G749" s="20"/>
      <c r="H749" s="20">
        <v>1</v>
      </c>
      <c r="I749" s="126">
        <f t="shared" si="57"/>
        <v>0</v>
      </c>
      <c r="J749" s="38">
        <f t="shared" si="58"/>
        <v>0</v>
      </c>
      <c r="K749" s="80"/>
      <c r="L749" s="82"/>
    </row>
    <row r="750" spans="2:12" s="1" customFormat="1" ht="12.95" customHeight="1" x14ac:dyDescent="0.15">
      <c r="B750" s="16">
        <v>7</v>
      </c>
      <c r="C750" s="17"/>
      <c r="D750" s="24"/>
      <c r="E750" s="24"/>
      <c r="F750" s="129"/>
      <c r="G750" s="20"/>
      <c r="H750" s="20">
        <v>1</v>
      </c>
      <c r="I750" s="126">
        <f t="shared" si="57"/>
        <v>0</v>
      </c>
      <c r="J750" s="38">
        <f t="shared" si="58"/>
        <v>0</v>
      </c>
      <c r="K750" s="80"/>
      <c r="L750" s="82"/>
    </row>
    <row r="751" spans="2:12" s="1" customFormat="1" ht="12.95" customHeight="1" x14ac:dyDescent="0.15">
      <c r="B751" s="16">
        <v>8</v>
      </c>
      <c r="C751" s="17"/>
      <c r="D751" s="24"/>
      <c r="E751" s="24"/>
      <c r="F751" s="129"/>
      <c r="G751" s="20"/>
      <c r="H751" s="20">
        <v>1</v>
      </c>
      <c r="I751" s="126">
        <f t="shared" si="57"/>
        <v>0</v>
      </c>
      <c r="J751" s="38">
        <f t="shared" si="58"/>
        <v>0</v>
      </c>
      <c r="K751" s="80"/>
      <c r="L751" s="82"/>
    </row>
    <row r="752" spans="2:12" s="1" customFormat="1" ht="12.95" customHeight="1" x14ac:dyDescent="0.15">
      <c r="B752" s="16">
        <v>9</v>
      </c>
      <c r="C752" s="17"/>
      <c r="D752" s="24"/>
      <c r="E752" s="24"/>
      <c r="F752" s="129"/>
      <c r="G752" s="20"/>
      <c r="H752" s="20">
        <v>1</v>
      </c>
      <c r="I752" s="126">
        <f t="shared" si="57"/>
        <v>0</v>
      </c>
      <c r="J752" s="38">
        <f t="shared" si="58"/>
        <v>0</v>
      </c>
      <c r="K752" s="80"/>
      <c r="L752" s="82"/>
    </row>
    <row r="753" spans="2:12" s="1" customFormat="1" ht="12.95" customHeight="1" x14ac:dyDescent="0.15">
      <c r="B753" s="16">
        <v>10</v>
      </c>
      <c r="C753" s="17"/>
      <c r="D753" s="24"/>
      <c r="E753" s="24"/>
      <c r="F753" s="129"/>
      <c r="G753" s="20"/>
      <c r="H753" s="20">
        <v>1</v>
      </c>
      <c r="I753" s="126">
        <f t="shared" si="57"/>
        <v>0</v>
      </c>
      <c r="J753" s="38">
        <f t="shared" si="58"/>
        <v>0</v>
      </c>
      <c r="K753" s="80"/>
      <c r="L753" s="82"/>
    </row>
    <row r="754" spans="2:12" s="1" customFormat="1" ht="12.95" customHeight="1" x14ac:dyDescent="0.15">
      <c r="B754" s="16"/>
      <c r="C754" s="17"/>
      <c r="D754" s="18"/>
      <c r="E754" s="24"/>
      <c r="F754" s="129"/>
      <c r="G754" s="20"/>
      <c r="H754" s="20"/>
      <c r="I754" s="126"/>
      <c r="J754" s="38"/>
      <c r="K754" s="80"/>
      <c r="L754" s="82"/>
    </row>
    <row r="755" spans="2:12" s="1" customFormat="1" ht="12.95" customHeight="1" x14ac:dyDescent="0.15">
      <c r="B755" s="16"/>
      <c r="C755" s="17"/>
      <c r="D755" s="18"/>
      <c r="E755" s="24"/>
      <c r="F755" s="129"/>
      <c r="G755" s="20"/>
      <c r="H755" s="20"/>
      <c r="I755" s="126"/>
      <c r="J755" s="38"/>
      <c r="K755" s="80"/>
      <c r="L755" s="82"/>
    </row>
    <row r="756" spans="2:12" s="1" customFormat="1" ht="12.95" customHeight="1" x14ac:dyDescent="0.15">
      <c r="B756" s="16"/>
      <c r="C756" s="22" t="s">
        <v>153</v>
      </c>
      <c r="D756" s="24"/>
      <c r="E756" s="18"/>
      <c r="F756" s="129"/>
      <c r="G756" s="20"/>
      <c r="H756" s="20"/>
      <c r="I756" s="126"/>
      <c r="J756" s="38"/>
      <c r="K756" s="80"/>
      <c r="L756" s="82"/>
    </row>
    <row r="757" spans="2:12" s="1" customFormat="1" ht="12.95" customHeight="1" x14ac:dyDescent="0.15">
      <c r="B757" s="16">
        <v>1</v>
      </c>
      <c r="C757" s="17"/>
      <c r="D757" s="24"/>
      <c r="E757" s="18"/>
      <c r="F757" s="129"/>
      <c r="G757" s="20"/>
      <c r="H757" s="20">
        <v>1</v>
      </c>
      <c r="I757" s="126">
        <f t="shared" ref="I757:I776" si="59">J757*$C$32</f>
        <v>0</v>
      </c>
      <c r="J757" s="38">
        <f t="shared" ref="J757:J776" si="60">(F757*G757*H757)/$C$32</f>
        <v>0</v>
      </c>
      <c r="K757" s="80"/>
      <c r="L757" s="82"/>
    </row>
    <row r="758" spans="2:12" s="1" customFormat="1" ht="12.95" customHeight="1" x14ac:dyDescent="0.15">
      <c r="B758" s="16">
        <v>2</v>
      </c>
      <c r="C758" s="17"/>
      <c r="D758" s="24"/>
      <c r="E758" s="18"/>
      <c r="F758" s="129"/>
      <c r="G758" s="20"/>
      <c r="H758" s="20">
        <v>1</v>
      </c>
      <c r="I758" s="126">
        <f t="shared" si="59"/>
        <v>0</v>
      </c>
      <c r="J758" s="38">
        <f t="shared" si="60"/>
        <v>0</v>
      </c>
      <c r="K758" s="80"/>
      <c r="L758" s="82"/>
    </row>
    <row r="759" spans="2:12" s="1" customFormat="1" ht="12.95" customHeight="1" x14ac:dyDescent="0.15">
      <c r="B759" s="16">
        <v>3</v>
      </c>
      <c r="C759" s="17"/>
      <c r="D759" s="24"/>
      <c r="E759" s="18"/>
      <c r="F759" s="129"/>
      <c r="G759" s="20"/>
      <c r="H759" s="20">
        <v>1</v>
      </c>
      <c r="I759" s="126">
        <f t="shared" si="59"/>
        <v>0</v>
      </c>
      <c r="J759" s="38">
        <f t="shared" si="60"/>
        <v>0</v>
      </c>
      <c r="K759" s="80"/>
      <c r="L759" s="82"/>
    </row>
    <row r="760" spans="2:12" s="1" customFormat="1" ht="12.95" customHeight="1" x14ac:dyDescent="0.15">
      <c r="B760" s="16">
        <v>4</v>
      </c>
      <c r="C760" s="17"/>
      <c r="D760" s="24"/>
      <c r="E760" s="18"/>
      <c r="F760" s="129"/>
      <c r="G760" s="20"/>
      <c r="H760" s="20">
        <v>1</v>
      </c>
      <c r="I760" s="126">
        <f t="shared" si="59"/>
        <v>0</v>
      </c>
      <c r="J760" s="38">
        <f t="shared" si="60"/>
        <v>0</v>
      </c>
      <c r="K760" s="80"/>
      <c r="L760" s="82"/>
    </row>
    <row r="761" spans="2:12" s="1" customFormat="1" ht="12.95" customHeight="1" x14ac:dyDescent="0.15">
      <c r="B761" s="16">
        <v>5</v>
      </c>
      <c r="C761" s="17"/>
      <c r="D761" s="24"/>
      <c r="E761" s="18"/>
      <c r="F761" s="129"/>
      <c r="G761" s="20"/>
      <c r="H761" s="20">
        <v>1</v>
      </c>
      <c r="I761" s="126">
        <f t="shared" si="59"/>
        <v>0</v>
      </c>
      <c r="J761" s="38">
        <f t="shared" si="60"/>
        <v>0</v>
      </c>
      <c r="K761" s="80"/>
      <c r="L761" s="82"/>
    </row>
    <row r="762" spans="2:12" s="1" customFormat="1" ht="12.95" customHeight="1" x14ac:dyDescent="0.15">
      <c r="B762" s="16">
        <v>6</v>
      </c>
      <c r="C762" s="17"/>
      <c r="D762" s="24"/>
      <c r="E762" s="18"/>
      <c r="F762" s="129"/>
      <c r="G762" s="20"/>
      <c r="H762" s="20">
        <v>1</v>
      </c>
      <c r="I762" s="126">
        <f t="shared" si="59"/>
        <v>0</v>
      </c>
      <c r="J762" s="38">
        <f t="shared" si="60"/>
        <v>0</v>
      </c>
      <c r="K762" s="80"/>
      <c r="L762" s="82"/>
    </row>
    <row r="763" spans="2:12" s="1" customFormat="1" ht="12.95" customHeight="1" x14ac:dyDescent="0.15">
      <c r="B763" s="16">
        <v>7</v>
      </c>
      <c r="C763" s="17"/>
      <c r="D763" s="24"/>
      <c r="E763" s="18"/>
      <c r="F763" s="129"/>
      <c r="G763" s="20"/>
      <c r="H763" s="20">
        <v>1</v>
      </c>
      <c r="I763" s="126">
        <f t="shared" si="59"/>
        <v>0</v>
      </c>
      <c r="J763" s="38">
        <f t="shared" si="60"/>
        <v>0</v>
      </c>
      <c r="K763" s="80"/>
      <c r="L763" s="82"/>
    </row>
    <row r="764" spans="2:12" s="1" customFormat="1" ht="12.95" customHeight="1" x14ac:dyDescent="0.15">
      <c r="B764" s="16">
        <v>8</v>
      </c>
      <c r="C764" s="17"/>
      <c r="D764" s="24"/>
      <c r="E764" s="18"/>
      <c r="F764" s="129"/>
      <c r="G764" s="20"/>
      <c r="H764" s="20">
        <v>1</v>
      </c>
      <c r="I764" s="126">
        <f t="shared" si="59"/>
        <v>0</v>
      </c>
      <c r="J764" s="21">
        <f t="shared" si="60"/>
        <v>0</v>
      </c>
      <c r="K764" s="80"/>
      <c r="L764" s="82"/>
    </row>
    <row r="765" spans="2:12" s="1" customFormat="1" ht="12.95" customHeight="1" x14ac:dyDescent="0.15">
      <c r="B765" s="16">
        <v>9</v>
      </c>
      <c r="C765" s="17"/>
      <c r="D765" s="24"/>
      <c r="E765" s="18"/>
      <c r="F765" s="129"/>
      <c r="G765" s="20"/>
      <c r="H765" s="20">
        <v>1</v>
      </c>
      <c r="I765" s="126">
        <f t="shared" si="59"/>
        <v>0</v>
      </c>
      <c r="J765" s="38">
        <f t="shared" si="60"/>
        <v>0</v>
      </c>
      <c r="K765" s="80"/>
      <c r="L765" s="82"/>
    </row>
    <row r="766" spans="2:12" s="1" customFormat="1" ht="12.95" customHeight="1" x14ac:dyDescent="0.15">
      <c r="B766" s="16">
        <v>10</v>
      </c>
      <c r="C766" s="17"/>
      <c r="D766" s="24"/>
      <c r="E766" s="18"/>
      <c r="F766" s="129"/>
      <c r="G766" s="20"/>
      <c r="H766" s="20">
        <v>1</v>
      </c>
      <c r="I766" s="126">
        <f t="shared" si="59"/>
        <v>0</v>
      </c>
      <c r="J766" s="38">
        <f t="shared" si="60"/>
        <v>0</v>
      </c>
      <c r="K766" s="80"/>
      <c r="L766" s="82"/>
    </row>
    <row r="767" spans="2:12" s="1" customFormat="1" ht="12.95" customHeight="1" x14ac:dyDescent="0.15">
      <c r="B767" s="16">
        <v>11</v>
      </c>
      <c r="C767" s="17"/>
      <c r="D767" s="24"/>
      <c r="E767" s="18"/>
      <c r="F767" s="129"/>
      <c r="G767" s="20"/>
      <c r="H767" s="20">
        <v>1</v>
      </c>
      <c r="I767" s="126">
        <f t="shared" si="59"/>
        <v>0</v>
      </c>
      <c r="J767" s="38">
        <f t="shared" si="60"/>
        <v>0</v>
      </c>
      <c r="K767" s="80"/>
      <c r="L767" s="82"/>
    </row>
    <row r="768" spans="2:12" s="1" customFormat="1" ht="12.95" customHeight="1" x14ac:dyDescent="0.15">
      <c r="B768" s="16">
        <v>12</v>
      </c>
      <c r="C768" s="17"/>
      <c r="D768" s="24"/>
      <c r="E768" s="18"/>
      <c r="F768" s="129"/>
      <c r="G768" s="20"/>
      <c r="H768" s="20">
        <v>1</v>
      </c>
      <c r="I768" s="126">
        <f t="shared" si="59"/>
        <v>0</v>
      </c>
      <c r="J768" s="38">
        <f t="shared" si="60"/>
        <v>0</v>
      </c>
      <c r="K768" s="80"/>
      <c r="L768" s="82"/>
    </row>
    <row r="769" spans="2:12" s="1" customFormat="1" ht="12.95" customHeight="1" x14ac:dyDescent="0.15">
      <c r="B769" s="16">
        <v>13</v>
      </c>
      <c r="C769" s="17"/>
      <c r="D769" s="24"/>
      <c r="E769" s="24"/>
      <c r="F769" s="129"/>
      <c r="G769" s="20"/>
      <c r="H769" s="20">
        <v>1</v>
      </c>
      <c r="I769" s="126">
        <f t="shared" si="59"/>
        <v>0</v>
      </c>
      <c r="J769" s="38">
        <f t="shared" si="60"/>
        <v>0</v>
      </c>
      <c r="K769" s="80"/>
      <c r="L769" s="82"/>
    </row>
    <row r="770" spans="2:12" s="1" customFormat="1" ht="12.95" customHeight="1" x14ac:dyDescent="0.15">
      <c r="B770" s="16">
        <v>14</v>
      </c>
      <c r="C770" s="17"/>
      <c r="D770" s="24"/>
      <c r="E770" s="24"/>
      <c r="F770" s="129"/>
      <c r="G770" s="20"/>
      <c r="H770" s="20">
        <v>1</v>
      </c>
      <c r="I770" s="126">
        <f t="shared" si="59"/>
        <v>0</v>
      </c>
      <c r="J770" s="38">
        <f t="shared" si="60"/>
        <v>0</v>
      </c>
      <c r="K770" s="80"/>
      <c r="L770" s="82"/>
    </row>
    <row r="771" spans="2:12" s="1" customFormat="1" ht="12.95" customHeight="1" x14ac:dyDescent="0.15">
      <c r="B771" s="16">
        <v>15</v>
      </c>
      <c r="C771" s="17"/>
      <c r="D771" s="24"/>
      <c r="E771" s="24"/>
      <c r="F771" s="129"/>
      <c r="G771" s="20"/>
      <c r="H771" s="20">
        <v>1</v>
      </c>
      <c r="I771" s="126">
        <f t="shared" si="59"/>
        <v>0</v>
      </c>
      <c r="J771" s="38">
        <f t="shared" si="60"/>
        <v>0</v>
      </c>
      <c r="K771" s="80"/>
      <c r="L771" s="82"/>
    </row>
    <row r="772" spans="2:12" s="1" customFormat="1" ht="12.95" customHeight="1" x14ac:dyDescent="0.15">
      <c r="B772" s="16">
        <v>16</v>
      </c>
      <c r="C772" s="17"/>
      <c r="D772" s="24"/>
      <c r="E772" s="24"/>
      <c r="F772" s="129"/>
      <c r="G772" s="20"/>
      <c r="H772" s="20">
        <v>1</v>
      </c>
      <c r="I772" s="126">
        <f t="shared" si="59"/>
        <v>0</v>
      </c>
      <c r="J772" s="38">
        <f t="shared" si="60"/>
        <v>0</v>
      </c>
      <c r="K772" s="80"/>
      <c r="L772" s="82"/>
    </row>
    <row r="773" spans="2:12" s="1" customFormat="1" ht="12.95" customHeight="1" x14ac:dyDescent="0.15">
      <c r="B773" s="16">
        <v>17</v>
      </c>
      <c r="C773" s="17"/>
      <c r="D773" s="24"/>
      <c r="E773" s="24"/>
      <c r="F773" s="129"/>
      <c r="G773" s="20"/>
      <c r="H773" s="20">
        <v>1</v>
      </c>
      <c r="I773" s="126">
        <f t="shared" si="59"/>
        <v>0</v>
      </c>
      <c r="J773" s="38">
        <f t="shared" si="60"/>
        <v>0</v>
      </c>
      <c r="K773" s="80"/>
      <c r="L773" s="82"/>
    </row>
    <row r="774" spans="2:12" s="1" customFormat="1" ht="12.95" customHeight="1" x14ac:dyDescent="0.15">
      <c r="B774" s="16">
        <v>18</v>
      </c>
      <c r="C774" s="17"/>
      <c r="D774" s="24"/>
      <c r="E774" s="24"/>
      <c r="F774" s="129"/>
      <c r="G774" s="20"/>
      <c r="H774" s="20">
        <v>1</v>
      </c>
      <c r="I774" s="126">
        <f t="shared" si="59"/>
        <v>0</v>
      </c>
      <c r="J774" s="38">
        <f t="shared" si="60"/>
        <v>0</v>
      </c>
      <c r="K774" s="80"/>
      <c r="L774" s="82"/>
    </row>
    <row r="775" spans="2:12" s="1" customFormat="1" ht="12.95" customHeight="1" x14ac:dyDescent="0.15">
      <c r="B775" s="16">
        <v>19</v>
      </c>
      <c r="C775" s="17"/>
      <c r="D775" s="24"/>
      <c r="E775" s="24"/>
      <c r="F775" s="129"/>
      <c r="G775" s="20"/>
      <c r="H775" s="20">
        <v>1</v>
      </c>
      <c r="I775" s="126">
        <f t="shared" si="59"/>
        <v>0</v>
      </c>
      <c r="J775" s="38">
        <f t="shared" si="60"/>
        <v>0</v>
      </c>
      <c r="K775" s="80"/>
      <c r="L775" s="82"/>
    </row>
    <row r="776" spans="2:12" s="1" customFormat="1" ht="12.95" customHeight="1" x14ac:dyDescent="0.15">
      <c r="B776" s="16">
        <v>20</v>
      </c>
      <c r="C776" s="17"/>
      <c r="D776" s="24"/>
      <c r="E776" s="24"/>
      <c r="F776" s="129"/>
      <c r="G776" s="20"/>
      <c r="H776" s="20">
        <v>1</v>
      </c>
      <c r="I776" s="126">
        <f t="shared" si="59"/>
        <v>0</v>
      </c>
      <c r="J776" s="38">
        <f t="shared" si="60"/>
        <v>0</v>
      </c>
      <c r="K776" s="80"/>
      <c r="L776" s="82"/>
    </row>
    <row r="777" spans="2:12" s="1" customFormat="1" ht="12.95" customHeight="1" x14ac:dyDescent="0.15">
      <c r="B777" s="16"/>
      <c r="C777" s="17"/>
      <c r="D777" s="24"/>
      <c r="E777" s="24"/>
      <c r="F777" s="129"/>
      <c r="G777" s="20"/>
      <c r="H777" s="20"/>
      <c r="I777" s="126"/>
      <c r="J777" s="38"/>
      <c r="K777" s="80"/>
      <c r="L777" s="82"/>
    </row>
    <row r="778" spans="2:12" s="1" customFormat="1" ht="12.95" customHeight="1" x14ac:dyDescent="0.15">
      <c r="B778" s="16"/>
      <c r="C778" s="17"/>
      <c r="D778" s="24"/>
      <c r="E778" s="24"/>
      <c r="F778" s="129"/>
      <c r="G778" s="20"/>
      <c r="H778" s="20"/>
      <c r="I778" s="126"/>
      <c r="J778" s="38"/>
      <c r="K778" s="80"/>
      <c r="L778" s="82"/>
    </row>
    <row r="779" spans="2:12" s="1" customFormat="1" ht="12.95" customHeight="1" x14ac:dyDescent="0.15">
      <c r="B779" s="16"/>
      <c r="C779" s="22" t="s">
        <v>132</v>
      </c>
      <c r="D779" s="24"/>
      <c r="E779" s="24"/>
      <c r="F779" s="129"/>
      <c r="G779" s="20"/>
      <c r="H779" s="20"/>
      <c r="I779" s="126"/>
      <c r="J779" s="38"/>
      <c r="K779" s="80"/>
      <c r="L779" s="82"/>
    </row>
    <row r="780" spans="2:12" s="1" customFormat="1" ht="12.95" customHeight="1" x14ac:dyDescent="0.15">
      <c r="B780" s="16">
        <v>1</v>
      </c>
      <c r="C780" s="17"/>
      <c r="D780" s="24"/>
      <c r="E780" s="24"/>
      <c r="F780" s="129"/>
      <c r="G780" s="20"/>
      <c r="H780" s="20">
        <v>1</v>
      </c>
      <c r="I780" s="126">
        <f t="shared" ref="I780:I792" si="61">J780*$C$32</f>
        <v>0</v>
      </c>
      <c r="J780" s="38">
        <f t="shared" ref="J780:J792" si="62">(F780*G780*H780)/$C$32</f>
        <v>0</v>
      </c>
      <c r="K780" s="80"/>
      <c r="L780" s="82"/>
    </row>
    <row r="781" spans="2:12" s="1" customFormat="1" ht="12.95" customHeight="1" x14ac:dyDescent="0.15">
      <c r="B781" s="16">
        <v>2</v>
      </c>
      <c r="C781" s="17"/>
      <c r="D781" s="24"/>
      <c r="E781" s="24"/>
      <c r="F781" s="129"/>
      <c r="G781" s="20"/>
      <c r="H781" s="20">
        <v>1</v>
      </c>
      <c r="I781" s="126">
        <f t="shared" si="61"/>
        <v>0</v>
      </c>
      <c r="J781" s="38">
        <f t="shared" si="62"/>
        <v>0</v>
      </c>
      <c r="K781" s="80"/>
      <c r="L781" s="82"/>
    </row>
    <row r="782" spans="2:12" s="1" customFormat="1" ht="12.95" customHeight="1" x14ac:dyDescent="0.15">
      <c r="B782" s="16">
        <v>3</v>
      </c>
      <c r="C782" s="17"/>
      <c r="D782" s="24"/>
      <c r="E782" s="24"/>
      <c r="F782" s="129"/>
      <c r="G782" s="20"/>
      <c r="H782" s="20">
        <v>1</v>
      </c>
      <c r="I782" s="126">
        <f t="shared" si="61"/>
        <v>0</v>
      </c>
      <c r="J782" s="38">
        <f t="shared" si="62"/>
        <v>0</v>
      </c>
      <c r="K782" s="80"/>
      <c r="L782" s="82"/>
    </row>
    <row r="783" spans="2:12" s="1" customFormat="1" ht="12.95" customHeight="1" x14ac:dyDescent="0.15">
      <c r="B783" s="16">
        <v>4</v>
      </c>
      <c r="C783" s="17"/>
      <c r="D783" s="24"/>
      <c r="E783" s="24"/>
      <c r="F783" s="129"/>
      <c r="G783" s="20"/>
      <c r="H783" s="20">
        <v>1</v>
      </c>
      <c r="I783" s="126">
        <f t="shared" si="61"/>
        <v>0</v>
      </c>
      <c r="J783" s="38">
        <f t="shared" si="62"/>
        <v>0</v>
      </c>
      <c r="K783" s="80"/>
      <c r="L783" s="82"/>
    </row>
    <row r="784" spans="2:12" s="1" customFormat="1" ht="12.95" customHeight="1" x14ac:dyDescent="0.15">
      <c r="B784" s="16">
        <v>5</v>
      </c>
      <c r="C784" s="17"/>
      <c r="D784" s="24"/>
      <c r="E784" s="24"/>
      <c r="F784" s="129"/>
      <c r="G784" s="20"/>
      <c r="H784" s="20">
        <v>1</v>
      </c>
      <c r="I784" s="126">
        <f t="shared" si="61"/>
        <v>0</v>
      </c>
      <c r="J784" s="38">
        <f t="shared" si="62"/>
        <v>0</v>
      </c>
      <c r="K784" s="80"/>
      <c r="L784" s="82"/>
    </row>
    <row r="785" spans="2:20" s="1" customFormat="1" ht="12.95" customHeight="1" x14ac:dyDescent="0.15">
      <c r="B785" s="16">
        <v>6</v>
      </c>
      <c r="C785" s="17"/>
      <c r="D785" s="24"/>
      <c r="E785" s="24"/>
      <c r="F785" s="129"/>
      <c r="G785" s="20"/>
      <c r="H785" s="20">
        <v>1</v>
      </c>
      <c r="I785" s="126">
        <f t="shared" si="61"/>
        <v>0</v>
      </c>
      <c r="J785" s="38">
        <f t="shared" si="62"/>
        <v>0</v>
      </c>
      <c r="K785" s="80"/>
      <c r="L785" s="82"/>
    </row>
    <row r="786" spans="2:20" s="1" customFormat="1" ht="12.95" customHeight="1" x14ac:dyDescent="0.15">
      <c r="B786" s="16">
        <v>7</v>
      </c>
      <c r="C786" s="17"/>
      <c r="D786" s="24"/>
      <c r="E786" s="24"/>
      <c r="F786" s="129"/>
      <c r="G786" s="20"/>
      <c r="H786" s="20">
        <v>1</v>
      </c>
      <c r="I786" s="126">
        <f t="shared" si="61"/>
        <v>0</v>
      </c>
      <c r="J786" s="38">
        <f t="shared" si="62"/>
        <v>0</v>
      </c>
      <c r="K786" s="80"/>
      <c r="L786" s="82"/>
    </row>
    <row r="787" spans="2:20" s="1" customFormat="1" ht="12.95" customHeight="1" x14ac:dyDescent="0.15">
      <c r="B787" s="16">
        <v>8</v>
      </c>
      <c r="C787" s="17"/>
      <c r="D787" s="24"/>
      <c r="E787" s="24"/>
      <c r="F787" s="129"/>
      <c r="G787" s="20"/>
      <c r="H787" s="20">
        <v>1</v>
      </c>
      <c r="I787" s="126">
        <f t="shared" si="61"/>
        <v>0</v>
      </c>
      <c r="J787" s="38">
        <f t="shared" si="62"/>
        <v>0</v>
      </c>
      <c r="K787" s="80"/>
      <c r="L787" s="82"/>
    </row>
    <row r="788" spans="2:20" s="1" customFormat="1" ht="12.95" customHeight="1" x14ac:dyDescent="0.15">
      <c r="B788" s="16">
        <v>9</v>
      </c>
      <c r="C788" s="17"/>
      <c r="D788" s="24"/>
      <c r="E788" s="24"/>
      <c r="F788" s="129"/>
      <c r="G788" s="20"/>
      <c r="H788" s="20">
        <v>1</v>
      </c>
      <c r="I788" s="126">
        <f t="shared" si="61"/>
        <v>0</v>
      </c>
      <c r="J788" s="38">
        <f t="shared" si="62"/>
        <v>0</v>
      </c>
      <c r="K788" s="80"/>
      <c r="L788" s="82"/>
    </row>
    <row r="789" spans="2:20" s="1" customFormat="1" ht="12.95" customHeight="1" x14ac:dyDescent="0.15">
      <c r="B789" s="16">
        <v>10</v>
      </c>
      <c r="C789" s="17"/>
      <c r="D789" s="24"/>
      <c r="E789" s="24"/>
      <c r="F789" s="129"/>
      <c r="G789" s="20"/>
      <c r="H789" s="20">
        <v>1</v>
      </c>
      <c r="I789" s="126">
        <f t="shared" si="61"/>
        <v>0</v>
      </c>
      <c r="J789" s="38">
        <f t="shared" si="62"/>
        <v>0</v>
      </c>
      <c r="K789" s="80"/>
      <c r="L789" s="82"/>
    </row>
    <row r="790" spans="2:20" s="1" customFormat="1" ht="12.95" customHeight="1" x14ac:dyDescent="0.15">
      <c r="B790" s="16">
        <v>11</v>
      </c>
      <c r="C790" s="44"/>
      <c r="D790" s="18"/>
      <c r="E790" s="18"/>
      <c r="F790" s="129"/>
      <c r="G790" s="20"/>
      <c r="H790" s="20">
        <v>1</v>
      </c>
      <c r="I790" s="126">
        <f t="shared" si="61"/>
        <v>0</v>
      </c>
      <c r="J790" s="21">
        <f t="shared" si="62"/>
        <v>0</v>
      </c>
      <c r="K790" s="80"/>
      <c r="L790" s="82"/>
      <c r="M790" s="10"/>
      <c r="N790" s="10"/>
      <c r="O790" s="10"/>
      <c r="P790" s="10"/>
      <c r="Q790" s="43"/>
      <c r="R790" s="10"/>
      <c r="T790" s="10" t="s">
        <v>169</v>
      </c>
    </row>
    <row r="791" spans="2:20" s="1" customFormat="1" ht="12.95" customHeight="1" x14ac:dyDescent="0.15">
      <c r="B791" s="16">
        <v>12</v>
      </c>
      <c r="C791" s="45"/>
      <c r="D791" s="18"/>
      <c r="E791" s="18"/>
      <c r="F791" s="130"/>
      <c r="G791" s="20"/>
      <c r="H791" s="20">
        <v>1</v>
      </c>
      <c r="I791" s="126">
        <f t="shared" si="61"/>
        <v>0</v>
      </c>
      <c r="J791" s="21">
        <f t="shared" si="62"/>
        <v>0</v>
      </c>
      <c r="K791" s="80"/>
      <c r="L791" s="82"/>
      <c r="M791" s="10"/>
      <c r="N791" s="10"/>
      <c r="O791" s="10"/>
      <c r="P791" s="10"/>
      <c r="Q791" s="43"/>
      <c r="R791" s="10"/>
      <c r="T791" s="10" t="s">
        <v>170</v>
      </c>
    </row>
    <row r="792" spans="2:20" s="1" customFormat="1" ht="12.95" customHeight="1" x14ac:dyDescent="0.15">
      <c r="B792" s="16">
        <v>13</v>
      </c>
      <c r="C792" s="44"/>
      <c r="D792" s="18"/>
      <c r="E792" s="18"/>
      <c r="F792" s="129"/>
      <c r="G792" s="20"/>
      <c r="H792" s="20">
        <v>1</v>
      </c>
      <c r="I792" s="126">
        <f t="shared" si="61"/>
        <v>0</v>
      </c>
      <c r="J792" s="21">
        <f t="shared" si="62"/>
        <v>0</v>
      </c>
      <c r="K792" s="80"/>
      <c r="L792" s="82"/>
      <c r="M792" s="10"/>
      <c r="N792" s="10"/>
      <c r="O792" s="10"/>
      <c r="P792" s="10"/>
      <c r="Q792" s="43"/>
      <c r="R792" s="10"/>
      <c r="T792" s="10" t="s">
        <v>171</v>
      </c>
    </row>
    <row r="793" spans="2:20" s="1" customFormat="1" ht="12.95" customHeight="1" x14ac:dyDescent="0.15">
      <c r="B793" s="16">
        <v>14</v>
      </c>
      <c r="C793" s="44"/>
      <c r="D793" s="18"/>
      <c r="E793" s="18"/>
      <c r="F793" s="129"/>
      <c r="G793" s="20"/>
      <c r="H793" s="20">
        <v>1</v>
      </c>
      <c r="I793" s="126">
        <f t="shared" ref="I793:I799" si="63">J793*$C$32</f>
        <v>0</v>
      </c>
      <c r="J793" s="21">
        <f t="shared" ref="J793:J799" si="64">(F793*G793*H793)/$C$32</f>
        <v>0</v>
      </c>
      <c r="K793" s="80"/>
      <c r="L793" s="82"/>
      <c r="M793" s="10"/>
      <c r="N793" s="10"/>
      <c r="O793" s="10"/>
      <c r="P793" s="10"/>
      <c r="Q793" s="43"/>
      <c r="R793" s="10"/>
      <c r="T793" s="10"/>
    </row>
    <row r="794" spans="2:20" s="1" customFormat="1" ht="12.95" customHeight="1" x14ac:dyDescent="0.15">
      <c r="B794" s="16">
        <v>15</v>
      </c>
      <c r="C794" s="44"/>
      <c r="D794" s="18"/>
      <c r="E794" s="18"/>
      <c r="F794" s="129"/>
      <c r="G794" s="20"/>
      <c r="H794" s="20">
        <v>1</v>
      </c>
      <c r="I794" s="126">
        <f t="shared" si="63"/>
        <v>0</v>
      </c>
      <c r="J794" s="21">
        <f t="shared" si="64"/>
        <v>0</v>
      </c>
      <c r="K794" s="80"/>
      <c r="L794" s="82"/>
      <c r="M794" s="10"/>
      <c r="N794" s="10"/>
      <c r="O794" s="10"/>
      <c r="P794" s="10"/>
      <c r="Q794" s="43"/>
      <c r="R794" s="10"/>
      <c r="T794" s="10"/>
    </row>
    <row r="795" spans="2:20" s="1" customFormat="1" ht="12.95" customHeight="1" x14ac:dyDescent="0.15">
      <c r="B795" s="16">
        <v>16</v>
      </c>
      <c r="C795" s="44"/>
      <c r="D795" s="18"/>
      <c r="E795" s="18"/>
      <c r="F795" s="129"/>
      <c r="G795" s="20"/>
      <c r="H795" s="20">
        <v>1</v>
      </c>
      <c r="I795" s="126">
        <f t="shared" si="63"/>
        <v>0</v>
      </c>
      <c r="J795" s="21">
        <f t="shared" si="64"/>
        <v>0</v>
      </c>
      <c r="K795" s="80"/>
      <c r="L795" s="82"/>
      <c r="M795" s="10"/>
      <c r="N795" s="10"/>
      <c r="O795" s="10"/>
      <c r="P795" s="10"/>
      <c r="Q795" s="43"/>
      <c r="R795" s="10"/>
      <c r="T795" s="10"/>
    </row>
    <row r="796" spans="2:20" s="1" customFormat="1" ht="12.95" customHeight="1" x14ac:dyDescent="0.15">
      <c r="B796" s="16">
        <v>17</v>
      </c>
      <c r="C796" s="44"/>
      <c r="D796" s="18"/>
      <c r="E796" s="18"/>
      <c r="F796" s="129"/>
      <c r="G796" s="20"/>
      <c r="H796" s="20">
        <v>1</v>
      </c>
      <c r="I796" s="126">
        <f t="shared" si="63"/>
        <v>0</v>
      </c>
      <c r="J796" s="21">
        <f t="shared" si="64"/>
        <v>0</v>
      </c>
      <c r="K796" s="80"/>
      <c r="L796" s="82"/>
      <c r="M796" s="10"/>
      <c r="N796" s="10"/>
      <c r="O796" s="10"/>
      <c r="P796" s="10"/>
      <c r="Q796" s="43"/>
      <c r="R796" s="10"/>
      <c r="T796" s="10"/>
    </row>
    <row r="797" spans="2:20" s="1" customFormat="1" ht="12.95" customHeight="1" x14ac:dyDescent="0.15">
      <c r="B797" s="16">
        <v>18</v>
      </c>
      <c r="C797" s="44"/>
      <c r="D797" s="18"/>
      <c r="E797" s="18"/>
      <c r="F797" s="129"/>
      <c r="G797" s="20"/>
      <c r="H797" s="20">
        <v>1</v>
      </c>
      <c r="I797" s="126">
        <f t="shared" si="63"/>
        <v>0</v>
      </c>
      <c r="J797" s="78">
        <f t="shared" si="64"/>
        <v>0</v>
      </c>
      <c r="K797" s="111"/>
      <c r="L797" s="119"/>
      <c r="M797" s="10"/>
      <c r="N797" s="10"/>
      <c r="O797" s="10"/>
      <c r="P797" s="10"/>
      <c r="Q797" s="43"/>
      <c r="R797" s="10"/>
      <c r="T797" s="10"/>
    </row>
    <row r="798" spans="2:20" s="1" customFormat="1" ht="12.95" customHeight="1" x14ac:dyDescent="0.15">
      <c r="B798" s="16">
        <v>19</v>
      </c>
      <c r="C798" s="44"/>
      <c r="D798" s="18"/>
      <c r="E798" s="18"/>
      <c r="F798" s="129"/>
      <c r="G798" s="20"/>
      <c r="H798" s="20">
        <v>1</v>
      </c>
      <c r="I798" s="254">
        <f t="shared" si="63"/>
        <v>0</v>
      </c>
      <c r="J798" s="94">
        <f t="shared" si="64"/>
        <v>0</v>
      </c>
      <c r="K798" s="82"/>
      <c r="L798" s="82"/>
      <c r="M798" s="10"/>
      <c r="N798" s="10"/>
      <c r="O798" s="10"/>
      <c r="P798" s="10"/>
      <c r="Q798" s="43"/>
      <c r="R798" s="10"/>
      <c r="T798" s="10"/>
    </row>
    <row r="799" spans="2:20" s="1" customFormat="1" ht="12.95" customHeight="1" x14ac:dyDescent="0.15">
      <c r="B799" s="16">
        <v>20</v>
      </c>
      <c r="C799" s="44"/>
      <c r="D799" s="18"/>
      <c r="E799" s="18"/>
      <c r="F799" s="129"/>
      <c r="G799" s="20"/>
      <c r="H799" s="20">
        <v>1</v>
      </c>
      <c r="I799" s="254">
        <f t="shared" si="63"/>
        <v>0</v>
      </c>
      <c r="J799" s="94">
        <f t="shared" si="64"/>
        <v>0</v>
      </c>
      <c r="K799" s="82"/>
      <c r="L799" s="82"/>
      <c r="M799" s="10"/>
      <c r="N799" s="10"/>
      <c r="O799" s="10"/>
      <c r="P799" s="10"/>
      <c r="Q799" s="43"/>
      <c r="R799" s="10"/>
      <c r="T799" s="10"/>
    </row>
    <row r="800" spans="2:20" s="1" customFormat="1" ht="12.95" customHeight="1" x14ac:dyDescent="0.15">
      <c r="B800" s="16"/>
      <c r="C800" s="11"/>
      <c r="D800" s="18"/>
      <c r="E800" s="18"/>
      <c r="F800" s="129"/>
      <c r="G800" s="20"/>
      <c r="H800" s="20"/>
      <c r="I800" s="255"/>
      <c r="J800" s="94"/>
      <c r="K800" s="82"/>
      <c r="L800" s="82"/>
      <c r="M800" s="10"/>
      <c r="N800" s="10"/>
      <c r="O800" s="10"/>
      <c r="P800" s="10"/>
      <c r="Q800" s="43"/>
      <c r="R800" s="10"/>
      <c r="T800" s="10"/>
    </row>
    <row r="801" spans="2:10" s="1" customFormat="1" ht="12.75" x14ac:dyDescent="0.15">
      <c r="B801" s="83"/>
      <c r="C801" s="98"/>
      <c r="D801" s="99"/>
      <c r="E801" s="98"/>
      <c r="F801" s="127">
        <f>SUM(F742:F800)</f>
        <v>0</v>
      </c>
      <c r="G801" s="100"/>
      <c r="H801" s="252"/>
      <c r="I801" s="256">
        <f>SUM(I743:I800)</f>
        <v>0</v>
      </c>
      <c r="J801" s="257">
        <f>SUM(J743:J800)</f>
        <v>0</v>
      </c>
    </row>
    <row r="802" spans="2:10" s="1" customFormat="1" ht="12.75" x14ac:dyDescent="0.15">
      <c r="B802" s="82"/>
      <c r="C802" s="102"/>
      <c r="D802" s="103"/>
      <c r="E802" s="102" t="s">
        <v>147</v>
      </c>
      <c r="F802" s="128">
        <f>100/115*F801</f>
        <v>0</v>
      </c>
      <c r="G802" s="104"/>
      <c r="H802" s="253" t="s">
        <v>147</v>
      </c>
      <c r="I802" s="128">
        <f>100/115*I801</f>
        <v>0</v>
      </c>
      <c r="J802" s="106"/>
    </row>
    <row r="803" spans="2:10" s="1" customFormat="1" ht="12.75" x14ac:dyDescent="0.15"/>
    <row r="804" spans="2:10" s="1" customFormat="1" ht="12.75" x14ac:dyDescent="0.15"/>
    <row r="805" spans="2:10" s="1" customFormat="1" ht="12.75" x14ac:dyDescent="0.15"/>
    <row r="806" spans="2:10" s="1" customFormat="1" ht="12.75" x14ac:dyDescent="0.15"/>
    <row r="807" spans="2:10" s="1" customFormat="1" ht="12.75" x14ac:dyDescent="0.15"/>
    <row r="808" spans="2:10" s="1" customFormat="1" ht="12.75" x14ac:dyDescent="0.15"/>
    <row r="809" spans="2:10" s="1" customFormat="1" ht="12.75" x14ac:dyDescent="0.15"/>
    <row r="810" spans="2:10" s="1" customFormat="1" ht="12.75" x14ac:dyDescent="0.15"/>
    <row r="811" spans="2:10" s="1" customFormat="1" ht="12.75" x14ac:dyDescent="0.15"/>
    <row r="812" spans="2:10" s="1" customFormat="1" ht="12.75" x14ac:dyDescent="0.15"/>
    <row r="813" spans="2:10" s="1" customFormat="1" ht="12.75" x14ac:dyDescent="0.15"/>
    <row r="814" spans="2:10" s="1" customFormat="1" ht="12.75" x14ac:dyDescent="0.15"/>
    <row r="815" spans="2:10" s="1" customFormat="1" ht="12.75" x14ac:dyDescent="0.15"/>
    <row r="816" spans="2:10" s="1" customFormat="1" ht="12.75" x14ac:dyDescent="0.15"/>
    <row r="817" s="1" customFormat="1" ht="12.75" x14ac:dyDescent="0.15"/>
    <row r="818" s="1" customFormat="1" ht="12.75" x14ac:dyDescent="0.15"/>
    <row r="819" s="1" customFormat="1" ht="12.75" x14ac:dyDescent="0.15"/>
    <row r="820" s="1" customFormat="1" ht="12.75" x14ac:dyDescent="0.15"/>
    <row r="821" s="1" customFormat="1" ht="12.75" x14ac:dyDescent="0.15"/>
    <row r="822" s="1" customFormat="1" ht="12.75" x14ac:dyDescent="0.15"/>
    <row r="823" s="1" customFormat="1" ht="12.75" x14ac:dyDescent="0.15"/>
    <row r="824" s="1" customFormat="1" ht="12.75" x14ac:dyDescent="0.15"/>
    <row r="825" s="1" customFormat="1" ht="12.75" x14ac:dyDescent="0.15"/>
    <row r="826" s="1" customFormat="1" ht="12.75" x14ac:dyDescent="0.15"/>
    <row r="827" s="1" customFormat="1" ht="12.75" x14ac:dyDescent="0.15"/>
    <row r="828" s="1" customFormat="1" ht="12.75" x14ac:dyDescent="0.15"/>
    <row r="829" s="1" customFormat="1" ht="12.75" x14ac:dyDescent="0.15"/>
    <row r="830" s="1" customFormat="1" ht="12.75" x14ac:dyDescent="0.15"/>
    <row r="831" s="1" customFormat="1" ht="12.75" x14ac:dyDescent="0.15"/>
    <row r="832" s="1" customFormat="1" ht="12.75" x14ac:dyDescent="0.15"/>
    <row r="833" s="1" customFormat="1" ht="12.75" x14ac:dyDescent="0.15"/>
    <row r="834" s="1" customFormat="1" ht="12.75" x14ac:dyDescent="0.15"/>
    <row r="835" s="1" customFormat="1" ht="12.75" x14ac:dyDescent="0.15"/>
    <row r="836" s="1" customFormat="1" ht="12.75" x14ac:dyDescent="0.15"/>
    <row r="837" s="1" customFormat="1" ht="12.75" x14ac:dyDescent="0.15"/>
    <row r="838" s="1" customFormat="1" ht="12.75" x14ac:dyDescent="0.15"/>
    <row r="839" s="1" customFormat="1" ht="12.75" x14ac:dyDescent="0.15"/>
    <row r="840" s="1" customFormat="1" ht="12.75" x14ac:dyDescent="0.15"/>
    <row r="841" s="1" customFormat="1" ht="12.75" x14ac:dyDescent="0.15"/>
    <row r="842" s="1" customFormat="1" ht="12.75" x14ac:dyDescent="0.15"/>
    <row r="843" s="1" customFormat="1" ht="12.75" x14ac:dyDescent="0.15"/>
    <row r="844" s="1" customFormat="1" ht="12.75" x14ac:dyDescent="0.15"/>
    <row r="845" s="1" customFormat="1" ht="12.75" x14ac:dyDescent="0.15"/>
    <row r="846" s="1" customFormat="1" ht="12.75" x14ac:dyDescent="0.15"/>
    <row r="847" s="1" customFormat="1" ht="12.75" x14ac:dyDescent="0.15"/>
    <row r="848" s="1" customFormat="1" ht="12.75" x14ac:dyDescent="0.15"/>
    <row r="849" s="1" customFormat="1" ht="12.75" x14ac:dyDescent="0.15"/>
    <row r="850" s="1" customFormat="1" ht="12.75" x14ac:dyDescent="0.15"/>
    <row r="851" s="1" customFormat="1" ht="12.75" x14ac:dyDescent="0.15"/>
    <row r="852" s="1" customFormat="1" ht="12.75" x14ac:dyDescent="0.15"/>
    <row r="853" s="1" customFormat="1" ht="12.75" x14ac:dyDescent="0.15"/>
    <row r="854" s="1" customFormat="1" ht="12.75" x14ac:dyDescent="0.15"/>
    <row r="855" s="1" customFormat="1" ht="12.75" x14ac:dyDescent="0.15"/>
    <row r="856" s="1" customFormat="1" ht="12.75" x14ac:dyDescent="0.15"/>
    <row r="857" s="1" customFormat="1" ht="12.75" x14ac:dyDescent="0.15"/>
    <row r="858" s="1" customFormat="1" ht="12.75" x14ac:dyDescent="0.15"/>
    <row r="859" s="1" customFormat="1" ht="12.75" x14ac:dyDescent="0.15"/>
    <row r="860" s="1" customFormat="1" ht="12.75" x14ac:dyDescent="0.15"/>
    <row r="861" s="1" customFormat="1" ht="12.75" x14ac:dyDescent="0.15"/>
    <row r="862" s="1" customFormat="1" ht="12.75" x14ac:dyDescent="0.15"/>
    <row r="863" s="1" customFormat="1" ht="12.75" x14ac:dyDescent="0.15"/>
    <row r="864" s="1" customFormat="1" ht="12.75" x14ac:dyDescent="0.15"/>
    <row r="865" spans="12:12" x14ac:dyDescent="0.2">
      <c r="L865"/>
    </row>
    <row r="866" spans="12:12" x14ac:dyDescent="0.2">
      <c r="L866"/>
    </row>
    <row r="867" spans="12:12" x14ac:dyDescent="0.2">
      <c r="L867"/>
    </row>
    <row r="868" spans="12:12" x14ac:dyDescent="0.2">
      <c r="L868"/>
    </row>
    <row r="869" spans="12:12" x14ac:dyDescent="0.2">
      <c r="L869"/>
    </row>
    <row r="870" spans="12:12" x14ac:dyDescent="0.2">
      <c r="L870"/>
    </row>
    <row r="871" spans="12:12" x14ac:dyDescent="0.2">
      <c r="L871"/>
    </row>
    <row r="872" spans="12:12" x14ac:dyDescent="0.2">
      <c r="L872"/>
    </row>
    <row r="873" spans="12:12" x14ac:dyDescent="0.2">
      <c r="L873"/>
    </row>
    <row r="874" spans="12:12" x14ac:dyDescent="0.2">
      <c r="L874"/>
    </row>
    <row r="875" spans="12:12" x14ac:dyDescent="0.2">
      <c r="L875"/>
    </row>
    <row r="876" spans="12:12" x14ac:dyDescent="0.2">
      <c r="L876"/>
    </row>
    <row r="877" spans="12:12" x14ac:dyDescent="0.2">
      <c r="L877"/>
    </row>
    <row r="878" spans="12:12" x14ac:dyDescent="0.2">
      <c r="L878"/>
    </row>
    <row r="879" spans="12:12" x14ac:dyDescent="0.2">
      <c r="L879"/>
    </row>
    <row r="880" spans="12:12" x14ac:dyDescent="0.2">
      <c r="L880"/>
    </row>
    <row r="881" spans="12:12" x14ac:dyDescent="0.2">
      <c r="L881"/>
    </row>
    <row r="882" spans="12:12" x14ac:dyDescent="0.2">
      <c r="L882"/>
    </row>
    <row r="883" spans="12:12" x14ac:dyDescent="0.2">
      <c r="L883"/>
    </row>
    <row r="884" spans="12:12" x14ac:dyDescent="0.2">
      <c r="L884"/>
    </row>
    <row r="885" spans="12:12" x14ac:dyDescent="0.2">
      <c r="L885"/>
    </row>
    <row r="886" spans="12:12" x14ac:dyDescent="0.2">
      <c r="L886"/>
    </row>
    <row r="887" spans="12:12" x14ac:dyDescent="0.2">
      <c r="L887"/>
    </row>
    <row r="888" spans="12:12" x14ac:dyDescent="0.2">
      <c r="L888"/>
    </row>
    <row r="889" spans="12:12" x14ac:dyDescent="0.2">
      <c r="L889"/>
    </row>
    <row r="890" spans="12:12" x14ac:dyDescent="0.2">
      <c r="L890"/>
    </row>
    <row r="891" spans="12:12" x14ac:dyDescent="0.2">
      <c r="L891"/>
    </row>
    <row r="892" spans="12:12" x14ac:dyDescent="0.2">
      <c r="L892"/>
    </row>
    <row r="893" spans="12:12" x14ac:dyDescent="0.2">
      <c r="L893"/>
    </row>
    <row r="894" spans="12:12" x14ac:dyDescent="0.2">
      <c r="L894"/>
    </row>
    <row r="895" spans="12:12" x14ac:dyDescent="0.2">
      <c r="L895"/>
    </row>
    <row r="896" spans="12:12" x14ac:dyDescent="0.2">
      <c r="L896"/>
    </row>
    <row r="897" spans="12:12" x14ac:dyDescent="0.2">
      <c r="L897"/>
    </row>
    <row r="898" spans="12:12" x14ac:dyDescent="0.2">
      <c r="L898"/>
    </row>
    <row r="899" spans="12:12" x14ac:dyDescent="0.2">
      <c r="L899"/>
    </row>
    <row r="900" spans="12:12" x14ac:dyDescent="0.2">
      <c r="L900"/>
    </row>
    <row r="901" spans="12:12" x14ac:dyDescent="0.2">
      <c r="L901"/>
    </row>
    <row r="902" spans="12:12" x14ac:dyDescent="0.2">
      <c r="L902"/>
    </row>
    <row r="903" spans="12:12" x14ac:dyDescent="0.2">
      <c r="L903"/>
    </row>
    <row r="904" spans="12:12" x14ac:dyDescent="0.2">
      <c r="L904"/>
    </row>
    <row r="905" spans="12:12" x14ac:dyDescent="0.2">
      <c r="L905"/>
    </row>
    <row r="906" spans="12:12" x14ac:dyDescent="0.2">
      <c r="L906"/>
    </row>
    <row r="907" spans="12:12" x14ac:dyDescent="0.2">
      <c r="L907"/>
    </row>
    <row r="908" spans="12:12" x14ac:dyDescent="0.2">
      <c r="L908"/>
    </row>
    <row r="909" spans="12:12" x14ac:dyDescent="0.2">
      <c r="L909"/>
    </row>
    <row r="910" spans="12:12" x14ac:dyDescent="0.2">
      <c r="L910"/>
    </row>
    <row r="911" spans="12:12" x14ac:dyDescent="0.2">
      <c r="L911"/>
    </row>
    <row r="912" spans="12:12" x14ac:dyDescent="0.2">
      <c r="L912"/>
    </row>
    <row r="913" spans="12:12" x14ac:dyDescent="0.2">
      <c r="L913"/>
    </row>
    <row r="914" spans="12:12" x14ac:dyDescent="0.2">
      <c r="L914"/>
    </row>
    <row r="915" spans="12:12" x14ac:dyDescent="0.2">
      <c r="L915"/>
    </row>
    <row r="916" spans="12:12" x14ac:dyDescent="0.2">
      <c r="L916"/>
    </row>
    <row r="917" spans="12:12" x14ac:dyDescent="0.2">
      <c r="L917"/>
    </row>
    <row r="918" spans="12:12" x14ac:dyDescent="0.2">
      <c r="L918"/>
    </row>
    <row r="919" spans="12:12" x14ac:dyDescent="0.2">
      <c r="L919"/>
    </row>
    <row r="920" spans="12:12" x14ac:dyDescent="0.2">
      <c r="L920"/>
    </row>
    <row r="921" spans="12:12" x14ac:dyDescent="0.2">
      <c r="L921"/>
    </row>
    <row r="922" spans="12:12" x14ac:dyDescent="0.2">
      <c r="L922"/>
    </row>
    <row r="923" spans="12:12" x14ac:dyDescent="0.2">
      <c r="L923"/>
    </row>
    <row r="924" spans="12:12" x14ac:dyDescent="0.2">
      <c r="L924"/>
    </row>
    <row r="925" spans="12:12" x14ac:dyDescent="0.2">
      <c r="L925"/>
    </row>
    <row r="926" spans="12:12" x14ac:dyDescent="0.2">
      <c r="L926"/>
    </row>
    <row r="927" spans="12:12" x14ac:dyDescent="0.2">
      <c r="L927"/>
    </row>
    <row r="928" spans="12:12" x14ac:dyDescent="0.2">
      <c r="L928"/>
    </row>
    <row r="929" spans="12:12" x14ac:dyDescent="0.2">
      <c r="L929"/>
    </row>
    <row r="930" spans="12:12" x14ac:dyDescent="0.2">
      <c r="L930"/>
    </row>
    <row r="931" spans="12:12" x14ac:dyDescent="0.2">
      <c r="L931"/>
    </row>
    <row r="932" spans="12:12" x14ac:dyDescent="0.2">
      <c r="L932"/>
    </row>
    <row r="933" spans="12:12" x14ac:dyDescent="0.2">
      <c r="L933"/>
    </row>
    <row r="934" spans="12:12" x14ac:dyDescent="0.2">
      <c r="L934"/>
    </row>
    <row r="935" spans="12:12" x14ac:dyDescent="0.2">
      <c r="L935"/>
    </row>
    <row r="936" spans="12:12" x14ac:dyDescent="0.2">
      <c r="L936"/>
    </row>
    <row r="937" spans="12:12" x14ac:dyDescent="0.2">
      <c r="L937"/>
    </row>
    <row r="938" spans="12:12" x14ac:dyDescent="0.2">
      <c r="L938"/>
    </row>
    <row r="939" spans="12:12" x14ac:dyDescent="0.2">
      <c r="L939"/>
    </row>
    <row r="940" spans="12:12" x14ac:dyDescent="0.2">
      <c r="L940"/>
    </row>
    <row r="941" spans="12:12" x14ac:dyDescent="0.2">
      <c r="L941"/>
    </row>
    <row r="942" spans="12:12" x14ac:dyDescent="0.2">
      <c r="L942"/>
    </row>
    <row r="943" spans="12:12" x14ac:dyDescent="0.2">
      <c r="L943"/>
    </row>
    <row r="944" spans="12:12" x14ac:dyDescent="0.2">
      <c r="L944"/>
    </row>
    <row r="945" spans="12:12" x14ac:dyDescent="0.2">
      <c r="L945"/>
    </row>
    <row r="946" spans="12:12" x14ac:dyDescent="0.2">
      <c r="L946"/>
    </row>
    <row r="947" spans="12:12" x14ac:dyDescent="0.2">
      <c r="L947"/>
    </row>
    <row r="948" spans="12:12" x14ac:dyDescent="0.2">
      <c r="L948"/>
    </row>
    <row r="949" spans="12:12" x14ac:dyDescent="0.2">
      <c r="L949"/>
    </row>
    <row r="950" spans="12:12" x14ac:dyDescent="0.2">
      <c r="L950"/>
    </row>
    <row r="951" spans="12:12" x14ac:dyDescent="0.2">
      <c r="L951"/>
    </row>
    <row r="952" spans="12:12" x14ac:dyDescent="0.2">
      <c r="L952"/>
    </row>
    <row r="953" spans="12:12" x14ac:dyDescent="0.2">
      <c r="L953"/>
    </row>
    <row r="954" spans="12:12" x14ac:dyDescent="0.2">
      <c r="L954"/>
    </row>
    <row r="955" spans="12:12" x14ac:dyDescent="0.2">
      <c r="L955"/>
    </row>
    <row r="956" spans="12:12" x14ac:dyDescent="0.2">
      <c r="L956"/>
    </row>
    <row r="957" spans="12:12" x14ac:dyDescent="0.2">
      <c r="L957"/>
    </row>
    <row r="958" spans="12:12" x14ac:dyDescent="0.2">
      <c r="L958"/>
    </row>
    <row r="959" spans="12:12" x14ac:dyDescent="0.2">
      <c r="L959"/>
    </row>
    <row r="960" spans="12:12" x14ac:dyDescent="0.2">
      <c r="L960"/>
    </row>
    <row r="961" spans="12:12" x14ac:dyDescent="0.2">
      <c r="L961"/>
    </row>
    <row r="962" spans="12:12" x14ac:dyDescent="0.2">
      <c r="L962"/>
    </row>
    <row r="963" spans="12:12" x14ac:dyDescent="0.2">
      <c r="L963"/>
    </row>
    <row r="964" spans="12:12" x14ac:dyDescent="0.2">
      <c r="L964"/>
    </row>
    <row r="965" spans="12:12" x14ac:dyDescent="0.2">
      <c r="L965"/>
    </row>
    <row r="966" spans="12:12" x14ac:dyDescent="0.2">
      <c r="L966"/>
    </row>
    <row r="967" spans="12:12" x14ac:dyDescent="0.2">
      <c r="L967"/>
    </row>
    <row r="968" spans="12:12" x14ac:dyDescent="0.2">
      <c r="L968"/>
    </row>
    <row r="969" spans="12:12" x14ac:dyDescent="0.2">
      <c r="L969"/>
    </row>
    <row r="970" spans="12:12" x14ac:dyDescent="0.2">
      <c r="L970"/>
    </row>
    <row r="971" spans="12:12" x14ac:dyDescent="0.2">
      <c r="L971"/>
    </row>
    <row r="972" spans="12:12" x14ac:dyDescent="0.2">
      <c r="L972"/>
    </row>
    <row r="973" spans="12:12" x14ac:dyDescent="0.2">
      <c r="L973"/>
    </row>
    <row r="974" spans="12:12" x14ac:dyDescent="0.2">
      <c r="L974"/>
    </row>
    <row r="975" spans="12:12" x14ac:dyDescent="0.2">
      <c r="L975"/>
    </row>
    <row r="976" spans="12:12" x14ac:dyDescent="0.2">
      <c r="L976"/>
    </row>
    <row r="977" spans="12:12" x14ac:dyDescent="0.2">
      <c r="L977"/>
    </row>
    <row r="978" spans="12:12" x14ac:dyDescent="0.2">
      <c r="L978"/>
    </row>
    <row r="979" spans="12:12" x14ac:dyDescent="0.2">
      <c r="L979"/>
    </row>
    <row r="980" spans="12:12" x14ac:dyDescent="0.2">
      <c r="L980"/>
    </row>
    <row r="981" spans="12:12" x14ac:dyDescent="0.2">
      <c r="L981"/>
    </row>
    <row r="982" spans="12:12" x14ac:dyDescent="0.2">
      <c r="L982"/>
    </row>
    <row r="983" spans="12:12" x14ac:dyDescent="0.2">
      <c r="L983"/>
    </row>
    <row r="984" spans="12:12" x14ac:dyDescent="0.2">
      <c r="L984"/>
    </row>
    <row r="985" spans="12:12" x14ac:dyDescent="0.2">
      <c r="L985"/>
    </row>
    <row r="986" spans="12:12" x14ac:dyDescent="0.2">
      <c r="L986"/>
    </row>
    <row r="987" spans="12:12" x14ac:dyDescent="0.2">
      <c r="L987"/>
    </row>
    <row r="988" spans="12:12" x14ac:dyDescent="0.2">
      <c r="L988"/>
    </row>
    <row r="989" spans="12:12" x14ac:dyDescent="0.2">
      <c r="L989"/>
    </row>
    <row r="990" spans="12:12" x14ac:dyDescent="0.2">
      <c r="L990"/>
    </row>
    <row r="991" spans="12:12" x14ac:dyDescent="0.2">
      <c r="L991"/>
    </row>
    <row r="992" spans="12:12" x14ac:dyDescent="0.2">
      <c r="L992"/>
    </row>
    <row r="993" spans="12:12" x14ac:dyDescent="0.2">
      <c r="L993"/>
    </row>
    <row r="994" spans="12:12" x14ac:dyDescent="0.2">
      <c r="L994"/>
    </row>
    <row r="995" spans="12:12" x14ac:dyDescent="0.2">
      <c r="L995"/>
    </row>
    <row r="996" spans="12:12" x14ac:dyDescent="0.2">
      <c r="L996"/>
    </row>
    <row r="997" spans="12:12" x14ac:dyDescent="0.2">
      <c r="L997"/>
    </row>
    <row r="998" spans="12:12" x14ac:dyDescent="0.2">
      <c r="L998"/>
    </row>
    <row r="999" spans="12:12" x14ac:dyDescent="0.2">
      <c r="L999"/>
    </row>
    <row r="1000" spans="12:12" x14ac:dyDescent="0.2">
      <c r="L1000"/>
    </row>
    <row r="1001" spans="12:12" x14ac:dyDescent="0.2">
      <c r="L1001"/>
    </row>
    <row r="1002" spans="12:12" x14ac:dyDescent="0.2">
      <c r="L1002"/>
    </row>
    <row r="1003" spans="12:12" x14ac:dyDescent="0.2">
      <c r="L1003"/>
    </row>
    <row r="1004" spans="12:12" x14ac:dyDescent="0.2">
      <c r="L1004"/>
    </row>
    <row r="1005" spans="12:12" x14ac:dyDescent="0.2">
      <c r="L1005"/>
    </row>
    <row r="1006" spans="12:12" x14ac:dyDescent="0.2">
      <c r="L1006"/>
    </row>
    <row r="1007" spans="12:12" x14ac:dyDescent="0.2">
      <c r="L1007"/>
    </row>
    <row r="1008" spans="12:12" x14ac:dyDescent="0.2">
      <c r="L1008"/>
    </row>
    <row r="1009" spans="12:12" x14ac:dyDescent="0.2">
      <c r="L1009"/>
    </row>
    <row r="1010" spans="12:12" x14ac:dyDescent="0.2">
      <c r="L1010"/>
    </row>
    <row r="1011" spans="12:12" x14ac:dyDescent="0.2">
      <c r="L1011"/>
    </row>
    <row r="1012" spans="12:12" x14ac:dyDescent="0.2">
      <c r="L1012"/>
    </row>
    <row r="1013" spans="12:12" x14ac:dyDescent="0.2">
      <c r="L1013"/>
    </row>
    <row r="1014" spans="12:12" x14ac:dyDescent="0.2">
      <c r="L1014"/>
    </row>
    <row r="1015" spans="12:12" x14ac:dyDescent="0.2">
      <c r="L1015"/>
    </row>
    <row r="1016" spans="12:12" x14ac:dyDescent="0.2">
      <c r="L1016"/>
    </row>
    <row r="1017" spans="12:12" x14ac:dyDescent="0.2">
      <c r="L1017"/>
    </row>
    <row r="1018" spans="12:12" x14ac:dyDescent="0.2">
      <c r="L1018"/>
    </row>
    <row r="1019" spans="12:12" x14ac:dyDescent="0.2">
      <c r="L1019"/>
    </row>
    <row r="1020" spans="12:12" x14ac:dyDescent="0.2">
      <c r="L1020"/>
    </row>
    <row r="1021" spans="12:12" x14ac:dyDescent="0.2">
      <c r="L1021"/>
    </row>
    <row r="1022" spans="12:12" x14ac:dyDescent="0.2">
      <c r="L1022"/>
    </row>
    <row r="1023" spans="12:12" x14ac:dyDescent="0.2">
      <c r="L1023"/>
    </row>
    <row r="1024" spans="12:12" x14ac:dyDescent="0.2">
      <c r="L1024"/>
    </row>
    <row r="1025" spans="12:12" x14ac:dyDescent="0.2">
      <c r="L1025"/>
    </row>
    <row r="1026" spans="12:12" x14ac:dyDescent="0.2">
      <c r="L1026"/>
    </row>
    <row r="1027" spans="12:12" x14ac:dyDescent="0.2">
      <c r="L1027"/>
    </row>
    <row r="1028" spans="12:12" x14ac:dyDescent="0.2">
      <c r="L1028"/>
    </row>
    <row r="1029" spans="12:12" x14ac:dyDescent="0.2">
      <c r="L1029"/>
    </row>
    <row r="1030" spans="12:12" x14ac:dyDescent="0.2">
      <c r="L1030"/>
    </row>
    <row r="1031" spans="12:12" x14ac:dyDescent="0.2">
      <c r="L1031"/>
    </row>
    <row r="1032" spans="12:12" x14ac:dyDescent="0.2">
      <c r="L1032"/>
    </row>
    <row r="1033" spans="12:12" x14ac:dyDescent="0.2">
      <c r="L1033"/>
    </row>
    <row r="1034" spans="12:12" x14ac:dyDescent="0.2">
      <c r="L1034"/>
    </row>
    <row r="1035" spans="12:12" x14ac:dyDescent="0.2">
      <c r="L1035"/>
    </row>
    <row r="1036" spans="12:12" x14ac:dyDescent="0.2">
      <c r="L1036"/>
    </row>
    <row r="1037" spans="12:12" x14ac:dyDescent="0.2">
      <c r="L1037"/>
    </row>
    <row r="1038" spans="12:12" x14ac:dyDescent="0.2">
      <c r="L1038"/>
    </row>
    <row r="1039" spans="12:12" x14ac:dyDescent="0.2">
      <c r="L1039"/>
    </row>
    <row r="1040" spans="12:12" x14ac:dyDescent="0.2">
      <c r="L1040"/>
    </row>
    <row r="1041" spans="12:12" x14ac:dyDescent="0.2">
      <c r="L1041"/>
    </row>
    <row r="1042" spans="12:12" x14ac:dyDescent="0.2">
      <c r="L1042"/>
    </row>
    <row r="1043" spans="12:12" x14ac:dyDescent="0.2">
      <c r="L1043"/>
    </row>
    <row r="1044" spans="12:12" x14ac:dyDescent="0.2">
      <c r="L1044"/>
    </row>
    <row r="1045" spans="12:12" x14ac:dyDescent="0.2">
      <c r="L1045"/>
    </row>
    <row r="1046" spans="12:12" x14ac:dyDescent="0.2">
      <c r="L1046"/>
    </row>
    <row r="1047" spans="12:12" x14ac:dyDescent="0.2">
      <c r="L1047"/>
    </row>
    <row r="1048" spans="12:12" x14ac:dyDescent="0.2">
      <c r="L1048"/>
    </row>
    <row r="1049" spans="12:12" x14ac:dyDescent="0.2">
      <c r="L1049"/>
    </row>
    <row r="1050" spans="12:12" x14ac:dyDescent="0.2">
      <c r="L1050"/>
    </row>
    <row r="1051" spans="12:12" x14ac:dyDescent="0.2">
      <c r="L1051"/>
    </row>
    <row r="1052" spans="12:12" x14ac:dyDescent="0.2">
      <c r="L1052"/>
    </row>
    <row r="1053" spans="12:12" x14ac:dyDescent="0.2">
      <c r="L1053"/>
    </row>
    <row r="1054" spans="12:12" x14ac:dyDescent="0.2">
      <c r="L1054"/>
    </row>
    <row r="1055" spans="12:12" x14ac:dyDescent="0.2">
      <c r="L1055"/>
    </row>
    <row r="1056" spans="12:12" x14ac:dyDescent="0.2">
      <c r="L1056"/>
    </row>
    <row r="1057" spans="12:12" x14ac:dyDescent="0.2">
      <c r="L1057"/>
    </row>
    <row r="1058" spans="12:12" x14ac:dyDescent="0.2">
      <c r="L1058"/>
    </row>
    <row r="1059" spans="12:12" x14ac:dyDescent="0.2">
      <c r="L1059"/>
    </row>
    <row r="1060" spans="12:12" x14ac:dyDescent="0.2">
      <c r="L1060"/>
    </row>
    <row r="1061" spans="12:12" x14ac:dyDescent="0.2">
      <c r="L1061"/>
    </row>
    <row r="1062" spans="12:12" x14ac:dyDescent="0.2">
      <c r="L1062"/>
    </row>
    <row r="1063" spans="12:12" x14ac:dyDescent="0.2">
      <c r="L1063"/>
    </row>
    <row r="1064" spans="12:12" x14ac:dyDescent="0.2">
      <c r="L1064"/>
    </row>
    <row r="1065" spans="12:12" x14ac:dyDescent="0.2">
      <c r="L1065"/>
    </row>
    <row r="1066" spans="12:12" x14ac:dyDescent="0.2">
      <c r="L1066"/>
    </row>
    <row r="1067" spans="12:12" x14ac:dyDescent="0.2">
      <c r="L1067"/>
    </row>
    <row r="1068" spans="12:12" x14ac:dyDescent="0.2">
      <c r="L1068"/>
    </row>
    <row r="1069" spans="12:12" x14ac:dyDescent="0.2">
      <c r="L1069"/>
    </row>
    <row r="1070" spans="12:12" x14ac:dyDescent="0.2">
      <c r="L1070"/>
    </row>
    <row r="1071" spans="12:12" x14ac:dyDescent="0.2">
      <c r="L1071"/>
    </row>
    <row r="1072" spans="12:12" x14ac:dyDescent="0.2">
      <c r="L1072"/>
    </row>
    <row r="1073" spans="12:12" x14ac:dyDescent="0.2">
      <c r="L1073"/>
    </row>
    <row r="1074" spans="12:12" x14ac:dyDescent="0.2">
      <c r="L1074"/>
    </row>
    <row r="1075" spans="12:12" x14ac:dyDescent="0.2">
      <c r="L1075"/>
    </row>
    <row r="1076" spans="12:12" x14ac:dyDescent="0.2">
      <c r="L1076"/>
    </row>
    <row r="1077" spans="12:12" x14ac:dyDescent="0.2">
      <c r="L1077"/>
    </row>
    <row r="1078" spans="12:12" x14ac:dyDescent="0.2">
      <c r="L1078"/>
    </row>
    <row r="1079" spans="12:12" x14ac:dyDescent="0.2">
      <c r="L1079"/>
    </row>
    <row r="1080" spans="12:12" x14ac:dyDescent="0.2">
      <c r="L1080"/>
    </row>
    <row r="1081" spans="12:12" x14ac:dyDescent="0.2">
      <c r="L1081"/>
    </row>
    <row r="1082" spans="12:12" x14ac:dyDescent="0.2">
      <c r="L1082"/>
    </row>
    <row r="1083" spans="12:12" x14ac:dyDescent="0.2">
      <c r="L1083"/>
    </row>
    <row r="1084" spans="12:12" x14ac:dyDescent="0.2">
      <c r="L1084"/>
    </row>
    <row r="1085" spans="12:12" x14ac:dyDescent="0.2">
      <c r="L1085"/>
    </row>
    <row r="1086" spans="12:12" x14ac:dyDescent="0.2">
      <c r="L1086"/>
    </row>
    <row r="1087" spans="12:12" x14ac:dyDescent="0.2">
      <c r="L1087"/>
    </row>
    <row r="1088" spans="12:12" x14ac:dyDescent="0.2">
      <c r="L1088"/>
    </row>
    <row r="1089" spans="12:12" x14ac:dyDescent="0.2">
      <c r="L1089"/>
    </row>
    <row r="1090" spans="12:12" x14ac:dyDescent="0.2">
      <c r="L1090"/>
    </row>
    <row r="1091" spans="12:12" x14ac:dyDescent="0.2">
      <c r="L1091"/>
    </row>
    <row r="1092" spans="12:12" x14ac:dyDescent="0.2">
      <c r="L1092"/>
    </row>
    <row r="1093" spans="12:12" x14ac:dyDescent="0.2">
      <c r="L1093"/>
    </row>
    <row r="1094" spans="12:12" x14ac:dyDescent="0.2">
      <c r="L1094"/>
    </row>
    <row r="1095" spans="12:12" x14ac:dyDescent="0.2">
      <c r="L1095"/>
    </row>
    <row r="1096" spans="12:12" x14ac:dyDescent="0.2">
      <c r="L1096"/>
    </row>
    <row r="1097" spans="12:12" x14ac:dyDescent="0.2">
      <c r="L1097"/>
    </row>
    <row r="1098" spans="12:12" x14ac:dyDescent="0.2">
      <c r="L1098"/>
    </row>
    <row r="1099" spans="12:12" x14ac:dyDescent="0.2">
      <c r="L1099"/>
    </row>
    <row r="1100" spans="12:12" x14ac:dyDescent="0.2">
      <c r="L1100"/>
    </row>
    <row r="1101" spans="12:12" x14ac:dyDescent="0.2">
      <c r="L1101"/>
    </row>
    <row r="1102" spans="12:12" x14ac:dyDescent="0.2">
      <c r="L1102"/>
    </row>
    <row r="1103" spans="12:12" x14ac:dyDescent="0.2">
      <c r="L1103"/>
    </row>
    <row r="1104" spans="12:12" x14ac:dyDescent="0.2">
      <c r="L1104"/>
    </row>
    <row r="1105" spans="12:12" x14ac:dyDescent="0.2">
      <c r="L1105"/>
    </row>
    <row r="1106" spans="12:12" x14ac:dyDescent="0.2">
      <c r="L1106"/>
    </row>
    <row r="1107" spans="12:12" x14ac:dyDescent="0.2">
      <c r="L1107"/>
    </row>
    <row r="1108" spans="12:12" x14ac:dyDescent="0.2">
      <c r="L1108"/>
    </row>
    <row r="1109" spans="12:12" x14ac:dyDescent="0.2">
      <c r="L1109"/>
    </row>
    <row r="1110" spans="12:12" x14ac:dyDescent="0.2">
      <c r="L1110"/>
    </row>
    <row r="1111" spans="12:12" x14ac:dyDescent="0.2">
      <c r="L1111"/>
    </row>
    <row r="1112" spans="12:12" x14ac:dyDescent="0.2">
      <c r="L1112"/>
    </row>
    <row r="1113" spans="12:12" x14ac:dyDescent="0.2">
      <c r="L1113"/>
    </row>
    <row r="1114" spans="12:12" x14ac:dyDescent="0.2">
      <c r="L1114"/>
    </row>
    <row r="1115" spans="12:12" x14ac:dyDescent="0.2">
      <c r="L1115"/>
    </row>
    <row r="1116" spans="12:12" x14ac:dyDescent="0.2">
      <c r="L1116"/>
    </row>
    <row r="1117" spans="12:12" x14ac:dyDescent="0.2">
      <c r="L1117"/>
    </row>
    <row r="1118" spans="12:12" x14ac:dyDescent="0.2">
      <c r="L1118"/>
    </row>
    <row r="1119" spans="12:12" x14ac:dyDescent="0.2">
      <c r="L1119"/>
    </row>
    <row r="1120" spans="12:12" x14ac:dyDescent="0.2">
      <c r="L1120"/>
    </row>
    <row r="1121" spans="12:12" x14ac:dyDescent="0.2">
      <c r="L1121"/>
    </row>
    <row r="1122" spans="12:12" x14ac:dyDescent="0.2">
      <c r="L1122"/>
    </row>
    <row r="1123" spans="12:12" x14ac:dyDescent="0.2">
      <c r="L1123"/>
    </row>
    <row r="1124" spans="12:12" x14ac:dyDescent="0.2">
      <c r="L1124"/>
    </row>
    <row r="1125" spans="12:12" x14ac:dyDescent="0.2">
      <c r="L1125"/>
    </row>
    <row r="1126" spans="12:12" x14ac:dyDescent="0.2">
      <c r="L1126"/>
    </row>
    <row r="1127" spans="12:12" x14ac:dyDescent="0.2">
      <c r="L1127"/>
    </row>
    <row r="1128" spans="12:12" x14ac:dyDescent="0.2">
      <c r="L1128"/>
    </row>
    <row r="1129" spans="12:12" x14ac:dyDescent="0.2">
      <c r="L1129"/>
    </row>
    <row r="1130" spans="12:12" x14ac:dyDescent="0.2">
      <c r="L1130"/>
    </row>
    <row r="1131" spans="12:12" x14ac:dyDescent="0.2">
      <c r="L1131"/>
    </row>
    <row r="1132" spans="12:12" x14ac:dyDescent="0.2">
      <c r="L1132"/>
    </row>
    <row r="1133" spans="12:12" x14ac:dyDescent="0.2">
      <c r="L1133"/>
    </row>
    <row r="1134" spans="12:12" x14ac:dyDescent="0.2">
      <c r="L1134"/>
    </row>
    <row r="1135" spans="12:12" x14ac:dyDescent="0.2">
      <c r="L1135"/>
    </row>
    <row r="1136" spans="12:12" x14ac:dyDescent="0.2">
      <c r="L1136"/>
    </row>
    <row r="1137" spans="12:12" x14ac:dyDescent="0.2">
      <c r="L1137"/>
    </row>
    <row r="1138" spans="12:12" x14ac:dyDescent="0.2">
      <c r="L1138"/>
    </row>
    <row r="1139" spans="12:12" x14ac:dyDescent="0.2">
      <c r="L1139"/>
    </row>
    <row r="1140" spans="12:12" x14ac:dyDescent="0.2">
      <c r="L1140"/>
    </row>
    <row r="1141" spans="12:12" x14ac:dyDescent="0.2">
      <c r="L1141"/>
    </row>
    <row r="1142" spans="12:12" x14ac:dyDescent="0.2">
      <c r="L1142"/>
    </row>
    <row r="1143" spans="12:12" x14ac:dyDescent="0.2">
      <c r="L1143"/>
    </row>
    <row r="1144" spans="12:12" x14ac:dyDescent="0.2">
      <c r="L1144"/>
    </row>
    <row r="1145" spans="12:12" x14ac:dyDescent="0.2">
      <c r="L1145"/>
    </row>
    <row r="1146" spans="12:12" x14ac:dyDescent="0.2">
      <c r="L1146"/>
    </row>
    <row r="1147" spans="12:12" x14ac:dyDescent="0.2">
      <c r="L1147"/>
    </row>
    <row r="1148" spans="12:12" x14ac:dyDescent="0.2">
      <c r="L1148"/>
    </row>
    <row r="1149" spans="12:12" x14ac:dyDescent="0.2">
      <c r="L1149"/>
    </row>
    <row r="1150" spans="12:12" x14ac:dyDescent="0.2">
      <c r="L1150"/>
    </row>
    <row r="1151" spans="12:12" x14ac:dyDescent="0.2">
      <c r="L1151"/>
    </row>
    <row r="1152" spans="12:12" x14ac:dyDescent="0.2">
      <c r="L1152"/>
    </row>
    <row r="1153" spans="12:12" x14ac:dyDescent="0.2">
      <c r="L1153"/>
    </row>
    <row r="1154" spans="12:12" x14ac:dyDescent="0.2">
      <c r="L1154"/>
    </row>
    <row r="1155" spans="12:12" x14ac:dyDescent="0.2">
      <c r="L1155"/>
    </row>
    <row r="1156" spans="12:12" x14ac:dyDescent="0.2">
      <c r="L1156"/>
    </row>
    <row r="1157" spans="12:12" x14ac:dyDescent="0.2">
      <c r="L1157"/>
    </row>
    <row r="1158" spans="12:12" x14ac:dyDescent="0.2">
      <c r="L1158"/>
    </row>
    <row r="1159" spans="12:12" x14ac:dyDescent="0.2">
      <c r="L1159"/>
    </row>
    <row r="1160" spans="12:12" x14ac:dyDescent="0.2">
      <c r="L1160"/>
    </row>
    <row r="1161" spans="12:12" x14ac:dyDescent="0.2">
      <c r="L1161"/>
    </row>
    <row r="1162" spans="12:12" x14ac:dyDescent="0.2">
      <c r="L1162"/>
    </row>
    <row r="1163" spans="12:12" x14ac:dyDescent="0.2">
      <c r="L1163"/>
    </row>
    <row r="1164" spans="12:12" x14ac:dyDescent="0.2">
      <c r="L1164"/>
    </row>
    <row r="1165" spans="12:12" x14ac:dyDescent="0.2">
      <c r="L1165"/>
    </row>
    <row r="1166" spans="12:12" x14ac:dyDescent="0.2">
      <c r="L1166"/>
    </row>
    <row r="1167" spans="12:12" x14ac:dyDescent="0.2">
      <c r="L1167"/>
    </row>
    <row r="1168" spans="12:12" x14ac:dyDescent="0.2">
      <c r="L1168"/>
    </row>
    <row r="1169" spans="12:12" x14ac:dyDescent="0.2">
      <c r="L1169"/>
    </row>
    <row r="1170" spans="12:12" x14ac:dyDescent="0.2">
      <c r="L1170"/>
    </row>
    <row r="1171" spans="12:12" x14ac:dyDescent="0.2">
      <c r="L1171"/>
    </row>
    <row r="1172" spans="12:12" x14ac:dyDescent="0.2">
      <c r="L1172"/>
    </row>
    <row r="1173" spans="12:12" x14ac:dyDescent="0.2">
      <c r="L1173"/>
    </row>
    <row r="1174" spans="12:12" x14ac:dyDescent="0.2">
      <c r="L1174"/>
    </row>
    <row r="1175" spans="12:12" x14ac:dyDescent="0.2">
      <c r="L1175"/>
    </row>
    <row r="1176" spans="12:12" x14ac:dyDescent="0.2">
      <c r="L1176"/>
    </row>
    <row r="1177" spans="12:12" x14ac:dyDescent="0.2">
      <c r="L1177"/>
    </row>
    <row r="1178" spans="12:12" x14ac:dyDescent="0.2">
      <c r="L1178"/>
    </row>
    <row r="1179" spans="12:12" x14ac:dyDescent="0.2">
      <c r="L1179"/>
    </row>
    <row r="1180" spans="12:12" x14ac:dyDescent="0.2">
      <c r="L1180"/>
    </row>
    <row r="1181" spans="12:12" x14ac:dyDescent="0.2">
      <c r="L1181"/>
    </row>
    <row r="1182" spans="12:12" x14ac:dyDescent="0.2">
      <c r="L1182"/>
    </row>
    <row r="1183" spans="12:12" x14ac:dyDescent="0.2">
      <c r="L1183"/>
    </row>
    <row r="1184" spans="12:12" x14ac:dyDescent="0.2">
      <c r="L1184"/>
    </row>
    <row r="1185" spans="12:12" x14ac:dyDescent="0.2">
      <c r="L1185"/>
    </row>
    <row r="1186" spans="12:12" x14ac:dyDescent="0.2">
      <c r="L1186"/>
    </row>
    <row r="1187" spans="12:12" x14ac:dyDescent="0.2">
      <c r="L1187"/>
    </row>
    <row r="1188" spans="12:12" x14ac:dyDescent="0.2">
      <c r="L1188"/>
    </row>
    <row r="1189" spans="12:12" x14ac:dyDescent="0.2">
      <c r="L1189"/>
    </row>
    <row r="1190" spans="12:12" x14ac:dyDescent="0.2">
      <c r="L1190"/>
    </row>
    <row r="1191" spans="12:12" x14ac:dyDescent="0.2">
      <c r="L1191"/>
    </row>
    <row r="1192" spans="12:12" x14ac:dyDescent="0.2">
      <c r="L1192"/>
    </row>
    <row r="1193" spans="12:12" x14ac:dyDescent="0.2">
      <c r="L1193"/>
    </row>
    <row r="1194" spans="12:12" x14ac:dyDescent="0.2">
      <c r="L1194"/>
    </row>
    <row r="1195" spans="12:12" x14ac:dyDescent="0.2">
      <c r="L1195"/>
    </row>
    <row r="1196" spans="12:12" x14ac:dyDescent="0.2">
      <c r="L1196"/>
    </row>
    <row r="1197" spans="12:12" x14ac:dyDescent="0.2">
      <c r="L1197"/>
    </row>
    <row r="1198" spans="12:12" x14ac:dyDescent="0.2">
      <c r="L1198"/>
    </row>
    <row r="1199" spans="12:12" x14ac:dyDescent="0.2">
      <c r="L1199"/>
    </row>
    <row r="1200" spans="12:12" x14ac:dyDescent="0.2">
      <c r="L1200"/>
    </row>
    <row r="1201" spans="12:12" x14ac:dyDescent="0.2">
      <c r="L1201"/>
    </row>
    <row r="1202" spans="12:12" x14ac:dyDescent="0.2">
      <c r="L1202"/>
    </row>
    <row r="1203" spans="12:12" x14ac:dyDescent="0.2">
      <c r="L1203"/>
    </row>
    <row r="1204" spans="12:12" x14ac:dyDescent="0.2">
      <c r="L1204"/>
    </row>
    <row r="1205" spans="12:12" x14ac:dyDescent="0.2">
      <c r="L1205"/>
    </row>
    <row r="1206" spans="12:12" x14ac:dyDescent="0.2">
      <c r="L1206"/>
    </row>
    <row r="1207" spans="12:12" x14ac:dyDescent="0.2">
      <c r="L1207"/>
    </row>
    <row r="1208" spans="12:12" x14ac:dyDescent="0.2">
      <c r="L1208"/>
    </row>
    <row r="1209" spans="12:12" x14ac:dyDescent="0.2">
      <c r="L1209"/>
    </row>
    <row r="1210" spans="12:12" x14ac:dyDescent="0.2">
      <c r="L1210"/>
    </row>
    <row r="1211" spans="12:12" x14ac:dyDescent="0.2">
      <c r="L1211"/>
    </row>
    <row r="1212" spans="12:12" x14ac:dyDescent="0.2">
      <c r="L1212"/>
    </row>
    <row r="1213" spans="12:12" x14ac:dyDescent="0.2">
      <c r="L1213"/>
    </row>
    <row r="1214" spans="12:12" x14ac:dyDescent="0.2">
      <c r="L1214"/>
    </row>
    <row r="1215" spans="12:12" x14ac:dyDescent="0.2">
      <c r="L1215"/>
    </row>
    <row r="1216" spans="12:12" x14ac:dyDescent="0.2">
      <c r="L1216"/>
    </row>
    <row r="1217" spans="12:12" x14ac:dyDescent="0.2">
      <c r="L1217"/>
    </row>
    <row r="1218" spans="12:12" x14ac:dyDescent="0.2">
      <c r="L1218"/>
    </row>
    <row r="1219" spans="12:12" x14ac:dyDescent="0.2">
      <c r="L1219"/>
    </row>
    <row r="1220" spans="12:12" x14ac:dyDescent="0.2">
      <c r="L1220"/>
    </row>
    <row r="1221" spans="12:12" x14ac:dyDescent="0.2">
      <c r="L1221"/>
    </row>
    <row r="1222" spans="12:12" x14ac:dyDescent="0.2">
      <c r="L1222"/>
    </row>
    <row r="1223" spans="12:12" x14ac:dyDescent="0.2">
      <c r="L1223"/>
    </row>
    <row r="1224" spans="12:12" x14ac:dyDescent="0.2">
      <c r="L1224"/>
    </row>
    <row r="1225" spans="12:12" x14ac:dyDescent="0.2">
      <c r="L1225"/>
    </row>
    <row r="1226" spans="12:12" x14ac:dyDescent="0.2">
      <c r="L1226"/>
    </row>
    <row r="1227" spans="12:12" x14ac:dyDescent="0.2">
      <c r="L1227"/>
    </row>
    <row r="1228" spans="12:12" x14ac:dyDescent="0.2">
      <c r="L1228"/>
    </row>
    <row r="1229" spans="12:12" x14ac:dyDescent="0.2">
      <c r="L1229"/>
    </row>
    <row r="1230" spans="12:12" x14ac:dyDescent="0.2">
      <c r="L1230"/>
    </row>
    <row r="1231" spans="12:12" x14ac:dyDescent="0.2">
      <c r="L1231"/>
    </row>
    <row r="1232" spans="12:12" x14ac:dyDescent="0.2">
      <c r="L1232"/>
    </row>
    <row r="1233" spans="12:12" x14ac:dyDescent="0.2">
      <c r="L1233"/>
    </row>
    <row r="1234" spans="12:12" x14ac:dyDescent="0.2">
      <c r="L1234"/>
    </row>
    <row r="1235" spans="12:12" x14ac:dyDescent="0.2">
      <c r="L1235"/>
    </row>
    <row r="1236" spans="12:12" x14ac:dyDescent="0.2">
      <c r="L1236"/>
    </row>
    <row r="1237" spans="12:12" x14ac:dyDescent="0.2">
      <c r="L1237"/>
    </row>
    <row r="1238" spans="12:12" x14ac:dyDescent="0.2">
      <c r="L1238"/>
    </row>
    <row r="1239" spans="12:12" x14ac:dyDescent="0.2">
      <c r="L1239"/>
    </row>
    <row r="1240" spans="12:12" x14ac:dyDescent="0.2">
      <c r="L1240"/>
    </row>
    <row r="1241" spans="12:12" x14ac:dyDescent="0.2">
      <c r="L1241"/>
    </row>
    <row r="1242" spans="12:12" x14ac:dyDescent="0.2">
      <c r="L1242"/>
    </row>
    <row r="1243" spans="12:12" x14ac:dyDescent="0.2">
      <c r="L1243"/>
    </row>
    <row r="1244" spans="12:12" x14ac:dyDescent="0.2">
      <c r="L1244"/>
    </row>
    <row r="1245" spans="12:12" x14ac:dyDescent="0.2">
      <c r="L1245"/>
    </row>
    <row r="1246" spans="12:12" x14ac:dyDescent="0.2">
      <c r="L1246"/>
    </row>
    <row r="1247" spans="12:12" x14ac:dyDescent="0.2">
      <c r="L1247"/>
    </row>
    <row r="1248" spans="12:12" x14ac:dyDescent="0.2">
      <c r="L1248"/>
    </row>
    <row r="1249" spans="12:12" x14ac:dyDescent="0.2">
      <c r="L1249"/>
    </row>
    <row r="1250" spans="12:12" x14ac:dyDescent="0.2">
      <c r="L1250"/>
    </row>
    <row r="1251" spans="12:12" x14ac:dyDescent="0.2">
      <c r="L1251"/>
    </row>
    <row r="1252" spans="12:12" x14ac:dyDescent="0.2">
      <c r="L1252"/>
    </row>
    <row r="1253" spans="12:12" x14ac:dyDescent="0.2">
      <c r="L1253"/>
    </row>
    <row r="1254" spans="12:12" x14ac:dyDescent="0.2">
      <c r="L1254"/>
    </row>
    <row r="1255" spans="12:12" x14ac:dyDescent="0.2">
      <c r="L1255"/>
    </row>
    <row r="1256" spans="12:12" x14ac:dyDescent="0.2">
      <c r="L1256"/>
    </row>
    <row r="1257" spans="12:12" x14ac:dyDescent="0.2">
      <c r="L1257"/>
    </row>
    <row r="1258" spans="12:12" x14ac:dyDescent="0.2">
      <c r="L1258"/>
    </row>
    <row r="1259" spans="12:12" x14ac:dyDescent="0.2">
      <c r="L1259"/>
    </row>
    <row r="1260" spans="12:12" x14ac:dyDescent="0.2">
      <c r="L1260"/>
    </row>
    <row r="1261" spans="12:12" x14ac:dyDescent="0.2">
      <c r="L1261"/>
    </row>
    <row r="1262" spans="12:12" x14ac:dyDescent="0.2">
      <c r="L1262"/>
    </row>
    <row r="1263" spans="12:12" x14ac:dyDescent="0.2">
      <c r="L1263"/>
    </row>
    <row r="1264" spans="12:12" x14ac:dyDescent="0.2">
      <c r="L1264"/>
    </row>
    <row r="1265" spans="12:12" x14ac:dyDescent="0.2">
      <c r="L1265"/>
    </row>
    <row r="1266" spans="12:12" x14ac:dyDescent="0.2">
      <c r="L1266"/>
    </row>
    <row r="1267" spans="12:12" x14ac:dyDescent="0.2">
      <c r="L1267"/>
    </row>
    <row r="1268" spans="12:12" x14ac:dyDescent="0.2">
      <c r="L1268"/>
    </row>
    <row r="1269" spans="12:12" x14ac:dyDescent="0.2">
      <c r="L1269"/>
    </row>
    <row r="1270" spans="12:12" x14ac:dyDescent="0.2">
      <c r="L1270"/>
    </row>
    <row r="1271" spans="12:12" x14ac:dyDescent="0.2">
      <c r="L1271"/>
    </row>
    <row r="1272" spans="12:12" x14ac:dyDescent="0.2">
      <c r="L1272"/>
    </row>
    <row r="1273" spans="12:12" x14ac:dyDescent="0.2">
      <c r="L1273"/>
    </row>
    <row r="1274" spans="12:12" x14ac:dyDescent="0.2">
      <c r="L1274"/>
    </row>
    <row r="1275" spans="12:12" x14ac:dyDescent="0.2">
      <c r="L1275"/>
    </row>
    <row r="1276" spans="12:12" x14ac:dyDescent="0.2">
      <c r="L1276"/>
    </row>
    <row r="1277" spans="12:12" x14ac:dyDescent="0.2">
      <c r="L1277"/>
    </row>
    <row r="1278" spans="12:12" x14ac:dyDescent="0.2">
      <c r="L1278"/>
    </row>
    <row r="1279" spans="12:12" x14ac:dyDescent="0.2">
      <c r="L1279"/>
    </row>
    <row r="1280" spans="12:12" x14ac:dyDescent="0.2">
      <c r="L1280"/>
    </row>
    <row r="1281" spans="12:12" x14ac:dyDescent="0.2">
      <c r="L1281"/>
    </row>
    <row r="1282" spans="12:12" x14ac:dyDescent="0.2">
      <c r="L1282"/>
    </row>
    <row r="1283" spans="12:12" x14ac:dyDescent="0.2">
      <c r="L1283"/>
    </row>
    <row r="1284" spans="12:12" x14ac:dyDescent="0.2">
      <c r="L1284"/>
    </row>
    <row r="1285" spans="12:12" x14ac:dyDescent="0.2">
      <c r="L1285"/>
    </row>
    <row r="1286" spans="12:12" x14ac:dyDescent="0.2">
      <c r="L1286"/>
    </row>
    <row r="1287" spans="12:12" x14ac:dyDescent="0.2">
      <c r="L1287"/>
    </row>
    <row r="1288" spans="12:12" x14ac:dyDescent="0.2">
      <c r="L1288"/>
    </row>
    <row r="1289" spans="12:12" x14ac:dyDescent="0.2">
      <c r="L1289"/>
    </row>
    <row r="1290" spans="12:12" x14ac:dyDescent="0.2">
      <c r="L1290"/>
    </row>
    <row r="1291" spans="12:12" x14ac:dyDescent="0.2">
      <c r="L1291"/>
    </row>
    <row r="1292" spans="12:12" x14ac:dyDescent="0.2">
      <c r="L1292"/>
    </row>
    <row r="1293" spans="12:12" x14ac:dyDescent="0.2">
      <c r="L1293"/>
    </row>
    <row r="1294" spans="12:12" x14ac:dyDescent="0.2">
      <c r="L1294"/>
    </row>
    <row r="1295" spans="12:12" x14ac:dyDescent="0.2">
      <c r="L1295"/>
    </row>
    <row r="1296" spans="12:12" x14ac:dyDescent="0.2">
      <c r="L1296"/>
    </row>
    <row r="1297" spans="12:12" x14ac:dyDescent="0.2">
      <c r="L1297"/>
    </row>
    <row r="1298" spans="12:12" x14ac:dyDescent="0.2">
      <c r="L1298"/>
    </row>
    <row r="1299" spans="12:12" x14ac:dyDescent="0.2">
      <c r="L1299"/>
    </row>
    <row r="1300" spans="12:12" x14ac:dyDescent="0.2">
      <c r="L1300"/>
    </row>
    <row r="1301" spans="12:12" x14ac:dyDescent="0.2">
      <c r="L1301"/>
    </row>
    <row r="1302" spans="12:12" x14ac:dyDescent="0.2">
      <c r="L1302"/>
    </row>
    <row r="1303" spans="12:12" x14ac:dyDescent="0.2">
      <c r="L1303"/>
    </row>
    <row r="1304" spans="12:12" x14ac:dyDescent="0.2">
      <c r="L1304"/>
    </row>
    <row r="1305" spans="12:12" x14ac:dyDescent="0.2">
      <c r="L1305"/>
    </row>
    <row r="1306" spans="12:12" x14ac:dyDescent="0.2">
      <c r="L1306"/>
    </row>
    <row r="1307" spans="12:12" x14ac:dyDescent="0.2">
      <c r="L1307"/>
    </row>
    <row r="1308" spans="12:12" x14ac:dyDescent="0.2">
      <c r="L1308"/>
    </row>
    <row r="1309" spans="12:12" x14ac:dyDescent="0.2">
      <c r="L1309"/>
    </row>
    <row r="1310" spans="12:12" x14ac:dyDescent="0.2">
      <c r="L1310"/>
    </row>
    <row r="1311" spans="12:12" x14ac:dyDescent="0.2">
      <c r="L1311"/>
    </row>
    <row r="1312" spans="12:12" x14ac:dyDescent="0.2">
      <c r="L1312"/>
    </row>
    <row r="1313" spans="12:12" x14ac:dyDescent="0.2">
      <c r="L1313"/>
    </row>
    <row r="1314" spans="12:12" x14ac:dyDescent="0.2">
      <c r="L1314"/>
    </row>
    <row r="1315" spans="12:12" x14ac:dyDescent="0.2">
      <c r="L1315"/>
    </row>
    <row r="1316" spans="12:12" x14ac:dyDescent="0.2">
      <c r="L1316"/>
    </row>
    <row r="1317" spans="12:12" x14ac:dyDescent="0.2">
      <c r="L1317"/>
    </row>
    <row r="1318" spans="12:12" x14ac:dyDescent="0.2">
      <c r="L1318"/>
    </row>
    <row r="1319" spans="12:12" x14ac:dyDescent="0.2">
      <c r="L1319"/>
    </row>
    <row r="1320" spans="12:12" x14ac:dyDescent="0.2">
      <c r="L1320"/>
    </row>
    <row r="1321" spans="12:12" x14ac:dyDescent="0.2">
      <c r="L1321"/>
    </row>
    <row r="1322" spans="12:12" x14ac:dyDescent="0.2">
      <c r="L1322"/>
    </row>
    <row r="1323" spans="12:12" x14ac:dyDescent="0.2">
      <c r="L1323"/>
    </row>
    <row r="1324" spans="12:12" x14ac:dyDescent="0.2">
      <c r="L1324"/>
    </row>
    <row r="1325" spans="12:12" x14ac:dyDescent="0.2">
      <c r="L1325"/>
    </row>
    <row r="1326" spans="12:12" x14ac:dyDescent="0.2">
      <c r="L1326"/>
    </row>
    <row r="1327" spans="12:12" x14ac:dyDescent="0.2">
      <c r="L1327"/>
    </row>
    <row r="1328" spans="12:12" x14ac:dyDescent="0.2">
      <c r="L1328"/>
    </row>
    <row r="1329" spans="12:12" x14ac:dyDescent="0.2">
      <c r="L1329"/>
    </row>
    <row r="1330" spans="12:12" x14ac:dyDescent="0.2">
      <c r="L1330"/>
    </row>
    <row r="1331" spans="12:12" x14ac:dyDescent="0.2">
      <c r="L1331"/>
    </row>
    <row r="1332" spans="12:12" x14ac:dyDescent="0.2">
      <c r="L1332"/>
    </row>
    <row r="1333" spans="12:12" x14ac:dyDescent="0.2">
      <c r="L1333"/>
    </row>
    <row r="1334" spans="12:12" x14ac:dyDescent="0.2">
      <c r="L1334"/>
    </row>
    <row r="1335" spans="12:12" x14ac:dyDescent="0.2">
      <c r="L1335"/>
    </row>
    <row r="1336" spans="12:12" x14ac:dyDescent="0.2">
      <c r="L1336"/>
    </row>
    <row r="1337" spans="12:12" x14ac:dyDescent="0.2">
      <c r="L1337"/>
    </row>
    <row r="1338" spans="12:12" x14ac:dyDescent="0.2">
      <c r="L1338"/>
    </row>
    <row r="1339" spans="12:12" x14ac:dyDescent="0.2">
      <c r="L1339"/>
    </row>
    <row r="1340" spans="12:12" x14ac:dyDescent="0.2">
      <c r="L1340"/>
    </row>
    <row r="1341" spans="12:12" x14ac:dyDescent="0.2">
      <c r="L1341"/>
    </row>
    <row r="1342" spans="12:12" x14ac:dyDescent="0.2">
      <c r="L1342"/>
    </row>
    <row r="1343" spans="12:12" x14ac:dyDescent="0.2">
      <c r="L1343"/>
    </row>
    <row r="1344" spans="12:12" x14ac:dyDescent="0.2">
      <c r="L1344"/>
    </row>
    <row r="1345" spans="12:12" x14ac:dyDescent="0.2">
      <c r="L1345"/>
    </row>
    <row r="1346" spans="12:12" x14ac:dyDescent="0.2">
      <c r="L1346"/>
    </row>
    <row r="1347" spans="12:12" x14ac:dyDescent="0.2">
      <c r="L1347"/>
    </row>
    <row r="1348" spans="12:12" x14ac:dyDescent="0.2">
      <c r="L1348"/>
    </row>
    <row r="1349" spans="12:12" x14ac:dyDescent="0.2">
      <c r="L1349"/>
    </row>
    <row r="1350" spans="12:12" x14ac:dyDescent="0.2">
      <c r="L1350"/>
    </row>
    <row r="1351" spans="12:12" x14ac:dyDescent="0.2">
      <c r="L1351"/>
    </row>
    <row r="1352" spans="12:12" x14ac:dyDescent="0.2">
      <c r="L1352"/>
    </row>
    <row r="1353" spans="12:12" x14ac:dyDescent="0.2">
      <c r="L1353"/>
    </row>
    <row r="1354" spans="12:12" x14ac:dyDescent="0.2">
      <c r="L1354"/>
    </row>
    <row r="1355" spans="12:12" x14ac:dyDescent="0.2">
      <c r="L1355"/>
    </row>
    <row r="1356" spans="12:12" x14ac:dyDescent="0.2">
      <c r="L1356"/>
    </row>
    <row r="1357" spans="12:12" x14ac:dyDescent="0.2">
      <c r="L1357"/>
    </row>
    <row r="1358" spans="12:12" x14ac:dyDescent="0.2">
      <c r="L1358"/>
    </row>
    <row r="1359" spans="12:12" x14ac:dyDescent="0.2">
      <c r="L1359"/>
    </row>
    <row r="1360" spans="12:12" x14ac:dyDescent="0.2">
      <c r="L1360"/>
    </row>
    <row r="1361" spans="12:12" x14ac:dyDescent="0.2">
      <c r="L1361"/>
    </row>
    <row r="1362" spans="12:12" x14ac:dyDescent="0.2">
      <c r="L1362"/>
    </row>
    <row r="1363" spans="12:12" x14ac:dyDescent="0.2">
      <c r="L1363"/>
    </row>
    <row r="1364" spans="12:12" x14ac:dyDescent="0.2">
      <c r="L1364"/>
    </row>
    <row r="1365" spans="12:12" x14ac:dyDescent="0.2">
      <c r="L1365"/>
    </row>
    <row r="1366" spans="12:12" x14ac:dyDescent="0.2">
      <c r="L1366"/>
    </row>
    <row r="1367" spans="12:12" x14ac:dyDescent="0.2">
      <c r="L1367"/>
    </row>
    <row r="1368" spans="12:12" x14ac:dyDescent="0.2">
      <c r="L1368"/>
    </row>
    <row r="1369" spans="12:12" x14ac:dyDescent="0.2">
      <c r="L1369"/>
    </row>
    <row r="1370" spans="12:12" x14ac:dyDescent="0.2">
      <c r="L1370"/>
    </row>
    <row r="1371" spans="12:12" x14ac:dyDescent="0.2">
      <c r="L1371"/>
    </row>
    <row r="1372" spans="12:12" x14ac:dyDescent="0.2">
      <c r="L1372"/>
    </row>
    <row r="1373" spans="12:12" x14ac:dyDescent="0.2">
      <c r="L1373"/>
    </row>
    <row r="1374" spans="12:12" x14ac:dyDescent="0.2">
      <c r="L1374"/>
    </row>
    <row r="1375" spans="12:12" x14ac:dyDescent="0.2">
      <c r="L1375"/>
    </row>
    <row r="1376" spans="12:12" x14ac:dyDescent="0.2">
      <c r="L1376"/>
    </row>
    <row r="1377" spans="12:12" x14ac:dyDescent="0.2">
      <c r="L1377"/>
    </row>
    <row r="1378" spans="12:12" x14ac:dyDescent="0.2">
      <c r="L1378"/>
    </row>
    <row r="1379" spans="12:12" x14ac:dyDescent="0.2">
      <c r="L1379"/>
    </row>
    <row r="1380" spans="12:12" x14ac:dyDescent="0.2">
      <c r="L1380"/>
    </row>
    <row r="1381" spans="12:12" x14ac:dyDescent="0.2">
      <c r="L1381"/>
    </row>
    <row r="1382" spans="12:12" x14ac:dyDescent="0.2">
      <c r="L1382"/>
    </row>
    <row r="1383" spans="12:12" x14ac:dyDescent="0.2">
      <c r="L1383"/>
    </row>
    <row r="1384" spans="12:12" x14ac:dyDescent="0.2">
      <c r="L1384"/>
    </row>
    <row r="1385" spans="12:12" x14ac:dyDescent="0.2">
      <c r="L1385"/>
    </row>
    <row r="1386" spans="12:12" x14ac:dyDescent="0.2">
      <c r="L1386"/>
    </row>
    <row r="1387" spans="12:12" x14ac:dyDescent="0.2">
      <c r="L1387"/>
    </row>
    <row r="1388" spans="12:12" x14ac:dyDescent="0.2">
      <c r="L1388"/>
    </row>
    <row r="1389" spans="12:12" x14ac:dyDescent="0.2">
      <c r="L1389"/>
    </row>
    <row r="1390" spans="12:12" x14ac:dyDescent="0.2">
      <c r="L1390"/>
    </row>
    <row r="1391" spans="12:12" x14ac:dyDescent="0.2">
      <c r="L1391"/>
    </row>
    <row r="1392" spans="12:12" x14ac:dyDescent="0.2">
      <c r="L1392"/>
    </row>
    <row r="1393" spans="12:12" x14ac:dyDescent="0.2">
      <c r="L1393"/>
    </row>
    <row r="1394" spans="12:12" x14ac:dyDescent="0.2">
      <c r="L1394"/>
    </row>
    <row r="1395" spans="12:12" x14ac:dyDescent="0.2">
      <c r="L1395"/>
    </row>
    <row r="1396" spans="12:12" x14ac:dyDescent="0.2">
      <c r="L1396"/>
    </row>
    <row r="1397" spans="12:12" x14ac:dyDescent="0.2">
      <c r="L1397"/>
    </row>
    <row r="1398" spans="12:12" x14ac:dyDescent="0.2">
      <c r="L1398"/>
    </row>
    <row r="1399" spans="12:12" x14ac:dyDescent="0.2">
      <c r="L1399"/>
    </row>
    <row r="1400" spans="12:12" x14ac:dyDescent="0.2">
      <c r="L1400"/>
    </row>
    <row r="1401" spans="12:12" x14ac:dyDescent="0.2">
      <c r="L1401"/>
    </row>
    <row r="1402" spans="12:12" x14ac:dyDescent="0.2">
      <c r="L1402"/>
    </row>
    <row r="1403" spans="12:12" x14ac:dyDescent="0.2">
      <c r="L1403"/>
    </row>
    <row r="1404" spans="12:12" x14ac:dyDescent="0.2">
      <c r="L1404"/>
    </row>
    <row r="1405" spans="12:12" x14ac:dyDescent="0.2">
      <c r="L1405"/>
    </row>
    <row r="1406" spans="12:12" x14ac:dyDescent="0.2">
      <c r="L1406"/>
    </row>
    <row r="1407" spans="12:12" x14ac:dyDescent="0.2">
      <c r="L1407"/>
    </row>
    <row r="1408" spans="12:12" x14ac:dyDescent="0.2">
      <c r="L1408"/>
    </row>
    <row r="1409" spans="12:12" x14ac:dyDescent="0.2">
      <c r="L1409"/>
    </row>
    <row r="1410" spans="12:12" x14ac:dyDescent="0.2">
      <c r="L1410"/>
    </row>
    <row r="1411" spans="12:12" x14ac:dyDescent="0.2">
      <c r="L1411"/>
    </row>
    <row r="1412" spans="12:12" x14ac:dyDescent="0.2">
      <c r="L1412"/>
    </row>
    <row r="1413" spans="12:12" x14ac:dyDescent="0.2">
      <c r="L1413"/>
    </row>
    <row r="1414" spans="12:12" x14ac:dyDescent="0.2">
      <c r="L1414"/>
    </row>
    <row r="1415" spans="12:12" x14ac:dyDescent="0.2">
      <c r="L1415"/>
    </row>
    <row r="1416" spans="12:12" x14ac:dyDescent="0.2">
      <c r="L1416"/>
    </row>
    <row r="1417" spans="12:12" x14ac:dyDescent="0.2">
      <c r="L1417"/>
    </row>
    <row r="1418" spans="12:12" x14ac:dyDescent="0.2">
      <c r="L1418"/>
    </row>
    <row r="1419" spans="12:12" x14ac:dyDescent="0.2">
      <c r="L1419"/>
    </row>
    <row r="1420" spans="12:12" x14ac:dyDescent="0.2">
      <c r="L1420"/>
    </row>
    <row r="1421" spans="12:12" x14ac:dyDescent="0.2">
      <c r="L1421"/>
    </row>
    <row r="1422" spans="12:12" x14ac:dyDescent="0.2">
      <c r="L1422"/>
    </row>
    <row r="1423" spans="12:12" x14ac:dyDescent="0.2">
      <c r="L1423"/>
    </row>
    <row r="1424" spans="12:12" x14ac:dyDescent="0.2">
      <c r="L1424"/>
    </row>
    <row r="1425" spans="12:12" x14ac:dyDescent="0.2">
      <c r="L1425"/>
    </row>
    <row r="1426" spans="12:12" x14ac:dyDescent="0.2">
      <c r="L1426"/>
    </row>
    <row r="1427" spans="12:12" x14ac:dyDescent="0.2">
      <c r="L1427"/>
    </row>
    <row r="1428" spans="12:12" x14ac:dyDescent="0.2">
      <c r="L1428"/>
    </row>
    <row r="1429" spans="12:12" x14ac:dyDescent="0.2">
      <c r="L1429"/>
    </row>
    <row r="1430" spans="12:12" x14ac:dyDescent="0.2">
      <c r="L1430"/>
    </row>
    <row r="1431" spans="12:12" x14ac:dyDescent="0.2">
      <c r="L1431"/>
    </row>
    <row r="1432" spans="12:12" x14ac:dyDescent="0.2">
      <c r="L1432"/>
    </row>
    <row r="1433" spans="12:12" x14ac:dyDescent="0.2">
      <c r="L1433"/>
    </row>
    <row r="1434" spans="12:12" x14ac:dyDescent="0.2">
      <c r="L1434"/>
    </row>
    <row r="1435" spans="12:12" x14ac:dyDescent="0.2">
      <c r="L1435"/>
    </row>
    <row r="1436" spans="12:12" x14ac:dyDescent="0.2">
      <c r="L1436"/>
    </row>
    <row r="1437" spans="12:12" x14ac:dyDescent="0.2">
      <c r="L1437"/>
    </row>
    <row r="1438" spans="12:12" x14ac:dyDescent="0.2">
      <c r="L1438"/>
    </row>
    <row r="1439" spans="12:12" x14ac:dyDescent="0.2">
      <c r="L1439"/>
    </row>
    <row r="1440" spans="12:12" x14ac:dyDescent="0.2">
      <c r="L1440"/>
    </row>
    <row r="1441" spans="12:12" x14ac:dyDescent="0.2">
      <c r="L1441"/>
    </row>
    <row r="1442" spans="12:12" x14ac:dyDescent="0.2">
      <c r="L1442"/>
    </row>
    <row r="1443" spans="12:12" x14ac:dyDescent="0.2">
      <c r="L1443"/>
    </row>
    <row r="1444" spans="12:12" x14ac:dyDescent="0.2">
      <c r="L1444"/>
    </row>
    <row r="1445" spans="12:12" x14ac:dyDescent="0.2">
      <c r="L1445"/>
    </row>
    <row r="1446" spans="12:12" x14ac:dyDescent="0.2">
      <c r="L1446"/>
    </row>
    <row r="1447" spans="12:12" x14ac:dyDescent="0.2">
      <c r="L1447"/>
    </row>
    <row r="1448" spans="12:12" x14ac:dyDescent="0.2">
      <c r="L1448"/>
    </row>
    <row r="1449" spans="12:12" x14ac:dyDescent="0.2">
      <c r="L1449"/>
    </row>
    <row r="1450" spans="12:12" x14ac:dyDescent="0.2">
      <c r="L1450"/>
    </row>
    <row r="1451" spans="12:12" x14ac:dyDescent="0.2">
      <c r="L1451"/>
    </row>
    <row r="1452" spans="12:12" x14ac:dyDescent="0.2">
      <c r="L1452"/>
    </row>
    <row r="1453" spans="12:12" x14ac:dyDescent="0.2">
      <c r="L1453"/>
    </row>
    <row r="1454" spans="12:12" x14ac:dyDescent="0.2">
      <c r="L1454"/>
    </row>
    <row r="1455" spans="12:12" x14ac:dyDescent="0.2">
      <c r="L1455"/>
    </row>
    <row r="1456" spans="12:12" x14ac:dyDescent="0.2">
      <c r="L1456"/>
    </row>
    <row r="1457" spans="12:12" x14ac:dyDescent="0.2">
      <c r="L1457"/>
    </row>
    <row r="1458" spans="12:12" x14ac:dyDescent="0.2">
      <c r="L1458"/>
    </row>
  </sheetData>
  <mergeCells count="143">
    <mergeCell ref="J737:L737"/>
    <mergeCell ref="D738:E738"/>
    <mergeCell ref="D739:E739"/>
    <mergeCell ref="D740:E740"/>
    <mergeCell ref="D668:E668"/>
    <mergeCell ref="D669:E669"/>
    <mergeCell ref="D670:E670"/>
    <mergeCell ref="D671:E671"/>
    <mergeCell ref="C737:D737"/>
    <mergeCell ref="E737:I737"/>
    <mergeCell ref="D598:E598"/>
    <mergeCell ref="D599:E599"/>
    <mergeCell ref="D600:E600"/>
    <mergeCell ref="C667:D667"/>
    <mergeCell ref="E667:I667"/>
    <mergeCell ref="J667:L667"/>
    <mergeCell ref="J527:L527"/>
    <mergeCell ref="D528:E528"/>
    <mergeCell ref="D529:E529"/>
    <mergeCell ref="D530:E530"/>
    <mergeCell ref="C597:D597"/>
    <mergeCell ref="E597:I597"/>
    <mergeCell ref="J597:L597"/>
    <mergeCell ref="D458:E458"/>
    <mergeCell ref="D459:E459"/>
    <mergeCell ref="D460:E460"/>
    <mergeCell ref="C462:E462"/>
    <mergeCell ref="C527:D527"/>
    <mergeCell ref="E527:I527"/>
    <mergeCell ref="D390:E390"/>
    <mergeCell ref="D391:E391"/>
    <mergeCell ref="C392:E392"/>
    <mergeCell ref="C457:D457"/>
    <mergeCell ref="E457:I457"/>
    <mergeCell ref="J457:L457"/>
    <mergeCell ref="C353:E353"/>
    <mergeCell ref="C387:D387"/>
    <mergeCell ref="E387:I387"/>
    <mergeCell ref="J387:L387"/>
    <mergeCell ref="D388:E388"/>
    <mergeCell ref="D389:E389"/>
    <mergeCell ref="J317:L317"/>
    <mergeCell ref="D318:E318"/>
    <mergeCell ref="D319:E319"/>
    <mergeCell ref="D320:E320"/>
    <mergeCell ref="D321:E321"/>
    <mergeCell ref="C322:E322"/>
    <mergeCell ref="D249:E249"/>
    <mergeCell ref="D250:E250"/>
    <mergeCell ref="D251:E251"/>
    <mergeCell ref="D270:E270"/>
    <mergeCell ref="C317:D317"/>
    <mergeCell ref="E317:I317"/>
    <mergeCell ref="D181:E181"/>
    <mergeCell ref="C182:E182"/>
    <mergeCell ref="C247:D247"/>
    <mergeCell ref="E247:I247"/>
    <mergeCell ref="J247:L247"/>
    <mergeCell ref="D248:E248"/>
    <mergeCell ref="C177:D177"/>
    <mergeCell ref="E177:I177"/>
    <mergeCell ref="J177:L177"/>
    <mergeCell ref="D178:E178"/>
    <mergeCell ref="D179:E179"/>
    <mergeCell ref="D180:E180"/>
    <mergeCell ref="C151:E151"/>
    <mergeCell ref="D154:E154"/>
    <mergeCell ref="C155:E155"/>
    <mergeCell ref="D156:E156"/>
    <mergeCell ref="D157:E157"/>
    <mergeCell ref="D158:E158"/>
    <mergeCell ref="D115:E115"/>
    <mergeCell ref="D116:E116"/>
    <mergeCell ref="D126:E126"/>
    <mergeCell ref="D127:E127"/>
    <mergeCell ref="D149:E149"/>
    <mergeCell ref="D150:E150"/>
    <mergeCell ref="J108:L108"/>
    <mergeCell ref="D109:E109"/>
    <mergeCell ref="D110:E110"/>
    <mergeCell ref="D111:E111"/>
    <mergeCell ref="D112:E112"/>
    <mergeCell ref="C113:E113"/>
    <mergeCell ref="D67:E67"/>
    <mergeCell ref="C68:E68"/>
    <mergeCell ref="D84:E84"/>
    <mergeCell ref="D85:E85"/>
    <mergeCell ref="C108:D108"/>
    <mergeCell ref="E108:I108"/>
    <mergeCell ref="C63:D63"/>
    <mergeCell ref="E63:I63"/>
    <mergeCell ref="J63:L63"/>
    <mergeCell ref="D64:E64"/>
    <mergeCell ref="D65:E65"/>
    <mergeCell ref="D66:E66"/>
    <mergeCell ref="D31:E31"/>
    <mergeCell ref="D32:E32"/>
    <mergeCell ref="D33:E33"/>
    <mergeCell ref="D34:E34"/>
    <mergeCell ref="C35:E35"/>
    <mergeCell ref="B22:C22"/>
    <mergeCell ref="B23:C23"/>
    <mergeCell ref="B24:C24"/>
    <mergeCell ref="B25:F25"/>
    <mergeCell ref="G25:L25"/>
    <mergeCell ref="C30:D30"/>
    <mergeCell ref="E30:I30"/>
    <mergeCell ref="J30:L30"/>
    <mergeCell ref="C18:D18"/>
    <mergeCell ref="E18:F18"/>
    <mergeCell ref="G18:J18"/>
    <mergeCell ref="K18:L18"/>
    <mergeCell ref="B20:L20"/>
    <mergeCell ref="B21:C21"/>
    <mergeCell ref="C16:D16"/>
    <mergeCell ref="E16:F16"/>
    <mergeCell ref="G16:J16"/>
    <mergeCell ref="K16:L16"/>
    <mergeCell ref="C17:D17"/>
    <mergeCell ref="E17:F17"/>
    <mergeCell ref="G17:J17"/>
    <mergeCell ref="K17:L17"/>
    <mergeCell ref="B14:C14"/>
    <mergeCell ref="D14:F14"/>
    <mergeCell ref="G14:I14"/>
    <mergeCell ref="J14:L14"/>
    <mergeCell ref="C15:D15"/>
    <mergeCell ref="E15:F15"/>
    <mergeCell ref="G15:J15"/>
    <mergeCell ref="K15:L15"/>
    <mergeCell ref="B8:L8"/>
    <mergeCell ref="C9:L9"/>
    <mergeCell ref="C10:L10"/>
    <mergeCell ref="B11:F11"/>
    <mergeCell ref="G11:L11"/>
    <mergeCell ref="B12:F12"/>
    <mergeCell ref="G12:L12"/>
    <mergeCell ref="B3:E3"/>
    <mergeCell ref="F3:L7"/>
    <mergeCell ref="B4:E4"/>
    <mergeCell ref="B5:E5"/>
    <mergeCell ref="B6:E6"/>
    <mergeCell ref="B7:E7"/>
  </mergeCells>
  <dataValidations count="13">
    <dataValidation allowBlank="1" showInputMessage="1" showErrorMessage="1" promptTitle="Input The Team Name" prompt="Some Firms have team names for fun and identification. If you have a team name please enter it here." sqref="E13" xr:uid="{6382C268-E61F-48E3-B21C-CB5E76FB7C09}"/>
    <dataValidation allowBlank="1" showInputMessage="1" showErrorMessage="1" promptTitle="Name" prompt="Please enter the team members name._x000a_" sqref="D14" xr:uid="{0E58E537-4125-44D8-8DCA-A973E202CFD9}"/>
    <dataValidation allowBlank="1" showInputMessage="1" showErrorMessage="1" promptTitle="Charge Out Rate" prompt="Please enter the charge out rate for this team member, per your capacity plan." sqref="C32 C65 C110 C179 C249 C319 C389 C459 C529 C599 C669 C739" xr:uid="{CD3CF3AC-F122-437C-B333-65CA07E4E04C}"/>
    <dataValidation allowBlank="1" showInputMessage="1" showErrorMessage="1" promptTitle="Working Days In Month" prompt="Please enter the working days for this month, taking into account any annual leave, public holidays or training days away from working days." sqref="D32:E32 D65:E65 D110:E110 D179:E179 D249:E249 D319:E319 D389:E389 D459:E459 D529:E529 D599:E599 D669:E669 D739:E739" xr:uid="{9A515D55-B59C-4E2B-A2FA-17A42960B9AB}"/>
    <dataValidation allowBlank="1" showInputMessage="1" showErrorMessage="1" promptTitle="Productivity %" prompt="Please enter this team members productivity %." sqref="F32 F65 F110 F179 F249 F319 F389 F459 F529 F599 F669 F739" xr:uid="{CC2DB86F-84BA-42C7-B73C-BCF5B6A79E59}"/>
    <dataValidation allowBlank="1" showInputMessage="1" showErrorMessage="1" promptTitle="Hours Per Day" prompt="Please enter the hours per day this team member works" sqref="G32 G65 G110 G179 G249 G319 G389 G459 G529 G599 G669 G739" xr:uid="{146B1803-6320-42AB-9306-90C93D77C68C}"/>
    <dataValidation allowBlank="1" showInputMessage="1" showErrorMessage="1" promptTitle="Month" prompt="Enter the first month of your financial year" sqref="E30 E63 E108 E177 E247 E317 E387 E457 E527 E597 E667 E737" xr:uid="{9DDAA6B2-0053-4E2C-BBD0-BDFA96E69614}"/>
    <dataValidation allowBlank="1" showInputMessage="1" showErrorMessage="1" promptTitle="Entity Group or Client Name" prompt="Enter the Entity Group name or the Client Name or Job name." sqref="C51 C156:C170 C154 C259:C263 C134 C34 C112 C181 C251 C321 C391 C660 C671 C67 C399:C415 C489:C498 C197:C214 C590 C678:C692 C91:C94 C96:C100 C221 C559:C562 C192 C225:C240 C425:C440 C329:C343 C541:C550 C503:C520 C310 C471:C480 C469 C539 C628:C632 C611:C619 C609 C115:C126 C136:C150 C216:C219 C749:C768 C37:C49 C70:C82" xr:uid="{16F43652-00E3-418A-8E23-652A1BB1A266}"/>
    <dataValidation allowBlank="1" showInputMessage="1" showErrorMessage="1" promptTitle="Job Price or Fees Charged" prompt="Enter the job price or Fees charged to the client." sqref="F86:F88 F792:F800 F469 F269 F420:F440 F348:F380 F321:F346 F391:F418 F471:F498 F461:F467 F533:F537 F539 F590 F609 F604:F607 F112:F170 F181:F240 F251:F267 F271:F310 F502:F520 F541:F585 F611:F660 F671:F696 F698:F730 F743:F790 F34:F39 F41:F55 F67:F84" xr:uid="{BB1F0513-3033-48A9-B095-C9C32C3A6044}"/>
    <dataValidation allowBlank="1" showInputMessage="1" showErrorMessage="1" promptTitle="Team Member Completion %" prompt="This will be 100% if the team member can complete all the job without help. 80% if most of it. This will depend on the job complexity, the team member's ability and experience, whether or not they have done it before and the quality of the bookkeeping. " sqref="H484 G321:G380 H554 G590 H623 G112:G170 G181:G240 G251:G310 G391:G450 G461:G520 G533:G585 G604:G660 G671:G730 G743:G800 G34:G35 G37:G55 G67:G101" xr:uid="{0D1857C8-BF31-4E21-8AB1-41D3A659806A}"/>
    <dataValidation allowBlank="1" showInputMessage="1" showErrorMessage="1" promptTitle="Pricing or Efficiency Override" prompt="Some jobs are priced high &amp; others the bookkeeping maybe done by your firm and be well prepared. So to complete them based on a charge out rate would allow far too many hours. To reduce hours drop below100%. Training on the job,would increase above 100%." sqref="H485:H520 H251:H310 H461:H483 H533:H553 H604:H622 H112:H170 H181:H240 H321:H380 H391:H450 H555:H590 H624:H660 H671:H730 H743:H800 H34:H55 H67:H101" xr:uid="{0FD6C77B-C9F1-4AED-B676-AAFBF2BD7F4C}"/>
    <dataValidation allowBlank="1" showInputMessage="1" showErrorMessage="1" promptTitle="Notes" prompt="Make any notes about this job. For example if training is needed for the Team Member or the level of quality of the bookkeeping." sqref="D156:E170 D154:E154 D790:E800 D34:E34 D112:E112 D181:E181 D321:E321 D391:E391 D671:E692 D67:E67 D461:E461 D482:E482 D185:E214 D393:E415 D251:E263 D323:E343 D559:E562 D570:E585 D696:E730 D489:E520 D354:E380 D471:E480 D463:E467 D469:E469 D590:E590 D533:E537 D552:E552 D541:E550 D539:E539 D628:E632 D604:E607 D621:E621 D611:E619 D609:E609 D115:E150 D216:E240 D267:E310 D425:E450 D639:E660 D743:E768 D37:E55 D70:E84" xr:uid="{6AB3B993-8BB1-4630-AE88-21145D58E9D2}"/>
    <dataValidation allowBlank="1" showInputMessage="1" showErrorMessage="1" promptTitle="Annual Fees Budget" prompt="Enter the team members annual fees budget. Get this from your Capacity Planner (Wize Step 7.)" sqref="E16" xr:uid="{4AB11E93-6BB7-479B-9D68-409F64942AAC}"/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43E0-3367-48E9-BABE-CE2B708187D7}">
  <sheetPr>
    <tabColor rgb="FF92D050"/>
  </sheetPr>
  <dimension ref="A1:T1464"/>
  <sheetViews>
    <sheetView topLeftCell="A63" workbookViewId="0">
      <selection activeCell="C74" sqref="C74"/>
    </sheetView>
  </sheetViews>
  <sheetFormatPr defaultRowHeight="15" x14ac:dyDescent="0.2"/>
  <cols>
    <col min="2" max="2" width="3.765625" bestFit="1" customWidth="1"/>
    <col min="3" max="3" width="20.4453125" customWidth="1"/>
    <col min="4" max="4" width="11.97265625" customWidth="1"/>
    <col min="5" max="5" width="13.1796875" customWidth="1"/>
    <col min="6" max="6" width="17.62109375" bestFit="1" customWidth="1"/>
    <col min="7" max="7" width="12.375" customWidth="1"/>
    <col min="8" max="8" width="13.5859375" customWidth="1"/>
    <col min="9" max="9" width="15.87109375" customWidth="1"/>
    <col min="10" max="10" width="11.97265625" customWidth="1"/>
    <col min="11" max="11" width="14.125" customWidth="1"/>
    <col min="12" max="12" width="19.50390625" style="118" customWidth="1"/>
  </cols>
  <sheetData>
    <row r="1" spans="2:12" x14ac:dyDescent="0.2">
      <c r="L1"/>
    </row>
    <row r="2" spans="2:12" s="1" customFormat="1" ht="12.75" x14ac:dyDescent="0.15"/>
    <row r="3" spans="2:12" s="1" customFormat="1" ht="22.5" customHeight="1" x14ac:dyDescent="0.15">
      <c r="B3" s="347"/>
      <c r="C3" s="347"/>
      <c r="D3" s="347"/>
      <c r="E3" s="347"/>
      <c r="F3" s="348" t="s">
        <v>79</v>
      </c>
      <c r="G3" s="349"/>
      <c r="H3" s="349"/>
      <c r="I3" s="349"/>
      <c r="J3" s="349"/>
      <c r="K3" s="349"/>
      <c r="L3" s="350"/>
    </row>
    <row r="4" spans="2:12" s="1" customFormat="1" ht="13.35" customHeight="1" x14ac:dyDescent="0.15">
      <c r="B4" s="357"/>
      <c r="C4" s="358"/>
      <c r="D4" s="358"/>
      <c r="E4" s="359"/>
      <c r="F4" s="351"/>
      <c r="G4" s="352"/>
      <c r="H4" s="352"/>
      <c r="I4" s="352"/>
      <c r="J4" s="352"/>
      <c r="K4" s="352"/>
      <c r="L4" s="353"/>
    </row>
    <row r="5" spans="2:12" s="1" customFormat="1" ht="13.35" customHeight="1" x14ac:dyDescent="0.15">
      <c r="B5" s="357"/>
      <c r="C5" s="358"/>
      <c r="D5" s="358"/>
      <c r="E5" s="359"/>
      <c r="F5" s="351"/>
      <c r="G5" s="352"/>
      <c r="H5" s="352"/>
      <c r="I5" s="352"/>
      <c r="J5" s="352"/>
      <c r="K5" s="352"/>
      <c r="L5" s="353"/>
    </row>
    <row r="6" spans="2:12" s="1" customFormat="1" ht="13.35" customHeight="1" x14ac:dyDescent="0.15">
      <c r="B6" s="357"/>
      <c r="C6" s="358"/>
      <c r="D6" s="358"/>
      <c r="E6" s="359"/>
      <c r="F6" s="351"/>
      <c r="G6" s="352"/>
      <c r="H6" s="352"/>
      <c r="I6" s="352"/>
      <c r="J6" s="352"/>
      <c r="K6" s="352"/>
      <c r="L6" s="353"/>
    </row>
    <row r="7" spans="2:12" s="1" customFormat="1" ht="27.75" customHeight="1" x14ac:dyDescent="0.15">
      <c r="B7" s="360"/>
      <c r="C7" s="361"/>
      <c r="D7" s="361"/>
      <c r="E7" s="362"/>
      <c r="F7" s="354"/>
      <c r="G7" s="355"/>
      <c r="H7" s="355"/>
      <c r="I7" s="355"/>
      <c r="J7" s="355"/>
      <c r="K7" s="355"/>
      <c r="L7" s="356"/>
    </row>
    <row r="8" spans="2:12" s="1" customFormat="1" ht="25.5" x14ac:dyDescent="0.15">
      <c r="B8" s="331" t="s">
        <v>80</v>
      </c>
      <c r="C8" s="332"/>
      <c r="D8" s="332"/>
      <c r="E8" s="332"/>
      <c r="F8" s="332"/>
      <c r="G8" s="332"/>
      <c r="H8" s="332"/>
      <c r="I8" s="332"/>
      <c r="J8" s="332"/>
      <c r="K8" s="332"/>
      <c r="L8" s="333"/>
    </row>
    <row r="9" spans="2:12" s="1" customFormat="1" ht="25.5" x14ac:dyDescent="0.15">
      <c r="B9" s="3"/>
      <c r="C9" s="334"/>
      <c r="D9" s="334"/>
      <c r="E9" s="334"/>
      <c r="F9" s="334"/>
      <c r="G9" s="334"/>
      <c r="H9" s="334"/>
      <c r="I9" s="334"/>
      <c r="J9" s="334"/>
      <c r="K9" s="334"/>
      <c r="L9" s="335"/>
    </row>
    <row r="10" spans="2:12" s="4" customFormat="1" ht="25.5" x14ac:dyDescent="0.15">
      <c r="B10" s="3"/>
      <c r="C10" s="336" t="s">
        <v>81</v>
      </c>
      <c r="D10" s="336"/>
      <c r="E10" s="336"/>
      <c r="F10" s="336"/>
      <c r="G10" s="336"/>
      <c r="H10" s="336"/>
      <c r="I10" s="336"/>
      <c r="J10" s="336"/>
      <c r="K10" s="337"/>
      <c r="L10" s="338"/>
    </row>
    <row r="11" spans="2:12" s="5" customFormat="1" ht="16.350000000000001" customHeight="1" x14ac:dyDescent="0.2">
      <c r="B11" s="339" t="s">
        <v>82</v>
      </c>
      <c r="C11" s="340"/>
      <c r="D11" s="340"/>
      <c r="E11" s="340"/>
      <c r="F11" s="341"/>
      <c r="G11" s="342" t="s">
        <v>172</v>
      </c>
      <c r="H11" s="343"/>
      <c r="I11" s="343"/>
      <c r="J11" s="343"/>
      <c r="K11" s="343"/>
      <c r="L11" s="344"/>
    </row>
    <row r="12" spans="2:12" s="5" customFormat="1" ht="16.350000000000001" customHeight="1" x14ac:dyDescent="0.2">
      <c r="B12" s="345" t="s">
        <v>84</v>
      </c>
      <c r="C12" s="345"/>
      <c r="D12" s="345"/>
      <c r="E12" s="345"/>
      <c r="F12" s="345"/>
      <c r="G12" s="346" t="s">
        <v>188</v>
      </c>
      <c r="H12" s="346"/>
      <c r="I12" s="346"/>
      <c r="J12" s="346"/>
      <c r="K12" s="346"/>
      <c r="L12" s="346"/>
    </row>
    <row r="13" spans="2:12" s="5" customFormat="1" ht="16.350000000000001" customHeight="1" x14ac:dyDescent="0.2">
      <c r="B13" s="240"/>
      <c r="C13" s="237"/>
      <c r="D13" s="237"/>
      <c r="E13" s="238"/>
      <c r="F13" s="238"/>
      <c r="G13" s="238"/>
      <c r="H13" s="238"/>
      <c r="I13" s="238"/>
      <c r="J13" s="238"/>
      <c r="L13" s="241"/>
    </row>
    <row r="14" spans="2:12" s="5" customFormat="1" ht="15.4" customHeight="1" x14ac:dyDescent="0.2">
      <c r="B14" s="373" t="s">
        <v>86</v>
      </c>
      <c r="C14" s="373"/>
      <c r="D14" s="374" t="s">
        <v>189</v>
      </c>
      <c r="E14" s="374"/>
      <c r="F14" s="374"/>
      <c r="G14" s="373" t="s">
        <v>88</v>
      </c>
      <c r="H14" s="373"/>
      <c r="I14" s="373"/>
      <c r="J14" s="374" t="s">
        <v>190</v>
      </c>
      <c r="K14" s="374"/>
      <c r="L14" s="374"/>
    </row>
    <row r="15" spans="2:12" s="1" customFormat="1" ht="14.25" customHeight="1" x14ac:dyDescent="0.15">
      <c r="B15" s="236"/>
      <c r="C15" s="375" t="s">
        <v>90</v>
      </c>
      <c r="D15" s="375"/>
      <c r="E15" s="376" t="s">
        <v>91</v>
      </c>
      <c r="F15" s="376"/>
      <c r="G15" s="377" t="s">
        <v>90</v>
      </c>
      <c r="H15" s="377"/>
      <c r="I15" s="377"/>
      <c r="J15" s="377"/>
      <c r="K15" s="378" t="s">
        <v>92</v>
      </c>
      <c r="L15" s="378"/>
    </row>
    <row r="16" spans="2:12" s="1" customFormat="1" ht="13.5" customHeight="1" x14ac:dyDescent="0.15">
      <c r="B16" s="82"/>
      <c r="C16" s="363" t="s">
        <v>93</v>
      </c>
      <c r="D16" s="364"/>
      <c r="E16" s="365">
        <f>50512*12</f>
        <v>606144</v>
      </c>
      <c r="F16" s="366"/>
      <c r="G16" s="363" t="s">
        <v>94</v>
      </c>
      <c r="H16" s="367"/>
      <c r="I16" s="367"/>
      <c r="J16" s="364"/>
      <c r="K16" s="368">
        <f>E16/C32</f>
        <v>1346.9866666666667</v>
      </c>
      <c r="L16" s="369"/>
    </row>
    <row r="17" spans="2:12" s="1" customFormat="1" ht="13.5" customHeight="1" x14ac:dyDescent="0.15">
      <c r="B17" s="82"/>
      <c r="C17" s="370" t="s">
        <v>95</v>
      </c>
      <c r="D17" s="370"/>
      <c r="E17" s="371">
        <f>+I64+I108+I177+I247+I317+I387+I457+I527+I597+I667+I737+I807</f>
        <v>33101.376643478266</v>
      </c>
      <c r="F17" s="371"/>
      <c r="G17" s="370" t="s">
        <v>96</v>
      </c>
      <c r="H17" s="370"/>
      <c r="I17" s="370"/>
      <c r="J17" s="370"/>
      <c r="K17" s="372">
        <f>+J64+J108+J177+J247+J317+J387+J457+J527+J597+J667+J737+J807</f>
        <v>73.558614763285036</v>
      </c>
      <c r="L17" s="372"/>
    </row>
    <row r="18" spans="2:12" s="1" customFormat="1" ht="12.75" customHeight="1" x14ac:dyDescent="0.15">
      <c r="B18" s="82"/>
      <c r="C18" s="370" t="s">
        <v>97</v>
      </c>
      <c r="D18" s="370"/>
      <c r="E18" s="383">
        <f>E17-E16</f>
        <v>-573042.62335652171</v>
      </c>
      <c r="F18" s="383"/>
      <c r="G18" s="370" t="s">
        <v>97</v>
      </c>
      <c r="H18" s="370"/>
      <c r="I18" s="370"/>
      <c r="J18" s="370"/>
      <c r="K18" s="384">
        <f>K17-K16</f>
        <v>-1273.4280519033816</v>
      </c>
      <c r="L18" s="384"/>
    </row>
    <row r="19" spans="2:12" s="1" customFormat="1" ht="12.75" x14ac:dyDescent="0.15">
      <c r="B19" s="244"/>
      <c r="C19" s="225"/>
      <c r="D19" s="243"/>
      <c r="G19" s="225"/>
      <c r="H19" s="225"/>
      <c r="I19" s="225"/>
      <c r="J19" s="228"/>
      <c r="L19" s="246"/>
    </row>
    <row r="20" spans="2:12" s="1" customFormat="1" ht="14.25" customHeight="1" x14ac:dyDescent="0.15">
      <c r="B20" s="385" t="s">
        <v>98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</row>
    <row r="21" spans="2:12" s="1" customFormat="1" ht="12.75" x14ac:dyDescent="0.15">
      <c r="B21" s="386"/>
      <c r="C21" s="387"/>
      <c r="D21" s="245" t="s">
        <v>99</v>
      </c>
      <c r="E21" s="6">
        <f>J32</f>
        <v>104.78244730434783</v>
      </c>
      <c r="F21" s="234" t="s">
        <v>100</v>
      </c>
      <c r="G21" s="6">
        <f>+J185</f>
        <v>121.60000000000001</v>
      </c>
      <c r="H21" s="234" t="s">
        <v>101</v>
      </c>
      <c r="I21" s="6">
        <f>+J395</f>
        <v>134.4</v>
      </c>
      <c r="J21" s="234" t="s">
        <v>102</v>
      </c>
      <c r="K21" s="6">
        <f>+J605</f>
        <v>147.20000000000002</v>
      </c>
      <c r="L21" s="82"/>
    </row>
    <row r="22" spans="2:12" s="1" customFormat="1" ht="12.75" x14ac:dyDescent="0.15">
      <c r="B22" s="386"/>
      <c r="C22" s="387"/>
      <c r="D22" s="235" t="s">
        <v>103</v>
      </c>
      <c r="E22" s="6">
        <f>+J73</f>
        <v>84.058937932367144</v>
      </c>
      <c r="F22" s="234" t="s">
        <v>104</v>
      </c>
      <c r="G22" s="6">
        <f>+J255</f>
        <v>140.80000000000001</v>
      </c>
      <c r="H22" s="234" t="s">
        <v>105</v>
      </c>
      <c r="I22" s="6">
        <f>J465</f>
        <v>134.4</v>
      </c>
      <c r="J22" s="234" t="s">
        <v>106</v>
      </c>
      <c r="K22" s="6">
        <f>+J675</f>
        <v>128</v>
      </c>
      <c r="L22" s="82"/>
    </row>
    <row r="23" spans="2:12" s="1" customFormat="1" ht="12.75" x14ac:dyDescent="0.15">
      <c r="B23" s="386"/>
      <c r="C23" s="387"/>
      <c r="D23" s="235" t="s">
        <v>107</v>
      </c>
      <c r="E23" s="6">
        <f>+J116</f>
        <v>134.4</v>
      </c>
      <c r="F23" s="234" t="s">
        <v>108</v>
      </c>
      <c r="G23" s="6">
        <f>+J325</f>
        <v>128</v>
      </c>
      <c r="H23" s="234" t="s">
        <v>109</v>
      </c>
      <c r="I23" s="6">
        <f>+J535</f>
        <v>134.4</v>
      </c>
      <c r="J23" s="234" t="s">
        <v>110</v>
      </c>
      <c r="K23" s="6">
        <f>+J745</f>
        <v>128</v>
      </c>
      <c r="L23" s="82"/>
    </row>
    <row r="24" spans="2:12" s="1" customFormat="1" ht="12.75" x14ac:dyDescent="0.15">
      <c r="B24" s="386"/>
      <c r="C24" s="387"/>
      <c r="D24" s="235"/>
      <c r="E24" s="6"/>
      <c r="F24" s="234"/>
      <c r="G24" s="6"/>
      <c r="H24" s="234"/>
      <c r="I24" s="6"/>
      <c r="J24" s="234"/>
      <c r="K24" s="6"/>
      <c r="L24" s="82"/>
    </row>
    <row r="25" spans="2:12" s="1" customFormat="1" ht="13.5" customHeight="1" x14ac:dyDescent="0.15">
      <c r="B25" s="385" t="s">
        <v>111</v>
      </c>
      <c r="C25" s="385"/>
      <c r="D25" s="385"/>
      <c r="E25" s="385"/>
      <c r="F25" s="385"/>
      <c r="G25" s="379">
        <f>SUM(E21:E23)+SUM(G21:G23)+SUM(I21:I23)+SUM(K21:K23)</f>
        <v>1520.0413852367151</v>
      </c>
      <c r="H25" s="379"/>
      <c r="I25" s="379"/>
      <c r="J25" s="379"/>
      <c r="K25" s="379"/>
      <c r="L25" s="379"/>
    </row>
    <row r="26" spans="2:12" s="1" customFormat="1" ht="13.5" customHeight="1" x14ac:dyDescent="0.15">
      <c r="C26" s="225"/>
      <c r="D26" s="226"/>
      <c r="G26" s="227"/>
      <c r="H26" s="227"/>
      <c r="I26" s="227"/>
      <c r="J26" s="228"/>
    </row>
    <row r="27" spans="2:12" s="1" customFormat="1" ht="13.5" customHeight="1" x14ac:dyDescent="0.15">
      <c r="C27" s="225"/>
      <c r="D27" s="226"/>
      <c r="G27" s="227"/>
      <c r="H27" s="227"/>
      <c r="I27" s="227"/>
      <c r="J27" s="228"/>
    </row>
    <row r="28" spans="2:12" s="1" customFormat="1" ht="13.5" customHeight="1" x14ac:dyDescent="0.15">
      <c r="C28" s="225"/>
      <c r="D28" s="226"/>
      <c r="G28" s="227"/>
      <c r="H28" s="227"/>
      <c r="I28" s="227"/>
      <c r="J28" s="228"/>
    </row>
    <row r="29" spans="2:12" s="1" customFormat="1" ht="13.5" customHeight="1" x14ac:dyDescent="0.15">
      <c r="C29" s="225"/>
      <c r="D29" s="226"/>
      <c r="G29" s="227"/>
      <c r="H29" s="227"/>
      <c r="I29" s="227"/>
      <c r="J29" s="228"/>
    </row>
    <row r="30" spans="2:12" s="247" customFormat="1" ht="32.25" x14ac:dyDescent="0.4">
      <c r="B30" s="248"/>
      <c r="C30" s="380" t="s">
        <v>112</v>
      </c>
      <c r="D30" s="380"/>
      <c r="E30" s="381" t="s">
        <v>113</v>
      </c>
      <c r="F30" s="381"/>
      <c r="G30" s="381"/>
      <c r="H30" s="381"/>
      <c r="I30" s="381"/>
      <c r="J30" s="382">
        <v>2026</v>
      </c>
      <c r="K30" s="382"/>
      <c r="L30" s="382"/>
    </row>
    <row r="31" spans="2:12" s="1" customFormat="1" ht="22.5" x14ac:dyDescent="0.15">
      <c r="B31" s="82"/>
      <c r="C31" s="102" t="s">
        <v>114</v>
      </c>
      <c r="D31" s="388" t="s">
        <v>115</v>
      </c>
      <c r="E31" s="388"/>
      <c r="F31" s="102" t="s">
        <v>116</v>
      </c>
      <c r="G31" s="102" t="s">
        <v>117</v>
      </c>
      <c r="H31" s="102" t="s">
        <v>118</v>
      </c>
      <c r="I31" s="102" t="s">
        <v>119</v>
      </c>
      <c r="J31" s="102" t="s">
        <v>120</v>
      </c>
      <c r="K31" s="82"/>
      <c r="L31" s="82"/>
    </row>
    <row r="32" spans="2:12" s="1" customFormat="1" ht="12.75" x14ac:dyDescent="0.15">
      <c r="B32" s="82"/>
      <c r="C32" s="229">
        <v>450</v>
      </c>
      <c r="D32" s="389">
        <v>21</v>
      </c>
      <c r="E32" s="389"/>
      <c r="F32" s="7">
        <v>0.8</v>
      </c>
      <c r="G32" s="8">
        <v>8</v>
      </c>
      <c r="H32" s="142">
        <f>D32*G32*F32</f>
        <v>134.4</v>
      </c>
      <c r="I32" s="66">
        <f>I64</f>
        <v>13327.898713043482</v>
      </c>
      <c r="J32" s="143">
        <f>H32-J64</f>
        <v>104.78244730434783</v>
      </c>
      <c r="K32" s="82"/>
      <c r="L32" s="82"/>
    </row>
    <row r="33" spans="1:12" s="1" customFormat="1" ht="33.75" x14ac:dyDescent="0.15">
      <c r="B33" s="120"/>
      <c r="C33" s="230" t="s">
        <v>121</v>
      </c>
      <c r="D33" s="390" t="s">
        <v>122</v>
      </c>
      <c r="E33" s="390"/>
      <c r="F33" s="231" t="s">
        <v>123</v>
      </c>
      <c r="G33" s="232" t="s">
        <v>124</v>
      </c>
      <c r="H33" s="233" t="s">
        <v>125</v>
      </c>
      <c r="I33" s="233" t="s">
        <v>126</v>
      </c>
      <c r="J33" s="232" t="s">
        <v>127</v>
      </c>
      <c r="K33" s="123" t="s">
        <v>128</v>
      </c>
      <c r="L33" s="114" t="s">
        <v>129</v>
      </c>
    </row>
    <row r="34" spans="1:12" s="1" customFormat="1" ht="12.75" x14ac:dyDescent="0.15">
      <c r="B34" s="82"/>
      <c r="C34" s="89"/>
      <c r="D34" s="391"/>
      <c r="E34" s="391"/>
      <c r="F34" s="184"/>
      <c r="G34" s="92"/>
      <c r="H34" s="92"/>
      <c r="I34" s="93"/>
      <c r="J34" s="94"/>
      <c r="K34" s="82"/>
      <c r="L34" s="82"/>
    </row>
    <row r="35" spans="1:12" s="1" customFormat="1" ht="12.75" x14ac:dyDescent="0.15">
      <c r="B35" s="82"/>
      <c r="C35" s="392" t="s">
        <v>130</v>
      </c>
      <c r="D35" s="392"/>
      <c r="E35" s="392"/>
      <c r="F35" s="184"/>
      <c r="G35" s="92"/>
      <c r="H35" s="92"/>
      <c r="I35" s="93"/>
      <c r="J35" s="94"/>
      <c r="K35" s="82"/>
      <c r="L35" s="82"/>
    </row>
    <row r="36" spans="1:12" s="1" customFormat="1" ht="12.75" x14ac:dyDescent="0.15">
      <c r="B36" s="82"/>
      <c r="C36" s="167" t="s">
        <v>131</v>
      </c>
      <c r="D36" s="167"/>
      <c r="E36" s="167"/>
      <c r="F36" s="184"/>
      <c r="G36" s="92"/>
      <c r="H36" s="92"/>
      <c r="I36" s="93"/>
      <c r="J36" s="318"/>
      <c r="K36" s="82"/>
      <c r="L36" s="82"/>
    </row>
    <row r="37" spans="1:12" s="1" customFormat="1" ht="12.75" customHeight="1" x14ac:dyDescent="0.15">
      <c r="A37" s="314"/>
      <c r="B37" s="82">
        <v>1</v>
      </c>
      <c r="C37" s="203" t="s">
        <v>36</v>
      </c>
      <c r="D37" s="90"/>
      <c r="E37" s="90"/>
      <c r="F37" s="65">
        <f>'Work Component  Split'!F29</f>
        <v>2994.59</v>
      </c>
      <c r="G37" s="92">
        <f>'Work Component  Split'!J29</f>
        <v>0.27513671973966969</v>
      </c>
      <c r="H37" s="92">
        <v>1</v>
      </c>
      <c r="I37" s="218">
        <f>J37*$C$32</f>
        <v>823.92166956521748</v>
      </c>
      <c r="J37" s="318">
        <f t="shared" ref="J37:J43" si="0">(F37*G37*H37)/$C$32</f>
        <v>1.830937043478261</v>
      </c>
      <c r="K37" s="82"/>
      <c r="L37" s="82"/>
    </row>
    <row r="38" spans="1:12" s="1" customFormat="1" ht="12.75" customHeight="1" x14ac:dyDescent="0.15">
      <c r="B38" s="82">
        <v>2</v>
      </c>
      <c r="C38" s="203" t="s">
        <v>41</v>
      </c>
      <c r="D38" s="90"/>
      <c r="E38" s="90"/>
      <c r="F38" s="65">
        <f>'Work Component  Split'!F34</f>
        <v>3423.13</v>
      </c>
      <c r="G38" s="92">
        <f>'Work Component  Split'!J34</f>
        <v>0.4000000508052699</v>
      </c>
      <c r="H38" s="92">
        <v>1</v>
      </c>
      <c r="I38" s="218">
        <f>J38*$C$32</f>
        <v>1369.2521739130436</v>
      </c>
      <c r="J38" s="318">
        <f t="shared" si="0"/>
        <v>3.0427826086956524</v>
      </c>
      <c r="K38" s="82"/>
      <c r="L38" s="82"/>
    </row>
    <row r="39" spans="1:12" s="1" customFormat="1" ht="12.75" customHeight="1" x14ac:dyDescent="0.15">
      <c r="B39" s="82">
        <v>3</v>
      </c>
      <c r="C39" s="203" t="s">
        <v>43</v>
      </c>
      <c r="D39" s="90"/>
      <c r="E39" s="90"/>
      <c r="F39" s="65">
        <f>'Work Component  Split'!F36</f>
        <v>6389.28</v>
      </c>
      <c r="G39" s="92">
        <f>'Work Component  Split'!K36</f>
        <v>8.2961460446247484E-2</v>
      </c>
      <c r="H39" s="92">
        <v>1</v>
      </c>
      <c r="I39" s="218">
        <f t="shared" ref="I39:I43" si="1">J39*$C$32</f>
        <v>530.06400000000008</v>
      </c>
      <c r="J39" s="318">
        <f t="shared" si="0"/>
        <v>1.1779200000000001</v>
      </c>
      <c r="K39" s="82"/>
      <c r="L39" s="82"/>
    </row>
    <row r="40" spans="1:12" s="1" customFormat="1" ht="12.75" customHeight="1" x14ac:dyDescent="0.15">
      <c r="A40" s="314"/>
      <c r="B40" s="82">
        <v>4</v>
      </c>
      <c r="C40" s="203" t="s">
        <v>46</v>
      </c>
      <c r="D40" s="90"/>
      <c r="E40" s="90"/>
      <c r="F40" s="65">
        <f>'Work Component  Split'!F39</f>
        <v>8100</v>
      </c>
      <c r="G40" s="92">
        <f>'Work Component  Split'!J39</f>
        <v>0.40000000000000008</v>
      </c>
      <c r="H40" s="92">
        <v>1</v>
      </c>
      <c r="I40" s="218">
        <f t="shared" si="1"/>
        <v>3240.0000000000005</v>
      </c>
      <c r="J40" s="318">
        <f t="shared" si="0"/>
        <v>7.2000000000000011</v>
      </c>
      <c r="K40" s="82"/>
      <c r="L40" s="82"/>
    </row>
    <row r="41" spans="1:12" s="1" customFormat="1" ht="12.75" customHeight="1" x14ac:dyDescent="0.15">
      <c r="B41" s="82">
        <v>5</v>
      </c>
      <c r="C41" s="203" t="s">
        <v>42</v>
      </c>
      <c r="D41" s="90"/>
      <c r="E41" s="90"/>
      <c r="F41" s="65">
        <f>'Work Component  Split'!F35</f>
        <v>3549.91</v>
      </c>
      <c r="G41" s="92">
        <f>'Work Component  Split'!J35</f>
        <v>0.40000034293582221</v>
      </c>
      <c r="H41" s="92">
        <v>1</v>
      </c>
      <c r="I41" s="218">
        <f t="shared" si="1"/>
        <v>1419.9652173913046</v>
      </c>
      <c r="J41" s="318">
        <f t="shared" si="0"/>
        <v>3.1554782608695655</v>
      </c>
      <c r="K41" s="82"/>
      <c r="L41" s="82"/>
    </row>
    <row r="42" spans="1:12" s="1" customFormat="1" ht="12.75" customHeight="1" x14ac:dyDescent="0.15">
      <c r="B42" s="82">
        <v>6</v>
      </c>
      <c r="C42" s="203" t="s">
        <v>45</v>
      </c>
      <c r="D42" s="90"/>
      <c r="E42" s="90"/>
      <c r="F42" s="65">
        <f>'Work Component  Split'!F38</f>
        <v>14040</v>
      </c>
      <c r="G42" s="92">
        <f>'Work Component  Split'!J38</f>
        <v>0.40000000000000008</v>
      </c>
      <c r="H42" s="92">
        <v>1</v>
      </c>
      <c r="I42" s="218">
        <f t="shared" si="1"/>
        <v>5616.0000000000009</v>
      </c>
      <c r="J42" s="318">
        <f t="shared" si="0"/>
        <v>12.480000000000002</v>
      </c>
      <c r="K42" s="82"/>
      <c r="L42" s="82"/>
    </row>
    <row r="43" spans="1:12" s="1" customFormat="1" ht="12.75" customHeight="1" x14ac:dyDescent="0.15">
      <c r="B43" s="82">
        <v>7</v>
      </c>
      <c r="C43" s="203" t="s">
        <v>191</v>
      </c>
      <c r="D43" s="90"/>
      <c r="E43" s="90"/>
      <c r="F43" s="65">
        <f>'Work Component  Split'!F37</f>
        <v>3895.65</v>
      </c>
      <c r="G43" s="92">
        <f>'Work Component  Split'!K37</f>
        <v>8.4375047084289667E-2</v>
      </c>
      <c r="H43" s="92">
        <v>1</v>
      </c>
      <c r="I43" s="218">
        <f t="shared" si="1"/>
        <v>328.69565217391306</v>
      </c>
      <c r="J43" s="318">
        <f t="shared" si="0"/>
        <v>0.73043478260869565</v>
      </c>
      <c r="K43" s="82"/>
      <c r="L43" s="82"/>
    </row>
    <row r="44" spans="1:12" s="1" customFormat="1" ht="12.75" customHeight="1" x14ac:dyDescent="0.15">
      <c r="B44" s="82"/>
      <c r="C44" s="203"/>
      <c r="D44" s="90"/>
      <c r="E44" s="90"/>
      <c r="F44" s="223"/>
      <c r="G44" s="92"/>
      <c r="H44" s="92"/>
      <c r="I44" s="218"/>
      <c r="J44" s="318"/>
      <c r="K44" s="82"/>
      <c r="L44" s="82"/>
    </row>
    <row r="45" spans="1:12" s="1" customFormat="1" ht="14.25" x14ac:dyDescent="0.15">
      <c r="B45" s="82"/>
      <c r="C45" s="167" t="s">
        <v>150</v>
      </c>
      <c r="D45" s="90"/>
      <c r="E45" s="90"/>
      <c r="F45" s="223"/>
      <c r="G45" s="92"/>
      <c r="H45" s="92"/>
      <c r="I45" s="168"/>
      <c r="J45" s="94"/>
      <c r="K45" s="82"/>
      <c r="L45" s="115"/>
    </row>
    <row r="46" spans="1:12" s="1" customFormat="1" ht="14.25" x14ac:dyDescent="0.15">
      <c r="B46" s="82">
        <v>1</v>
      </c>
      <c r="C46" s="89" t="s">
        <v>133</v>
      </c>
      <c r="D46" s="90" t="s">
        <v>134</v>
      </c>
      <c r="E46" s="90"/>
      <c r="F46" s="223"/>
      <c r="G46" s="92"/>
      <c r="H46" s="92">
        <v>1</v>
      </c>
      <c r="I46" s="168">
        <f t="shared" ref="I46:I62" si="2">J46*$C$32</f>
        <v>0</v>
      </c>
      <c r="J46" s="94">
        <f t="shared" ref="J46:J62" si="3">(F46*G46*H46)/$C$32</f>
        <v>0</v>
      </c>
      <c r="K46" s="82"/>
      <c r="L46" s="115"/>
    </row>
    <row r="47" spans="1:12" s="1" customFormat="1" ht="14.25" x14ac:dyDescent="0.15">
      <c r="B47" s="82">
        <v>2</v>
      </c>
      <c r="C47" s="89" t="s">
        <v>192</v>
      </c>
      <c r="D47" s="90" t="s">
        <v>193</v>
      </c>
      <c r="E47" s="90"/>
      <c r="F47" s="223"/>
      <c r="G47" s="92"/>
      <c r="H47" s="92">
        <v>1</v>
      </c>
      <c r="I47" s="168">
        <f t="shared" si="2"/>
        <v>0</v>
      </c>
      <c r="J47" s="94">
        <f t="shared" si="3"/>
        <v>0</v>
      </c>
      <c r="K47" s="82"/>
      <c r="L47" s="115"/>
    </row>
    <row r="48" spans="1:12" s="1" customFormat="1" ht="14.25" x14ac:dyDescent="0.15">
      <c r="B48" s="82">
        <v>4</v>
      </c>
      <c r="C48" s="89" t="s">
        <v>194</v>
      </c>
      <c r="D48" s="90" t="s">
        <v>195</v>
      </c>
      <c r="E48" s="90"/>
      <c r="F48" s="223"/>
      <c r="G48" s="92"/>
      <c r="H48" s="92">
        <v>1</v>
      </c>
      <c r="I48" s="168">
        <f t="shared" si="2"/>
        <v>0</v>
      </c>
      <c r="J48" s="94">
        <f t="shared" si="3"/>
        <v>0</v>
      </c>
      <c r="K48" s="82"/>
      <c r="L48" s="115"/>
    </row>
    <row r="49" spans="2:12" s="1" customFormat="1" ht="14.25" x14ac:dyDescent="0.15">
      <c r="B49" s="82">
        <v>5</v>
      </c>
      <c r="C49" s="89" t="s">
        <v>196</v>
      </c>
      <c r="D49" s="90" t="s">
        <v>197</v>
      </c>
      <c r="E49" s="90"/>
      <c r="F49" s="223"/>
      <c r="G49" s="92"/>
      <c r="H49" s="92">
        <v>1</v>
      </c>
      <c r="I49" s="168">
        <f t="shared" si="2"/>
        <v>0</v>
      </c>
      <c r="J49" s="94">
        <f t="shared" si="3"/>
        <v>0</v>
      </c>
      <c r="K49" s="82"/>
      <c r="L49" s="115"/>
    </row>
    <row r="50" spans="2:12" s="1" customFormat="1" ht="14.25" x14ac:dyDescent="0.15">
      <c r="B50" s="82">
        <v>6</v>
      </c>
      <c r="C50" s="89" t="s">
        <v>198</v>
      </c>
      <c r="D50" s="90" t="s">
        <v>136</v>
      </c>
      <c r="E50" s="90"/>
      <c r="F50" s="223"/>
      <c r="G50" s="92"/>
      <c r="H50" s="92">
        <v>1</v>
      </c>
      <c r="I50" s="168">
        <f t="shared" si="2"/>
        <v>0</v>
      </c>
      <c r="J50" s="94">
        <f t="shared" si="3"/>
        <v>0</v>
      </c>
      <c r="K50" s="82"/>
      <c r="L50" s="115"/>
    </row>
    <row r="51" spans="2:12" s="1" customFormat="1" ht="14.25" x14ac:dyDescent="0.15">
      <c r="B51" s="82">
        <v>7</v>
      </c>
      <c r="C51" s="89" t="s">
        <v>199</v>
      </c>
      <c r="D51" s="90" t="s">
        <v>200</v>
      </c>
      <c r="E51" s="90"/>
      <c r="F51" s="223"/>
      <c r="G51" s="92"/>
      <c r="H51" s="92">
        <v>1</v>
      </c>
      <c r="I51" s="168">
        <f t="shared" si="2"/>
        <v>0</v>
      </c>
      <c r="J51" s="94">
        <f t="shared" si="3"/>
        <v>0</v>
      </c>
      <c r="K51" s="82"/>
      <c r="L51" s="115"/>
    </row>
    <row r="52" spans="2:12" s="1" customFormat="1" ht="14.25" x14ac:dyDescent="0.15">
      <c r="B52" s="82">
        <v>8</v>
      </c>
      <c r="C52" s="89" t="s">
        <v>31</v>
      </c>
      <c r="D52" s="90" t="s">
        <v>201</v>
      </c>
      <c r="E52" s="90"/>
      <c r="F52" s="223"/>
      <c r="G52" s="92"/>
      <c r="H52" s="92">
        <v>1</v>
      </c>
      <c r="I52" s="168">
        <f t="shared" si="2"/>
        <v>0</v>
      </c>
      <c r="J52" s="94">
        <f t="shared" si="3"/>
        <v>0</v>
      </c>
      <c r="K52" s="82"/>
      <c r="L52" s="115"/>
    </row>
    <row r="53" spans="2:12" s="1" customFormat="1" ht="14.25" x14ac:dyDescent="0.15">
      <c r="B53" s="82">
        <v>9</v>
      </c>
      <c r="C53" s="89" t="s">
        <v>202</v>
      </c>
      <c r="D53" s="90" t="s">
        <v>203</v>
      </c>
      <c r="E53" s="90"/>
      <c r="F53" s="223"/>
      <c r="G53" s="92"/>
      <c r="H53" s="92">
        <v>1</v>
      </c>
      <c r="I53" s="168">
        <f t="shared" si="2"/>
        <v>0</v>
      </c>
      <c r="J53" s="94">
        <f t="shared" si="3"/>
        <v>0</v>
      </c>
      <c r="K53" s="82"/>
      <c r="L53" s="115"/>
    </row>
    <row r="54" spans="2:12" s="1" customFormat="1" ht="14.25" x14ac:dyDescent="0.15">
      <c r="B54" s="82">
        <v>10</v>
      </c>
      <c r="C54" s="89" t="s">
        <v>204</v>
      </c>
      <c r="D54" s="90" t="s">
        <v>205</v>
      </c>
      <c r="E54" s="90"/>
      <c r="F54" s="223"/>
      <c r="G54" s="92"/>
      <c r="H54" s="92">
        <v>1</v>
      </c>
      <c r="I54" s="168">
        <f t="shared" si="2"/>
        <v>0</v>
      </c>
      <c r="J54" s="94">
        <f t="shared" si="3"/>
        <v>0</v>
      </c>
      <c r="K54" s="82"/>
      <c r="L54" s="115"/>
    </row>
    <row r="55" spans="2:12" s="1" customFormat="1" ht="14.25" x14ac:dyDescent="0.15">
      <c r="B55" s="82">
        <v>11</v>
      </c>
      <c r="C55" s="89" t="s">
        <v>206</v>
      </c>
      <c r="D55" s="90" t="s">
        <v>207</v>
      </c>
      <c r="E55" s="90"/>
      <c r="F55" s="223"/>
      <c r="G55" s="92"/>
      <c r="H55" s="92">
        <v>1</v>
      </c>
      <c r="I55" s="168">
        <f t="shared" si="2"/>
        <v>0</v>
      </c>
      <c r="J55" s="94">
        <f t="shared" si="3"/>
        <v>0</v>
      </c>
      <c r="K55" s="82"/>
      <c r="L55" s="115"/>
    </row>
    <row r="56" spans="2:12" s="1" customFormat="1" ht="14.25" x14ac:dyDescent="0.15">
      <c r="B56" s="82">
        <v>12</v>
      </c>
      <c r="C56" s="89" t="s">
        <v>208</v>
      </c>
      <c r="D56" s="169" t="s">
        <v>209</v>
      </c>
      <c r="E56" s="169"/>
      <c r="F56" s="223"/>
      <c r="G56" s="214"/>
      <c r="H56" s="92">
        <v>1</v>
      </c>
      <c r="I56" s="218">
        <f t="shared" si="2"/>
        <v>0</v>
      </c>
      <c r="J56" s="94">
        <f t="shared" si="3"/>
        <v>0</v>
      </c>
      <c r="K56" s="82"/>
      <c r="L56" s="82"/>
    </row>
    <row r="57" spans="2:12" s="1" customFormat="1" ht="14.25" x14ac:dyDescent="0.15">
      <c r="B57" s="82">
        <v>13</v>
      </c>
      <c r="C57" s="89" t="s">
        <v>210</v>
      </c>
      <c r="D57" s="90" t="s">
        <v>211</v>
      </c>
      <c r="E57" s="90"/>
      <c r="F57" s="223"/>
      <c r="G57" s="214"/>
      <c r="H57" s="92">
        <v>1</v>
      </c>
      <c r="I57" s="218">
        <f t="shared" si="2"/>
        <v>0</v>
      </c>
      <c r="J57" s="94">
        <f t="shared" si="3"/>
        <v>0</v>
      </c>
      <c r="K57" s="82"/>
      <c r="L57" s="115"/>
    </row>
    <row r="58" spans="2:12" s="1" customFormat="1" ht="14.25" x14ac:dyDescent="0.15">
      <c r="B58" s="82">
        <v>14</v>
      </c>
      <c r="C58" s="203" t="s">
        <v>212</v>
      </c>
      <c r="D58" s="90" t="s">
        <v>213</v>
      </c>
      <c r="E58" s="90"/>
      <c r="F58" s="223"/>
      <c r="G58" s="214"/>
      <c r="H58" s="92">
        <v>1</v>
      </c>
      <c r="I58" s="218">
        <f t="shared" si="2"/>
        <v>0</v>
      </c>
      <c r="J58" s="94">
        <f t="shared" si="3"/>
        <v>0</v>
      </c>
      <c r="K58" s="82"/>
      <c r="L58" s="115"/>
    </row>
    <row r="59" spans="2:12" s="1" customFormat="1" ht="14.25" x14ac:dyDescent="0.15">
      <c r="B59" s="82">
        <v>16</v>
      </c>
      <c r="C59" s="203" t="s">
        <v>214</v>
      </c>
      <c r="D59" s="90" t="s">
        <v>200</v>
      </c>
      <c r="E59" s="90"/>
      <c r="F59" s="223"/>
      <c r="G59" s="214"/>
      <c r="H59" s="92">
        <v>1</v>
      </c>
      <c r="I59" s="218">
        <f t="shared" si="2"/>
        <v>0</v>
      </c>
      <c r="J59" s="94">
        <f t="shared" si="3"/>
        <v>0</v>
      </c>
      <c r="K59" s="82"/>
      <c r="L59" s="115"/>
    </row>
    <row r="60" spans="2:12" s="1" customFormat="1" ht="14.25" x14ac:dyDescent="0.15">
      <c r="B60" s="82">
        <v>17</v>
      </c>
      <c r="C60" s="203" t="s">
        <v>145</v>
      </c>
      <c r="D60" s="90" t="s">
        <v>215</v>
      </c>
      <c r="E60" s="90"/>
      <c r="F60" s="223"/>
      <c r="G60" s="214"/>
      <c r="H60" s="92">
        <v>1</v>
      </c>
      <c r="I60" s="218">
        <f t="shared" si="2"/>
        <v>0</v>
      </c>
      <c r="J60" s="94">
        <f t="shared" si="3"/>
        <v>0</v>
      </c>
      <c r="K60" s="82"/>
      <c r="L60" s="115"/>
    </row>
    <row r="61" spans="2:12" s="1" customFormat="1" ht="14.25" x14ac:dyDescent="0.15">
      <c r="B61" s="82">
        <v>19</v>
      </c>
      <c r="C61" s="203"/>
      <c r="D61" s="90"/>
      <c r="E61" s="90"/>
      <c r="F61" s="223"/>
      <c r="G61" s="214"/>
      <c r="H61" s="92">
        <v>1</v>
      </c>
      <c r="I61" s="218">
        <f t="shared" si="2"/>
        <v>0</v>
      </c>
      <c r="J61" s="94">
        <f t="shared" si="3"/>
        <v>0</v>
      </c>
      <c r="K61" s="82"/>
      <c r="L61" s="115"/>
    </row>
    <row r="62" spans="2:12" s="1" customFormat="1" ht="14.25" x14ac:dyDescent="0.15">
      <c r="B62" s="82">
        <v>20</v>
      </c>
      <c r="C62" s="203"/>
      <c r="D62" s="90"/>
      <c r="E62" s="90"/>
      <c r="F62" s="223"/>
      <c r="G62" s="214"/>
      <c r="H62" s="92">
        <v>1</v>
      </c>
      <c r="I62" s="218">
        <f t="shared" si="2"/>
        <v>0</v>
      </c>
      <c r="J62" s="94">
        <f t="shared" si="3"/>
        <v>0</v>
      </c>
      <c r="K62" s="82"/>
      <c r="L62" s="115"/>
    </row>
    <row r="63" spans="2:12" s="1" customFormat="1" ht="14.25" x14ac:dyDescent="0.15">
      <c r="B63" s="82"/>
      <c r="C63" s="203"/>
      <c r="D63" s="90"/>
      <c r="E63" s="90"/>
      <c r="F63" s="223"/>
      <c r="G63" s="92"/>
      <c r="H63" s="92"/>
      <c r="I63" s="168"/>
      <c r="J63" s="94"/>
      <c r="K63" s="82"/>
      <c r="L63" s="115"/>
    </row>
    <row r="64" spans="2:12" s="1" customFormat="1" ht="14.25" x14ac:dyDescent="0.15">
      <c r="B64" s="82"/>
      <c r="C64" s="102"/>
      <c r="D64" s="103"/>
      <c r="E64" s="102"/>
      <c r="F64" s="224">
        <f>SUM(F37:F63)</f>
        <v>42392.560000000005</v>
      </c>
      <c r="G64" s="104"/>
      <c r="H64" s="105"/>
      <c r="I64" s="128">
        <f>SUM(I35:I63)</f>
        <v>13327.898713043482</v>
      </c>
      <c r="J64" s="106">
        <f>SUM(J34:J63)</f>
        <v>29.617552695652179</v>
      </c>
      <c r="K64" s="82"/>
      <c r="L64" s="115"/>
    </row>
    <row r="65" spans="2:12" s="1" customFormat="1" ht="14.25" x14ac:dyDescent="0.15">
      <c r="B65" s="82"/>
      <c r="C65" s="102"/>
      <c r="D65" s="103"/>
      <c r="E65" s="102" t="s">
        <v>147</v>
      </c>
      <c r="F65" s="224">
        <f>100/115*F64</f>
        <v>36863.095652173914</v>
      </c>
      <c r="G65" s="104"/>
      <c r="H65" s="105" t="s">
        <v>147</v>
      </c>
      <c r="I65" s="128">
        <f>100/115*I64</f>
        <v>11589.477141776941</v>
      </c>
      <c r="J65" s="257"/>
      <c r="L65" s="222"/>
    </row>
    <row r="66" spans="2:12" s="1" customFormat="1" ht="14.25" x14ac:dyDescent="0.15">
      <c r="B66" s="82"/>
      <c r="C66" s="102"/>
      <c r="D66" s="103"/>
      <c r="E66" s="102"/>
      <c r="F66" s="224"/>
      <c r="G66" s="104"/>
      <c r="H66" s="105"/>
      <c r="I66" s="128"/>
      <c r="J66" s="106"/>
      <c r="L66" s="222"/>
    </row>
    <row r="67" spans="2:12" s="1" customFormat="1" ht="14.25" x14ac:dyDescent="0.15">
      <c r="L67" s="222"/>
    </row>
    <row r="68" spans="2:12" s="1" customFormat="1" ht="14.25" x14ac:dyDescent="0.15">
      <c r="L68" s="222"/>
    </row>
    <row r="69" spans="2:12" s="1" customFormat="1" ht="14.25" x14ac:dyDescent="0.15">
      <c r="L69" s="222"/>
    </row>
    <row r="70" spans="2:12" s="1" customFormat="1" ht="14.25" x14ac:dyDescent="0.15">
      <c r="L70" s="222"/>
    </row>
    <row r="71" spans="2:12" s="247" customFormat="1" ht="32.25" x14ac:dyDescent="0.4">
      <c r="B71" s="248"/>
      <c r="C71" s="380" t="s">
        <v>112</v>
      </c>
      <c r="D71" s="380"/>
      <c r="E71" s="381" t="s">
        <v>148</v>
      </c>
      <c r="F71" s="381"/>
      <c r="G71" s="381"/>
      <c r="H71" s="381"/>
      <c r="I71" s="381"/>
      <c r="J71" s="382">
        <v>2026</v>
      </c>
      <c r="K71" s="382"/>
      <c r="L71" s="382"/>
    </row>
    <row r="72" spans="2:12" s="1" customFormat="1" ht="22.5" x14ac:dyDescent="0.15">
      <c r="B72" s="82"/>
      <c r="C72" s="102" t="s">
        <v>114</v>
      </c>
      <c r="D72" s="388" t="s">
        <v>115</v>
      </c>
      <c r="E72" s="388"/>
      <c r="F72" s="102" t="s">
        <v>116</v>
      </c>
      <c r="G72" s="102" t="s">
        <v>117</v>
      </c>
      <c r="H72" s="102" t="s">
        <v>118</v>
      </c>
      <c r="I72" s="102" t="s">
        <v>119</v>
      </c>
      <c r="J72" s="102" t="s">
        <v>120</v>
      </c>
      <c r="K72" s="82"/>
      <c r="L72" s="82"/>
    </row>
    <row r="73" spans="2:12" s="1" customFormat="1" ht="12.75" x14ac:dyDescent="0.15">
      <c r="B73" s="82"/>
      <c r="C73" s="66">
        <v>350</v>
      </c>
      <c r="D73" s="389">
        <v>20</v>
      </c>
      <c r="E73" s="389"/>
      <c r="F73" s="13">
        <f>F32</f>
        <v>0.8</v>
      </c>
      <c r="G73" s="14">
        <f>G32</f>
        <v>8</v>
      </c>
      <c r="H73" s="142">
        <f>D73*G73*F73</f>
        <v>128</v>
      </c>
      <c r="I73" s="66">
        <f>I108</f>
        <v>19773.477930434783</v>
      </c>
      <c r="J73" s="143">
        <f>H73-J108</f>
        <v>84.058937932367144</v>
      </c>
      <c r="K73" s="82"/>
      <c r="L73" s="82"/>
    </row>
    <row r="74" spans="2:12" s="1" customFormat="1" ht="33.75" x14ac:dyDescent="0.15">
      <c r="B74" s="82"/>
      <c r="C74" s="167" t="s">
        <v>121</v>
      </c>
      <c r="D74" s="395" t="s">
        <v>122</v>
      </c>
      <c r="E74" s="395"/>
      <c r="F74" s="177" t="s">
        <v>123</v>
      </c>
      <c r="G74" s="178" t="s">
        <v>124</v>
      </c>
      <c r="H74" s="179" t="s">
        <v>125</v>
      </c>
      <c r="I74" s="180" t="s">
        <v>126</v>
      </c>
      <c r="J74" s="178" t="s">
        <v>127</v>
      </c>
      <c r="K74" s="114" t="s">
        <v>128</v>
      </c>
      <c r="L74" s="114" t="s">
        <v>129</v>
      </c>
    </row>
    <row r="75" spans="2:12" s="1" customFormat="1" ht="12.75" x14ac:dyDescent="0.15">
      <c r="B75" s="82"/>
      <c r="C75" s="89"/>
      <c r="D75" s="391"/>
      <c r="E75" s="391"/>
      <c r="F75" s="184"/>
      <c r="G75" s="92"/>
      <c r="H75" s="92"/>
      <c r="I75" s="168"/>
      <c r="J75" s="185"/>
      <c r="K75" s="82"/>
      <c r="L75" s="82"/>
    </row>
    <row r="76" spans="2:12" s="1" customFormat="1" ht="12.75" x14ac:dyDescent="0.15">
      <c r="B76" s="82"/>
      <c r="C76" s="392" t="s">
        <v>130</v>
      </c>
      <c r="D76" s="392"/>
      <c r="E76" s="392"/>
      <c r="F76" s="184"/>
      <c r="G76" s="92"/>
      <c r="H76" s="92"/>
      <c r="I76" s="168"/>
      <c r="J76" s="185"/>
      <c r="K76" s="82"/>
      <c r="L76" s="82"/>
    </row>
    <row r="77" spans="2:12" s="1" customFormat="1" ht="12.75" x14ac:dyDescent="0.15">
      <c r="B77" s="82"/>
      <c r="C77" s="167" t="s">
        <v>149</v>
      </c>
      <c r="D77" s="167"/>
      <c r="E77" s="167"/>
      <c r="F77" s="168"/>
      <c r="G77" s="92"/>
      <c r="H77" s="92"/>
      <c r="I77" s="168"/>
      <c r="J77" s="266"/>
      <c r="K77" s="82"/>
      <c r="L77" s="82"/>
    </row>
    <row r="78" spans="2:12" s="1" customFormat="1" ht="12.75" customHeight="1" x14ac:dyDescent="0.15">
      <c r="B78" s="82">
        <v>1</v>
      </c>
      <c r="C78" s="203" t="s">
        <v>36</v>
      </c>
      <c r="D78" s="90"/>
      <c r="E78" s="90"/>
      <c r="F78" s="168">
        <v>2994.59</v>
      </c>
      <c r="G78" s="92">
        <v>0.27513671973966969</v>
      </c>
      <c r="H78" s="92">
        <v>1</v>
      </c>
      <c r="I78" s="218">
        <f>J78*$C$32</f>
        <v>823.92166956521748</v>
      </c>
      <c r="J78" s="323">
        <f t="shared" ref="J78:J86" si="4">(F78*G78*H78)/$C$32</f>
        <v>1.830937043478261</v>
      </c>
      <c r="K78" s="82"/>
      <c r="L78" s="82"/>
    </row>
    <row r="79" spans="2:12" s="1" customFormat="1" ht="12.75" customHeight="1" x14ac:dyDescent="0.15">
      <c r="B79" s="82">
        <v>2</v>
      </c>
      <c r="C79" s="203" t="s">
        <v>41</v>
      </c>
      <c r="D79" s="90"/>
      <c r="E79" s="90"/>
      <c r="F79" s="168">
        <v>3423.13</v>
      </c>
      <c r="G79" s="92">
        <v>0.4000000508052699</v>
      </c>
      <c r="H79" s="92">
        <v>1</v>
      </c>
      <c r="I79" s="218">
        <f>J79*$C$32</f>
        <v>1369.2521739130436</v>
      </c>
      <c r="J79" s="323">
        <f t="shared" si="4"/>
        <v>3.0427826086956524</v>
      </c>
      <c r="K79" s="82"/>
      <c r="L79" s="82"/>
    </row>
    <row r="80" spans="2:12" s="1" customFormat="1" ht="12.75" customHeight="1" x14ac:dyDescent="0.15">
      <c r="B80" s="82">
        <v>3</v>
      </c>
      <c r="C80" s="203" t="s">
        <v>38</v>
      </c>
      <c r="D80" s="90"/>
      <c r="E80" s="90"/>
      <c r="F80" s="168">
        <v>4034.65</v>
      </c>
      <c r="G80" s="92">
        <v>0.35258503646940986</v>
      </c>
      <c r="H80" s="92">
        <v>1</v>
      </c>
      <c r="I80" s="218">
        <f t="shared" ref="I80:I86" si="5">J80*$C$32</f>
        <v>1422.5572173913044</v>
      </c>
      <c r="J80" s="323">
        <f t="shared" si="4"/>
        <v>3.1612382608695655</v>
      </c>
      <c r="K80" s="82"/>
      <c r="L80" s="82"/>
    </row>
    <row r="81" spans="2:12" s="1" customFormat="1" ht="12.75" customHeight="1" x14ac:dyDescent="0.15">
      <c r="B81" s="82">
        <v>4</v>
      </c>
      <c r="C81" s="203" t="s">
        <v>43</v>
      </c>
      <c r="D81" s="90"/>
      <c r="E81" s="90"/>
      <c r="F81" s="168">
        <v>6389.28</v>
      </c>
      <c r="G81" s="92">
        <v>0.33184584178498994</v>
      </c>
      <c r="H81" s="92">
        <v>1</v>
      </c>
      <c r="I81" s="218">
        <f t="shared" si="5"/>
        <v>2120.2560000000003</v>
      </c>
      <c r="J81" s="323">
        <f t="shared" si="4"/>
        <v>4.7116800000000003</v>
      </c>
      <c r="K81" s="82"/>
      <c r="L81" s="82"/>
    </row>
    <row r="82" spans="2:12" s="1" customFormat="1" ht="12.75" customHeight="1" x14ac:dyDescent="0.15">
      <c r="B82" s="82">
        <v>5</v>
      </c>
      <c r="C82" s="203" t="s">
        <v>216</v>
      </c>
      <c r="D82" s="90"/>
      <c r="E82" s="90"/>
      <c r="F82" s="168">
        <v>2272.6999999999998</v>
      </c>
      <c r="G82" s="92">
        <v>0.32396632237847733</v>
      </c>
      <c r="H82" s="92">
        <v>1</v>
      </c>
      <c r="I82" s="218">
        <f t="shared" si="5"/>
        <v>736.27826086956543</v>
      </c>
      <c r="J82" s="323">
        <f t="shared" si="4"/>
        <v>1.6361739130434787</v>
      </c>
      <c r="K82" s="82"/>
      <c r="L82" s="82"/>
    </row>
    <row r="83" spans="2:12" s="1" customFormat="1" ht="12.75" customHeight="1" x14ac:dyDescent="0.15">
      <c r="B83" s="82">
        <v>6</v>
      </c>
      <c r="C83" s="203" t="s">
        <v>46</v>
      </c>
      <c r="D83" s="90"/>
      <c r="E83" s="90"/>
      <c r="F83" s="168">
        <v>8100</v>
      </c>
      <c r="G83" s="92">
        <v>0.40000000000000008</v>
      </c>
      <c r="H83" s="92">
        <v>1</v>
      </c>
      <c r="I83" s="218">
        <f t="shared" si="5"/>
        <v>3240.0000000000005</v>
      </c>
      <c r="J83" s="323">
        <f t="shared" si="4"/>
        <v>7.2000000000000011</v>
      </c>
      <c r="K83" s="82"/>
      <c r="L83" s="82"/>
    </row>
    <row r="84" spans="2:12" s="1" customFormat="1" ht="12.75" customHeight="1" x14ac:dyDescent="0.15">
      <c r="B84" s="82">
        <v>8</v>
      </c>
      <c r="C84" s="203" t="s">
        <v>45</v>
      </c>
      <c r="D84" s="90"/>
      <c r="E84" s="90"/>
      <c r="F84" s="168">
        <v>14040</v>
      </c>
      <c r="G84" s="92">
        <v>0.40000000000000008</v>
      </c>
      <c r="H84" s="92">
        <v>1</v>
      </c>
      <c r="I84" s="218">
        <f t="shared" si="5"/>
        <v>5616.0000000000009</v>
      </c>
      <c r="J84" s="323">
        <f t="shared" si="4"/>
        <v>12.480000000000002</v>
      </c>
      <c r="K84" s="82"/>
      <c r="L84" s="82"/>
    </row>
    <row r="85" spans="2:12" s="1" customFormat="1" ht="12.75" customHeight="1" x14ac:dyDescent="0.15">
      <c r="B85" s="82">
        <v>9</v>
      </c>
      <c r="C85" s="203" t="s">
        <v>191</v>
      </c>
      <c r="D85" s="90"/>
      <c r="E85" s="90"/>
      <c r="F85" s="168">
        <v>3895.65</v>
      </c>
      <c r="G85" s="92">
        <v>0.33750018833715867</v>
      </c>
      <c r="H85" s="92">
        <v>1</v>
      </c>
      <c r="I85" s="218">
        <f t="shared" si="5"/>
        <v>1314.7826086956522</v>
      </c>
      <c r="J85" s="323">
        <f t="shared" si="4"/>
        <v>2.9217391304347826</v>
      </c>
      <c r="K85" s="82"/>
      <c r="L85" s="82"/>
    </row>
    <row r="86" spans="2:12" s="1" customFormat="1" ht="12.75" customHeight="1" x14ac:dyDescent="0.15">
      <c r="B86" s="82"/>
      <c r="C86" s="203"/>
      <c r="D86" s="90"/>
      <c r="E86" s="90"/>
      <c r="F86" s="168"/>
      <c r="G86" s="92"/>
      <c r="H86" s="92">
        <v>1</v>
      </c>
      <c r="I86" s="218">
        <f t="shared" si="5"/>
        <v>0</v>
      </c>
      <c r="J86" s="323">
        <f t="shared" si="4"/>
        <v>0</v>
      </c>
      <c r="K86" s="82"/>
      <c r="L86" s="82"/>
    </row>
    <row r="87" spans="2:12" s="1" customFormat="1" ht="12.75" customHeight="1" x14ac:dyDescent="0.15">
      <c r="B87" s="82"/>
      <c r="C87" s="203"/>
      <c r="D87" s="90"/>
      <c r="E87" s="90"/>
      <c r="F87" s="168"/>
      <c r="G87" s="92"/>
      <c r="H87" s="92"/>
      <c r="I87" s="218"/>
      <c r="J87" s="323"/>
      <c r="K87" s="82"/>
      <c r="L87" s="82"/>
    </row>
    <row r="88" spans="2:12" s="1" customFormat="1" ht="14.25" x14ac:dyDescent="0.15">
      <c r="B88" s="82"/>
      <c r="C88" s="167" t="s">
        <v>150</v>
      </c>
      <c r="D88" s="90"/>
      <c r="E88" s="90"/>
      <c r="F88" s="168"/>
      <c r="G88" s="92"/>
      <c r="H88" s="92"/>
      <c r="I88" s="168"/>
      <c r="J88" s="323"/>
      <c r="K88" s="82"/>
      <c r="L88" s="115"/>
    </row>
    <row r="89" spans="2:12" s="1" customFormat="1" ht="14.25" x14ac:dyDescent="0.15">
      <c r="B89" s="82">
        <v>1</v>
      </c>
      <c r="C89" s="189" t="s">
        <v>217</v>
      </c>
      <c r="D89" s="206" t="s">
        <v>218</v>
      </c>
      <c r="E89" s="206"/>
      <c r="F89" s="168">
        <v>1391.3</v>
      </c>
      <c r="G89" s="214">
        <v>1</v>
      </c>
      <c r="H89" s="92">
        <v>1</v>
      </c>
      <c r="I89" s="218">
        <f t="shared" ref="I89:I97" si="6">J89*$C$32</f>
        <v>1391.3</v>
      </c>
      <c r="J89" s="323">
        <f>(F89*G89*H89)/$C$32</f>
        <v>3.0917777777777777</v>
      </c>
      <c r="K89" s="82"/>
      <c r="L89" s="115"/>
    </row>
    <row r="90" spans="2:12" s="320" customFormat="1" ht="12.75" x14ac:dyDescent="0.15">
      <c r="B90" s="313">
        <v>2</v>
      </c>
      <c r="C90" s="188" t="s">
        <v>219</v>
      </c>
      <c r="D90" s="394" t="s">
        <v>220</v>
      </c>
      <c r="E90" s="394"/>
      <c r="F90" s="168">
        <v>1739.13</v>
      </c>
      <c r="G90" s="92">
        <v>1</v>
      </c>
      <c r="H90" s="92">
        <v>1</v>
      </c>
      <c r="I90" s="168">
        <f t="shared" si="6"/>
        <v>1739.13</v>
      </c>
      <c r="J90" s="266">
        <f t="shared" ref="J90:J97" si="7">(F90*G90*H90)/$C$32</f>
        <v>3.8647333333333336</v>
      </c>
      <c r="K90" s="313"/>
      <c r="L90" s="313"/>
    </row>
    <row r="91" spans="2:12" s="1" customFormat="1" ht="12.75" x14ac:dyDescent="0.15">
      <c r="B91" s="82">
        <v>3</v>
      </c>
      <c r="C91" s="189"/>
      <c r="D91" s="394"/>
      <c r="E91" s="394"/>
      <c r="F91" s="168"/>
      <c r="G91" s="92"/>
      <c r="H91" s="92">
        <v>1</v>
      </c>
      <c r="I91" s="168">
        <f t="shared" si="6"/>
        <v>0</v>
      </c>
      <c r="J91" s="185">
        <f t="shared" si="7"/>
        <v>0</v>
      </c>
      <c r="K91" s="82"/>
      <c r="L91" s="82"/>
    </row>
    <row r="92" spans="2:12" s="1" customFormat="1" ht="12.75" x14ac:dyDescent="0.15">
      <c r="B92" s="82">
        <v>4</v>
      </c>
      <c r="C92" s="189"/>
      <c r="D92" s="206"/>
      <c r="E92" s="206"/>
      <c r="F92" s="168"/>
      <c r="G92" s="92"/>
      <c r="H92" s="92">
        <v>1</v>
      </c>
      <c r="I92" s="168">
        <f t="shared" si="6"/>
        <v>0</v>
      </c>
      <c r="J92" s="185">
        <f t="shared" si="7"/>
        <v>0</v>
      </c>
      <c r="K92" s="82"/>
      <c r="L92" s="82"/>
    </row>
    <row r="93" spans="2:12" s="1" customFormat="1" ht="12.75" x14ac:dyDescent="0.15">
      <c r="B93" s="82">
        <v>5</v>
      </c>
      <c r="C93" s="189"/>
      <c r="D93" s="206"/>
      <c r="E93" s="206"/>
      <c r="F93" s="168"/>
      <c r="G93" s="92"/>
      <c r="H93" s="92">
        <v>1</v>
      </c>
      <c r="I93" s="168">
        <f t="shared" si="6"/>
        <v>0</v>
      </c>
      <c r="J93" s="185">
        <f t="shared" si="7"/>
        <v>0</v>
      </c>
      <c r="K93" s="82"/>
      <c r="L93" s="82"/>
    </row>
    <row r="94" spans="2:12" s="1" customFormat="1" ht="12.75" x14ac:dyDescent="0.15">
      <c r="B94" s="82">
        <v>7</v>
      </c>
      <c r="C94" s="189"/>
      <c r="D94" s="206"/>
      <c r="E94" s="206"/>
      <c r="F94" s="168"/>
      <c r="G94" s="92"/>
      <c r="H94" s="92">
        <v>1</v>
      </c>
      <c r="I94" s="168">
        <f t="shared" si="6"/>
        <v>0</v>
      </c>
      <c r="J94" s="185">
        <f t="shared" si="7"/>
        <v>0</v>
      </c>
      <c r="K94" s="82"/>
      <c r="L94" s="82"/>
    </row>
    <row r="95" spans="2:12" s="1" customFormat="1" ht="12.75" x14ac:dyDescent="0.15">
      <c r="B95" s="82">
        <v>8</v>
      </c>
      <c r="C95" s="189"/>
      <c r="D95" s="206"/>
      <c r="E95" s="206"/>
      <c r="F95" s="168"/>
      <c r="G95" s="92"/>
      <c r="H95" s="92">
        <v>1</v>
      </c>
      <c r="I95" s="168">
        <f t="shared" si="6"/>
        <v>0</v>
      </c>
      <c r="J95" s="185">
        <f t="shared" si="7"/>
        <v>0</v>
      </c>
      <c r="K95" s="82"/>
      <c r="L95" s="82"/>
    </row>
    <row r="96" spans="2:12" s="1" customFormat="1" ht="12.75" x14ac:dyDescent="0.15">
      <c r="B96" s="82">
        <v>9</v>
      </c>
      <c r="C96" s="189"/>
      <c r="D96" s="206"/>
      <c r="E96" s="206"/>
      <c r="F96" s="168"/>
      <c r="G96" s="92"/>
      <c r="H96" s="92">
        <v>1</v>
      </c>
      <c r="I96" s="168">
        <f t="shared" si="6"/>
        <v>0</v>
      </c>
      <c r="J96" s="185">
        <f t="shared" si="7"/>
        <v>0</v>
      </c>
      <c r="K96" s="82"/>
      <c r="L96" s="82"/>
    </row>
    <row r="97" spans="2:12" s="1" customFormat="1" ht="12.75" x14ac:dyDescent="0.15">
      <c r="B97" s="82">
        <v>10</v>
      </c>
      <c r="C97" s="189"/>
      <c r="D97" s="206"/>
      <c r="E97" s="206"/>
      <c r="F97" s="168"/>
      <c r="G97" s="92"/>
      <c r="H97" s="92">
        <v>1</v>
      </c>
      <c r="I97" s="168">
        <f t="shared" si="6"/>
        <v>0</v>
      </c>
      <c r="J97" s="185">
        <f t="shared" si="7"/>
        <v>0</v>
      </c>
      <c r="K97" s="82"/>
      <c r="L97" s="82"/>
    </row>
    <row r="98" spans="2:12" s="1" customFormat="1" ht="12.75" x14ac:dyDescent="0.15">
      <c r="B98" s="82">
        <v>11</v>
      </c>
      <c r="C98" s="189"/>
      <c r="D98" s="206"/>
      <c r="E98" s="206"/>
      <c r="F98" s="168"/>
      <c r="G98" s="92"/>
      <c r="H98" s="92">
        <v>1</v>
      </c>
      <c r="I98" s="168"/>
      <c r="J98" s="185"/>
      <c r="K98" s="82"/>
      <c r="L98" s="82"/>
    </row>
    <row r="99" spans="2:12" s="1" customFormat="1" ht="12.75" x14ac:dyDescent="0.15">
      <c r="B99" s="82">
        <v>12</v>
      </c>
      <c r="C99" s="189"/>
      <c r="D99" s="206"/>
      <c r="E99" s="206"/>
      <c r="F99" s="168"/>
      <c r="G99" s="92"/>
      <c r="H99" s="92">
        <v>1</v>
      </c>
      <c r="I99" s="168"/>
      <c r="J99" s="185"/>
      <c r="K99" s="82"/>
      <c r="L99" s="82"/>
    </row>
    <row r="100" spans="2:12" s="1" customFormat="1" ht="12.75" x14ac:dyDescent="0.15">
      <c r="B100" s="82">
        <v>14</v>
      </c>
      <c r="C100" s="189"/>
      <c r="D100" s="206"/>
      <c r="E100" s="206"/>
      <c r="F100" s="168"/>
      <c r="G100" s="92"/>
      <c r="H100" s="92">
        <v>1</v>
      </c>
      <c r="I100" s="168">
        <f t="shared" ref="I100:I106" si="8">J100*$C$32</f>
        <v>0</v>
      </c>
      <c r="J100" s="185">
        <f t="shared" ref="J100:J101" si="9">(F100*G100*H100)/$C$32</f>
        <v>0</v>
      </c>
      <c r="K100" s="82"/>
      <c r="L100" s="82"/>
    </row>
    <row r="101" spans="2:12" s="1" customFormat="1" ht="12.75" x14ac:dyDescent="0.15">
      <c r="B101" s="82">
        <v>15</v>
      </c>
      <c r="C101" s="189"/>
      <c r="D101" s="206"/>
      <c r="E101" s="206"/>
      <c r="F101" s="168"/>
      <c r="G101" s="92"/>
      <c r="H101" s="92">
        <v>1</v>
      </c>
      <c r="I101" s="168">
        <f t="shared" si="8"/>
        <v>0</v>
      </c>
      <c r="J101" s="185">
        <f t="shared" si="9"/>
        <v>0</v>
      </c>
      <c r="K101" s="82"/>
      <c r="L101" s="82"/>
    </row>
    <row r="102" spans="2:12" s="1" customFormat="1" ht="12.75" x14ac:dyDescent="0.15">
      <c r="B102" s="82">
        <v>16</v>
      </c>
      <c r="C102" s="189"/>
      <c r="D102" s="206"/>
      <c r="E102" s="206"/>
      <c r="F102" s="168"/>
      <c r="G102" s="92"/>
      <c r="H102" s="92">
        <v>1</v>
      </c>
      <c r="I102" s="168">
        <f t="shared" si="8"/>
        <v>0</v>
      </c>
      <c r="J102" s="185">
        <f>(F102*G102*H102)/$C$32</f>
        <v>0</v>
      </c>
      <c r="K102" s="82"/>
      <c r="L102" s="82"/>
    </row>
    <row r="103" spans="2:12" s="1" customFormat="1" ht="12.75" x14ac:dyDescent="0.15">
      <c r="B103" s="82">
        <v>17</v>
      </c>
      <c r="C103" s="189"/>
      <c r="D103" s="206"/>
      <c r="E103" s="206"/>
      <c r="F103" s="168"/>
      <c r="G103" s="92"/>
      <c r="H103" s="92">
        <v>1</v>
      </c>
      <c r="I103" s="168">
        <f t="shared" si="8"/>
        <v>0</v>
      </c>
      <c r="J103" s="185">
        <f>(F103*G103*H103)/$C$32</f>
        <v>0</v>
      </c>
      <c r="K103" s="82"/>
      <c r="L103" s="82"/>
    </row>
    <row r="104" spans="2:12" s="1" customFormat="1" ht="12.75" x14ac:dyDescent="0.15">
      <c r="B104" s="82">
        <v>18</v>
      </c>
      <c r="C104" s="189"/>
      <c r="D104" s="206"/>
      <c r="E104" s="206"/>
      <c r="F104" s="168"/>
      <c r="G104" s="92"/>
      <c r="H104" s="92">
        <v>1</v>
      </c>
      <c r="I104" s="168">
        <f t="shared" si="8"/>
        <v>0</v>
      </c>
      <c r="J104" s="185">
        <f>(F104*G104*H104)/$C$32</f>
        <v>0</v>
      </c>
      <c r="K104" s="242"/>
      <c r="L104" s="82"/>
    </row>
    <row r="105" spans="2:12" s="1" customFormat="1" ht="12.75" x14ac:dyDescent="0.15">
      <c r="B105" s="82">
        <v>19</v>
      </c>
      <c r="C105" s="189"/>
      <c r="D105" s="206"/>
      <c r="E105" s="206"/>
      <c r="F105" s="168"/>
      <c r="G105" s="92"/>
      <c r="H105" s="92">
        <v>1</v>
      </c>
      <c r="I105" s="168">
        <f t="shared" si="8"/>
        <v>0</v>
      </c>
      <c r="J105" s="185">
        <f>(F105*G105*H105)/$C$32</f>
        <v>0</v>
      </c>
      <c r="K105" s="215"/>
      <c r="L105" s="82"/>
    </row>
    <row r="106" spans="2:12" s="1" customFormat="1" ht="12.75" x14ac:dyDescent="0.15">
      <c r="B106" s="82">
        <v>20</v>
      </c>
      <c r="C106" s="189"/>
      <c r="D106" s="206"/>
      <c r="E106" s="206"/>
      <c r="F106" s="168"/>
      <c r="G106" s="92"/>
      <c r="H106" s="92">
        <v>1</v>
      </c>
      <c r="I106" s="168">
        <f t="shared" si="8"/>
        <v>0</v>
      </c>
      <c r="J106" s="185">
        <f>(F106*G106*H106)/$C$32</f>
        <v>0</v>
      </c>
      <c r="K106" s="82"/>
      <c r="L106" s="82"/>
    </row>
    <row r="107" spans="2:12" s="1" customFormat="1" ht="12.75" x14ac:dyDescent="0.15">
      <c r="B107" s="82"/>
      <c r="C107" s="189"/>
      <c r="D107" s="206"/>
      <c r="E107" s="206"/>
      <c r="F107" s="168"/>
      <c r="G107" s="92"/>
      <c r="H107" s="92"/>
      <c r="I107" s="168"/>
      <c r="J107" s="185"/>
      <c r="K107" s="82"/>
      <c r="L107" s="82"/>
    </row>
    <row r="108" spans="2:12" s="1" customFormat="1" ht="12.75" x14ac:dyDescent="0.15">
      <c r="B108" s="82"/>
      <c r="C108" s="102"/>
      <c r="D108" s="103"/>
      <c r="E108" s="102"/>
      <c r="F108" s="128">
        <f>SUM(F76:F107)</f>
        <v>48280.430000000008</v>
      </c>
      <c r="G108" s="104"/>
      <c r="H108" s="105"/>
      <c r="I108" s="128">
        <f>SUM(I78:I107)</f>
        <v>19773.477930434783</v>
      </c>
      <c r="J108" s="257">
        <f>SUM(J75:J107)</f>
        <v>43.941062067632856</v>
      </c>
    </row>
    <row r="109" spans="2:12" s="1" customFormat="1" ht="12.75" x14ac:dyDescent="0.15">
      <c r="B109" s="82"/>
      <c r="C109" s="102"/>
      <c r="D109" s="103"/>
      <c r="E109" s="102" t="s">
        <v>147</v>
      </c>
      <c r="F109" s="128">
        <f>100/115*F108</f>
        <v>41982.98260869566</v>
      </c>
      <c r="G109" s="104"/>
      <c r="H109" s="105" t="s">
        <v>147</v>
      </c>
      <c r="I109" s="128">
        <f>100/115*I108</f>
        <v>17194.32863516068</v>
      </c>
      <c r="J109" s="106"/>
    </row>
    <row r="110" spans="2:12" s="1" customFormat="1" ht="12.75" x14ac:dyDescent="0.15"/>
    <row r="111" spans="2:12" s="1" customFormat="1" ht="12.75" x14ac:dyDescent="0.15"/>
    <row r="112" spans="2:12" s="1" customFormat="1" ht="12.75" x14ac:dyDescent="0.15"/>
    <row r="113" spans="2:12" s="1" customFormat="1" ht="12.75" x14ac:dyDescent="0.15"/>
    <row r="114" spans="2:12" s="247" customFormat="1" ht="32.25" x14ac:dyDescent="0.4">
      <c r="B114" s="248"/>
      <c r="C114" s="380" t="s">
        <v>112</v>
      </c>
      <c r="D114" s="380"/>
      <c r="E114" s="428" t="s">
        <v>151</v>
      </c>
      <c r="F114" s="428"/>
      <c r="G114" s="428"/>
      <c r="H114" s="428"/>
      <c r="I114" s="428"/>
      <c r="J114" s="382">
        <v>2026</v>
      </c>
      <c r="K114" s="382"/>
      <c r="L114" s="382"/>
    </row>
    <row r="115" spans="2:12" s="1" customFormat="1" ht="22.5" x14ac:dyDescent="0.15">
      <c r="B115" s="82"/>
      <c r="C115" s="102" t="s">
        <v>114</v>
      </c>
      <c r="D115" s="388" t="s">
        <v>115</v>
      </c>
      <c r="E115" s="388"/>
      <c r="F115" s="102" t="s">
        <v>116</v>
      </c>
      <c r="G115" s="102" t="s">
        <v>117</v>
      </c>
      <c r="H115" s="102" t="s">
        <v>118</v>
      </c>
      <c r="I115" s="102" t="s">
        <v>119</v>
      </c>
      <c r="J115" s="102" t="s">
        <v>120</v>
      </c>
      <c r="K115" s="82"/>
      <c r="L115" s="82"/>
    </row>
    <row r="116" spans="2:12" s="1" customFormat="1" ht="12.75" x14ac:dyDescent="0.15">
      <c r="B116" s="2"/>
      <c r="C116" s="220">
        <f>C73</f>
        <v>350</v>
      </c>
      <c r="D116" s="399">
        <v>21</v>
      </c>
      <c r="E116" s="399"/>
      <c r="F116" s="208">
        <f>F73</f>
        <v>0.8</v>
      </c>
      <c r="G116" s="209">
        <f>G73</f>
        <v>8</v>
      </c>
      <c r="H116" s="210">
        <f>D116*G116*F116</f>
        <v>134.4</v>
      </c>
      <c r="I116" s="216">
        <f>I177</f>
        <v>0</v>
      </c>
      <c r="J116" s="211">
        <f>H116-J177</f>
        <v>134.4</v>
      </c>
      <c r="K116" s="120"/>
      <c r="L116" s="120"/>
    </row>
    <row r="117" spans="2:12" s="1" customFormat="1" ht="33.75" x14ac:dyDescent="0.15">
      <c r="B117" s="2"/>
      <c r="C117" s="167" t="s">
        <v>121</v>
      </c>
      <c r="D117" s="395" t="s">
        <v>122</v>
      </c>
      <c r="E117" s="395"/>
      <c r="F117" s="177" t="s">
        <v>123</v>
      </c>
      <c r="G117" s="198" t="s">
        <v>124</v>
      </c>
      <c r="H117" s="15" t="s">
        <v>125</v>
      </c>
      <c r="I117" s="217" t="s">
        <v>126</v>
      </c>
      <c r="J117" s="178" t="s">
        <v>127</v>
      </c>
      <c r="K117" s="114" t="s">
        <v>128</v>
      </c>
      <c r="L117" s="114" t="s">
        <v>129</v>
      </c>
    </row>
    <row r="118" spans="2:12" s="1" customFormat="1" ht="12.75" x14ac:dyDescent="0.15">
      <c r="B118" s="2"/>
      <c r="C118" s="89"/>
      <c r="D118" s="391"/>
      <c r="E118" s="391"/>
      <c r="F118" s="91"/>
      <c r="G118" s="199"/>
      <c r="H118" s="9"/>
      <c r="I118" s="218"/>
      <c r="J118" s="94"/>
      <c r="K118" s="82"/>
      <c r="L118" s="82"/>
    </row>
    <row r="119" spans="2:12" s="1" customFormat="1" ht="13.35" customHeight="1" x14ac:dyDescent="0.15">
      <c r="B119" s="2"/>
      <c r="C119" s="392" t="s">
        <v>130</v>
      </c>
      <c r="D119" s="392"/>
      <c r="E119" s="392"/>
      <c r="F119" s="184"/>
      <c r="G119" s="200"/>
      <c r="H119" s="9"/>
      <c r="I119" s="218"/>
      <c r="J119" s="94"/>
      <c r="K119" s="82"/>
      <c r="L119" s="82"/>
    </row>
    <row r="120" spans="2:12" s="1" customFormat="1" ht="13.35" customHeight="1" x14ac:dyDescent="0.15">
      <c r="B120" s="2"/>
      <c r="C120" s="167" t="s">
        <v>152</v>
      </c>
      <c r="D120" s="167"/>
      <c r="E120" s="167"/>
      <c r="F120" s="168"/>
      <c r="G120" s="200"/>
      <c r="H120" s="9"/>
      <c r="I120" s="218"/>
      <c r="J120" s="94"/>
      <c r="K120" s="82"/>
      <c r="L120" s="82"/>
    </row>
    <row r="121" spans="2:12" s="1" customFormat="1" ht="12.75" customHeight="1" x14ac:dyDescent="0.15">
      <c r="B121" s="2">
        <v>1</v>
      </c>
      <c r="C121" s="203"/>
      <c r="D121" s="391"/>
      <c r="E121" s="391"/>
      <c r="F121" s="168"/>
      <c r="G121" s="200"/>
      <c r="H121" s="9">
        <v>1</v>
      </c>
      <c r="I121" s="218">
        <f>J121*$C$32</f>
        <v>0</v>
      </c>
      <c r="J121" s="94">
        <f t="shared" ref="J121:J175" si="10">(F121*G121*H121)/$C$32</f>
        <v>0</v>
      </c>
      <c r="K121" s="82"/>
      <c r="L121" s="82"/>
    </row>
    <row r="122" spans="2:12" s="1" customFormat="1" ht="12.75" customHeight="1" x14ac:dyDescent="0.15">
      <c r="B122" s="2">
        <v>2</v>
      </c>
      <c r="C122" s="203"/>
      <c r="D122" s="391"/>
      <c r="E122" s="391"/>
      <c r="F122" s="168"/>
      <c r="G122" s="200"/>
      <c r="H122" s="9">
        <v>1</v>
      </c>
      <c r="I122" s="218">
        <f>J122*$C$32</f>
        <v>0</v>
      </c>
      <c r="J122" s="94">
        <f t="shared" si="10"/>
        <v>0</v>
      </c>
      <c r="K122" s="82"/>
      <c r="L122" s="82"/>
    </row>
    <row r="123" spans="2:12" s="1" customFormat="1" ht="12.75" customHeight="1" x14ac:dyDescent="0.15">
      <c r="B123" s="2">
        <v>3</v>
      </c>
      <c r="C123" s="203"/>
      <c r="D123" s="90"/>
      <c r="E123" s="90"/>
      <c r="F123" s="168"/>
      <c r="G123" s="200"/>
      <c r="H123" s="9">
        <v>1</v>
      </c>
      <c r="I123" s="218">
        <f t="shared" ref="I123:I175" si="11">J123*$C$32</f>
        <v>0</v>
      </c>
      <c r="J123" s="94">
        <f t="shared" si="10"/>
        <v>0</v>
      </c>
      <c r="K123" s="82"/>
      <c r="L123" s="82"/>
    </row>
    <row r="124" spans="2:12" s="1" customFormat="1" ht="12.75" customHeight="1" x14ac:dyDescent="0.15">
      <c r="B124" s="2">
        <v>4</v>
      </c>
      <c r="C124" s="203"/>
      <c r="D124" s="90"/>
      <c r="E124" s="90"/>
      <c r="F124" s="168"/>
      <c r="G124" s="200"/>
      <c r="H124" s="9">
        <v>1</v>
      </c>
      <c r="I124" s="218">
        <f t="shared" si="11"/>
        <v>0</v>
      </c>
      <c r="J124" s="94">
        <f t="shared" si="10"/>
        <v>0</v>
      </c>
      <c r="K124" s="82"/>
      <c r="L124" s="82"/>
    </row>
    <row r="125" spans="2:12" s="1" customFormat="1" ht="12.75" customHeight="1" x14ac:dyDescent="0.15">
      <c r="B125" s="2">
        <v>5</v>
      </c>
      <c r="C125" s="203"/>
      <c r="D125" s="90"/>
      <c r="E125" s="90"/>
      <c r="F125" s="168"/>
      <c r="G125" s="200"/>
      <c r="H125" s="9">
        <v>1</v>
      </c>
      <c r="I125" s="218">
        <f t="shared" si="11"/>
        <v>0</v>
      </c>
      <c r="J125" s="94">
        <f t="shared" si="10"/>
        <v>0</v>
      </c>
      <c r="K125" s="82"/>
      <c r="L125" s="82"/>
    </row>
    <row r="126" spans="2:12" s="1" customFormat="1" ht="12.75" customHeight="1" x14ac:dyDescent="0.15">
      <c r="B126" s="2">
        <v>6</v>
      </c>
      <c r="C126" s="203"/>
      <c r="D126" s="90"/>
      <c r="E126" s="90"/>
      <c r="F126" s="168"/>
      <c r="G126" s="200"/>
      <c r="H126" s="9">
        <v>1</v>
      </c>
      <c r="I126" s="218">
        <f t="shared" si="11"/>
        <v>0</v>
      </c>
      <c r="J126" s="94">
        <f t="shared" si="10"/>
        <v>0</v>
      </c>
      <c r="K126" s="82"/>
      <c r="L126" s="82"/>
    </row>
    <row r="127" spans="2:12" s="1" customFormat="1" ht="12.75" customHeight="1" x14ac:dyDescent="0.15">
      <c r="B127" s="2">
        <v>7</v>
      </c>
      <c r="C127" s="203"/>
      <c r="D127" s="90"/>
      <c r="E127" s="90"/>
      <c r="F127" s="168"/>
      <c r="G127" s="200"/>
      <c r="H127" s="9">
        <v>1</v>
      </c>
      <c r="I127" s="218">
        <f t="shared" si="11"/>
        <v>0</v>
      </c>
      <c r="J127" s="94">
        <f t="shared" si="10"/>
        <v>0</v>
      </c>
      <c r="K127" s="82"/>
      <c r="L127" s="82"/>
    </row>
    <row r="128" spans="2:12" s="1" customFormat="1" ht="12.75" customHeight="1" x14ac:dyDescent="0.15">
      <c r="B128" s="2">
        <v>8</v>
      </c>
      <c r="C128" s="203"/>
      <c r="D128" s="90"/>
      <c r="E128" s="90"/>
      <c r="F128" s="168"/>
      <c r="G128" s="200"/>
      <c r="H128" s="9">
        <v>1</v>
      </c>
      <c r="I128" s="218">
        <f t="shared" si="11"/>
        <v>0</v>
      </c>
      <c r="J128" s="94">
        <f t="shared" si="10"/>
        <v>0</v>
      </c>
      <c r="K128" s="82"/>
      <c r="L128" s="82"/>
    </row>
    <row r="129" spans="2:12" s="1" customFormat="1" ht="12.75" customHeight="1" x14ac:dyDescent="0.15">
      <c r="B129" s="2">
        <v>9</v>
      </c>
      <c r="C129" s="203"/>
      <c r="D129" s="90"/>
      <c r="E129" s="90"/>
      <c r="F129" s="168"/>
      <c r="G129" s="200"/>
      <c r="H129" s="9">
        <v>1</v>
      </c>
      <c r="I129" s="218">
        <f t="shared" si="11"/>
        <v>0</v>
      </c>
      <c r="J129" s="94">
        <f t="shared" si="10"/>
        <v>0</v>
      </c>
      <c r="K129" s="82"/>
      <c r="L129" s="82"/>
    </row>
    <row r="130" spans="2:12" s="1" customFormat="1" ht="12.75" customHeight="1" x14ac:dyDescent="0.15">
      <c r="B130" s="2">
        <v>10</v>
      </c>
      <c r="C130" s="203"/>
      <c r="D130" s="90"/>
      <c r="E130" s="90"/>
      <c r="F130" s="168"/>
      <c r="G130" s="200"/>
      <c r="H130" s="9">
        <v>1</v>
      </c>
      <c r="I130" s="218">
        <f t="shared" si="11"/>
        <v>0</v>
      </c>
      <c r="J130" s="94">
        <f t="shared" si="10"/>
        <v>0</v>
      </c>
      <c r="K130" s="82"/>
      <c r="L130" s="82"/>
    </row>
    <row r="131" spans="2:12" s="1" customFormat="1" ht="12.75" customHeight="1" x14ac:dyDescent="0.15">
      <c r="B131" s="2"/>
      <c r="C131" s="203"/>
      <c r="D131" s="90"/>
      <c r="E131" s="90"/>
      <c r="F131" s="168"/>
      <c r="G131" s="200"/>
      <c r="H131" s="9">
        <v>1</v>
      </c>
      <c r="I131" s="218">
        <f t="shared" si="11"/>
        <v>0</v>
      </c>
      <c r="J131" s="94">
        <f t="shared" si="10"/>
        <v>0</v>
      </c>
      <c r="K131" s="82"/>
      <c r="L131" s="82"/>
    </row>
    <row r="132" spans="2:12" s="1" customFormat="1" ht="12.75" customHeight="1" x14ac:dyDescent="0.15">
      <c r="B132" s="2"/>
      <c r="C132" s="203"/>
      <c r="D132" s="391"/>
      <c r="E132" s="391"/>
      <c r="F132" s="168"/>
      <c r="G132" s="200"/>
      <c r="H132" s="9"/>
      <c r="I132" s="218"/>
      <c r="J132" s="94"/>
      <c r="K132" s="82"/>
      <c r="L132" s="82"/>
    </row>
    <row r="133" spans="2:12" s="1" customFormat="1" ht="12.75" customHeight="1" x14ac:dyDescent="0.15">
      <c r="B133" s="2"/>
      <c r="C133" s="187" t="s">
        <v>153</v>
      </c>
      <c r="D133" s="391"/>
      <c r="E133" s="391"/>
      <c r="F133" s="168"/>
      <c r="G133" s="200"/>
      <c r="H133" s="9"/>
      <c r="I133" s="218"/>
      <c r="J133" s="94"/>
      <c r="K133" s="82"/>
      <c r="L133" s="82"/>
    </row>
    <row r="134" spans="2:12" s="1" customFormat="1" ht="15" customHeight="1" x14ac:dyDescent="0.15">
      <c r="B134" s="2">
        <v>1</v>
      </c>
      <c r="C134" s="188"/>
      <c r="D134" s="204"/>
      <c r="E134" s="204"/>
      <c r="F134" s="168"/>
      <c r="G134" s="200"/>
      <c r="H134" s="9">
        <v>1</v>
      </c>
      <c r="I134" s="218">
        <f t="shared" si="11"/>
        <v>0</v>
      </c>
      <c r="J134" s="94">
        <f t="shared" si="10"/>
        <v>0</v>
      </c>
      <c r="K134" s="82"/>
      <c r="L134" s="82"/>
    </row>
    <row r="135" spans="2:12" s="1" customFormat="1" ht="13.35" customHeight="1" x14ac:dyDescent="0.15">
      <c r="B135" s="2">
        <v>2</v>
      </c>
      <c r="C135" s="188"/>
      <c r="D135" s="204"/>
      <c r="E135" s="204"/>
      <c r="F135" s="168"/>
      <c r="G135" s="200"/>
      <c r="H135" s="9">
        <v>1</v>
      </c>
      <c r="I135" s="218">
        <f t="shared" si="11"/>
        <v>0</v>
      </c>
      <c r="J135" s="94">
        <f t="shared" si="10"/>
        <v>0</v>
      </c>
      <c r="K135" s="82"/>
      <c r="L135" s="82"/>
    </row>
    <row r="136" spans="2:12" s="1" customFormat="1" ht="13.35" customHeight="1" x14ac:dyDescent="0.15">
      <c r="B136" s="2">
        <v>3</v>
      </c>
      <c r="C136" s="189"/>
      <c r="D136" s="204"/>
      <c r="E136" s="204"/>
      <c r="F136" s="168"/>
      <c r="G136" s="200"/>
      <c r="H136" s="9">
        <v>1</v>
      </c>
      <c r="I136" s="218">
        <f t="shared" si="11"/>
        <v>0</v>
      </c>
      <c r="J136" s="94">
        <f t="shared" si="10"/>
        <v>0</v>
      </c>
      <c r="K136" s="82"/>
      <c r="L136" s="82"/>
    </row>
    <row r="137" spans="2:12" s="1" customFormat="1" ht="13.35" customHeight="1" x14ac:dyDescent="0.15">
      <c r="B137" s="2">
        <v>5</v>
      </c>
      <c r="C137" s="188"/>
      <c r="D137" s="205"/>
      <c r="E137" s="205"/>
      <c r="F137" s="168"/>
      <c r="G137" s="200"/>
      <c r="H137" s="9">
        <v>1</v>
      </c>
      <c r="I137" s="218">
        <f t="shared" si="11"/>
        <v>0</v>
      </c>
      <c r="J137" s="94">
        <f t="shared" si="10"/>
        <v>0</v>
      </c>
      <c r="K137" s="82"/>
      <c r="L137" s="82"/>
    </row>
    <row r="138" spans="2:12" s="1" customFormat="1" ht="13.35" customHeight="1" x14ac:dyDescent="0.15">
      <c r="B138" s="2">
        <v>6</v>
      </c>
      <c r="C138" s="188"/>
      <c r="D138" s="204"/>
      <c r="E138" s="204"/>
      <c r="F138" s="168"/>
      <c r="G138" s="200"/>
      <c r="H138" s="9">
        <v>1</v>
      </c>
      <c r="I138" s="218">
        <f t="shared" si="11"/>
        <v>0</v>
      </c>
      <c r="J138" s="94">
        <f t="shared" si="10"/>
        <v>0</v>
      </c>
      <c r="K138" s="82"/>
      <c r="L138" s="82"/>
    </row>
    <row r="139" spans="2:12" s="1" customFormat="1" ht="13.35" customHeight="1" x14ac:dyDescent="0.15">
      <c r="B139" s="2">
        <v>7</v>
      </c>
      <c r="C139" s="188"/>
      <c r="D139" s="204"/>
      <c r="E139" s="204"/>
      <c r="F139" s="168"/>
      <c r="G139" s="200"/>
      <c r="H139" s="9">
        <v>1</v>
      </c>
      <c r="I139" s="168">
        <f t="shared" si="11"/>
        <v>0</v>
      </c>
      <c r="J139" s="94">
        <f t="shared" si="10"/>
        <v>0</v>
      </c>
      <c r="K139" s="82"/>
      <c r="L139" s="82"/>
    </row>
    <row r="140" spans="2:12" s="1" customFormat="1" ht="13.35" customHeight="1" x14ac:dyDescent="0.15">
      <c r="B140" s="2">
        <v>8</v>
      </c>
      <c r="C140" s="188"/>
      <c r="D140" s="206"/>
      <c r="E140" s="206"/>
      <c r="F140" s="168"/>
      <c r="G140" s="200"/>
      <c r="H140" s="9">
        <v>1</v>
      </c>
      <c r="I140" s="168">
        <f t="shared" si="11"/>
        <v>0</v>
      </c>
      <c r="J140" s="94">
        <f t="shared" si="10"/>
        <v>0</v>
      </c>
      <c r="K140" s="82"/>
      <c r="L140" s="82"/>
    </row>
    <row r="141" spans="2:12" s="1" customFormat="1" ht="13.35" customHeight="1" x14ac:dyDescent="0.15">
      <c r="B141" s="2">
        <v>9</v>
      </c>
      <c r="C141" s="113"/>
      <c r="D141" s="206"/>
      <c r="E141" s="206"/>
      <c r="F141" s="168"/>
      <c r="G141" s="200"/>
      <c r="H141" s="9">
        <v>1</v>
      </c>
      <c r="I141" s="168">
        <f>J141*$C$32</f>
        <v>0</v>
      </c>
      <c r="J141" s="94">
        <f t="shared" si="10"/>
        <v>0</v>
      </c>
      <c r="K141" s="82"/>
      <c r="L141" s="82"/>
    </row>
    <row r="142" spans="2:12" s="1" customFormat="1" ht="13.35" customHeight="1" x14ac:dyDescent="0.15">
      <c r="B142" s="2">
        <v>10</v>
      </c>
      <c r="C142" s="188"/>
      <c r="D142" s="204"/>
      <c r="E142" s="204"/>
      <c r="F142" s="168"/>
      <c r="G142" s="200"/>
      <c r="H142" s="9">
        <v>1</v>
      </c>
      <c r="I142" s="168">
        <f t="shared" si="11"/>
        <v>0</v>
      </c>
      <c r="J142" s="94">
        <f t="shared" si="10"/>
        <v>0</v>
      </c>
      <c r="K142" s="82"/>
      <c r="L142" s="82"/>
    </row>
    <row r="143" spans="2:12" s="1" customFormat="1" ht="13.35" customHeight="1" x14ac:dyDescent="0.15">
      <c r="B143" s="2">
        <v>11</v>
      </c>
      <c r="C143" s="188"/>
      <c r="D143" s="204"/>
      <c r="E143" s="204"/>
      <c r="F143" s="168"/>
      <c r="G143" s="200"/>
      <c r="H143" s="9">
        <v>1</v>
      </c>
      <c r="I143" s="168">
        <f t="shared" si="11"/>
        <v>0</v>
      </c>
      <c r="J143" s="94">
        <f t="shared" si="10"/>
        <v>0</v>
      </c>
      <c r="K143" s="82"/>
      <c r="L143" s="82"/>
    </row>
    <row r="144" spans="2:12" s="1" customFormat="1" ht="13.35" customHeight="1" x14ac:dyDescent="0.15">
      <c r="B144" s="2">
        <v>12</v>
      </c>
      <c r="C144" s="188"/>
      <c r="D144" s="204"/>
      <c r="E144" s="204"/>
      <c r="F144" s="168"/>
      <c r="G144" s="200"/>
      <c r="H144" s="9">
        <v>1</v>
      </c>
      <c r="I144" s="168">
        <f t="shared" si="11"/>
        <v>0</v>
      </c>
      <c r="J144" s="94">
        <f t="shared" si="10"/>
        <v>0</v>
      </c>
      <c r="K144" s="82"/>
      <c r="L144" s="82"/>
    </row>
    <row r="145" spans="2:12" s="1" customFormat="1" ht="13.35" customHeight="1" x14ac:dyDescent="0.15">
      <c r="B145" s="2">
        <v>13</v>
      </c>
      <c r="C145" s="188"/>
      <c r="D145" s="204"/>
      <c r="E145" s="204"/>
      <c r="F145" s="168"/>
      <c r="G145" s="200"/>
      <c r="H145" s="9">
        <v>1</v>
      </c>
      <c r="I145" s="168">
        <f t="shared" si="11"/>
        <v>0</v>
      </c>
      <c r="J145" s="94">
        <f t="shared" si="10"/>
        <v>0</v>
      </c>
      <c r="K145" s="82"/>
      <c r="L145" s="82"/>
    </row>
    <row r="146" spans="2:12" s="1" customFormat="1" ht="13.35" customHeight="1" x14ac:dyDescent="0.15">
      <c r="B146" s="2">
        <v>14</v>
      </c>
      <c r="C146" s="188"/>
      <c r="D146" s="204"/>
      <c r="E146" s="204"/>
      <c r="F146" s="168"/>
      <c r="G146" s="200"/>
      <c r="H146" s="9">
        <v>1</v>
      </c>
      <c r="I146" s="168">
        <f t="shared" si="11"/>
        <v>0</v>
      </c>
      <c r="J146" s="94">
        <f t="shared" si="10"/>
        <v>0</v>
      </c>
      <c r="K146" s="82"/>
      <c r="L146" s="82"/>
    </row>
    <row r="147" spans="2:12" s="1" customFormat="1" ht="13.35" customHeight="1" x14ac:dyDescent="0.15">
      <c r="B147" s="2">
        <v>15</v>
      </c>
      <c r="C147" s="189"/>
      <c r="D147" s="204"/>
      <c r="E147" s="206"/>
      <c r="F147" s="168"/>
      <c r="G147" s="200"/>
      <c r="H147" s="9">
        <v>1</v>
      </c>
      <c r="I147" s="168">
        <f t="shared" si="11"/>
        <v>0</v>
      </c>
      <c r="J147" s="94">
        <f t="shared" si="10"/>
        <v>0</v>
      </c>
      <c r="K147" s="82"/>
      <c r="L147" s="82"/>
    </row>
    <row r="148" spans="2:12" s="1" customFormat="1" ht="13.35" customHeight="1" x14ac:dyDescent="0.15">
      <c r="B148" s="2">
        <v>16</v>
      </c>
      <c r="C148" s="189"/>
      <c r="D148" s="206"/>
      <c r="E148" s="206"/>
      <c r="F148" s="168"/>
      <c r="G148" s="200"/>
      <c r="H148" s="9">
        <v>1</v>
      </c>
      <c r="I148" s="168">
        <f t="shared" si="11"/>
        <v>0</v>
      </c>
      <c r="J148" s="94">
        <f t="shared" si="10"/>
        <v>0</v>
      </c>
      <c r="K148" s="82"/>
      <c r="L148" s="82"/>
    </row>
    <row r="149" spans="2:12" s="1" customFormat="1" ht="14.45" customHeight="1" x14ac:dyDescent="0.15">
      <c r="B149" s="2">
        <v>17</v>
      </c>
      <c r="C149" s="189"/>
      <c r="D149" s="206"/>
      <c r="E149" s="206"/>
      <c r="F149" s="219"/>
      <c r="G149" s="200"/>
      <c r="H149" s="9">
        <v>1</v>
      </c>
      <c r="I149" s="168">
        <f t="shared" si="11"/>
        <v>0</v>
      </c>
      <c r="J149" s="94">
        <f t="shared" si="10"/>
        <v>0</v>
      </c>
      <c r="K149" s="82"/>
      <c r="L149" s="82"/>
    </row>
    <row r="150" spans="2:12" s="1" customFormat="1" ht="13.35" customHeight="1" x14ac:dyDescent="0.15">
      <c r="B150" s="2">
        <v>18</v>
      </c>
      <c r="C150" s="189"/>
      <c r="D150" s="206"/>
      <c r="E150" s="206"/>
      <c r="F150" s="168"/>
      <c r="G150" s="200"/>
      <c r="H150" s="9">
        <v>1</v>
      </c>
      <c r="I150" s="168">
        <f t="shared" si="11"/>
        <v>0</v>
      </c>
      <c r="J150" s="94">
        <f t="shared" si="10"/>
        <v>0</v>
      </c>
      <c r="K150" s="82"/>
      <c r="L150" s="82"/>
    </row>
    <row r="151" spans="2:12" s="1" customFormat="1" ht="13.35" customHeight="1" x14ac:dyDescent="0.15">
      <c r="B151" s="2">
        <v>19</v>
      </c>
      <c r="C151" s="189"/>
      <c r="D151" s="206"/>
      <c r="E151" s="206"/>
      <c r="F151" s="168"/>
      <c r="G151" s="200"/>
      <c r="H151" s="9">
        <v>1</v>
      </c>
      <c r="I151" s="168">
        <f t="shared" si="11"/>
        <v>0</v>
      </c>
      <c r="J151" s="94">
        <f t="shared" si="10"/>
        <v>0</v>
      </c>
      <c r="K151" s="82"/>
      <c r="L151" s="82"/>
    </row>
    <row r="152" spans="2:12" s="1" customFormat="1" ht="13.35" customHeight="1" x14ac:dyDescent="0.15">
      <c r="B152" s="2">
        <v>20</v>
      </c>
      <c r="C152" s="189"/>
      <c r="D152" s="206"/>
      <c r="E152" s="206"/>
      <c r="F152" s="168"/>
      <c r="G152" s="200"/>
      <c r="H152" s="9">
        <v>1</v>
      </c>
      <c r="I152" s="168">
        <f t="shared" si="11"/>
        <v>0</v>
      </c>
      <c r="J152" s="94">
        <f t="shared" si="10"/>
        <v>0</v>
      </c>
      <c r="K152" s="82"/>
      <c r="L152" s="82"/>
    </row>
    <row r="153" spans="2:12" s="1" customFormat="1" ht="12.75" x14ac:dyDescent="0.15">
      <c r="B153" s="2"/>
      <c r="C153" s="89"/>
      <c r="D153" s="90"/>
      <c r="E153" s="90"/>
      <c r="F153" s="168"/>
      <c r="G153" s="200"/>
      <c r="H153" s="9"/>
      <c r="I153" s="168"/>
      <c r="J153" s="94"/>
      <c r="K153" s="82"/>
      <c r="L153" s="82"/>
    </row>
    <row r="154" spans="2:12" s="1" customFormat="1" ht="12.75" x14ac:dyDescent="0.15">
      <c r="B154" s="2"/>
      <c r="C154" s="203"/>
      <c r="D154" s="169"/>
      <c r="E154" s="169"/>
      <c r="F154" s="168"/>
      <c r="G154" s="200"/>
      <c r="H154" s="9"/>
      <c r="I154" s="168"/>
      <c r="J154" s="94"/>
      <c r="K154" s="82"/>
      <c r="L154" s="82"/>
    </row>
    <row r="155" spans="2:12" s="1" customFormat="1" ht="12.75" x14ac:dyDescent="0.15">
      <c r="B155" s="2"/>
      <c r="C155" s="167" t="s">
        <v>154</v>
      </c>
      <c r="D155" s="391"/>
      <c r="E155" s="391"/>
      <c r="F155" s="168"/>
      <c r="G155" s="200"/>
      <c r="H155" s="9"/>
      <c r="I155" s="168"/>
      <c r="J155" s="94"/>
      <c r="K155" s="82"/>
      <c r="L155" s="82"/>
    </row>
    <row r="156" spans="2:12" s="1" customFormat="1" ht="12.75" x14ac:dyDescent="0.15">
      <c r="B156" s="2">
        <v>1</v>
      </c>
      <c r="C156" s="207"/>
      <c r="D156" s="391"/>
      <c r="E156" s="391"/>
      <c r="F156" s="168"/>
      <c r="G156" s="200"/>
      <c r="H156" s="9">
        <v>1</v>
      </c>
      <c r="I156" s="168">
        <f t="shared" si="11"/>
        <v>0</v>
      </c>
      <c r="J156" s="94">
        <f t="shared" si="10"/>
        <v>0</v>
      </c>
      <c r="K156" s="82"/>
      <c r="L156" s="82"/>
    </row>
    <row r="157" spans="2:12" s="1" customFormat="1" ht="12.75" x14ac:dyDescent="0.15">
      <c r="B157" s="2">
        <v>2</v>
      </c>
      <c r="C157" s="403"/>
      <c r="D157" s="403"/>
      <c r="E157" s="403"/>
      <c r="F157" s="168"/>
      <c r="G157" s="200"/>
      <c r="H157" s="9">
        <v>1</v>
      </c>
      <c r="I157" s="168">
        <f t="shared" si="11"/>
        <v>0</v>
      </c>
      <c r="J157" s="94">
        <f t="shared" si="10"/>
        <v>0</v>
      </c>
      <c r="K157" s="82"/>
      <c r="L157" s="82"/>
    </row>
    <row r="158" spans="2:12" s="1" customFormat="1" ht="12.75" x14ac:dyDescent="0.15">
      <c r="B158" s="2">
        <f>B157+1</f>
        <v>3</v>
      </c>
      <c r="C158" s="183"/>
      <c r="D158" s="89"/>
      <c r="E158" s="89"/>
      <c r="F158" s="168"/>
      <c r="G158" s="200"/>
      <c r="H158" s="9">
        <v>1</v>
      </c>
      <c r="I158" s="168">
        <f t="shared" si="11"/>
        <v>0</v>
      </c>
      <c r="J158" s="94">
        <f t="shared" si="10"/>
        <v>0</v>
      </c>
      <c r="K158" s="82"/>
      <c r="L158" s="82"/>
    </row>
    <row r="159" spans="2:12" s="1" customFormat="1" ht="12.75" x14ac:dyDescent="0.15">
      <c r="B159" s="2">
        <f>B158+1</f>
        <v>4</v>
      </c>
      <c r="C159" s="89"/>
      <c r="D159" s="89"/>
      <c r="E159" s="89"/>
      <c r="F159" s="168"/>
      <c r="G159" s="200"/>
      <c r="H159" s="9">
        <v>1</v>
      </c>
      <c r="I159" s="168">
        <f t="shared" si="11"/>
        <v>0</v>
      </c>
      <c r="J159" s="94">
        <f t="shared" si="10"/>
        <v>0</v>
      </c>
      <c r="K159" s="82"/>
      <c r="L159" s="82"/>
    </row>
    <row r="160" spans="2:12" s="1" customFormat="1" ht="12.75" x14ac:dyDescent="0.15">
      <c r="B160" s="2">
        <f>B159+1</f>
        <v>5</v>
      </c>
      <c r="C160" s="89"/>
      <c r="D160" s="391"/>
      <c r="E160" s="391"/>
      <c r="F160" s="168"/>
      <c r="G160" s="200"/>
      <c r="H160" s="9">
        <v>1</v>
      </c>
      <c r="I160" s="168">
        <f t="shared" si="11"/>
        <v>0</v>
      </c>
      <c r="J160" s="94">
        <f t="shared" si="10"/>
        <v>0</v>
      </c>
      <c r="K160" s="82"/>
      <c r="L160" s="82"/>
    </row>
    <row r="161" spans="2:12" s="1" customFormat="1" ht="12.75" x14ac:dyDescent="0.15">
      <c r="B161" s="2">
        <f>B160+1</f>
        <v>6</v>
      </c>
      <c r="C161" s="392"/>
      <c r="D161" s="392"/>
      <c r="E161" s="392"/>
      <c r="F161" s="168"/>
      <c r="G161" s="200"/>
      <c r="H161" s="9">
        <v>1</v>
      </c>
      <c r="I161" s="168">
        <f t="shared" si="11"/>
        <v>0</v>
      </c>
      <c r="J161" s="94">
        <f t="shared" si="10"/>
        <v>0</v>
      </c>
      <c r="K161" s="82"/>
      <c r="L161" s="82"/>
    </row>
    <row r="162" spans="2:12" s="1" customFormat="1" ht="12.75" x14ac:dyDescent="0.15">
      <c r="B162" s="2">
        <f t="shared" ref="B162:B164" si="12">B161+1</f>
        <v>7</v>
      </c>
      <c r="C162" s="183"/>
      <c r="D162" s="391"/>
      <c r="E162" s="391"/>
      <c r="F162" s="168"/>
      <c r="G162" s="200"/>
      <c r="H162" s="9">
        <v>1</v>
      </c>
      <c r="I162" s="168">
        <f t="shared" si="11"/>
        <v>0</v>
      </c>
      <c r="J162" s="94">
        <f t="shared" si="10"/>
        <v>0</v>
      </c>
      <c r="K162" s="82"/>
      <c r="L162" s="82"/>
    </row>
    <row r="163" spans="2:12" s="1" customFormat="1" ht="12.75" x14ac:dyDescent="0.15">
      <c r="B163" s="2">
        <f t="shared" si="12"/>
        <v>8</v>
      </c>
      <c r="C163" s="183"/>
      <c r="D163" s="391"/>
      <c r="E163" s="391"/>
      <c r="F163" s="168"/>
      <c r="G163" s="200"/>
      <c r="H163" s="9">
        <v>1</v>
      </c>
      <c r="I163" s="168">
        <f t="shared" si="11"/>
        <v>0</v>
      </c>
      <c r="J163" s="94">
        <f t="shared" si="10"/>
        <v>0</v>
      </c>
      <c r="K163" s="82"/>
      <c r="L163" s="82"/>
    </row>
    <row r="164" spans="2:12" s="1" customFormat="1" ht="12.75" x14ac:dyDescent="0.15">
      <c r="B164" s="2">
        <f t="shared" si="12"/>
        <v>9</v>
      </c>
      <c r="C164" s="183"/>
      <c r="D164" s="391"/>
      <c r="E164" s="391"/>
      <c r="F164" s="168"/>
      <c r="G164" s="200"/>
      <c r="H164" s="9">
        <v>1</v>
      </c>
      <c r="I164" s="168">
        <f t="shared" si="11"/>
        <v>0</v>
      </c>
      <c r="J164" s="94">
        <f t="shared" si="10"/>
        <v>0</v>
      </c>
      <c r="K164" s="82"/>
      <c r="L164" s="82"/>
    </row>
    <row r="165" spans="2:12" s="1" customFormat="1" ht="12.75" x14ac:dyDescent="0.15">
      <c r="B165" s="2">
        <v>10</v>
      </c>
      <c r="C165" s="183"/>
      <c r="D165" s="90"/>
      <c r="E165" s="90"/>
      <c r="F165" s="168"/>
      <c r="G165" s="200"/>
      <c r="H165" s="9">
        <v>1</v>
      </c>
      <c r="I165" s="168">
        <f t="shared" si="11"/>
        <v>0</v>
      </c>
      <c r="J165" s="94">
        <f t="shared" si="10"/>
        <v>0</v>
      </c>
      <c r="K165" s="82"/>
      <c r="L165" s="82"/>
    </row>
    <row r="166" spans="2:12" s="1" customFormat="1" ht="12.75" x14ac:dyDescent="0.15">
      <c r="B166" s="2">
        <v>11</v>
      </c>
      <c r="C166" s="183"/>
      <c r="D166" s="90"/>
      <c r="E166" s="90"/>
      <c r="F166" s="168"/>
      <c r="G166" s="200"/>
      <c r="H166" s="9">
        <v>1</v>
      </c>
      <c r="I166" s="168">
        <f t="shared" si="11"/>
        <v>0</v>
      </c>
      <c r="J166" s="94">
        <f t="shared" si="10"/>
        <v>0</v>
      </c>
      <c r="K166" s="82"/>
      <c r="L166" s="82"/>
    </row>
    <row r="167" spans="2:12" s="1" customFormat="1" ht="12.75" x14ac:dyDescent="0.15">
      <c r="B167" s="2">
        <v>12</v>
      </c>
      <c r="C167" s="183"/>
      <c r="D167" s="90"/>
      <c r="E167" s="90"/>
      <c r="F167" s="168"/>
      <c r="G167" s="200"/>
      <c r="H167" s="9">
        <v>1</v>
      </c>
      <c r="I167" s="168">
        <f t="shared" si="11"/>
        <v>0</v>
      </c>
      <c r="J167" s="94">
        <f t="shared" si="10"/>
        <v>0</v>
      </c>
      <c r="K167" s="82"/>
      <c r="L167" s="82"/>
    </row>
    <row r="168" spans="2:12" s="1" customFormat="1" ht="12.75" x14ac:dyDescent="0.15">
      <c r="B168" s="2">
        <v>13</v>
      </c>
      <c r="C168" s="183"/>
      <c r="D168" s="90"/>
      <c r="E168" s="90"/>
      <c r="F168" s="168"/>
      <c r="G168" s="200"/>
      <c r="H168" s="9">
        <v>1</v>
      </c>
      <c r="I168" s="168">
        <f t="shared" si="11"/>
        <v>0</v>
      </c>
      <c r="J168" s="94">
        <f t="shared" si="10"/>
        <v>0</v>
      </c>
      <c r="K168" s="82"/>
      <c r="L168" s="82"/>
    </row>
    <row r="169" spans="2:12" s="1" customFormat="1" ht="12.75" x14ac:dyDescent="0.15">
      <c r="B169" s="2">
        <v>14</v>
      </c>
      <c r="C169" s="183"/>
      <c r="D169" s="90"/>
      <c r="E169" s="90"/>
      <c r="F169" s="168"/>
      <c r="G169" s="200"/>
      <c r="H169" s="9">
        <v>1</v>
      </c>
      <c r="I169" s="168">
        <f t="shared" si="11"/>
        <v>0</v>
      </c>
      <c r="J169" s="94">
        <f t="shared" si="10"/>
        <v>0</v>
      </c>
      <c r="K169" s="82"/>
      <c r="L169" s="82"/>
    </row>
    <row r="170" spans="2:12" s="1" customFormat="1" ht="12.75" x14ac:dyDescent="0.15">
      <c r="B170" s="2">
        <v>15</v>
      </c>
      <c r="C170" s="183"/>
      <c r="D170" s="90"/>
      <c r="E170" s="90"/>
      <c r="F170" s="168"/>
      <c r="G170" s="200"/>
      <c r="H170" s="9">
        <v>1</v>
      </c>
      <c r="I170" s="168">
        <f t="shared" si="11"/>
        <v>0</v>
      </c>
      <c r="J170" s="94">
        <f t="shared" si="10"/>
        <v>0</v>
      </c>
      <c r="K170" s="82"/>
      <c r="L170" s="82"/>
    </row>
    <row r="171" spans="2:12" s="1" customFormat="1" ht="12.75" x14ac:dyDescent="0.15">
      <c r="B171" s="2">
        <v>16</v>
      </c>
      <c r="C171" s="183"/>
      <c r="D171" s="90"/>
      <c r="E171" s="90"/>
      <c r="F171" s="168"/>
      <c r="G171" s="200"/>
      <c r="H171" s="9">
        <v>1</v>
      </c>
      <c r="I171" s="168">
        <f t="shared" si="11"/>
        <v>0</v>
      </c>
      <c r="J171" s="94">
        <f t="shared" si="10"/>
        <v>0</v>
      </c>
      <c r="K171" s="82"/>
      <c r="L171" s="82"/>
    </row>
    <row r="172" spans="2:12" s="1" customFormat="1" ht="12.75" x14ac:dyDescent="0.15">
      <c r="B172" s="2">
        <v>17</v>
      </c>
      <c r="C172" s="183"/>
      <c r="D172" s="90"/>
      <c r="E172" s="90"/>
      <c r="F172" s="168"/>
      <c r="G172" s="200"/>
      <c r="H172" s="9">
        <v>1</v>
      </c>
      <c r="I172" s="168">
        <f t="shared" si="11"/>
        <v>0</v>
      </c>
      <c r="J172" s="94">
        <f t="shared" si="10"/>
        <v>0</v>
      </c>
      <c r="K172" s="82"/>
      <c r="L172" s="82"/>
    </row>
    <row r="173" spans="2:12" s="1" customFormat="1" ht="12.75" x14ac:dyDescent="0.15">
      <c r="B173" s="2">
        <v>18</v>
      </c>
      <c r="C173" s="183"/>
      <c r="D173" s="90"/>
      <c r="E173" s="90"/>
      <c r="F173" s="168"/>
      <c r="G173" s="200"/>
      <c r="H173" s="9">
        <v>1</v>
      </c>
      <c r="I173" s="168">
        <f t="shared" si="11"/>
        <v>0</v>
      </c>
      <c r="J173" s="94">
        <f t="shared" si="10"/>
        <v>0</v>
      </c>
      <c r="K173" s="82"/>
      <c r="L173" s="82"/>
    </row>
    <row r="174" spans="2:12" s="1" customFormat="1" ht="12.75" x14ac:dyDescent="0.15">
      <c r="B174" s="2">
        <v>19</v>
      </c>
      <c r="C174" s="183"/>
      <c r="D174" s="90"/>
      <c r="E174" s="90"/>
      <c r="F174" s="168"/>
      <c r="G174" s="201"/>
      <c r="H174" s="197">
        <v>1</v>
      </c>
      <c r="I174" s="168">
        <f t="shared" si="11"/>
        <v>0</v>
      </c>
      <c r="J174" s="94">
        <f t="shared" si="10"/>
        <v>0</v>
      </c>
      <c r="K174" s="82"/>
      <c r="L174" s="82"/>
    </row>
    <row r="175" spans="2:12" s="1" customFormat="1" ht="12.75" x14ac:dyDescent="0.15">
      <c r="B175" s="112">
        <v>20</v>
      </c>
      <c r="C175" s="183"/>
      <c r="D175" s="90"/>
      <c r="E175" s="90"/>
      <c r="F175" s="168"/>
      <c r="G175" s="202"/>
      <c r="H175" s="92">
        <v>1</v>
      </c>
      <c r="I175" s="168">
        <f t="shared" si="11"/>
        <v>0</v>
      </c>
      <c r="J175" s="94">
        <f t="shared" si="10"/>
        <v>0</v>
      </c>
      <c r="K175" s="82"/>
      <c r="L175" s="82"/>
    </row>
    <row r="176" spans="2:12" s="1" customFormat="1" ht="12.75" x14ac:dyDescent="0.15">
      <c r="B176" s="82"/>
      <c r="C176" s="183"/>
      <c r="D176" s="90"/>
      <c r="E176" s="90"/>
      <c r="F176" s="168"/>
      <c r="G176" s="92"/>
      <c r="H176" s="92"/>
      <c r="I176" s="168"/>
      <c r="J176" s="94"/>
      <c r="K176" s="82"/>
      <c r="L176" s="82"/>
    </row>
    <row r="177" spans="2:12" s="1" customFormat="1" ht="12.75" x14ac:dyDescent="0.15">
      <c r="B177" s="82"/>
      <c r="C177" s="102"/>
      <c r="D177" s="103"/>
      <c r="E177" s="102"/>
      <c r="F177" s="128">
        <f>SUM(F118:F176)</f>
        <v>0</v>
      </c>
      <c r="G177" s="104"/>
      <c r="H177" s="105"/>
      <c r="I177" s="128">
        <f>SUM(I119:I176)</f>
        <v>0</v>
      </c>
      <c r="J177" s="257">
        <f>SUM(J118:J176)</f>
        <v>0</v>
      </c>
    </row>
    <row r="178" spans="2:12" s="1" customFormat="1" ht="12.75" x14ac:dyDescent="0.15">
      <c r="B178" s="82"/>
      <c r="C178" s="102"/>
      <c r="D178" s="103"/>
      <c r="E178" s="102" t="s">
        <v>147</v>
      </c>
      <c r="F178" s="128">
        <f>100/115*F177</f>
        <v>0</v>
      </c>
      <c r="G178" s="104"/>
      <c r="H178" s="105" t="s">
        <v>147</v>
      </c>
      <c r="I178" s="128">
        <f>100/115*I177</f>
        <v>0</v>
      </c>
      <c r="J178" s="106"/>
    </row>
    <row r="179" spans="2:12" s="1" customFormat="1" ht="12.75" x14ac:dyDescent="0.15"/>
    <row r="180" spans="2:12" s="1" customFormat="1" ht="12.75" x14ac:dyDescent="0.15"/>
    <row r="181" spans="2:12" s="1" customFormat="1" ht="12.75" x14ac:dyDescent="0.15"/>
    <row r="182" spans="2:12" s="1" customFormat="1" ht="12.75" x14ac:dyDescent="0.15"/>
    <row r="183" spans="2:12" s="247" customFormat="1" ht="32.25" x14ac:dyDescent="0.4">
      <c r="B183" s="248"/>
      <c r="C183" s="380" t="s">
        <v>112</v>
      </c>
      <c r="D183" s="380"/>
      <c r="E183" s="428" t="s">
        <v>155</v>
      </c>
      <c r="F183" s="428"/>
      <c r="G183" s="428"/>
      <c r="H183" s="428"/>
      <c r="I183" s="428"/>
      <c r="J183" s="382">
        <v>2026</v>
      </c>
      <c r="K183" s="382"/>
      <c r="L183" s="382"/>
    </row>
    <row r="184" spans="2:12" s="1" customFormat="1" ht="22.5" x14ac:dyDescent="0.15">
      <c r="B184" s="82"/>
      <c r="C184" s="102" t="s">
        <v>114</v>
      </c>
      <c r="D184" s="388" t="s">
        <v>115</v>
      </c>
      <c r="E184" s="388"/>
      <c r="F184" s="102" t="s">
        <v>116</v>
      </c>
      <c r="G184" s="102" t="s">
        <v>117</v>
      </c>
      <c r="H184" s="102" t="s">
        <v>118</v>
      </c>
      <c r="I184" s="102" t="s">
        <v>119</v>
      </c>
      <c r="J184" s="102" t="s">
        <v>120</v>
      </c>
      <c r="K184" s="82"/>
      <c r="L184" s="82"/>
    </row>
    <row r="185" spans="2:12" s="1" customFormat="1" ht="12.75" x14ac:dyDescent="0.15">
      <c r="B185" s="82"/>
      <c r="C185" s="66">
        <f>C116</f>
        <v>350</v>
      </c>
      <c r="D185" s="389">
        <v>19</v>
      </c>
      <c r="E185" s="389"/>
      <c r="F185" s="13">
        <f>F116</f>
        <v>0.8</v>
      </c>
      <c r="G185" s="14">
        <f>G116</f>
        <v>8</v>
      </c>
      <c r="H185" s="142">
        <f>D185*G185*F185</f>
        <v>121.60000000000001</v>
      </c>
      <c r="I185" s="66">
        <f>I247</f>
        <v>0</v>
      </c>
      <c r="J185" s="143">
        <f>H185-J247</f>
        <v>121.60000000000001</v>
      </c>
      <c r="K185" s="82"/>
      <c r="L185" s="82"/>
    </row>
    <row r="186" spans="2:12" s="1" customFormat="1" ht="33.75" x14ac:dyDescent="0.15">
      <c r="B186" s="82"/>
      <c r="C186" s="167" t="s">
        <v>121</v>
      </c>
      <c r="D186" s="395" t="s">
        <v>122</v>
      </c>
      <c r="E186" s="395"/>
      <c r="F186" s="177" t="s">
        <v>123</v>
      </c>
      <c r="G186" s="178" t="s">
        <v>124</v>
      </c>
      <c r="H186" s="179" t="s">
        <v>125</v>
      </c>
      <c r="I186" s="180" t="s">
        <v>126</v>
      </c>
      <c r="J186" s="178" t="s">
        <v>127</v>
      </c>
      <c r="K186" s="114" t="s">
        <v>128</v>
      </c>
      <c r="L186" s="114" t="s">
        <v>129</v>
      </c>
    </row>
    <row r="187" spans="2:12" s="1" customFormat="1" ht="12.75" x14ac:dyDescent="0.15">
      <c r="B187" s="79"/>
      <c r="C187" s="193"/>
      <c r="D187" s="406"/>
      <c r="E187" s="406"/>
      <c r="F187" s="194"/>
      <c r="G187" s="195"/>
      <c r="H187" s="196"/>
      <c r="I187" s="176"/>
      <c r="J187" s="88"/>
      <c r="K187" s="79"/>
      <c r="L187" s="120"/>
    </row>
    <row r="188" spans="2:12" s="1" customFormat="1" ht="12.75" x14ac:dyDescent="0.15">
      <c r="B188" s="80"/>
      <c r="C188" s="392" t="s">
        <v>130</v>
      </c>
      <c r="D188" s="392"/>
      <c r="E188" s="392"/>
      <c r="F188" s="184"/>
      <c r="G188" s="92"/>
      <c r="H188" s="163"/>
      <c r="I188" s="126"/>
      <c r="J188" s="21"/>
      <c r="K188" s="80"/>
      <c r="L188" s="82"/>
    </row>
    <row r="189" spans="2:12" s="1" customFormat="1" ht="12.75" x14ac:dyDescent="0.15">
      <c r="B189" s="80"/>
      <c r="C189" s="167" t="s">
        <v>149</v>
      </c>
      <c r="D189" s="167"/>
      <c r="E189" s="167"/>
      <c r="F189" s="168"/>
      <c r="G189" s="92"/>
      <c r="H189" s="163"/>
      <c r="I189" s="126"/>
      <c r="J189" s="21"/>
      <c r="K189" s="80"/>
      <c r="L189" s="82"/>
    </row>
    <row r="190" spans="2:12" s="1" customFormat="1" ht="12.75" x14ac:dyDescent="0.15">
      <c r="B190" s="80">
        <v>1</v>
      </c>
      <c r="C190" s="89"/>
      <c r="D190" s="167"/>
      <c r="E190" s="167"/>
      <c r="F190" s="168"/>
      <c r="G190" s="92"/>
      <c r="H190" s="163">
        <v>1</v>
      </c>
      <c r="I190" s="126">
        <f>J190*$C$32</f>
        <v>0</v>
      </c>
      <c r="J190" s="21">
        <f>(F190*G190*H190)/$C$32</f>
        <v>0</v>
      </c>
      <c r="K190" s="80"/>
      <c r="L190" s="82"/>
    </row>
    <row r="191" spans="2:12" s="1" customFormat="1" ht="12.75" customHeight="1" x14ac:dyDescent="0.15">
      <c r="B191" s="80">
        <v>2</v>
      </c>
      <c r="C191" s="187"/>
      <c r="D191" s="90"/>
      <c r="E191" s="90"/>
      <c r="F191" s="168"/>
      <c r="G191" s="92"/>
      <c r="H191" s="163">
        <v>1</v>
      </c>
      <c r="I191" s="126">
        <f>J191*$C$32</f>
        <v>0</v>
      </c>
      <c r="J191" s="21">
        <f>(F191*G191*H191)/$C$32</f>
        <v>0</v>
      </c>
      <c r="K191" s="80"/>
      <c r="L191" s="82"/>
    </row>
    <row r="192" spans="2:12" s="1" customFormat="1" ht="12.75" customHeight="1" x14ac:dyDescent="0.15">
      <c r="B192" s="80">
        <v>3</v>
      </c>
      <c r="C192" s="188"/>
      <c r="D192" s="169"/>
      <c r="E192" s="169"/>
      <c r="F192" s="168"/>
      <c r="G192" s="92"/>
      <c r="H192" s="163">
        <v>1</v>
      </c>
      <c r="I192" s="126">
        <f t="shared" ref="I192:I222" si="13">J192*$C$32</f>
        <v>0</v>
      </c>
      <c r="J192" s="21">
        <f t="shared" ref="J192:J222" si="14">(F192*G192*H192)/$C$32</f>
        <v>0</v>
      </c>
      <c r="K192" s="80"/>
      <c r="L192" s="82"/>
    </row>
    <row r="193" spans="2:12" s="1" customFormat="1" ht="12.75" customHeight="1" x14ac:dyDescent="0.15">
      <c r="B193" s="80">
        <v>4</v>
      </c>
      <c r="C193" s="188"/>
      <c r="D193" s="169"/>
      <c r="E193" s="169"/>
      <c r="F193" s="168"/>
      <c r="G193" s="92"/>
      <c r="H193" s="163">
        <v>1</v>
      </c>
      <c r="I193" s="126">
        <f t="shared" si="13"/>
        <v>0</v>
      </c>
      <c r="J193" s="21">
        <f t="shared" si="14"/>
        <v>0</v>
      </c>
      <c r="K193" s="80"/>
      <c r="L193" s="82"/>
    </row>
    <row r="194" spans="2:12" s="1" customFormat="1" ht="12.75" customHeight="1" x14ac:dyDescent="0.15">
      <c r="B194" s="80">
        <v>5</v>
      </c>
      <c r="C194" s="189"/>
      <c r="D194" s="169"/>
      <c r="E194" s="169"/>
      <c r="F194" s="168"/>
      <c r="G194" s="92"/>
      <c r="H194" s="163">
        <v>1</v>
      </c>
      <c r="I194" s="126">
        <f t="shared" si="13"/>
        <v>0</v>
      </c>
      <c r="J194" s="21">
        <f t="shared" si="14"/>
        <v>0</v>
      </c>
      <c r="K194" s="80"/>
      <c r="L194" s="82"/>
    </row>
    <row r="195" spans="2:12" s="1" customFormat="1" ht="12.75" customHeight="1" x14ac:dyDescent="0.15">
      <c r="B195" s="80">
        <v>6</v>
      </c>
      <c r="C195" s="188"/>
      <c r="D195" s="190"/>
      <c r="E195" s="190"/>
      <c r="F195" s="168"/>
      <c r="G195" s="92"/>
      <c r="H195" s="163">
        <v>1</v>
      </c>
      <c r="I195" s="126">
        <f t="shared" si="13"/>
        <v>0</v>
      </c>
      <c r="J195" s="21">
        <f t="shared" si="14"/>
        <v>0</v>
      </c>
      <c r="K195" s="80"/>
      <c r="L195" s="82"/>
    </row>
    <row r="196" spans="2:12" s="1" customFormat="1" ht="12.75" customHeight="1" x14ac:dyDescent="0.15">
      <c r="B196" s="80">
        <v>7</v>
      </c>
      <c r="C196" s="188"/>
      <c r="D196" s="169"/>
      <c r="E196" s="169"/>
      <c r="F196" s="168"/>
      <c r="G196" s="92"/>
      <c r="H196" s="163">
        <v>1</v>
      </c>
      <c r="I196" s="126">
        <f t="shared" si="13"/>
        <v>0</v>
      </c>
      <c r="J196" s="21">
        <f t="shared" si="14"/>
        <v>0</v>
      </c>
      <c r="K196" s="80"/>
      <c r="L196" s="82"/>
    </row>
    <row r="197" spans="2:12" s="1" customFormat="1" ht="12.75" customHeight="1" x14ac:dyDescent="0.15">
      <c r="B197" s="80">
        <v>8</v>
      </c>
      <c r="C197" s="188"/>
      <c r="D197" s="169"/>
      <c r="E197" s="169"/>
      <c r="F197" s="168"/>
      <c r="G197" s="92"/>
      <c r="H197" s="163">
        <v>1</v>
      </c>
      <c r="I197" s="192">
        <f t="shared" si="13"/>
        <v>0</v>
      </c>
      <c r="J197" s="21">
        <f t="shared" si="14"/>
        <v>0</v>
      </c>
      <c r="K197" s="80"/>
      <c r="L197" s="82"/>
    </row>
    <row r="198" spans="2:12" s="1" customFormat="1" ht="12.75" customHeight="1" x14ac:dyDescent="0.15">
      <c r="B198" s="80">
        <v>9</v>
      </c>
      <c r="C198" s="188"/>
      <c r="D198" s="90"/>
      <c r="E198" s="90"/>
      <c r="F198" s="168"/>
      <c r="G198" s="92"/>
      <c r="H198" s="163">
        <v>1</v>
      </c>
      <c r="I198" s="192">
        <f t="shared" si="13"/>
        <v>0</v>
      </c>
      <c r="J198" s="21">
        <f t="shared" si="14"/>
        <v>0</v>
      </c>
      <c r="K198" s="80"/>
      <c r="L198" s="82"/>
    </row>
    <row r="199" spans="2:12" s="1" customFormat="1" ht="12.75" x14ac:dyDescent="0.15">
      <c r="B199" s="80">
        <v>10</v>
      </c>
      <c r="C199" s="113"/>
      <c r="D199" s="90"/>
      <c r="E199" s="90"/>
      <c r="F199" s="168"/>
      <c r="G199" s="92"/>
      <c r="H199" s="163">
        <v>1</v>
      </c>
      <c r="I199" s="192">
        <f t="shared" si="13"/>
        <v>0</v>
      </c>
      <c r="J199" s="21">
        <f t="shared" si="14"/>
        <v>0</v>
      </c>
      <c r="K199" s="80"/>
      <c r="L199" s="82"/>
    </row>
    <row r="200" spans="2:12" s="1" customFormat="1" ht="12.75" x14ac:dyDescent="0.15">
      <c r="B200" s="80"/>
      <c r="C200" s="113"/>
      <c r="D200" s="90"/>
      <c r="E200" s="90"/>
      <c r="F200" s="168"/>
      <c r="G200" s="92"/>
      <c r="H200" s="163"/>
      <c r="I200" s="192"/>
      <c r="J200" s="21"/>
      <c r="K200" s="80"/>
      <c r="L200" s="82"/>
    </row>
    <row r="201" spans="2:12" s="1" customFormat="1" ht="12.75" x14ac:dyDescent="0.15">
      <c r="B201" s="80"/>
      <c r="C201" s="113"/>
      <c r="D201" s="90"/>
      <c r="E201" s="90"/>
      <c r="F201" s="168"/>
      <c r="G201" s="92"/>
      <c r="H201" s="163"/>
      <c r="I201" s="192"/>
      <c r="J201" s="21"/>
      <c r="K201" s="80"/>
      <c r="L201" s="82"/>
    </row>
    <row r="202" spans="2:12" s="1" customFormat="1" ht="12.75" x14ac:dyDescent="0.15">
      <c r="B202" s="80"/>
      <c r="C202" s="117" t="s">
        <v>156</v>
      </c>
      <c r="D202" s="90"/>
      <c r="E202" s="90"/>
      <c r="F202" s="168"/>
      <c r="G202" s="92"/>
      <c r="H202" s="163"/>
      <c r="I202" s="192"/>
      <c r="J202" s="21"/>
      <c r="K202" s="80"/>
      <c r="L202" s="82"/>
    </row>
    <row r="203" spans="2:12" s="1" customFormat="1" ht="12.75" x14ac:dyDescent="0.15">
      <c r="B203" s="80">
        <v>1</v>
      </c>
      <c r="C203" s="188"/>
      <c r="D203" s="169"/>
      <c r="E203" s="169"/>
      <c r="F203" s="168"/>
      <c r="G203" s="92"/>
      <c r="H203" s="163">
        <v>1</v>
      </c>
      <c r="I203" s="192">
        <f t="shared" si="13"/>
        <v>0</v>
      </c>
      <c r="J203" s="21">
        <f t="shared" si="14"/>
        <v>0</v>
      </c>
      <c r="K203" s="80"/>
      <c r="L203" s="82"/>
    </row>
    <row r="204" spans="2:12" s="1" customFormat="1" ht="12.75" x14ac:dyDescent="0.15">
      <c r="B204" s="80">
        <v>2</v>
      </c>
      <c r="C204" s="188"/>
      <c r="D204" s="169"/>
      <c r="E204" s="169"/>
      <c r="F204" s="168"/>
      <c r="G204" s="92"/>
      <c r="H204" s="163">
        <v>1</v>
      </c>
      <c r="I204" s="192">
        <f t="shared" si="13"/>
        <v>0</v>
      </c>
      <c r="J204" s="21">
        <f t="shared" si="14"/>
        <v>0</v>
      </c>
      <c r="K204" s="80"/>
      <c r="L204" s="82"/>
    </row>
    <row r="205" spans="2:12" s="1" customFormat="1" ht="12.75" x14ac:dyDescent="0.15">
      <c r="B205" s="80">
        <v>3</v>
      </c>
      <c r="C205" s="188"/>
      <c r="D205" s="169"/>
      <c r="E205" s="169"/>
      <c r="F205" s="168"/>
      <c r="G205" s="92"/>
      <c r="H205" s="163">
        <v>1</v>
      </c>
      <c r="I205" s="192">
        <f t="shared" si="13"/>
        <v>0</v>
      </c>
      <c r="J205" s="21">
        <f t="shared" si="14"/>
        <v>0</v>
      </c>
      <c r="K205" s="80"/>
      <c r="L205" s="82"/>
    </row>
    <row r="206" spans="2:12" s="1" customFormat="1" ht="13.5" customHeight="1" x14ac:dyDescent="0.15">
      <c r="B206" s="80">
        <v>4</v>
      </c>
      <c r="C206" s="188"/>
      <c r="D206" s="169"/>
      <c r="E206" s="169"/>
      <c r="F206" s="168"/>
      <c r="G206" s="92"/>
      <c r="H206" s="163">
        <v>1</v>
      </c>
      <c r="I206" s="192">
        <f t="shared" si="13"/>
        <v>0</v>
      </c>
      <c r="J206" s="21">
        <f t="shared" si="14"/>
        <v>0</v>
      </c>
      <c r="K206" s="80"/>
      <c r="L206" s="82"/>
    </row>
    <row r="207" spans="2:12" s="1" customFormat="1" ht="13.5" customHeight="1" x14ac:dyDescent="0.15">
      <c r="B207" s="80">
        <v>5</v>
      </c>
      <c r="C207" s="188"/>
      <c r="D207" s="169"/>
      <c r="E207" s="169"/>
      <c r="F207" s="168"/>
      <c r="G207" s="92"/>
      <c r="H207" s="163">
        <v>1</v>
      </c>
      <c r="I207" s="129">
        <f t="shared" si="13"/>
        <v>0</v>
      </c>
      <c r="J207" s="21">
        <f t="shared" si="14"/>
        <v>0</v>
      </c>
      <c r="K207" s="80"/>
      <c r="L207" s="82"/>
    </row>
    <row r="208" spans="2:12" s="1" customFormat="1" ht="13.5" customHeight="1" x14ac:dyDescent="0.15">
      <c r="B208" s="80">
        <v>6</v>
      </c>
      <c r="C208" s="189"/>
      <c r="D208" s="169"/>
      <c r="E208" s="90"/>
      <c r="F208" s="168"/>
      <c r="G208" s="92"/>
      <c r="H208" s="163">
        <v>1</v>
      </c>
      <c r="I208" s="129">
        <f t="shared" si="13"/>
        <v>0</v>
      </c>
      <c r="J208" s="21">
        <f t="shared" si="14"/>
        <v>0</v>
      </c>
      <c r="K208" s="80"/>
      <c r="L208" s="82"/>
    </row>
    <row r="209" spans="2:12" s="1" customFormat="1" ht="13.5" customHeight="1" x14ac:dyDescent="0.15">
      <c r="B209" s="80">
        <v>7</v>
      </c>
      <c r="C209" s="189"/>
      <c r="D209" s="90"/>
      <c r="E209" s="90"/>
      <c r="F209" s="168"/>
      <c r="G209" s="92"/>
      <c r="H209" s="163">
        <v>1</v>
      </c>
      <c r="I209" s="129">
        <f t="shared" si="13"/>
        <v>0</v>
      </c>
      <c r="J209" s="21">
        <f t="shared" si="14"/>
        <v>0</v>
      </c>
      <c r="K209" s="80"/>
      <c r="L209" s="82"/>
    </row>
    <row r="210" spans="2:12" s="1" customFormat="1" ht="13.5" customHeight="1" x14ac:dyDescent="0.15">
      <c r="B210" s="80">
        <v>8</v>
      </c>
      <c r="C210" s="189"/>
      <c r="D210" s="90"/>
      <c r="E210" s="90"/>
      <c r="F210" s="191"/>
      <c r="G210" s="92"/>
      <c r="H210" s="163">
        <v>1</v>
      </c>
      <c r="I210" s="129">
        <f t="shared" si="13"/>
        <v>0</v>
      </c>
      <c r="J210" s="21">
        <f t="shared" si="14"/>
        <v>0</v>
      </c>
      <c r="K210" s="80"/>
      <c r="L210" s="82"/>
    </row>
    <row r="211" spans="2:12" s="1" customFormat="1" ht="13.5" customHeight="1" x14ac:dyDescent="0.15">
      <c r="B211" s="80">
        <v>9</v>
      </c>
      <c r="C211" s="189"/>
      <c r="D211" s="90"/>
      <c r="E211" s="90"/>
      <c r="F211" s="168"/>
      <c r="G211" s="92"/>
      <c r="H211" s="163">
        <v>1</v>
      </c>
      <c r="I211" s="129">
        <f t="shared" si="13"/>
        <v>0</v>
      </c>
      <c r="J211" s="21">
        <f t="shared" si="14"/>
        <v>0</v>
      </c>
      <c r="K211" s="80"/>
      <c r="L211" s="82"/>
    </row>
    <row r="212" spans="2:12" s="1" customFormat="1" ht="13.5" customHeight="1" x14ac:dyDescent="0.15">
      <c r="B212" s="80">
        <v>10</v>
      </c>
      <c r="C212" s="189"/>
      <c r="D212" s="90"/>
      <c r="E212" s="90"/>
      <c r="F212" s="168"/>
      <c r="G212" s="92"/>
      <c r="H212" s="163">
        <v>1</v>
      </c>
      <c r="I212" s="129">
        <f t="shared" si="13"/>
        <v>0</v>
      </c>
      <c r="J212" s="21">
        <f t="shared" si="14"/>
        <v>0</v>
      </c>
      <c r="K212" s="80"/>
      <c r="L212" s="82"/>
    </row>
    <row r="213" spans="2:12" s="1" customFormat="1" ht="12.75" x14ac:dyDescent="0.15">
      <c r="B213" s="80">
        <v>11</v>
      </c>
      <c r="C213" s="189"/>
      <c r="D213" s="90"/>
      <c r="E213" s="90"/>
      <c r="F213" s="168"/>
      <c r="G213" s="92"/>
      <c r="H213" s="163">
        <v>1</v>
      </c>
      <c r="I213" s="129">
        <f t="shared" si="13"/>
        <v>0</v>
      </c>
      <c r="J213" s="21">
        <f t="shared" si="14"/>
        <v>0</v>
      </c>
      <c r="K213" s="80"/>
      <c r="L213" s="82"/>
    </row>
    <row r="214" spans="2:12" s="1" customFormat="1" ht="12.75" x14ac:dyDescent="0.15">
      <c r="B214" s="80">
        <v>12</v>
      </c>
      <c r="C214" s="189"/>
      <c r="D214" s="90"/>
      <c r="E214" s="90"/>
      <c r="F214" s="168"/>
      <c r="G214" s="92"/>
      <c r="H214" s="163">
        <v>1</v>
      </c>
      <c r="I214" s="129">
        <f t="shared" si="13"/>
        <v>0</v>
      </c>
      <c r="J214" s="21">
        <f t="shared" si="14"/>
        <v>0</v>
      </c>
      <c r="K214" s="80"/>
      <c r="L214" s="82"/>
    </row>
    <row r="215" spans="2:12" s="1" customFormat="1" ht="12.75" x14ac:dyDescent="0.15">
      <c r="B215" s="80">
        <v>13</v>
      </c>
      <c r="C215" s="189"/>
      <c r="D215" s="90"/>
      <c r="E215" s="90"/>
      <c r="F215" s="168"/>
      <c r="G215" s="92"/>
      <c r="H215" s="163">
        <v>1</v>
      </c>
      <c r="I215" s="129">
        <f t="shared" si="13"/>
        <v>0</v>
      </c>
      <c r="J215" s="21">
        <f t="shared" si="14"/>
        <v>0</v>
      </c>
      <c r="K215" s="80"/>
      <c r="L215" s="82"/>
    </row>
    <row r="216" spans="2:12" s="1" customFormat="1" ht="12.75" x14ac:dyDescent="0.15">
      <c r="B216" s="80">
        <v>14</v>
      </c>
      <c r="C216" s="189"/>
      <c r="D216" s="90"/>
      <c r="E216" s="90"/>
      <c r="F216" s="168"/>
      <c r="G216" s="92"/>
      <c r="H216" s="163">
        <v>1</v>
      </c>
      <c r="I216" s="129">
        <f t="shared" si="13"/>
        <v>0</v>
      </c>
      <c r="J216" s="21">
        <f t="shared" si="14"/>
        <v>0</v>
      </c>
      <c r="K216" s="80"/>
      <c r="L216" s="82"/>
    </row>
    <row r="217" spans="2:12" s="1" customFormat="1" ht="12.75" x14ac:dyDescent="0.15">
      <c r="B217" s="80">
        <v>15</v>
      </c>
      <c r="C217" s="189"/>
      <c r="D217" s="90"/>
      <c r="E217" s="90"/>
      <c r="F217" s="168"/>
      <c r="G217" s="92"/>
      <c r="H217" s="163">
        <v>1</v>
      </c>
      <c r="I217" s="129">
        <f t="shared" si="13"/>
        <v>0</v>
      </c>
      <c r="J217" s="21">
        <f t="shared" si="14"/>
        <v>0</v>
      </c>
      <c r="K217" s="80"/>
      <c r="L217" s="82"/>
    </row>
    <row r="218" spans="2:12" s="1" customFormat="1" ht="12.75" x14ac:dyDescent="0.15">
      <c r="B218" s="80">
        <v>16</v>
      </c>
      <c r="C218" s="189"/>
      <c r="D218" s="90"/>
      <c r="E218" s="90"/>
      <c r="F218" s="168"/>
      <c r="G218" s="92"/>
      <c r="H218" s="163">
        <v>1</v>
      </c>
      <c r="I218" s="129">
        <f t="shared" si="13"/>
        <v>0</v>
      </c>
      <c r="J218" s="21">
        <f t="shared" si="14"/>
        <v>0</v>
      </c>
      <c r="K218" s="80"/>
      <c r="L218" s="82"/>
    </row>
    <row r="219" spans="2:12" s="1" customFormat="1" ht="12.75" x14ac:dyDescent="0.15">
      <c r="B219" s="80">
        <v>17</v>
      </c>
      <c r="C219" s="189"/>
      <c r="D219" s="90"/>
      <c r="E219" s="90"/>
      <c r="F219" s="168"/>
      <c r="G219" s="92"/>
      <c r="H219" s="163">
        <v>1</v>
      </c>
      <c r="I219" s="129">
        <f t="shared" si="13"/>
        <v>0</v>
      </c>
      <c r="J219" s="21">
        <f t="shared" si="14"/>
        <v>0</v>
      </c>
      <c r="K219" s="80"/>
      <c r="L219" s="82"/>
    </row>
    <row r="220" spans="2:12" s="1" customFormat="1" ht="12.75" x14ac:dyDescent="0.15">
      <c r="B220" s="80">
        <v>18</v>
      </c>
      <c r="C220" s="189"/>
      <c r="D220" s="90"/>
      <c r="E220" s="90"/>
      <c r="F220" s="168"/>
      <c r="G220" s="92"/>
      <c r="H220" s="163">
        <v>1</v>
      </c>
      <c r="I220" s="129">
        <f t="shared" si="13"/>
        <v>0</v>
      </c>
      <c r="J220" s="21">
        <f t="shared" si="14"/>
        <v>0</v>
      </c>
      <c r="K220" s="80"/>
      <c r="L220" s="82"/>
    </row>
    <row r="221" spans="2:12" s="1" customFormat="1" ht="12.75" x14ac:dyDescent="0.15">
      <c r="B221" s="80">
        <v>19</v>
      </c>
      <c r="C221" s="188"/>
      <c r="D221" s="89"/>
      <c r="E221" s="89"/>
      <c r="F221" s="168"/>
      <c r="G221" s="92"/>
      <c r="H221" s="163">
        <v>1</v>
      </c>
      <c r="I221" s="129">
        <f t="shared" si="13"/>
        <v>0</v>
      </c>
      <c r="J221" s="21">
        <f t="shared" si="14"/>
        <v>0</v>
      </c>
      <c r="K221" s="80"/>
      <c r="L221" s="82"/>
    </row>
    <row r="222" spans="2:12" s="1" customFormat="1" ht="12.75" x14ac:dyDescent="0.15">
      <c r="B222" s="80">
        <v>20</v>
      </c>
      <c r="C222" s="188"/>
      <c r="D222" s="90"/>
      <c r="E222" s="90"/>
      <c r="F222" s="168"/>
      <c r="G222" s="92"/>
      <c r="H222" s="163">
        <v>1</v>
      </c>
      <c r="I222" s="129">
        <f t="shared" si="13"/>
        <v>0</v>
      </c>
      <c r="J222" s="21">
        <f t="shared" si="14"/>
        <v>0</v>
      </c>
      <c r="K222" s="80"/>
      <c r="L222" s="82"/>
    </row>
    <row r="223" spans="2:12" s="1" customFormat="1" ht="12.75" x14ac:dyDescent="0.15">
      <c r="B223" s="80"/>
      <c r="C223" s="188"/>
      <c r="D223" s="90"/>
      <c r="E223" s="90"/>
      <c r="F223" s="168"/>
      <c r="G223" s="92"/>
      <c r="H223" s="163"/>
      <c r="I223" s="129"/>
      <c r="J223" s="21"/>
      <c r="K223" s="80"/>
      <c r="L223" s="82"/>
    </row>
    <row r="224" spans="2:12" s="1" customFormat="1" ht="12.75" x14ac:dyDescent="0.15">
      <c r="B224" s="80"/>
      <c r="C224" s="188"/>
      <c r="D224" s="90"/>
      <c r="E224" s="90"/>
      <c r="F224" s="168"/>
      <c r="G224" s="92"/>
      <c r="H224" s="163"/>
      <c r="I224" s="129"/>
      <c r="J224" s="21"/>
      <c r="K224" s="80"/>
      <c r="L224" s="82"/>
    </row>
    <row r="225" spans="2:12" s="1" customFormat="1" ht="12.75" x14ac:dyDescent="0.15">
      <c r="B225" s="80"/>
      <c r="C225" s="167" t="s">
        <v>157</v>
      </c>
      <c r="D225" s="90"/>
      <c r="E225" s="90"/>
      <c r="F225" s="168"/>
      <c r="G225" s="92"/>
      <c r="H225" s="163"/>
      <c r="I225" s="129"/>
      <c r="J225" s="27"/>
      <c r="K225" s="80"/>
      <c r="L225" s="82"/>
    </row>
    <row r="226" spans="2:12" s="1" customFormat="1" ht="12.75" x14ac:dyDescent="0.15">
      <c r="B226" s="80">
        <v>1</v>
      </c>
      <c r="C226" s="89"/>
      <c r="D226" s="90"/>
      <c r="E226" s="90"/>
      <c r="F226" s="168"/>
      <c r="G226" s="92"/>
      <c r="H226" s="163">
        <v>1</v>
      </c>
      <c r="I226" s="129">
        <f t="shared" ref="I226:I245" si="15">J226*$C$32</f>
        <v>0</v>
      </c>
      <c r="J226" s="27">
        <f t="shared" ref="J226:J245" si="16">(F226*G226*H226)/$C$32</f>
        <v>0</v>
      </c>
      <c r="K226" s="80"/>
      <c r="L226" s="82"/>
    </row>
    <row r="227" spans="2:12" s="1" customFormat="1" ht="12.75" x14ac:dyDescent="0.15">
      <c r="B227" s="80">
        <v>2</v>
      </c>
      <c r="C227" s="183"/>
      <c r="D227" s="90"/>
      <c r="E227" s="90"/>
      <c r="F227" s="168"/>
      <c r="G227" s="92"/>
      <c r="H227" s="163">
        <v>1</v>
      </c>
      <c r="I227" s="129">
        <f t="shared" si="15"/>
        <v>0</v>
      </c>
      <c r="J227" s="27">
        <f t="shared" si="16"/>
        <v>0</v>
      </c>
      <c r="K227" s="80"/>
      <c r="L227" s="82"/>
    </row>
    <row r="228" spans="2:12" s="1" customFormat="1" ht="12.75" x14ac:dyDescent="0.15">
      <c r="B228" s="80">
        <v>3</v>
      </c>
      <c r="C228" s="89"/>
      <c r="D228" s="90"/>
      <c r="E228" s="90"/>
      <c r="F228" s="168"/>
      <c r="G228" s="92"/>
      <c r="H228" s="163">
        <v>1</v>
      </c>
      <c r="I228" s="129">
        <f t="shared" si="15"/>
        <v>0</v>
      </c>
      <c r="J228" s="27">
        <f t="shared" si="16"/>
        <v>0</v>
      </c>
      <c r="K228" s="80"/>
      <c r="L228" s="82"/>
    </row>
    <row r="229" spans="2:12" s="1" customFormat="1" ht="12.75" x14ac:dyDescent="0.15">
      <c r="B229" s="80">
        <v>4</v>
      </c>
      <c r="C229" s="169"/>
      <c r="D229" s="90"/>
      <c r="E229" s="90"/>
      <c r="F229" s="168"/>
      <c r="G229" s="92"/>
      <c r="H229" s="163">
        <v>1</v>
      </c>
      <c r="I229" s="129">
        <f t="shared" si="15"/>
        <v>0</v>
      </c>
      <c r="J229" s="27">
        <f t="shared" si="16"/>
        <v>0</v>
      </c>
      <c r="K229" s="80"/>
      <c r="L229" s="82"/>
    </row>
    <row r="230" spans="2:12" s="1" customFormat="1" ht="12.75" x14ac:dyDescent="0.15">
      <c r="B230" s="80">
        <v>5</v>
      </c>
      <c r="C230" s="183"/>
      <c r="D230" s="90"/>
      <c r="E230" s="90"/>
      <c r="F230" s="168"/>
      <c r="G230" s="92"/>
      <c r="H230" s="163">
        <v>1</v>
      </c>
      <c r="I230" s="129">
        <f t="shared" si="15"/>
        <v>0</v>
      </c>
      <c r="J230" s="27">
        <f t="shared" si="16"/>
        <v>0</v>
      </c>
      <c r="K230" s="80"/>
      <c r="L230" s="82"/>
    </row>
    <row r="231" spans="2:12" s="1" customFormat="1" ht="12.75" x14ac:dyDescent="0.15">
      <c r="B231" s="80">
        <v>6</v>
      </c>
      <c r="C231" s="89"/>
      <c r="D231" s="90"/>
      <c r="E231" s="90"/>
      <c r="F231" s="168"/>
      <c r="G231" s="92"/>
      <c r="H231" s="163">
        <v>1</v>
      </c>
      <c r="I231" s="129">
        <f t="shared" si="15"/>
        <v>0</v>
      </c>
      <c r="J231" s="27">
        <f t="shared" si="16"/>
        <v>0</v>
      </c>
      <c r="K231" s="80"/>
      <c r="L231" s="82"/>
    </row>
    <row r="232" spans="2:12" s="1" customFormat="1" ht="12.75" x14ac:dyDescent="0.15">
      <c r="B232" s="80">
        <v>7</v>
      </c>
      <c r="C232" s="183"/>
      <c r="D232" s="90"/>
      <c r="E232" s="90"/>
      <c r="F232" s="168"/>
      <c r="G232" s="92"/>
      <c r="H232" s="163">
        <v>1</v>
      </c>
      <c r="I232" s="129">
        <f t="shared" si="15"/>
        <v>0</v>
      </c>
      <c r="J232" s="27">
        <f t="shared" si="16"/>
        <v>0</v>
      </c>
      <c r="K232" s="80"/>
      <c r="L232" s="82"/>
    </row>
    <row r="233" spans="2:12" s="1" customFormat="1" ht="12.75" x14ac:dyDescent="0.15">
      <c r="B233" s="80">
        <v>8</v>
      </c>
      <c r="C233" s="183"/>
      <c r="D233" s="90"/>
      <c r="E233" s="90"/>
      <c r="F233" s="168"/>
      <c r="G233" s="92"/>
      <c r="H233" s="163">
        <v>1</v>
      </c>
      <c r="I233" s="129">
        <f t="shared" si="15"/>
        <v>0</v>
      </c>
      <c r="J233" s="27">
        <f t="shared" si="16"/>
        <v>0</v>
      </c>
      <c r="K233" s="80"/>
      <c r="L233" s="82"/>
    </row>
    <row r="234" spans="2:12" s="1" customFormat="1" ht="12.75" x14ac:dyDescent="0.15">
      <c r="B234" s="80">
        <v>9</v>
      </c>
      <c r="C234" s="183"/>
      <c r="D234" s="90"/>
      <c r="E234" s="90"/>
      <c r="F234" s="168"/>
      <c r="G234" s="92"/>
      <c r="H234" s="163">
        <v>1</v>
      </c>
      <c r="I234" s="129">
        <f t="shared" si="15"/>
        <v>0</v>
      </c>
      <c r="J234" s="27">
        <f t="shared" si="16"/>
        <v>0</v>
      </c>
      <c r="K234" s="80"/>
      <c r="L234" s="82"/>
    </row>
    <row r="235" spans="2:12" s="1" customFormat="1" ht="12.75" x14ac:dyDescent="0.15">
      <c r="B235" s="80">
        <v>10</v>
      </c>
      <c r="C235" s="183"/>
      <c r="D235" s="90"/>
      <c r="E235" s="90"/>
      <c r="F235" s="168"/>
      <c r="G235" s="92"/>
      <c r="H235" s="163">
        <v>1</v>
      </c>
      <c r="I235" s="129">
        <f t="shared" si="15"/>
        <v>0</v>
      </c>
      <c r="J235" s="27">
        <f t="shared" si="16"/>
        <v>0</v>
      </c>
      <c r="K235" s="80"/>
      <c r="L235" s="82"/>
    </row>
    <row r="236" spans="2:12" s="1" customFormat="1" ht="12.75" x14ac:dyDescent="0.15">
      <c r="B236" s="80">
        <v>11</v>
      </c>
      <c r="C236" s="183"/>
      <c r="D236" s="90"/>
      <c r="E236" s="90"/>
      <c r="F236" s="168"/>
      <c r="G236" s="92"/>
      <c r="H236" s="163">
        <v>1</v>
      </c>
      <c r="I236" s="129">
        <f t="shared" si="15"/>
        <v>0</v>
      </c>
      <c r="J236" s="27">
        <f t="shared" si="16"/>
        <v>0</v>
      </c>
      <c r="K236" s="80"/>
      <c r="L236" s="82"/>
    </row>
    <row r="237" spans="2:12" s="1" customFormat="1" ht="12.75" x14ac:dyDescent="0.15">
      <c r="B237" s="80">
        <v>12</v>
      </c>
      <c r="C237" s="183"/>
      <c r="D237" s="90"/>
      <c r="E237" s="90"/>
      <c r="F237" s="168"/>
      <c r="G237" s="92"/>
      <c r="H237" s="163">
        <v>1</v>
      </c>
      <c r="I237" s="129">
        <f t="shared" si="15"/>
        <v>0</v>
      </c>
      <c r="J237" s="27">
        <f t="shared" si="16"/>
        <v>0</v>
      </c>
      <c r="K237" s="80"/>
      <c r="L237" s="82"/>
    </row>
    <row r="238" spans="2:12" s="1" customFormat="1" ht="12.75" x14ac:dyDescent="0.15">
      <c r="B238" s="80">
        <v>13</v>
      </c>
      <c r="C238" s="183"/>
      <c r="D238" s="90"/>
      <c r="E238" s="90"/>
      <c r="F238" s="168"/>
      <c r="G238" s="92"/>
      <c r="H238" s="163">
        <v>1</v>
      </c>
      <c r="I238" s="129">
        <f t="shared" si="15"/>
        <v>0</v>
      </c>
      <c r="J238" s="27">
        <f t="shared" si="16"/>
        <v>0</v>
      </c>
      <c r="K238" s="80"/>
      <c r="L238" s="82"/>
    </row>
    <row r="239" spans="2:12" s="1" customFormat="1" ht="12.75" x14ac:dyDescent="0.15">
      <c r="B239" s="80">
        <v>14</v>
      </c>
      <c r="C239" s="183"/>
      <c r="D239" s="90"/>
      <c r="E239" s="90"/>
      <c r="F239" s="168"/>
      <c r="G239" s="92"/>
      <c r="H239" s="163">
        <v>1</v>
      </c>
      <c r="I239" s="129">
        <f t="shared" si="15"/>
        <v>0</v>
      </c>
      <c r="J239" s="27">
        <f t="shared" si="16"/>
        <v>0</v>
      </c>
      <c r="K239" s="80"/>
      <c r="L239" s="82"/>
    </row>
    <row r="240" spans="2:12" s="1" customFormat="1" ht="12.75" x14ac:dyDescent="0.15">
      <c r="B240" s="80">
        <v>15</v>
      </c>
      <c r="C240" s="183"/>
      <c r="D240" s="90"/>
      <c r="E240" s="90"/>
      <c r="F240" s="168"/>
      <c r="G240" s="92"/>
      <c r="H240" s="163">
        <v>1</v>
      </c>
      <c r="I240" s="129">
        <f t="shared" si="15"/>
        <v>0</v>
      </c>
      <c r="J240" s="27">
        <f t="shared" si="16"/>
        <v>0</v>
      </c>
      <c r="K240" s="80"/>
      <c r="L240" s="82"/>
    </row>
    <row r="241" spans="2:12" s="1" customFormat="1" ht="12.75" x14ac:dyDescent="0.15">
      <c r="B241" s="80">
        <v>16</v>
      </c>
      <c r="C241" s="183"/>
      <c r="D241" s="90"/>
      <c r="E241" s="90"/>
      <c r="F241" s="168"/>
      <c r="G241" s="92"/>
      <c r="H241" s="163">
        <v>1</v>
      </c>
      <c r="I241" s="129">
        <f t="shared" si="15"/>
        <v>0</v>
      </c>
      <c r="J241" s="27">
        <f t="shared" si="16"/>
        <v>0</v>
      </c>
      <c r="K241" s="80"/>
      <c r="L241" s="82"/>
    </row>
    <row r="242" spans="2:12" s="1" customFormat="1" ht="12.75" x14ac:dyDescent="0.15">
      <c r="B242" s="80">
        <v>17</v>
      </c>
      <c r="C242" s="183"/>
      <c r="D242" s="90"/>
      <c r="E242" s="90"/>
      <c r="F242" s="168"/>
      <c r="G242" s="92"/>
      <c r="H242" s="163">
        <v>1</v>
      </c>
      <c r="I242" s="129">
        <f t="shared" si="15"/>
        <v>0</v>
      </c>
      <c r="J242" s="27">
        <f t="shared" si="16"/>
        <v>0</v>
      </c>
      <c r="K242" s="80"/>
      <c r="L242" s="82"/>
    </row>
    <row r="243" spans="2:12" s="1" customFormat="1" ht="12.75" x14ac:dyDescent="0.15">
      <c r="B243" s="80">
        <v>18</v>
      </c>
      <c r="C243" s="183"/>
      <c r="D243" s="90"/>
      <c r="E243" s="90"/>
      <c r="F243" s="168"/>
      <c r="G243" s="92"/>
      <c r="H243" s="163">
        <v>1</v>
      </c>
      <c r="I243" s="132">
        <f t="shared" si="15"/>
        <v>0</v>
      </c>
      <c r="J243" s="182">
        <f t="shared" si="16"/>
        <v>0</v>
      </c>
      <c r="K243" s="111"/>
      <c r="L243" s="119"/>
    </row>
    <row r="244" spans="2:12" s="1" customFormat="1" ht="12.75" x14ac:dyDescent="0.15">
      <c r="B244" s="16">
        <v>19</v>
      </c>
      <c r="C244" s="186"/>
      <c r="D244" s="85"/>
      <c r="E244" s="85"/>
      <c r="F244" s="166"/>
      <c r="G244" s="87"/>
      <c r="H244" s="267">
        <v>1</v>
      </c>
      <c r="I244" s="168">
        <f t="shared" si="15"/>
        <v>0</v>
      </c>
      <c r="J244" s="185">
        <f t="shared" si="16"/>
        <v>0</v>
      </c>
      <c r="K244" s="82"/>
      <c r="L244" s="82"/>
    </row>
    <row r="245" spans="2:12" s="1" customFormat="1" ht="12.75" x14ac:dyDescent="0.15">
      <c r="B245" s="83">
        <v>20</v>
      </c>
      <c r="C245" s="181"/>
      <c r="D245" s="75"/>
      <c r="E245" s="75"/>
      <c r="F245" s="132"/>
      <c r="G245" s="77"/>
      <c r="H245" s="268">
        <v>1</v>
      </c>
      <c r="I245" s="168">
        <f t="shared" si="15"/>
        <v>0</v>
      </c>
      <c r="J245" s="185">
        <f t="shared" si="16"/>
        <v>0</v>
      </c>
      <c r="K245" s="82"/>
      <c r="L245" s="82"/>
    </row>
    <row r="246" spans="2:12" s="1" customFormat="1" ht="12.75" x14ac:dyDescent="0.15">
      <c r="B246" s="82"/>
      <c r="C246" s="183"/>
      <c r="D246" s="90"/>
      <c r="E246" s="90"/>
      <c r="F246" s="168"/>
      <c r="G246" s="92"/>
      <c r="H246" s="269"/>
      <c r="I246" s="168"/>
      <c r="J246" s="185"/>
      <c r="K246" s="82"/>
      <c r="L246" s="82"/>
    </row>
    <row r="247" spans="2:12" s="1" customFormat="1" ht="12.75" x14ac:dyDescent="0.15">
      <c r="B247" s="82"/>
      <c r="C247" s="102"/>
      <c r="D247" s="103"/>
      <c r="E247" s="102"/>
      <c r="F247" s="128">
        <f>SUM(F187:F246)</f>
        <v>0</v>
      </c>
      <c r="G247" s="104"/>
      <c r="H247" s="253"/>
      <c r="I247" s="128">
        <f>SUM(I188:I246)</f>
        <v>0</v>
      </c>
      <c r="J247" s="257">
        <f>SUM(J191:J232)</f>
        <v>0</v>
      </c>
    </row>
    <row r="248" spans="2:12" s="67" customFormat="1" ht="12.75" x14ac:dyDescent="0.15">
      <c r="B248" s="116"/>
      <c r="C248" s="114"/>
      <c r="D248" s="114"/>
      <c r="E248" s="114" t="s">
        <v>147</v>
      </c>
      <c r="F248" s="162">
        <f>100/115*F247</f>
        <v>0</v>
      </c>
      <c r="G248" s="161"/>
      <c r="H248" s="270" t="s">
        <v>147</v>
      </c>
      <c r="I248" s="162">
        <f>100/115*I247</f>
        <v>0</v>
      </c>
      <c r="J248" s="114"/>
    </row>
    <row r="249" spans="2:12" s="1" customFormat="1" ht="12.75" x14ac:dyDescent="0.15"/>
    <row r="250" spans="2:12" s="1" customFormat="1" ht="12.75" x14ac:dyDescent="0.15"/>
    <row r="251" spans="2:12" s="1" customFormat="1" ht="12.75" x14ac:dyDescent="0.15"/>
    <row r="252" spans="2:12" s="1" customFormat="1" ht="12.75" x14ac:dyDescent="0.15"/>
    <row r="253" spans="2:12" s="247" customFormat="1" ht="32.25" x14ac:dyDescent="0.4">
      <c r="B253" s="248"/>
      <c r="C253" s="380" t="s">
        <v>112</v>
      </c>
      <c r="D253" s="380"/>
      <c r="E253" s="428" t="s">
        <v>104</v>
      </c>
      <c r="F253" s="428"/>
      <c r="G253" s="428"/>
      <c r="H253" s="428"/>
      <c r="I253" s="428"/>
      <c r="J253" s="382">
        <v>2026</v>
      </c>
      <c r="K253" s="382"/>
      <c r="L253" s="382"/>
    </row>
    <row r="254" spans="2:12" s="1" customFormat="1" ht="22.5" x14ac:dyDescent="0.15">
      <c r="B254" s="82"/>
      <c r="C254" s="102" t="s">
        <v>114</v>
      </c>
      <c r="D254" s="388" t="s">
        <v>115</v>
      </c>
      <c r="E254" s="388"/>
      <c r="F254" s="102" t="s">
        <v>116</v>
      </c>
      <c r="G254" s="102" t="s">
        <v>117</v>
      </c>
      <c r="H254" s="102" t="s">
        <v>118</v>
      </c>
      <c r="I254" s="102" t="s">
        <v>119</v>
      </c>
      <c r="J254" s="102" t="s">
        <v>120</v>
      </c>
      <c r="K254" s="82"/>
      <c r="L254" s="82"/>
    </row>
    <row r="255" spans="2:12" s="1" customFormat="1" ht="12.75" x14ac:dyDescent="0.15">
      <c r="B255" s="82"/>
      <c r="C255" s="66">
        <f>C185</f>
        <v>350</v>
      </c>
      <c r="D255" s="389">
        <v>22</v>
      </c>
      <c r="E255" s="389"/>
      <c r="F255" s="13">
        <f>F185</f>
        <v>0.8</v>
      </c>
      <c r="G255" s="14">
        <f>G185</f>
        <v>8</v>
      </c>
      <c r="H255" s="142">
        <f>D255*G255*F255</f>
        <v>140.80000000000001</v>
      </c>
      <c r="I255" s="66">
        <f>I317</f>
        <v>0</v>
      </c>
      <c r="J255" s="143">
        <f>H255-J317</f>
        <v>140.80000000000001</v>
      </c>
      <c r="K255" s="82"/>
      <c r="L255" s="82"/>
    </row>
    <row r="256" spans="2:12" s="1" customFormat="1" ht="33.75" x14ac:dyDescent="0.15">
      <c r="B256" s="82"/>
      <c r="C256" s="167" t="s">
        <v>121</v>
      </c>
      <c r="D256" s="395" t="s">
        <v>122</v>
      </c>
      <c r="E256" s="395"/>
      <c r="F256" s="177" t="s">
        <v>123</v>
      </c>
      <c r="G256" s="178" t="s">
        <v>124</v>
      </c>
      <c r="H256" s="179" t="s">
        <v>125</v>
      </c>
      <c r="I256" s="180" t="s">
        <v>126</v>
      </c>
      <c r="J256" s="178" t="s">
        <v>127</v>
      </c>
      <c r="K256" s="114" t="s">
        <v>128</v>
      </c>
      <c r="L256" s="114" t="s">
        <v>129</v>
      </c>
    </row>
    <row r="257" spans="2:14" s="1" customFormat="1" ht="12.75" x14ac:dyDescent="0.15">
      <c r="B257" s="84"/>
      <c r="C257" s="81"/>
      <c r="D257" s="404"/>
      <c r="E257" s="404"/>
      <c r="F257" s="86"/>
      <c r="G257" s="87"/>
      <c r="H257" s="87"/>
      <c r="I257" s="176"/>
      <c r="J257" s="88"/>
      <c r="K257" s="79"/>
      <c r="L257" s="120"/>
    </row>
    <row r="258" spans="2:14" s="1" customFormat="1" ht="13.35" customHeight="1" x14ac:dyDescent="0.15">
      <c r="B258" s="16"/>
      <c r="C258" s="37" t="s">
        <v>158</v>
      </c>
      <c r="D258" s="24"/>
      <c r="E258" s="24"/>
      <c r="F258" s="129"/>
      <c r="G258" s="20"/>
      <c r="H258" s="20"/>
      <c r="I258" s="126"/>
      <c r="J258" s="38"/>
      <c r="K258" s="80"/>
      <c r="L258" s="82"/>
    </row>
    <row r="259" spans="2:14" s="1" customFormat="1" ht="13.35" customHeight="1" x14ac:dyDescent="0.15">
      <c r="B259" s="16"/>
      <c r="C259" s="37" t="s">
        <v>149</v>
      </c>
      <c r="D259" s="24"/>
      <c r="E259" s="24"/>
      <c r="F259" s="129"/>
      <c r="G259" s="20"/>
      <c r="H259" s="20"/>
      <c r="I259" s="126"/>
      <c r="J259" s="38"/>
      <c r="K259" s="80"/>
      <c r="L259" s="82"/>
    </row>
    <row r="260" spans="2:14" s="1" customFormat="1" ht="13.35" customHeight="1" x14ac:dyDescent="0.15">
      <c r="B260" s="16">
        <v>1</v>
      </c>
      <c r="C260" s="23"/>
      <c r="D260" s="24"/>
      <c r="E260" s="24"/>
      <c r="F260" s="129"/>
      <c r="G260" s="20"/>
      <c r="H260" s="20">
        <v>1</v>
      </c>
      <c r="I260" s="126">
        <f t="shared" ref="I260:I315" si="17">J260*$C$32</f>
        <v>0</v>
      </c>
      <c r="J260" s="38">
        <f t="shared" ref="J260:J275" si="18">(F260*G260*H260)/$C$32</f>
        <v>0</v>
      </c>
      <c r="K260" s="80"/>
      <c r="L260" s="82"/>
    </row>
    <row r="261" spans="2:14" s="1" customFormat="1" ht="13.35" customHeight="1" x14ac:dyDescent="0.15">
      <c r="B261" s="16">
        <v>2</v>
      </c>
      <c r="C261" s="23"/>
      <c r="D261" s="24"/>
      <c r="E261" s="24"/>
      <c r="F261" s="126"/>
      <c r="G261" s="20"/>
      <c r="H261" s="20">
        <v>1</v>
      </c>
      <c r="I261" s="126">
        <f t="shared" si="17"/>
        <v>0</v>
      </c>
      <c r="J261" s="38">
        <f t="shared" si="18"/>
        <v>0</v>
      </c>
      <c r="K261" s="80"/>
      <c r="L261" s="82"/>
    </row>
    <row r="262" spans="2:14" s="1" customFormat="1" ht="13.35" customHeight="1" x14ac:dyDescent="0.15">
      <c r="B262" s="16">
        <v>3</v>
      </c>
      <c r="C262" s="23"/>
      <c r="D262" s="25"/>
      <c r="E262" s="25"/>
      <c r="F262" s="129"/>
      <c r="G262" s="20"/>
      <c r="H262" s="20">
        <v>1</v>
      </c>
      <c r="I262" s="126">
        <f t="shared" si="17"/>
        <v>0</v>
      </c>
      <c r="J262" s="38">
        <f t="shared" si="18"/>
        <v>0</v>
      </c>
      <c r="K262" s="80"/>
      <c r="L262" s="82"/>
    </row>
    <row r="263" spans="2:14" s="1" customFormat="1" ht="13.35" customHeight="1" x14ac:dyDescent="0.15">
      <c r="B263" s="16">
        <v>4</v>
      </c>
      <c r="C263" s="23"/>
      <c r="D263" s="24"/>
      <c r="E263" s="24"/>
      <c r="F263" s="129"/>
      <c r="G263" s="20"/>
      <c r="H263" s="20">
        <v>1</v>
      </c>
      <c r="I263" s="126">
        <f t="shared" si="17"/>
        <v>0</v>
      </c>
      <c r="J263" s="38">
        <f t="shared" si="18"/>
        <v>0</v>
      </c>
      <c r="K263" s="80"/>
      <c r="L263" s="82"/>
    </row>
    <row r="264" spans="2:14" s="1" customFormat="1" ht="13.35" customHeight="1" x14ac:dyDescent="0.15">
      <c r="B264" s="16">
        <v>5</v>
      </c>
      <c r="C264" s="16"/>
      <c r="D264" s="18"/>
      <c r="E264" s="18"/>
      <c r="F264" s="129"/>
      <c r="G264" s="20"/>
      <c r="H264" s="20">
        <v>1</v>
      </c>
      <c r="I264" s="126">
        <f t="shared" si="17"/>
        <v>0</v>
      </c>
      <c r="J264" s="38">
        <f t="shared" si="18"/>
        <v>0</v>
      </c>
      <c r="K264" s="80"/>
      <c r="L264" s="82"/>
    </row>
    <row r="265" spans="2:14" s="1" customFormat="1" ht="13.35" customHeight="1" x14ac:dyDescent="0.15">
      <c r="B265" s="16">
        <v>6</v>
      </c>
      <c r="C265" s="17"/>
      <c r="D265" s="24"/>
      <c r="E265" s="24"/>
      <c r="F265" s="129"/>
      <c r="G265" s="20"/>
      <c r="H265" s="20">
        <v>1</v>
      </c>
      <c r="I265" s="126">
        <f t="shared" si="17"/>
        <v>0</v>
      </c>
      <c r="J265" s="38">
        <f t="shared" si="18"/>
        <v>0</v>
      </c>
      <c r="K265" s="80"/>
      <c r="L265" s="82"/>
    </row>
    <row r="266" spans="2:14" s="1" customFormat="1" ht="13.35" customHeight="1" x14ac:dyDescent="0.15">
      <c r="B266" s="16">
        <v>7</v>
      </c>
      <c r="C266" s="17"/>
      <c r="D266" s="24"/>
      <c r="E266" s="24"/>
      <c r="F266" s="129"/>
      <c r="G266" s="20"/>
      <c r="H266" s="20">
        <v>1</v>
      </c>
      <c r="I266" s="126">
        <f t="shared" si="17"/>
        <v>0</v>
      </c>
      <c r="J266" s="38">
        <f t="shared" si="18"/>
        <v>0</v>
      </c>
      <c r="K266" s="80"/>
      <c r="L266" s="82"/>
    </row>
    <row r="267" spans="2:14" s="1" customFormat="1" ht="13.35" customHeight="1" x14ac:dyDescent="0.15">
      <c r="B267" s="16">
        <v>8</v>
      </c>
      <c r="C267" s="17"/>
      <c r="D267" s="24"/>
      <c r="E267" s="24"/>
      <c r="F267" s="129"/>
      <c r="G267" s="20"/>
      <c r="H267" s="20">
        <v>1</v>
      </c>
      <c r="I267" s="126">
        <f t="shared" si="17"/>
        <v>0</v>
      </c>
      <c r="J267" s="38">
        <f t="shared" si="18"/>
        <v>0</v>
      </c>
      <c r="K267" s="80"/>
      <c r="L267" s="82"/>
    </row>
    <row r="268" spans="2:14" s="1" customFormat="1" ht="13.35" customHeight="1" x14ac:dyDescent="0.15">
      <c r="B268" s="16">
        <v>9</v>
      </c>
      <c r="C268" s="17"/>
      <c r="D268" s="24"/>
      <c r="E268" s="24"/>
      <c r="F268" s="129"/>
      <c r="G268" s="20"/>
      <c r="H268" s="20">
        <v>1</v>
      </c>
      <c r="I268" s="126">
        <f t="shared" si="17"/>
        <v>0</v>
      </c>
      <c r="J268" s="38">
        <f t="shared" si="18"/>
        <v>0</v>
      </c>
      <c r="K268" s="80"/>
      <c r="L268" s="82"/>
    </row>
    <row r="269" spans="2:14" s="1" customFormat="1" ht="13.35" customHeight="1" x14ac:dyDescent="0.15">
      <c r="B269" s="16">
        <v>10</v>
      </c>
      <c r="C269" s="17"/>
      <c r="D269" s="24"/>
      <c r="E269" s="24"/>
      <c r="F269" s="129"/>
      <c r="G269" s="20"/>
      <c r="H269" s="20">
        <v>1</v>
      </c>
      <c r="I269" s="126">
        <f t="shared" si="17"/>
        <v>0</v>
      </c>
      <c r="J269" s="38">
        <f t="shared" si="18"/>
        <v>0</v>
      </c>
      <c r="K269" s="80"/>
      <c r="L269" s="82"/>
    </row>
    <row r="270" spans="2:14" s="1" customFormat="1" ht="13.35" customHeight="1" x14ac:dyDescent="0.15">
      <c r="B270" s="16"/>
      <c r="C270" s="17"/>
      <c r="D270" s="24"/>
      <c r="E270" s="24"/>
      <c r="F270" s="129"/>
      <c r="G270" s="20"/>
      <c r="H270" s="20"/>
      <c r="I270" s="126"/>
      <c r="J270" s="38"/>
      <c r="K270" s="80"/>
      <c r="L270" s="82"/>
      <c r="N270" s="41"/>
    </row>
    <row r="271" spans="2:14" s="1" customFormat="1" ht="13.35" customHeight="1" x14ac:dyDescent="0.15">
      <c r="B271" s="16"/>
      <c r="C271" s="17"/>
      <c r="D271" s="24"/>
      <c r="E271" s="24"/>
      <c r="F271" s="129"/>
      <c r="G271" s="20"/>
      <c r="H271" s="20"/>
      <c r="I271" s="126"/>
      <c r="J271" s="21"/>
      <c r="K271" s="80"/>
      <c r="L271" s="82"/>
    </row>
    <row r="272" spans="2:14" s="1" customFormat="1" ht="13.35" customHeight="1" x14ac:dyDescent="0.15">
      <c r="B272" s="16"/>
      <c r="C272" s="22" t="s">
        <v>156</v>
      </c>
      <c r="D272" s="24"/>
      <c r="E272" s="24"/>
      <c r="F272" s="129"/>
      <c r="G272" s="20"/>
      <c r="H272" s="20"/>
      <c r="I272" s="126"/>
      <c r="J272" s="21"/>
      <c r="K272" s="80"/>
      <c r="L272" s="82"/>
    </row>
    <row r="273" spans="2:20" s="1" customFormat="1" ht="16.5" x14ac:dyDescent="0.15">
      <c r="B273" s="16">
        <v>1</v>
      </c>
      <c r="C273" s="44"/>
      <c r="D273" s="18"/>
      <c r="E273" s="18"/>
      <c r="F273" s="129"/>
      <c r="G273" s="20"/>
      <c r="H273" s="20">
        <v>1</v>
      </c>
      <c r="I273" s="126">
        <f t="shared" si="17"/>
        <v>0</v>
      </c>
      <c r="J273" s="38">
        <f t="shared" si="18"/>
        <v>0</v>
      </c>
      <c r="K273" s="80"/>
      <c r="L273" s="82"/>
      <c r="M273" s="10"/>
      <c r="N273" s="42"/>
      <c r="O273" s="10"/>
      <c r="P273" s="10"/>
      <c r="Q273" s="43"/>
      <c r="R273" s="10"/>
      <c r="T273" s="10"/>
    </row>
    <row r="274" spans="2:20" s="1" customFormat="1" ht="16.5" x14ac:dyDescent="0.15">
      <c r="B274" s="16">
        <v>2</v>
      </c>
      <c r="C274" s="45"/>
      <c r="D274" s="18"/>
      <c r="E274" s="18"/>
      <c r="F274" s="129"/>
      <c r="G274" s="20"/>
      <c r="H274" s="20">
        <v>1</v>
      </c>
      <c r="I274" s="126">
        <f>J274*$C$32</f>
        <v>0</v>
      </c>
      <c r="J274" s="38">
        <f t="shared" si="18"/>
        <v>0</v>
      </c>
      <c r="K274" s="80"/>
      <c r="L274" s="82"/>
      <c r="M274" s="10"/>
      <c r="N274" s="42"/>
      <c r="O274" s="10"/>
      <c r="P274" s="10"/>
      <c r="Q274" s="43"/>
      <c r="R274" s="10"/>
      <c r="T274" s="10"/>
    </row>
    <row r="275" spans="2:20" s="1" customFormat="1" ht="12.95" customHeight="1" x14ac:dyDescent="0.15">
      <c r="B275" s="16">
        <v>3</v>
      </c>
      <c r="C275" s="44"/>
      <c r="D275" s="18"/>
      <c r="E275" s="18"/>
      <c r="F275" s="129"/>
      <c r="G275" s="20"/>
      <c r="H275" s="20">
        <v>1</v>
      </c>
      <c r="I275" s="126">
        <f t="shared" si="17"/>
        <v>0</v>
      </c>
      <c r="J275" s="21">
        <f t="shared" si="18"/>
        <v>0</v>
      </c>
      <c r="K275" s="80"/>
      <c r="L275" s="82"/>
      <c r="M275" s="10"/>
      <c r="N275" s="42"/>
      <c r="O275" s="10"/>
      <c r="P275" s="10"/>
      <c r="Q275" s="43"/>
      <c r="R275" s="10"/>
      <c r="T275" s="10"/>
    </row>
    <row r="276" spans="2:20" s="1" customFormat="1" ht="14.25" x14ac:dyDescent="0.15">
      <c r="B276" s="16">
        <v>4</v>
      </c>
      <c r="C276" s="46"/>
      <c r="D276" s="405"/>
      <c r="E276" s="405"/>
      <c r="F276" s="129"/>
      <c r="G276" s="20"/>
      <c r="H276" s="20">
        <v>1</v>
      </c>
      <c r="I276" s="126">
        <f t="shared" si="17"/>
        <v>0</v>
      </c>
      <c r="J276" s="38">
        <f>(F277*G276*H276)/$C$32</f>
        <v>0</v>
      </c>
      <c r="K276" s="80"/>
      <c r="L276" s="82"/>
      <c r="M276" s="10"/>
      <c r="N276" s="42"/>
      <c r="O276" s="10"/>
      <c r="P276" s="10"/>
      <c r="Q276" s="43"/>
      <c r="R276" s="10"/>
      <c r="T276" s="10"/>
    </row>
    <row r="277" spans="2:20" s="1" customFormat="1" ht="14.25" x14ac:dyDescent="0.15">
      <c r="B277" s="16">
        <v>5</v>
      </c>
      <c r="C277" s="11"/>
      <c r="D277" s="18"/>
      <c r="E277" s="18"/>
      <c r="F277" s="129"/>
      <c r="G277" s="20"/>
      <c r="H277" s="20">
        <v>1</v>
      </c>
      <c r="I277" s="126">
        <f t="shared" si="17"/>
        <v>0</v>
      </c>
      <c r="J277" s="38">
        <f>(F279*G277*H277)/$C$32</f>
        <v>0</v>
      </c>
      <c r="K277" s="80"/>
      <c r="L277" s="82"/>
      <c r="M277" s="10"/>
      <c r="N277" s="42"/>
      <c r="O277" s="10"/>
      <c r="P277" s="10"/>
      <c r="Q277" s="43"/>
      <c r="R277" s="10"/>
      <c r="T277" s="10"/>
    </row>
    <row r="278" spans="2:20" s="1" customFormat="1" ht="14.25" x14ac:dyDescent="0.15">
      <c r="B278" s="16">
        <v>6</v>
      </c>
      <c r="C278" s="11"/>
      <c r="D278" s="18"/>
      <c r="E278" s="18"/>
      <c r="F278" s="129"/>
      <c r="G278" s="20"/>
      <c r="H278" s="20">
        <v>1</v>
      </c>
      <c r="I278" s="126">
        <f t="shared" si="17"/>
        <v>0</v>
      </c>
      <c r="J278" s="38">
        <f>(F280*G278*H278)/$C$32</f>
        <v>0</v>
      </c>
      <c r="K278" s="80"/>
      <c r="L278" s="82"/>
      <c r="M278" s="10"/>
      <c r="N278" s="42"/>
      <c r="O278" s="10"/>
      <c r="P278" s="10"/>
      <c r="Q278" s="43"/>
      <c r="R278" s="10"/>
      <c r="T278" s="10"/>
    </row>
    <row r="279" spans="2:20" s="1" customFormat="1" ht="16.5" x14ac:dyDescent="0.2">
      <c r="B279" s="16">
        <v>7</v>
      </c>
      <c r="C279" s="47"/>
      <c r="D279" s="18"/>
      <c r="E279" s="18"/>
      <c r="F279" s="129"/>
      <c r="G279" s="20"/>
      <c r="H279" s="20">
        <v>1</v>
      </c>
      <c r="I279" s="126">
        <f t="shared" si="17"/>
        <v>0</v>
      </c>
      <c r="J279" s="38">
        <f>(F281*G279*H279)/$C$32</f>
        <v>0</v>
      </c>
      <c r="K279" s="80"/>
      <c r="L279" s="82"/>
      <c r="M279" s="10"/>
      <c r="N279" s="42"/>
      <c r="O279" s="10"/>
      <c r="P279" s="10"/>
      <c r="Q279" s="43"/>
      <c r="R279" s="10"/>
      <c r="T279" s="10"/>
    </row>
    <row r="280" spans="2:20" s="1" customFormat="1" ht="14.25" x14ac:dyDescent="0.15">
      <c r="B280" s="16">
        <v>8</v>
      </c>
      <c r="C280" s="11"/>
      <c r="D280" s="18"/>
      <c r="E280" s="18"/>
      <c r="F280" s="129"/>
      <c r="G280" s="20"/>
      <c r="H280" s="20">
        <v>1</v>
      </c>
      <c r="I280" s="126">
        <f t="shared" si="17"/>
        <v>0</v>
      </c>
      <c r="J280" s="21">
        <f>(F282*G280*H280)/$C$32</f>
        <v>0</v>
      </c>
      <c r="K280" s="80"/>
      <c r="L280" s="82"/>
      <c r="M280" s="10"/>
      <c r="N280" s="42"/>
      <c r="O280" s="10"/>
      <c r="P280" s="10"/>
      <c r="Q280" s="43"/>
      <c r="R280" s="10"/>
      <c r="T280" s="10"/>
    </row>
    <row r="281" spans="2:20" s="1" customFormat="1" ht="14.25" x14ac:dyDescent="0.15">
      <c r="B281" s="16">
        <v>9</v>
      </c>
      <c r="C281" s="11"/>
      <c r="D281" s="18"/>
      <c r="E281" s="18"/>
      <c r="F281" s="129"/>
      <c r="G281" s="20"/>
      <c r="H281" s="20">
        <v>1</v>
      </c>
      <c r="I281" s="126">
        <f t="shared" si="17"/>
        <v>0</v>
      </c>
      <c r="J281" s="38">
        <f t="shared" ref="J281:J282" si="19">(F283*G281*H281)/$C$32</f>
        <v>0</v>
      </c>
      <c r="K281" s="80"/>
      <c r="L281" s="82"/>
      <c r="M281" s="10"/>
      <c r="N281" s="42"/>
      <c r="O281" s="10"/>
      <c r="P281" s="10"/>
      <c r="Q281" s="43"/>
      <c r="R281" s="10"/>
      <c r="T281" s="10"/>
    </row>
    <row r="282" spans="2:20" s="1" customFormat="1" ht="14.25" x14ac:dyDescent="0.15">
      <c r="B282" s="16">
        <v>10</v>
      </c>
      <c r="C282" s="11"/>
      <c r="D282" s="18"/>
      <c r="E282" s="18"/>
      <c r="F282" s="129"/>
      <c r="G282" s="20"/>
      <c r="H282" s="20">
        <v>1</v>
      </c>
      <c r="I282" s="126">
        <f t="shared" si="17"/>
        <v>0</v>
      </c>
      <c r="J282" s="38">
        <f t="shared" si="19"/>
        <v>0</v>
      </c>
      <c r="K282" s="80"/>
      <c r="L282" s="82"/>
      <c r="M282" s="10"/>
      <c r="N282" s="42"/>
      <c r="O282" s="10"/>
      <c r="P282" s="10"/>
      <c r="Q282" s="43"/>
      <c r="R282" s="10"/>
      <c r="T282" s="10"/>
    </row>
    <row r="283" spans="2:20" s="1" customFormat="1" ht="14.25" x14ac:dyDescent="0.15">
      <c r="B283" s="16">
        <v>11</v>
      </c>
      <c r="C283" s="11"/>
      <c r="D283" s="18"/>
      <c r="E283" s="18"/>
      <c r="F283" s="129"/>
      <c r="G283" s="20"/>
      <c r="H283" s="20">
        <v>1</v>
      </c>
      <c r="I283" s="126">
        <f t="shared" si="17"/>
        <v>0</v>
      </c>
      <c r="J283" s="38">
        <f t="shared" ref="J283:J315" si="20">(F283*G283*H283)/$C$32</f>
        <v>0</v>
      </c>
      <c r="K283" s="80"/>
      <c r="L283" s="82"/>
      <c r="M283" s="10"/>
      <c r="N283" s="42"/>
      <c r="O283" s="10"/>
      <c r="P283" s="10"/>
      <c r="Q283" s="43"/>
      <c r="R283" s="10"/>
      <c r="T283" s="10"/>
    </row>
    <row r="284" spans="2:20" s="1" customFormat="1" ht="14.25" x14ac:dyDescent="0.15">
      <c r="B284" s="16">
        <v>12</v>
      </c>
      <c r="C284" s="11"/>
      <c r="D284" s="18"/>
      <c r="E284" s="18"/>
      <c r="F284" s="129"/>
      <c r="G284" s="20"/>
      <c r="H284" s="20">
        <v>1</v>
      </c>
      <c r="I284" s="126">
        <f t="shared" si="17"/>
        <v>0</v>
      </c>
      <c r="J284" s="21">
        <f t="shared" si="20"/>
        <v>0</v>
      </c>
      <c r="K284" s="80"/>
      <c r="L284" s="82"/>
      <c r="M284" s="10"/>
      <c r="N284" s="42"/>
      <c r="O284" s="10"/>
      <c r="P284" s="10"/>
      <c r="Q284" s="43"/>
      <c r="R284" s="10"/>
      <c r="T284" s="10"/>
    </row>
    <row r="285" spans="2:20" s="1" customFormat="1" ht="14.25" x14ac:dyDescent="0.15">
      <c r="B285" s="16">
        <v>13</v>
      </c>
      <c r="C285" s="11"/>
      <c r="D285" s="18"/>
      <c r="E285" s="18"/>
      <c r="F285" s="129"/>
      <c r="G285" s="20"/>
      <c r="H285" s="20">
        <v>1</v>
      </c>
      <c r="I285" s="126">
        <f t="shared" si="17"/>
        <v>0</v>
      </c>
      <c r="J285" s="38">
        <f t="shared" si="20"/>
        <v>0</v>
      </c>
      <c r="K285" s="80"/>
      <c r="L285" s="82"/>
      <c r="M285" s="10"/>
      <c r="N285" s="42"/>
      <c r="O285" s="10"/>
      <c r="P285" s="10"/>
      <c r="Q285" s="43"/>
      <c r="R285" s="10"/>
      <c r="T285" s="10"/>
    </row>
    <row r="286" spans="2:20" s="1" customFormat="1" ht="14.25" x14ac:dyDescent="0.15">
      <c r="B286" s="16">
        <v>14</v>
      </c>
      <c r="C286" s="11"/>
      <c r="D286" s="18"/>
      <c r="E286" s="18"/>
      <c r="F286" s="129"/>
      <c r="G286" s="20"/>
      <c r="H286" s="20">
        <v>1</v>
      </c>
      <c r="I286" s="126">
        <f t="shared" si="17"/>
        <v>0</v>
      </c>
      <c r="J286" s="38">
        <f t="shared" si="20"/>
        <v>0</v>
      </c>
      <c r="K286" s="80"/>
      <c r="L286" s="82"/>
      <c r="M286" s="10"/>
      <c r="N286" s="42"/>
      <c r="O286" s="10"/>
      <c r="P286" s="10"/>
      <c r="Q286" s="43"/>
      <c r="R286" s="10"/>
      <c r="T286" s="10"/>
    </row>
    <row r="287" spans="2:20" s="1" customFormat="1" ht="14.25" x14ac:dyDescent="0.15">
      <c r="B287" s="16">
        <v>15</v>
      </c>
      <c r="C287" s="11"/>
      <c r="D287" s="18"/>
      <c r="E287" s="18"/>
      <c r="F287" s="129"/>
      <c r="G287" s="20"/>
      <c r="H287" s="20">
        <v>1</v>
      </c>
      <c r="I287" s="126">
        <f t="shared" si="17"/>
        <v>0</v>
      </c>
      <c r="J287" s="38">
        <f t="shared" si="20"/>
        <v>0</v>
      </c>
      <c r="K287" s="80"/>
      <c r="L287" s="82"/>
      <c r="M287" s="10"/>
      <c r="N287" s="42"/>
      <c r="O287" s="10"/>
      <c r="P287" s="10"/>
      <c r="Q287" s="43"/>
      <c r="R287" s="10"/>
      <c r="T287" s="10"/>
    </row>
    <row r="288" spans="2:20" s="1" customFormat="1" ht="14.25" x14ac:dyDescent="0.15">
      <c r="B288" s="16">
        <v>16</v>
      </c>
      <c r="C288" s="11"/>
      <c r="D288" s="18"/>
      <c r="E288" s="18"/>
      <c r="F288" s="129"/>
      <c r="G288" s="20"/>
      <c r="H288" s="20">
        <v>1</v>
      </c>
      <c r="I288" s="126">
        <f t="shared" si="17"/>
        <v>0</v>
      </c>
      <c r="J288" s="21">
        <f t="shared" si="20"/>
        <v>0</v>
      </c>
      <c r="K288" s="80"/>
      <c r="L288" s="82"/>
      <c r="M288" s="10"/>
      <c r="N288" s="42"/>
      <c r="O288" s="10"/>
      <c r="P288" s="10"/>
      <c r="Q288" s="43"/>
      <c r="R288" s="10"/>
      <c r="T288" s="10"/>
    </row>
    <row r="289" spans="2:20" s="1" customFormat="1" ht="14.25" x14ac:dyDescent="0.15">
      <c r="B289" s="16">
        <v>17</v>
      </c>
      <c r="C289" s="11"/>
      <c r="D289" s="18"/>
      <c r="E289" s="18"/>
      <c r="F289" s="129"/>
      <c r="G289" s="20"/>
      <c r="H289" s="20">
        <v>1</v>
      </c>
      <c r="I289" s="126">
        <f t="shared" si="17"/>
        <v>0</v>
      </c>
      <c r="J289" s="38">
        <f t="shared" si="20"/>
        <v>0</v>
      </c>
      <c r="K289" s="80"/>
      <c r="L289" s="82"/>
      <c r="M289" s="10"/>
      <c r="N289" s="42"/>
      <c r="O289" s="10"/>
      <c r="P289" s="10"/>
      <c r="Q289" s="43"/>
      <c r="R289" s="10"/>
      <c r="T289" s="10"/>
    </row>
    <row r="290" spans="2:20" s="1" customFormat="1" ht="14.25" x14ac:dyDescent="0.15">
      <c r="B290" s="16">
        <v>18</v>
      </c>
      <c r="C290" s="11"/>
      <c r="D290" s="18"/>
      <c r="E290" s="18"/>
      <c r="F290" s="129"/>
      <c r="G290" s="20"/>
      <c r="H290" s="20">
        <v>1</v>
      </c>
      <c r="I290" s="126">
        <f t="shared" si="17"/>
        <v>0</v>
      </c>
      <c r="J290" s="38">
        <f t="shared" si="20"/>
        <v>0</v>
      </c>
      <c r="K290" s="80"/>
      <c r="L290" s="82"/>
      <c r="M290" s="10"/>
      <c r="N290" s="42"/>
      <c r="O290" s="10"/>
      <c r="P290" s="10"/>
      <c r="Q290" s="43"/>
      <c r="R290" s="10"/>
      <c r="T290" s="10"/>
    </row>
    <row r="291" spans="2:20" s="1" customFormat="1" ht="14.25" x14ac:dyDescent="0.15">
      <c r="B291" s="16">
        <v>19</v>
      </c>
      <c r="C291" s="11"/>
      <c r="D291" s="18"/>
      <c r="E291" s="18"/>
      <c r="F291" s="129"/>
      <c r="G291" s="20"/>
      <c r="H291" s="20">
        <v>1</v>
      </c>
      <c r="I291" s="126">
        <f t="shared" si="17"/>
        <v>0</v>
      </c>
      <c r="J291" s="38">
        <f t="shared" si="20"/>
        <v>0</v>
      </c>
      <c r="K291" s="80"/>
      <c r="L291" s="82"/>
      <c r="M291" s="10"/>
      <c r="N291" s="42"/>
      <c r="O291" s="10"/>
      <c r="P291" s="10"/>
      <c r="Q291" s="43"/>
      <c r="R291" s="10"/>
      <c r="T291" s="10"/>
    </row>
    <row r="292" spans="2:20" s="1" customFormat="1" ht="14.25" x14ac:dyDescent="0.15">
      <c r="B292" s="16">
        <v>20</v>
      </c>
      <c r="C292" s="11"/>
      <c r="D292" s="18"/>
      <c r="E292" s="18"/>
      <c r="F292" s="129"/>
      <c r="G292" s="20"/>
      <c r="H292" s="20">
        <v>1</v>
      </c>
      <c r="I292" s="126">
        <f t="shared" si="17"/>
        <v>0</v>
      </c>
      <c r="J292" s="21">
        <f t="shared" si="20"/>
        <v>0</v>
      </c>
      <c r="K292" s="80"/>
      <c r="L292" s="82"/>
      <c r="M292" s="10"/>
      <c r="N292" s="42"/>
      <c r="O292" s="10"/>
      <c r="P292" s="10"/>
      <c r="Q292" s="43"/>
      <c r="R292" s="10"/>
      <c r="T292" s="10"/>
    </row>
    <row r="293" spans="2:20" s="1" customFormat="1" ht="14.25" x14ac:dyDescent="0.15">
      <c r="B293" s="16"/>
      <c r="C293" s="11"/>
      <c r="D293" s="18"/>
      <c r="E293" s="18"/>
      <c r="F293" s="129"/>
      <c r="G293" s="20"/>
      <c r="H293" s="20"/>
      <c r="I293" s="126"/>
      <c r="J293" s="21"/>
      <c r="K293" s="80"/>
      <c r="L293" s="82"/>
      <c r="M293" s="10"/>
      <c r="N293" s="42"/>
      <c r="O293" s="10"/>
      <c r="P293" s="10"/>
      <c r="Q293" s="43"/>
      <c r="R293" s="10"/>
      <c r="T293" s="10"/>
    </row>
    <row r="294" spans="2:20" s="1" customFormat="1" ht="14.25" x14ac:dyDescent="0.15">
      <c r="B294" s="16"/>
      <c r="C294" s="11"/>
      <c r="D294" s="18"/>
      <c r="E294" s="18"/>
      <c r="F294" s="129"/>
      <c r="G294" s="20"/>
      <c r="H294" s="20"/>
      <c r="I294" s="126"/>
      <c r="J294" s="21"/>
      <c r="K294" s="80"/>
      <c r="L294" s="82"/>
      <c r="M294" s="10"/>
      <c r="N294" s="42"/>
      <c r="O294" s="10"/>
      <c r="P294" s="10"/>
      <c r="Q294" s="43"/>
      <c r="R294" s="10"/>
      <c r="T294" s="10"/>
    </row>
    <row r="295" spans="2:20" s="1" customFormat="1" ht="14.25" x14ac:dyDescent="0.15">
      <c r="B295" s="16"/>
      <c r="C295" s="46" t="s">
        <v>159</v>
      </c>
      <c r="D295" s="18"/>
      <c r="E295" s="18"/>
      <c r="F295" s="129"/>
      <c r="G295" s="20"/>
      <c r="H295" s="20"/>
      <c r="I295" s="126"/>
      <c r="J295" s="21"/>
      <c r="K295" s="80"/>
      <c r="L295" s="82"/>
      <c r="M295" s="10"/>
      <c r="N295" s="10"/>
      <c r="O295" s="10"/>
      <c r="P295" s="10"/>
      <c r="Q295" s="43"/>
      <c r="R295" s="10"/>
      <c r="T295" s="10"/>
    </row>
    <row r="296" spans="2:20" s="1" customFormat="1" ht="14.25" x14ac:dyDescent="0.15">
      <c r="B296" s="16">
        <v>1</v>
      </c>
      <c r="C296" s="11"/>
      <c r="D296" s="18"/>
      <c r="E296" s="18"/>
      <c r="F296" s="129"/>
      <c r="G296" s="20"/>
      <c r="H296" s="20">
        <v>1</v>
      </c>
      <c r="I296" s="126">
        <f t="shared" si="17"/>
        <v>0</v>
      </c>
      <c r="J296" s="21">
        <f t="shared" si="20"/>
        <v>0</v>
      </c>
      <c r="K296" s="80"/>
      <c r="L296" s="82"/>
      <c r="M296" s="10"/>
      <c r="N296" s="10"/>
      <c r="O296" s="10"/>
      <c r="P296" s="10"/>
      <c r="Q296" s="43"/>
      <c r="R296" s="10"/>
      <c r="T296" s="10"/>
    </row>
    <row r="297" spans="2:20" s="1" customFormat="1" ht="14.25" x14ac:dyDescent="0.15">
      <c r="B297" s="16">
        <v>2</v>
      </c>
      <c r="C297" s="11"/>
      <c r="D297" s="18"/>
      <c r="E297" s="18"/>
      <c r="F297" s="129"/>
      <c r="G297" s="20"/>
      <c r="H297" s="20">
        <v>1</v>
      </c>
      <c r="I297" s="126">
        <f t="shared" si="17"/>
        <v>0</v>
      </c>
      <c r="J297" s="21">
        <f t="shared" si="20"/>
        <v>0</v>
      </c>
      <c r="K297" s="80"/>
      <c r="L297" s="82"/>
      <c r="M297" s="10"/>
      <c r="N297" s="10"/>
      <c r="O297" s="10"/>
      <c r="P297" s="10"/>
      <c r="Q297" s="43"/>
      <c r="R297" s="10"/>
      <c r="T297" s="10"/>
    </row>
    <row r="298" spans="2:20" s="1" customFormat="1" ht="14.25" x14ac:dyDescent="0.15">
      <c r="B298" s="16">
        <v>3</v>
      </c>
      <c r="C298" s="11"/>
      <c r="D298" s="18"/>
      <c r="E298" s="18"/>
      <c r="F298" s="129"/>
      <c r="G298" s="20"/>
      <c r="H298" s="20">
        <v>1</v>
      </c>
      <c r="I298" s="126">
        <f t="shared" si="17"/>
        <v>0</v>
      </c>
      <c r="J298" s="21">
        <f t="shared" si="20"/>
        <v>0</v>
      </c>
      <c r="K298" s="80"/>
      <c r="L298" s="82"/>
      <c r="M298" s="10"/>
      <c r="N298" s="10"/>
      <c r="O298" s="10"/>
      <c r="P298" s="10"/>
      <c r="Q298" s="43"/>
      <c r="R298" s="10"/>
      <c r="T298" s="10"/>
    </row>
    <row r="299" spans="2:20" s="1" customFormat="1" ht="14.25" x14ac:dyDescent="0.15">
      <c r="B299" s="16">
        <v>4</v>
      </c>
      <c r="C299" s="11"/>
      <c r="D299" s="18"/>
      <c r="E299" s="18"/>
      <c r="F299" s="129"/>
      <c r="G299" s="20"/>
      <c r="H299" s="20">
        <v>1</v>
      </c>
      <c r="I299" s="126">
        <f t="shared" si="17"/>
        <v>0</v>
      </c>
      <c r="J299" s="21">
        <f t="shared" si="20"/>
        <v>0</v>
      </c>
      <c r="K299" s="80"/>
      <c r="L299" s="82"/>
      <c r="M299" s="10"/>
      <c r="N299" s="10"/>
      <c r="O299" s="10"/>
      <c r="P299" s="10"/>
      <c r="Q299" s="43"/>
      <c r="R299" s="10"/>
      <c r="T299" s="10"/>
    </row>
    <row r="300" spans="2:20" s="1" customFormat="1" ht="14.25" x14ac:dyDescent="0.15">
      <c r="B300" s="16">
        <v>5</v>
      </c>
      <c r="C300" s="11"/>
      <c r="D300" s="18"/>
      <c r="E300" s="18"/>
      <c r="F300" s="129"/>
      <c r="G300" s="20"/>
      <c r="H300" s="20">
        <v>1</v>
      </c>
      <c r="I300" s="126">
        <f t="shared" si="17"/>
        <v>0</v>
      </c>
      <c r="J300" s="21">
        <f t="shared" si="20"/>
        <v>0</v>
      </c>
      <c r="K300" s="80"/>
      <c r="L300" s="82"/>
      <c r="M300" s="10"/>
      <c r="N300" s="10"/>
      <c r="O300" s="10"/>
      <c r="P300" s="10"/>
      <c r="Q300" s="43"/>
      <c r="R300" s="10"/>
      <c r="T300" s="10"/>
    </row>
    <row r="301" spans="2:20" s="1" customFormat="1" ht="14.25" x14ac:dyDescent="0.15">
      <c r="B301" s="16">
        <v>6</v>
      </c>
      <c r="C301" s="11"/>
      <c r="D301" s="18"/>
      <c r="E301" s="18"/>
      <c r="F301" s="129"/>
      <c r="G301" s="20"/>
      <c r="H301" s="20">
        <v>1</v>
      </c>
      <c r="I301" s="126">
        <f t="shared" si="17"/>
        <v>0</v>
      </c>
      <c r="J301" s="21">
        <f t="shared" si="20"/>
        <v>0</v>
      </c>
      <c r="K301" s="80"/>
      <c r="L301" s="82"/>
      <c r="M301" s="10"/>
      <c r="N301" s="10"/>
      <c r="O301" s="10"/>
      <c r="P301" s="10"/>
      <c r="Q301" s="43"/>
      <c r="R301" s="10"/>
      <c r="T301" s="10"/>
    </row>
    <row r="302" spans="2:20" s="1" customFormat="1" ht="14.25" x14ac:dyDescent="0.15">
      <c r="B302" s="16">
        <v>7</v>
      </c>
      <c r="C302" s="11"/>
      <c r="D302" s="18"/>
      <c r="E302" s="18"/>
      <c r="F302" s="129"/>
      <c r="G302" s="20"/>
      <c r="H302" s="20">
        <v>1</v>
      </c>
      <c r="I302" s="126">
        <f t="shared" si="17"/>
        <v>0</v>
      </c>
      <c r="J302" s="21">
        <f t="shared" si="20"/>
        <v>0</v>
      </c>
      <c r="K302" s="80"/>
      <c r="L302" s="82"/>
      <c r="M302" s="10"/>
      <c r="N302" s="10"/>
      <c r="O302" s="10"/>
      <c r="P302" s="10"/>
      <c r="Q302" s="43"/>
      <c r="R302" s="10"/>
      <c r="T302" s="10"/>
    </row>
    <row r="303" spans="2:20" s="1" customFormat="1" ht="14.25" x14ac:dyDescent="0.15">
      <c r="B303" s="16">
        <v>8</v>
      </c>
      <c r="C303" s="11"/>
      <c r="D303" s="18"/>
      <c r="E303" s="18"/>
      <c r="F303" s="129"/>
      <c r="G303" s="20"/>
      <c r="H303" s="20">
        <v>1</v>
      </c>
      <c r="I303" s="126">
        <f t="shared" si="17"/>
        <v>0</v>
      </c>
      <c r="J303" s="21">
        <f t="shared" si="20"/>
        <v>0</v>
      </c>
      <c r="K303" s="80"/>
      <c r="L303" s="82"/>
      <c r="M303" s="10"/>
      <c r="N303" s="10"/>
      <c r="O303" s="10"/>
      <c r="P303" s="10"/>
      <c r="Q303" s="43"/>
      <c r="R303" s="10"/>
      <c r="T303" s="10"/>
    </row>
    <row r="304" spans="2:20" s="1" customFormat="1" ht="14.25" x14ac:dyDescent="0.15">
      <c r="B304" s="16">
        <v>9</v>
      </c>
      <c r="C304" s="11"/>
      <c r="D304" s="18"/>
      <c r="E304" s="18"/>
      <c r="F304" s="129"/>
      <c r="G304" s="20"/>
      <c r="H304" s="20">
        <v>1</v>
      </c>
      <c r="I304" s="126">
        <f t="shared" si="17"/>
        <v>0</v>
      </c>
      <c r="J304" s="21">
        <f t="shared" si="20"/>
        <v>0</v>
      </c>
      <c r="K304" s="80"/>
      <c r="L304" s="82"/>
      <c r="M304" s="10"/>
      <c r="N304" s="10"/>
      <c r="O304" s="10"/>
      <c r="P304" s="10"/>
      <c r="Q304" s="43"/>
      <c r="R304" s="10"/>
      <c r="T304" s="10"/>
    </row>
    <row r="305" spans="2:20" s="1" customFormat="1" ht="14.25" x14ac:dyDescent="0.15">
      <c r="B305" s="16">
        <v>10</v>
      </c>
      <c r="C305" s="11"/>
      <c r="D305" s="18"/>
      <c r="E305" s="18"/>
      <c r="F305" s="129"/>
      <c r="G305" s="20"/>
      <c r="H305" s="20">
        <v>1</v>
      </c>
      <c r="I305" s="126">
        <f t="shared" si="17"/>
        <v>0</v>
      </c>
      <c r="J305" s="21">
        <f t="shared" si="20"/>
        <v>0</v>
      </c>
      <c r="K305" s="80"/>
      <c r="L305" s="82"/>
      <c r="M305" s="10"/>
      <c r="N305" s="10"/>
      <c r="O305" s="10"/>
      <c r="P305" s="10"/>
      <c r="Q305" s="43"/>
      <c r="R305" s="10"/>
      <c r="T305" s="10"/>
    </row>
    <row r="306" spans="2:20" s="1" customFormat="1" ht="14.25" x14ac:dyDescent="0.15">
      <c r="B306" s="16">
        <v>11</v>
      </c>
      <c r="C306" s="11"/>
      <c r="D306" s="18"/>
      <c r="E306" s="18"/>
      <c r="F306" s="129"/>
      <c r="G306" s="20"/>
      <c r="H306" s="20">
        <v>1</v>
      </c>
      <c r="I306" s="126">
        <f t="shared" si="17"/>
        <v>0</v>
      </c>
      <c r="J306" s="21">
        <f t="shared" si="20"/>
        <v>0</v>
      </c>
      <c r="K306" s="80"/>
      <c r="L306" s="82"/>
      <c r="M306" s="10"/>
      <c r="N306" s="10"/>
      <c r="O306" s="10"/>
      <c r="P306" s="10"/>
      <c r="Q306" s="43"/>
      <c r="R306" s="10"/>
      <c r="T306" s="10"/>
    </row>
    <row r="307" spans="2:20" s="1" customFormat="1" ht="14.25" x14ac:dyDescent="0.15">
      <c r="B307" s="16">
        <v>12</v>
      </c>
      <c r="C307" s="11"/>
      <c r="D307" s="18"/>
      <c r="E307" s="18"/>
      <c r="F307" s="129"/>
      <c r="G307" s="20"/>
      <c r="H307" s="20">
        <v>1</v>
      </c>
      <c r="I307" s="126">
        <f t="shared" si="17"/>
        <v>0</v>
      </c>
      <c r="J307" s="21">
        <f t="shared" si="20"/>
        <v>0</v>
      </c>
      <c r="K307" s="80"/>
      <c r="L307" s="82"/>
      <c r="M307" s="10"/>
      <c r="N307" s="10"/>
      <c r="O307" s="10"/>
      <c r="P307" s="10"/>
      <c r="Q307" s="43"/>
      <c r="R307" s="10"/>
      <c r="T307" s="10"/>
    </row>
    <row r="308" spans="2:20" s="1" customFormat="1" ht="14.25" x14ac:dyDescent="0.15">
      <c r="B308" s="16">
        <v>13</v>
      </c>
      <c r="C308" s="11"/>
      <c r="D308" s="18"/>
      <c r="E308" s="18"/>
      <c r="F308" s="129"/>
      <c r="G308" s="20"/>
      <c r="H308" s="20">
        <v>1</v>
      </c>
      <c r="I308" s="126">
        <f t="shared" si="17"/>
        <v>0</v>
      </c>
      <c r="J308" s="21">
        <f t="shared" si="20"/>
        <v>0</v>
      </c>
      <c r="K308" s="80"/>
      <c r="L308" s="82"/>
      <c r="M308" s="10"/>
      <c r="N308" s="10"/>
      <c r="O308" s="10"/>
      <c r="P308" s="10"/>
      <c r="Q308" s="43"/>
      <c r="R308" s="10"/>
      <c r="T308" s="10"/>
    </row>
    <row r="309" spans="2:20" s="1" customFormat="1" ht="14.25" x14ac:dyDescent="0.15">
      <c r="B309" s="16">
        <v>14</v>
      </c>
      <c r="C309" s="11"/>
      <c r="D309" s="18"/>
      <c r="E309" s="18"/>
      <c r="F309" s="129"/>
      <c r="G309" s="20"/>
      <c r="H309" s="20">
        <v>1</v>
      </c>
      <c r="I309" s="126">
        <f t="shared" si="17"/>
        <v>0</v>
      </c>
      <c r="J309" s="21">
        <f t="shared" si="20"/>
        <v>0</v>
      </c>
      <c r="K309" s="80"/>
      <c r="L309" s="82"/>
      <c r="M309" s="10"/>
      <c r="N309" s="10"/>
      <c r="O309" s="10"/>
      <c r="P309" s="10"/>
      <c r="Q309" s="43"/>
      <c r="R309" s="10"/>
      <c r="T309" s="10"/>
    </row>
    <row r="310" spans="2:20" s="1" customFormat="1" ht="14.25" x14ac:dyDescent="0.15">
      <c r="B310" s="16">
        <v>15</v>
      </c>
      <c r="C310" s="11"/>
      <c r="D310" s="18"/>
      <c r="E310" s="18"/>
      <c r="F310" s="129"/>
      <c r="G310" s="20"/>
      <c r="H310" s="20">
        <v>1</v>
      </c>
      <c r="I310" s="126">
        <f t="shared" si="17"/>
        <v>0</v>
      </c>
      <c r="J310" s="21">
        <f t="shared" si="20"/>
        <v>0</v>
      </c>
      <c r="K310" s="80"/>
      <c r="L310" s="82"/>
      <c r="M310" s="10"/>
      <c r="N310" s="10"/>
      <c r="O310" s="10"/>
      <c r="P310" s="10"/>
      <c r="Q310" s="43"/>
      <c r="R310" s="10"/>
      <c r="T310" s="10"/>
    </row>
    <row r="311" spans="2:20" s="1" customFormat="1" ht="14.25" x14ac:dyDescent="0.15">
      <c r="B311" s="16">
        <v>16</v>
      </c>
      <c r="C311" s="11"/>
      <c r="D311" s="18"/>
      <c r="E311" s="18"/>
      <c r="F311" s="129"/>
      <c r="G311" s="20"/>
      <c r="H311" s="20">
        <v>1</v>
      </c>
      <c r="I311" s="126">
        <f t="shared" si="17"/>
        <v>0</v>
      </c>
      <c r="J311" s="21">
        <f t="shared" si="20"/>
        <v>0</v>
      </c>
      <c r="K311" s="80"/>
      <c r="L311" s="82"/>
      <c r="M311" s="10"/>
      <c r="N311" s="10"/>
      <c r="O311" s="10"/>
      <c r="P311" s="10"/>
      <c r="Q311" s="43"/>
      <c r="R311" s="10"/>
      <c r="T311" s="10"/>
    </row>
    <row r="312" spans="2:20" s="1" customFormat="1" ht="14.25" x14ac:dyDescent="0.15">
      <c r="B312" s="16">
        <v>17</v>
      </c>
      <c r="C312" s="11"/>
      <c r="D312" s="18"/>
      <c r="E312" s="18"/>
      <c r="F312" s="129"/>
      <c r="G312" s="20"/>
      <c r="H312" s="20">
        <v>1</v>
      </c>
      <c r="I312" s="126">
        <f t="shared" si="17"/>
        <v>0</v>
      </c>
      <c r="J312" s="21">
        <f t="shared" si="20"/>
        <v>0</v>
      </c>
      <c r="K312" s="80"/>
      <c r="L312" s="82"/>
      <c r="M312" s="10"/>
      <c r="N312" s="10"/>
      <c r="O312" s="10"/>
      <c r="P312" s="10"/>
      <c r="Q312" s="43"/>
      <c r="R312" s="10"/>
      <c r="T312" s="10"/>
    </row>
    <row r="313" spans="2:20" s="1" customFormat="1" ht="14.25" x14ac:dyDescent="0.15">
      <c r="B313" s="16">
        <v>18</v>
      </c>
      <c r="C313" s="11"/>
      <c r="D313" s="18"/>
      <c r="E313" s="18"/>
      <c r="F313" s="129"/>
      <c r="G313" s="20"/>
      <c r="H313" s="20">
        <v>1</v>
      </c>
      <c r="I313" s="126">
        <f t="shared" si="17"/>
        <v>0</v>
      </c>
      <c r="J313" s="78">
        <f t="shared" si="20"/>
        <v>0</v>
      </c>
      <c r="K313" s="111"/>
      <c r="L313" s="119"/>
      <c r="M313" s="10"/>
      <c r="N313" s="10"/>
      <c r="O313" s="10"/>
      <c r="P313" s="10"/>
      <c r="Q313" s="43"/>
      <c r="R313" s="10"/>
      <c r="T313" s="10"/>
    </row>
    <row r="314" spans="2:20" s="1" customFormat="1" ht="14.25" x14ac:dyDescent="0.15">
      <c r="B314" s="16">
        <v>19</v>
      </c>
      <c r="C314" s="11"/>
      <c r="D314" s="18"/>
      <c r="E314" s="18"/>
      <c r="F314" s="129"/>
      <c r="G314" s="20"/>
      <c r="H314" s="20">
        <v>1</v>
      </c>
      <c r="I314" s="254">
        <f t="shared" si="17"/>
        <v>0</v>
      </c>
      <c r="J314" s="94">
        <f t="shared" si="20"/>
        <v>0</v>
      </c>
      <c r="K314" s="82"/>
      <c r="L314" s="82"/>
      <c r="M314" s="10"/>
      <c r="N314" s="10"/>
      <c r="O314" s="10"/>
      <c r="P314" s="10"/>
      <c r="Q314" s="43"/>
      <c r="R314" s="10"/>
      <c r="T314" s="10"/>
    </row>
    <row r="315" spans="2:20" s="1" customFormat="1" ht="14.25" x14ac:dyDescent="0.15">
      <c r="B315" s="16">
        <v>20</v>
      </c>
      <c r="C315" s="11"/>
      <c r="D315" s="18"/>
      <c r="E315" s="18"/>
      <c r="F315" s="129"/>
      <c r="G315" s="20"/>
      <c r="H315" s="20">
        <v>1</v>
      </c>
      <c r="I315" s="254">
        <f t="shared" si="17"/>
        <v>0</v>
      </c>
      <c r="J315" s="94">
        <f t="shared" si="20"/>
        <v>0</v>
      </c>
      <c r="K315" s="82"/>
      <c r="L315" s="82"/>
      <c r="M315" s="10"/>
      <c r="N315" s="10"/>
      <c r="O315" s="10"/>
      <c r="P315" s="10"/>
      <c r="Q315" s="43"/>
      <c r="R315" s="10"/>
      <c r="T315" s="10"/>
    </row>
    <row r="316" spans="2:20" s="1" customFormat="1" ht="14.25" x14ac:dyDescent="0.15">
      <c r="B316" s="83"/>
      <c r="C316" s="160"/>
      <c r="D316" s="75"/>
      <c r="E316" s="75"/>
      <c r="F316" s="132"/>
      <c r="G316" s="77"/>
      <c r="H316" s="77"/>
      <c r="I316" s="255"/>
      <c r="J316" s="94"/>
      <c r="K316" s="82"/>
      <c r="L316" s="82"/>
      <c r="M316" s="10"/>
      <c r="N316" s="10"/>
      <c r="O316" s="10"/>
      <c r="P316" s="10"/>
      <c r="Q316" s="43"/>
      <c r="R316" s="10"/>
      <c r="T316" s="10"/>
    </row>
    <row r="317" spans="2:20" s="1" customFormat="1" ht="14.25" x14ac:dyDescent="0.15">
      <c r="B317" s="82"/>
      <c r="C317" s="102"/>
      <c r="D317" s="103"/>
      <c r="E317" s="102"/>
      <c r="F317" s="128">
        <f>SUM(F257:F316)</f>
        <v>0</v>
      </c>
      <c r="G317" s="104"/>
      <c r="H317" s="105"/>
      <c r="I317" s="256">
        <f>SUM(I258:I316)</f>
        <v>0</v>
      </c>
      <c r="J317" s="257">
        <f>SUM(J257:J276)</f>
        <v>0</v>
      </c>
      <c r="M317" s="10"/>
      <c r="N317" s="10"/>
      <c r="O317" s="10"/>
      <c r="P317" s="10"/>
      <c r="Q317" s="43"/>
      <c r="R317" s="10"/>
      <c r="T317" s="10"/>
    </row>
    <row r="318" spans="2:20" s="67" customFormat="1" ht="14.25" x14ac:dyDescent="0.15">
      <c r="B318" s="116"/>
      <c r="C318" s="114"/>
      <c r="D318" s="114"/>
      <c r="E318" s="114" t="s">
        <v>147</v>
      </c>
      <c r="F318" s="162">
        <f>100/115*F317</f>
        <v>0</v>
      </c>
      <c r="G318" s="161"/>
      <c r="H318" s="161" t="s">
        <v>147</v>
      </c>
      <c r="I318" s="264">
        <f>100/115*I317</f>
        <v>0</v>
      </c>
      <c r="J318" s="114"/>
      <c r="M318" s="68"/>
      <c r="N318" s="68"/>
      <c r="O318" s="68"/>
      <c r="P318" s="68"/>
      <c r="Q318" s="69"/>
      <c r="R318" s="68"/>
      <c r="T318" s="68"/>
    </row>
    <row r="319" spans="2:20" s="1" customFormat="1" ht="14.25" x14ac:dyDescent="0.15">
      <c r="M319" s="10"/>
      <c r="N319" s="10"/>
      <c r="O319" s="10"/>
      <c r="P319" s="10"/>
      <c r="Q319" s="43"/>
      <c r="R319" s="10"/>
      <c r="T319" s="10"/>
    </row>
    <row r="320" spans="2:20" s="1" customFormat="1" ht="14.25" x14ac:dyDescent="0.15">
      <c r="M320" s="10"/>
      <c r="N320" s="10"/>
      <c r="O320" s="10"/>
      <c r="P320" s="10"/>
      <c r="Q320" s="43"/>
      <c r="R320" s="10"/>
      <c r="T320" s="10"/>
    </row>
    <row r="321" spans="2:20" s="1" customFormat="1" ht="14.25" x14ac:dyDescent="0.15">
      <c r="M321" s="10"/>
      <c r="N321" s="10"/>
      <c r="O321" s="10"/>
      <c r="P321" s="10"/>
      <c r="Q321" s="43"/>
      <c r="R321" s="10"/>
      <c r="T321" s="10"/>
    </row>
    <row r="322" spans="2:20" s="1" customFormat="1" ht="14.25" x14ac:dyDescent="0.15">
      <c r="M322" s="10"/>
      <c r="N322" s="10"/>
      <c r="O322" s="10"/>
      <c r="P322" s="10"/>
      <c r="Q322" s="43"/>
      <c r="R322" s="10"/>
      <c r="T322" s="10"/>
    </row>
    <row r="323" spans="2:20" s="247" customFormat="1" ht="32.25" x14ac:dyDescent="0.4">
      <c r="B323" s="248"/>
      <c r="C323" s="380" t="s">
        <v>112</v>
      </c>
      <c r="D323" s="380"/>
      <c r="E323" s="428" t="s">
        <v>108</v>
      </c>
      <c r="F323" s="428"/>
      <c r="G323" s="428"/>
      <c r="H323" s="428"/>
      <c r="I323" s="428"/>
      <c r="J323" s="382">
        <v>2026</v>
      </c>
      <c r="K323" s="382"/>
      <c r="L323" s="382"/>
      <c r="M323" s="249"/>
      <c r="N323" s="249"/>
      <c r="O323" s="249"/>
      <c r="P323" s="249"/>
      <c r="Q323" s="250"/>
      <c r="R323" s="249"/>
      <c r="T323" s="249"/>
    </row>
    <row r="324" spans="2:20" s="1" customFormat="1" ht="22.5" x14ac:dyDescent="0.15">
      <c r="B324" s="82"/>
      <c r="C324" s="102" t="s">
        <v>114</v>
      </c>
      <c r="D324" s="388" t="s">
        <v>115</v>
      </c>
      <c r="E324" s="388"/>
      <c r="F324" s="102" t="s">
        <v>116</v>
      </c>
      <c r="G324" s="102" t="s">
        <v>117</v>
      </c>
      <c r="H324" s="102" t="s">
        <v>118</v>
      </c>
      <c r="I324" s="102" t="s">
        <v>119</v>
      </c>
      <c r="J324" s="102" t="s">
        <v>120</v>
      </c>
      <c r="K324" s="82"/>
      <c r="L324" s="82"/>
      <c r="M324" s="10"/>
      <c r="N324" s="10"/>
      <c r="O324" s="10"/>
      <c r="P324" s="10"/>
      <c r="Q324" s="43"/>
      <c r="R324" s="10"/>
      <c r="T324" s="10"/>
    </row>
    <row r="325" spans="2:20" s="1" customFormat="1" ht="14.25" x14ac:dyDescent="0.15">
      <c r="B325" s="82"/>
      <c r="C325" s="66">
        <f>C255</f>
        <v>350</v>
      </c>
      <c r="D325" s="389">
        <v>20</v>
      </c>
      <c r="E325" s="389"/>
      <c r="F325" s="13">
        <f>F255</f>
        <v>0.8</v>
      </c>
      <c r="G325" s="14">
        <f>G255</f>
        <v>8</v>
      </c>
      <c r="H325" s="142">
        <f>D325*G325*F325</f>
        <v>128</v>
      </c>
      <c r="I325" s="66">
        <f>I387</f>
        <v>0</v>
      </c>
      <c r="J325" s="143">
        <f>H325-J387</f>
        <v>128</v>
      </c>
      <c r="K325" s="82"/>
      <c r="L325" s="82"/>
      <c r="M325" s="10"/>
      <c r="N325" s="10"/>
      <c r="O325" s="10"/>
      <c r="P325" s="10"/>
      <c r="Q325" s="43"/>
      <c r="R325" s="10"/>
      <c r="T325" s="10"/>
    </row>
    <row r="326" spans="2:20" s="1" customFormat="1" ht="33.75" x14ac:dyDescent="0.15">
      <c r="B326" s="82"/>
      <c r="C326" s="167" t="s">
        <v>121</v>
      </c>
      <c r="D326" s="395" t="s">
        <v>122</v>
      </c>
      <c r="E326" s="395"/>
      <c r="F326" s="177" t="s">
        <v>123</v>
      </c>
      <c r="G326" s="178" t="s">
        <v>124</v>
      </c>
      <c r="H326" s="179" t="s">
        <v>125</v>
      </c>
      <c r="I326" s="180" t="s">
        <v>126</v>
      </c>
      <c r="J326" s="178" t="s">
        <v>127</v>
      </c>
      <c r="K326" s="114" t="s">
        <v>128</v>
      </c>
      <c r="L326" s="114" t="s">
        <v>129</v>
      </c>
      <c r="M326" s="10"/>
      <c r="N326" s="10"/>
      <c r="O326" s="10"/>
      <c r="P326" s="10"/>
      <c r="Q326" s="43"/>
      <c r="R326" s="10"/>
      <c r="T326" s="10"/>
    </row>
    <row r="327" spans="2:20" s="1" customFormat="1" ht="14.25" x14ac:dyDescent="0.15">
      <c r="B327" s="84"/>
      <c r="C327" s="81"/>
      <c r="D327" s="404"/>
      <c r="E327" s="404"/>
      <c r="F327" s="175"/>
      <c r="G327" s="87"/>
      <c r="H327" s="87"/>
      <c r="I327" s="176"/>
      <c r="J327" s="88"/>
      <c r="K327" s="79"/>
      <c r="L327" s="120"/>
      <c r="M327" s="10"/>
      <c r="N327" s="10"/>
      <c r="O327" s="10"/>
      <c r="P327" s="10"/>
      <c r="Q327" s="43"/>
      <c r="R327" s="10"/>
      <c r="T327" s="10"/>
    </row>
    <row r="328" spans="2:20" s="1" customFormat="1" ht="12.95" customHeight="1" x14ac:dyDescent="0.15">
      <c r="B328" s="16"/>
      <c r="C328" s="411" t="s">
        <v>130</v>
      </c>
      <c r="D328" s="411"/>
      <c r="E328" s="411"/>
      <c r="F328" s="129"/>
      <c r="G328" s="20"/>
      <c r="H328" s="20"/>
      <c r="I328" s="126"/>
      <c r="J328" s="21"/>
      <c r="K328" s="80"/>
      <c r="L328" s="82"/>
      <c r="M328" s="10"/>
      <c r="N328" s="10"/>
      <c r="O328" s="10"/>
      <c r="P328" s="10"/>
      <c r="Q328" s="43"/>
      <c r="R328" s="10"/>
      <c r="T328" s="10"/>
    </row>
    <row r="329" spans="2:20" s="1" customFormat="1" ht="12.95" customHeight="1" x14ac:dyDescent="0.15">
      <c r="B329" s="16"/>
      <c r="C329" s="37" t="s">
        <v>149</v>
      </c>
      <c r="D329" s="24"/>
      <c r="E329" s="24"/>
      <c r="F329" s="129"/>
      <c r="G329" s="20"/>
      <c r="H329" s="20">
        <v>1</v>
      </c>
      <c r="I329" s="126">
        <f>J329*$C$32</f>
        <v>0</v>
      </c>
      <c r="J329" s="38">
        <f t="shared" ref="J329:J347" si="21">(F329*G329*H329)/$C$32</f>
        <v>0</v>
      </c>
      <c r="K329" s="80"/>
      <c r="L329" s="82"/>
    </row>
    <row r="330" spans="2:20" s="1" customFormat="1" ht="12.95" customHeight="1" x14ac:dyDescent="0.15">
      <c r="B330" s="16">
        <v>1</v>
      </c>
      <c r="C330" s="23"/>
      <c r="D330" s="24"/>
      <c r="E330" s="24"/>
      <c r="F330" s="129"/>
      <c r="G330" s="20"/>
      <c r="H330" s="20">
        <v>1</v>
      </c>
      <c r="I330" s="126">
        <f t="shared" ref="I330:I359" si="22">J330*$C$32</f>
        <v>0</v>
      </c>
      <c r="J330" s="38">
        <f t="shared" si="21"/>
        <v>0</v>
      </c>
      <c r="K330" s="80"/>
      <c r="L330" s="82"/>
    </row>
    <row r="331" spans="2:20" s="1" customFormat="1" ht="12.95" customHeight="1" x14ac:dyDescent="0.15">
      <c r="B331" s="16">
        <v>2</v>
      </c>
      <c r="C331" s="23"/>
      <c r="D331" s="24"/>
      <c r="E331" s="24"/>
      <c r="F331" s="126"/>
      <c r="G331" s="20"/>
      <c r="H331" s="20">
        <v>1</v>
      </c>
      <c r="I331" s="126">
        <f t="shared" si="22"/>
        <v>0</v>
      </c>
      <c r="J331" s="38">
        <f t="shared" si="21"/>
        <v>0</v>
      </c>
      <c r="K331" s="80"/>
      <c r="L331" s="82"/>
    </row>
    <row r="332" spans="2:20" s="1" customFormat="1" ht="12.95" customHeight="1" x14ac:dyDescent="0.15">
      <c r="B332" s="16">
        <v>3</v>
      </c>
      <c r="C332" s="23"/>
      <c r="D332" s="25"/>
      <c r="E332" s="25"/>
      <c r="F332" s="129"/>
      <c r="G332" s="20"/>
      <c r="H332" s="20">
        <v>1</v>
      </c>
      <c r="I332" s="126">
        <f t="shared" si="22"/>
        <v>0</v>
      </c>
      <c r="J332" s="38">
        <f t="shared" si="21"/>
        <v>0</v>
      </c>
      <c r="K332" s="80"/>
      <c r="L332" s="82"/>
    </row>
    <row r="333" spans="2:20" s="1" customFormat="1" ht="12.95" customHeight="1" x14ac:dyDescent="0.15">
      <c r="B333" s="16">
        <v>4</v>
      </c>
      <c r="C333" s="23"/>
      <c r="D333" s="24"/>
      <c r="E333" s="24"/>
      <c r="F333" s="129"/>
      <c r="G333" s="20"/>
      <c r="H333" s="20">
        <v>1</v>
      </c>
      <c r="I333" s="126">
        <f t="shared" si="22"/>
        <v>0</v>
      </c>
      <c r="J333" s="38">
        <f t="shared" si="21"/>
        <v>0</v>
      </c>
      <c r="K333" s="80"/>
      <c r="L333" s="82"/>
    </row>
    <row r="334" spans="2:20" s="1" customFormat="1" ht="12.95" customHeight="1" x14ac:dyDescent="0.15">
      <c r="B334" s="16">
        <v>5</v>
      </c>
      <c r="C334" s="16"/>
      <c r="D334" s="18"/>
      <c r="E334" s="18"/>
      <c r="F334" s="129"/>
      <c r="G334" s="20"/>
      <c r="H334" s="20">
        <v>1</v>
      </c>
      <c r="I334" s="126">
        <f t="shared" si="22"/>
        <v>0</v>
      </c>
      <c r="J334" s="38">
        <f t="shared" si="21"/>
        <v>0</v>
      </c>
      <c r="K334" s="80"/>
      <c r="L334" s="82"/>
    </row>
    <row r="335" spans="2:20" s="1" customFormat="1" ht="12.95" customHeight="1" x14ac:dyDescent="0.15">
      <c r="B335" s="16">
        <v>6</v>
      </c>
      <c r="C335" s="17"/>
      <c r="D335" s="24"/>
      <c r="E335" s="24"/>
      <c r="F335" s="129"/>
      <c r="G335" s="20"/>
      <c r="H335" s="20">
        <v>1</v>
      </c>
      <c r="I335" s="126">
        <f t="shared" si="22"/>
        <v>0</v>
      </c>
      <c r="J335" s="38">
        <f t="shared" si="21"/>
        <v>0</v>
      </c>
      <c r="K335" s="80"/>
      <c r="L335" s="82"/>
    </row>
    <row r="336" spans="2:20" s="1" customFormat="1" ht="12.95" customHeight="1" x14ac:dyDescent="0.15">
      <c r="B336" s="16">
        <v>7</v>
      </c>
      <c r="C336" s="17"/>
      <c r="D336" s="24"/>
      <c r="E336" s="24"/>
      <c r="F336" s="129"/>
      <c r="G336" s="20"/>
      <c r="H336" s="20">
        <v>1</v>
      </c>
      <c r="I336" s="126">
        <f t="shared" si="22"/>
        <v>0</v>
      </c>
      <c r="J336" s="38">
        <f t="shared" si="21"/>
        <v>0</v>
      </c>
      <c r="K336" s="80"/>
      <c r="L336" s="82"/>
    </row>
    <row r="337" spans="2:15" s="1" customFormat="1" ht="12.95" customHeight="1" x14ac:dyDescent="0.15">
      <c r="B337" s="16">
        <v>8</v>
      </c>
      <c r="C337" s="23"/>
      <c r="D337" s="48"/>
      <c r="E337" s="48"/>
      <c r="F337" s="129"/>
      <c r="G337" s="20"/>
      <c r="H337" s="20">
        <v>1</v>
      </c>
      <c r="I337" s="126">
        <f t="shared" si="22"/>
        <v>0</v>
      </c>
      <c r="J337" s="38">
        <f t="shared" si="21"/>
        <v>0</v>
      </c>
      <c r="K337" s="80"/>
      <c r="L337" s="82"/>
    </row>
    <row r="338" spans="2:15" s="1" customFormat="1" ht="12.95" customHeight="1" x14ac:dyDescent="0.15">
      <c r="B338" s="16">
        <v>9</v>
      </c>
      <c r="C338" s="23"/>
      <c r="D338" s="48"/>
      <c r="E338" s="48"/>
      <c r="F338" s="129"/>
      <c r="G338" s="20"/>
      <c r="H338" s="20">
        <v>1</v>
      </c>
      <c r="I338" s="126">
        <f t="shared" si="22"/>
        <v>0</v>
      </c>
      <c r="J338" s="38">
        <f t="shared" si="21"/>
        <v>0</v>
      </c>
      <c r="K338" s="80"/>
      <c r="L338" s="82"/>
    </row>
    <row r="339" spans="2:15" s="1" customFormat="1" ht="12.95" customHeight="1" x14ac:dyDescent="0.15">
      <c r="B339" s="16">
        <v>10</v>
      </c>
      <c r="C339" s="23"/>
      <c r="D339" s="48"/>
      <c r="E339" s="48"/>
      <c r="F339" s="129"/>
      <c r="G339" s="20"/>
      <c r="H339" s="20">
        <v>1</v>
      </c>
      <c r="I339" s="126">
        <f t="shared" si="22"/>
        <v>0</v>
      </c>
      <c r="J339" s="38">
        <f t="shared" si="21"/>
        <v>0</v>
      </c>
      <c r="K339" s="80"/>
      <c r="L339" s="82"/>
    </row>
    <row r="340" spans="2:15" s="1" customFormat="1" ht="12.95" customHeight="1" x14ac:dyDescent="0.15">
      <c r="B340" s="16"/>
      <c r="C340" s="23"/>
      <c r="D340" s="49"/>
      <c r="E340" s="48"/>
      <c r="F340" s="129"/>
      <c r="G340" s="20"/>
      <c r="H340" s="20"/>
      <c r="I340" s="126"/>
      <c r="J340" s="38"/>
      <c r="K340" s="80"/>
      <c r="L340" s="82"/>
    </row>
    <row r="341" spans="2:15" s="1" customFormat="1" ht="12.95" customHeight="1" x14ac:dyDescent="0.15">
      <c r="B341" s="16"/>
      <c r="C341" s="23"/>
      <c r="D341" s="49"/>
      <c r="E341" s="48"/>
      <c r="F341" s="129"/>
      <c r="G341" s="20"/>
      <c r="H341" s="20"/>
      <c r="I341" s="126"/>
      <c r="J341" s="38"/>
      <c r="K341" s="80"/>
      <c r="L341" s="82"/>
    </row>
    <row r="342" spans="2:15" s="1" customFormat="1" ht="12.95" customHeight="1" x14ac:dyDescent="0.15">
      <c r="B342" s="16"/>
      <c r="C342" s="72" t="s">
        <v>153</v>
      </c>
      <c r="D342" s="48"/>
      <c r="E342" s="49"/>
      <c r="F342" s="129"/>
      <c r="G342" s="20"/>
      <c r="H342" s="20"/>
      <c r="I342" s="126"/>
      <c r="J342" s="38"/>
      <c r="K342" s="80"/>
      <c r="L342" s="82"/>
    </row>
    <row r="343" spans="2:15" s="1" customFormat="1" ht="12.95" customHeight="1" x14ac:dyDescent="0.15">
      <c r="B343" s="16">
        <v>1</v>
      </c>
      <c r="C343" s="23"/>
      <c r="D343" s="48"/>
      <c r="E343" s="49"/>
      <c r="F343" s="129"/>
      <c r="G343" s="20"/>
      <c r="H343" s="20">
        <v>1</v>
      </c>
      <c r="I343" s="126">
        <f t="shared" si="22"/>
        <v>0</v>
      </c>
      <c r="J343" s="38">
        <f t="shared" si="21"/>
        <v>0</v>
      </c>
      <c r="K343" s="80"/>
      <c r="L343" s="82"/>
    </row>
    <row r="344" spans="2:15" s="1" customFormat="1" ht="14.85" customHeight="1" x14ac:dyDescent="0.15">
      <c r="B344" s="16">
        <v>2</v>
      </c>
      <c r="C344" s="23"/>
      <c r="D344" s="48"/>
      <c r="E344" s="49"/>
      <c r="F344" s="129"/>
      <c r="G344" s="20"/>
      <c r="H344" s="20">
        <v>1</v>
      </c>
      <c r="I344" s="126">
        <f t="shared" si="22"/>
        <v>0</v>
      </c>
      <c r="J344" s="38">
        <f t="shared" si="21"/>
        <v>0</v>
      </c>
      <c r="K344" s="80"/>
      <c r="L344" s="82"/>
    </row>
    <row r="345" spans="2:15" s="1" customFormat="1" ht="12.95" customHeight="1" x14ac:dyDescent="0.15">
      <c r="B345" s="16">
        <v>3</v>
      </c>
      <c r="C345" s="23"/>
      <c r="D345" s="48"/>
      <c r="E345" s="49"/>
      <c r="F345" s="129"/>
      <c r="G345" s="20"/>
      <c r="H345" s="20">
        <v>1</v>
      </c>
      <c r="I345" s="126">
        <f t="shared" si="22"/>
        <v>0</v>
      </c>
      <c r="J345" s="38">
        <f t="shared" si="21"/>
        <v>0</v>
      </c>
      <c r="K345" s="80"/>
      <c r="L345" s="82"/>
    </row>
    <row r="346" spans="2:15" s="1" customFormat="1" ht="12.95" customHeight="1" x14ac:dyDescent="0.15">
      <c r="B346" s="16">
        <v>4</v>
      </c>
      <c r="C346" s="23"/>
      <c r="D346" s="48"/>
      <c r="E346" s="49"/>
      <c r="F346" s="129"/>
      <c r="G346" s="20"/>
      <c r="H346" s="20">
        <v>1</v>
      </c>
      <c r="I346" s="126">
        <f t="shared" si="22"/>
        <v>0</v>
      </c>
      <c r="J346" s="38">
        <f t="shared" si="21"/>
        <v>0</v>
      </c>
      <c r="K346" s="80"/>
      <c r="L346" s="82"/>
    </row>
    <row r="347" spans="2:15" s="1" customFormat="1" ht="12.95" customHeight="1" x14ac:dyDescent="0.15">
      <c r="B347" s="16">
        <v>5</v>
      </c>
      <c r="C347" s="23"/>
      <c r="D347" s="48"/>
      <c r="E347" s="48"/>
      <c r="F347" s="129"/>
      <c r="G347" s="20"/>
      <c r="H347" s="20">
        <v>1</v>
      </c>
      <c r="I347" s="126">
        <f t="shared" si="22"/>
        <v>0</v>
      </c>
      <c r="J347" s="38">
        <f t="shared" si="21"/>
        <v>0</v>
      </c>
      <c r="K347" s="80"/>
      <c r="L347" s="82"/>
    </row>
    <row r="348" spans="2:15" s="1" customFormat="1" ht="12.95" customHeight="1" x14ac:dyDescent="0.15">
      <c r="B348" s="16">
        <v>6</v>
      </c>
      <c r="C348" s="23"/>
      <c r="D348" s="48"/>
      <c r="E348" s="48"/>
      <c r="F348" s="129"/>
      <c r="G348" s="20"/>
      <c r="H348" s="20">
        <v>1</v>
      </c>
      <c r="I348" s="126">
        <f t="shared" si="22"/>
        <v>0</v>
      </c>
      <c r="J348" s="38">
        <f>(F348*G348*H348)/$C$32</f>
        <v>0</v>
      </c>
      <c r="K348" s="80"/>
      <c r="L348" s="82"/>
    </row>
    <row r="349" spans="2:15" s="1" customFormat="1" ht="12.95" customHeight="1" x14ac:dyDescent="0.15">
      <c r="B349" s="16">
        <v>7</v>
      </c>
      <c r="C349" s="23"/>
      <c r="D349" s="48"/>
      <c r="E349" s="48"/>
      <c r="F349" s="129"/>
      <c r="G349" s="20"/>
      <c r="H349" s="20">
        <v>1</v>
      </c>
      <c r="I349" s="126">
        <f t="shared" si="22"/>
        <v>0</v>
      </c>
      <c r="J349" s="38">
        <f>(F349*G349*H349)/$C$32</f>
        <v>0</v>
      </c>
      <c r="K349" s="80"/>
      <c r="L349" s="82"/>
    </row>
    <row r="350" spans="2:15" s="1" customFormat="1" ht="12.95" customHeight="1" x14ac:dyDescent="0.15">
      <c r="B350" s="16">
        <v>8</v>
      </c>
      <c r="C350" s="23"/>
      <c r="D350" s="48"/>
      <c r="E350" s="48"/>
      <c r="F350" s="129"/>
      <c r="G350" s="20"/>
      <c r="H350" s="20">
        <v>1</v>
      </c>
      <c r="I350" s="126">
        <f t="shared" si="22"/>
        <v>0</v>
      </c>
      <c r="J350" s="38">
        <f t="shared" ref="J350:J385" si="23">(F350*G350*H350)/$C$32</f>
        <v>0</v>
      </c>
      <c r="K350" s="80"/>
      <c r="L350" s="82"/>
      <c r="M350" s="39"/>
      <c r="N350" s="40"/>
      <c r="O350" s="40"/>
    </row>
    <row r="351" spans="2:15" s="1" customFormat="1" ht="12.95" customHeight="1" x14ac:dyDescent="0.15">
      <c r="B351" s="16">
        <v>9</v>
      </c>
      <c r="C351" s="23"/>
      <c r="D351" s="48"/>
      <c r="E351" s="48"/>
      <c r="F351" s="129"/>
      <c r="G351" s="20"/>
      <c r="H351" s="20">
        <v>1</v>
      </c>
      <c r="I351" s="126">
        <f t="shared" si="22"/>
        <v>0</v>
      </c>
      <c r="J351" s="38">
        <f t="shared" si="23"/>
        <v>0</v>
      </c>
      <c r="K351" s="80"/>
      <c r="L351" s="82"/>
    </row>
    <row r="352" spans="2:15" s="1" customFormat="1" ht="12.95" customHeight="1" x14ac:dyDescent="0.15">
      <c r="B352" s="16">
        <v>10</v>
      </c>
      <c r="C352" s="23"/>
      <c r="D352" s="48"/>
      <c r="E352" s="48"/>
      <c r="F352" s="129"/>
      <c r="G352" s="20"/>
      <c r="H352" s="20">
        <v>1</v>
      </c>
      <c r="I352" s="126">
        <f t="shared" si="22"/>
        <v>0</v>
      </c>
      <c r="J352" s="38">
        <f t="shared" si="23"/>
        <v>0</v>
      </c>
      <c r="K352" s="80"/>
      <c r="L352" s="82"/>
    </row>
    <row r="353" spans="2:20" s="1" customFormat="1" ht="12.95" customHeight="1" x14ac:dyDescent="0.15">
      <c r="B353" s="16">
        <v>11</v>
      </c>
      <c r="C353" s="23"/>
      <c r="D353" s="48"/>
      <c r="E353" s="48"/>
      <c r="F353" s="130"/>
      <c r="G353" s="20"/>
      <c r="H353" s="20">
        <v>1</v>
      </c>
      <c r="I353" s="126">
        <f t="shared" si="22"/>
        <v>0</v>
      </c>
      <c r="J353" s="38">
        <f t="shared" si="23"/>
        <v>0</v>
      </c>
      <c r="K353" s="80"/>
      <c r="L353" s="82"/>
    </row>
    <row r="354" spans="2:20" s="1" customFormat="1" ht="12.95" customHeight="1" x14ac:dyDescent="0.15">
      <c r="B354" s="16">
        <v>12</v>
      </c>
      <c r="C354" s="23"/>
      <c r="D354" s="48"/>
      <c r="E354" s="48"/>
      <c r="F354" s="129"/>
      <c r="G354" s="20"/>
      <c r="H354" s="20">
        <v>1</v>
      </c>
      <c r="I354" s="126">
        <f t="shared" si="22"/>
        <v>0</v>
      </c>
      <c r="J354" s="38">
        <f t="shared" si="23"/>
        <v>0</v>
      </c>
      <c r="K354" s="80"/>
      <c r="L354" s="82"/>
    </row>
    <row r="355" spans="2:20" s="1" customFormat="1" ht="12.95" customHeight="1" x14ac:dyDescent="0.15">
      <c r="B355" s="16">
        <v>13</v>
      </c>
      <c r="C355" s="23"/>
      <c r="D355" s="48"/>
      <c r="E355" s="48"/>
      <c r="F355" s="129"/>
      <c r="G355" s="20"/>
      <c r="H355" s="20">
        <v>1</v>
      </c>
      <c r="I355" s="126">
        <f t="shared" si="22"/>
        <v>0</v>
      </c>
      <c r="J355" s="38">
        <f t="shared" si="23"/>
        <v>0</v>
      </c>
      <c r="K355" s="80"/>
      <c r="L355" s="82"/>
    </row>
    <row r="356" spans="2:20" s="1" customFormat="1" ht="12.95" customHeight="1" x14ac:dyDescent="0.15">
      <c r="B356" s="16">
        <v>14</v>
      </c>
      <c r="C356" s="23"/>
      <c r="D356" s="48"/>
      <c r="E356" s="48"/>
      <c r="F356" s="129"/>
      <c r="G356" s="20"/>
      <c r="H356" s="20">
        <v>1</v>
      </c>
      <c r="I356" s="126">
        <f t="shared" si="22"/>
        <v>0</v>
      </c>
      <c r="J356" s="38">
        <f t="shared" si="23"/>
        <v>0</v>
      </c>
      <c r="K356" s="80"/>
      <c r="L356" s="82"/>
    </row>
    <row r="357" spans="2:20" s="1" customFormat="1" ht="12.95" customHeight="1" x14ac:dyDescent="0.15">
      <c r="B357" s="16">
        <v>15</v>
      </c>
      <c r="C357" s="23"/>
      <c r="D357" s="48"/>
      <c r="E357" s="48"/>
      <c r="F357" s="129"/>
      <c r="G357" s="20"/>
      <c r="H357" s="20">
        <v>1</v>
      </c>
      <c r="I357" s="126">
        <f t="shared" si="22"/>
        <v>0</v>
      </c>
      <c r="J357" s="38">
        <f t="shared" si="23"/>
        <v>0</v>
      </c>
      <c r="K357" s="80"/>
      <c r="L357" s="82"/>
    </row>
    <row r="358" spans="2:20" s="1" customFormat="1" ht="12.95" customHeight="1" x14ac:dyDescent="0.15">
      <c r="B358" s="16">
        <v>16</v>
      </c>
      <c r="C358" s="23"/>
      <c r="D358" s="48"/>
      <c r="E358" s="48"/>
      <c r="F358" s="129"/>
      <c r="G358" s="20"/>
      <c r="H358" s="20">
        <v>1</v>
      </c>
      <c r="I358" s="126">
        <f t="shared" si="22"/>
        <v>0</v>
      </c>
      <c r="J358" s="38">
        <f t="shared" si="23"/>
        <v>0</v>
      </c>
      <c r="K358" s="80"/>
      <c r="L358" s="82"/>
    </row>
    <row r="359" spans="2:20" s="1" customFormat="1" ht="12.95" customHeight="1" x14ac:dyDescent="0.2">
      <c r="B359" s="16">
        <v>17</v>
      </c>
      <c r="C359" s="410"/>
      <c r="D359" s="410"/>
      <c r="E359" s="410"/>
      <c r="F359" s="129"/>
      <c r="G359" s="20"/>
      <c r="H359" s="20">
        <v>1</v>
      </c>
      <c r="I359" s="126">
        <f t="shared" si="22"/>
        <v>0</v>
      </c>
      <c r="J359" s="21">
        <f t="shared" si="23"/>
        <v>0</v>
      </c>
      <c r="K359" s="80"/>
      <c r="L359" s="82"/>
      <c r="M359" s="10"/>
      <c r="N359" s="10"/>
      <c r="O359" s="10"/>
      <c r="P359" s="10"/>
      <c r="Q359" s="43"/>
      <c r="R359" s="10"/>
      <c r="T359" s="10"/>
    </row>
    <row r="360" spans="2:20" s="1" customFormat="1" ht="12.95" customHeight="1" x14ac:dyDescent="0.15">
      <c r="B360" s="16">
        <v>18</v>
      </c>
      <c r="C360" s="60"/>
      <c r="D360" s="49"/>
      <c r="E360" s="49"/>
      <c r="F360" s="129"/>
      <c r="G360" s="20"/>
      <c r="H360" s="20">
        <v>1</v>
      </c>
      <c r="I360" s="126">
        <f>J360*$C$32</f>
        <v>0</v>
      </c>
      <c r="J360" s="21">
        <f t="shared" si="23"/>
        <v>0</v>
      </c>
      <c r="K360" s="80"/>
      <c r="L360" s="82"/>
      <c r="M360" s="10"/>
      <c r="N360" s="10"/>
      <c r="O360" s="10"/>
      <c r="P360" s="10"/>
      <c r="Q360" s="43"/>
      <c r="R360" s="10"/>
      <c r="T360" s="10"/>
    </row>
    <row r="361" spans="2:20" s="1" customFormat="1" ht="12.95" customHeight="1" x14ac:dyDescent="0.15">
      <c r="B361" s="16">
        <v>19</v>
      </c>
      <c r="C361" s="59"/>
      <c r="D361" s="49"/>
      <c r="E361" s="49"/>
      <c r="F361" s="129"/>
      <c r="G361" s="20"/>
      <c r="H361" s="20">
        <v>1</v>
      </c>
      <c r="I361" s="126">
        <f t="shared" ref="I361:I375" si="24">J361*$C$32</f>
        <v>0</v>
      </c>
      <c r="J361" s="21">
        <f t="shared" si="23"/>
        <v>0</v>
      </c>
      <c r="K361" s="80"/>
      <c r="L361" s="82"/>
      <c r="M361" s="10"/>
      <c r="N361" s="10"/>
      <c r="O361" s="10"/>
      <c r="P361" s="10"/>
      <c r="Q361" s="43"/>
      <c r="R361" s="10"/>
      <c r="T361" s="10"/>
    </row>
    <row r="362" spans="2:20" s="1" customFormat="1" ht="12.95" customHeight="1" x14ac:dyDescent="0.15">
      <c r="B362" s="16">
        <v>20</v>
      </c>
      <c r="C362" s="70"/>
      <c r="D362" s="49"/>
      <c r="E362" s="49"/>
      <c r="F362" s="129"/>
      <c r="G362" s="20"/>
      <c r="H362" s="20">
        <v>1</v>
      </c>
      <c r="I362" s="126">
        <f t="shared" si="24"/>
        <v>0</v>
      </c>
      <c r="J362" s="21">
        <f t="shared" si="23"/>
        <v>0</v>
      </c>
      <c r="K362" s="80"/>
      <c r="L362" s="82"/>
      <c r="M362" s="10"/>
      <c r="N362" s="10"/>
      <c r="O362" s="10"/>
      <c r="P362" s="10"/>
      <c r="Q362" s="43"/>
      <c r="R362" s="10"/>
      <c r="T362" s="10"/>
    </row>
    <row r="363" spans="2:20" s="1" customFormat="1" ht="12.95" customHeight="1" x14ac:dyDescent="0.15">
      <c r="B363" s="16"/>
      <c r="C363" s="70"/>
      <c r="D363" s="49"/>
      <c r="E363" s="49"/>
      <c r="F363" s="129"/>
      <c r="G363" s="20"/>
      <c r="H363" s="20"/>
      <c r="I363" s="126"/>
      <c r="J363" s="21"/>
      <c r="K363" s="80"/>
      <c r="L363" s="82"/>
      <c r="M363" s="10"/>
      <c r="N363" s="10"/>
      <c r="O363" s="10"/>
      <c r="P363" s="10"/>
      <c r="Q363" s="43"/>
      <c r="R363" s="10"/>
      <c r="T363" s="10"/>
    </row>
    <row r="364" spans="2:20" s="1" customFormat="1" ht="12.95" customHeight="1" x14ac:dyDescent="0.15">
      <c r="B364" s="16"/>
      <c r="C364" s="70"/>
      <c r="D364" s="49"/>
      <c r="E364" s="49"/>
      <c r="F364" s="129"/>
      <c r="G364" s="20"/>
      <c r="H364" s="20"/>
      <c r="I364" s="126"/>
      <c r="J364" s="21"/>
      <c r="K364" s="80"/>
      <c r="L364" s="82"/>
      <c r="M364" s="10"/>
      <c r="N364" s="10"/>
      <c r="O364" s="10"/>
      <c r="P364" s="10"/>
      <c r="Q364" s="43"/>
      <c r="R364" s="10"/>
      <c r="T364" s="10"/>
    </row>
    <row r="365" spans="2:20" s="1" customFormat="1" ht="12.95" customHeight="1" x14ac:dyDescent="0.15">
      <c r="B365" s="16"/>
      <c r="C365" s="70" t="s">
        <v>159</v>
      </c>
      <c r="D365" s="49"/>
      <c r="E365" s="49"/>
      <c r="F365" s="129"/>
      <c r="G365" s="20"/>
      <c r="H365" s="20"/>
      <c r="I365" s="126"/>
      <c r="J365" s="21"/>
      <c r="K365" s="80"/>
      <c r="L365" s="82"/>
      <c r="M365" s="10"/>
      <c r="N365" s="10"/>
      <c r="O365" s="10"/>
      <c r="P365" s="10"/>
      <c r="Q365" s="43"/>
      <c r="R365" s="10"/>
      <c r="T365" s="10"/>
    </row>
    <row r="366" spans="2:20" s="1" customFormat="1" ht="12.95" customHeight="1" x14ac:dyDescent="0.15">
      <c r="B366" s="16">
        <v>1</v>
      </c>
      <c r="C366" s="61"/>
      <c r="D366" s="49"/>
      <c r="E366" s="49"/>
      <c r="F366" s="129"/>
      <c r="G366" s="20"/>
      <c r="H366" s="20">
        <v>1</v>
      </c>
      <c r="I366" s="126">
        <f t="shared" si="24"/>
        <v>0</v>
      </c>
      <c r="J366" s="21">
        <f t="shared" si="23"/>
        <v>0</v>
      </c>
      <c r="K366" s="80"/>
      <c r="L366" s="82"/>
      <c r="M366" s="10"/>
      <c r="N366" s="10"/>
      <c r="O366" s="10"/>
      <c r="P366" s="10"/>
      <c r="Q366" s="43"/>
      <c r="R366" s="10"/>
      <c r="T366" s="10"/>
    </row>
    <row r="367" spans="2:20" s="1" customFormat="1" ht="14.25" x14ac:dyDescent="0.15">
      <c r="B367" s="16">
        <v>2</v>
      </c>
      <c r="C367" s="61"/>
      <c r="D367" s="49"/>
      <c r="E367" s="49"/>
      <c r="F367" s="129"/>
      <c r="G367" s="20"/>
      <c r="H367" s="20">
        <v>1</v>
      </c>
      <c r="I367" s="126">
        <f t="shared" si="24"/>
        <v>0</v>
      </c>
      <c r="J367" s="21">
        <f t="shared" si="23"/>
        <v>0</v>
      </c>
      <c r="K367" s="80"/>
      <c r="L367" s="82"/>
    </row>
    <row r="368" spans="2:20" s="1" customFormat="1" ht="14.25" x14ac:dyDescent="0.15">
      <c r="B368" s="16">
        <v>3</v>
      </c>
      <c r="C368" s="61"/>
      <c r="D368" s="49"/>
      <c r="E368" s="49"/>
      <c r="F368" s="129"/>
      <c r="G368" s="20"/>
      <c r="H368" s="20">
        <v>1</v>
      </c>
      <c r="I368" s="126">
        <f t="shared" si="24"/>
        <v>0</v>
      </c>
      <c r="J368" s="21">
        <f t="shared" si="23"/>
        <v>0</v>
      </c>
      <c r="K368" s="80"/>
      <c r="L368" s="82"/>
    </row>
    <row r="369" spans="2:12" s="1" customFormat="1" ht="14.25" x14ac:dyDescent="0.15">
      <c r="B369" s="16">
        <v>4</v>
      </c>
      <c r="C369" s="61"/>
      <c r="D369" s="49"/>
      <c r="E369" s="49"/>
      <c r="F369" s="129"/>
      <c r="G369" s="20"/>
      <c r="H369" s="20">
        <v>1</v>
      </c>
      <c r="I369" s="126">
        <f t="shared" si="24"/>
        <v>0</v>
      </c>
      <c r="J369" s="21">
        <f t="shared" si="23"/>
        <v>0</v>
      </c>
      <c r="K369" s="80"/>
      <c r="L369" s="82"/>
    </row>
    <row r="370" spans="2:12" s="1" customFormat="1" ht="16.5" x14ac:dyDescent="0.2">
      <c r="B370" s="16">
        <v>5</v>
      </c>
      <c r="C370" s="71"/>
      <c r="D370" s="49"/>
      <c r="E370" s="49"/>
      <c r="F370" s="129"/>
      <c r="G370" s="20"/>
      <c r="H370" s="20">
        <v>1</v>
      </c>
      <c r="I370" s="126">
        <f t="shared" si="24"/>
        <v>0</v>
      </c>
      <c r="J370" s="21">
        <f t="shared" si="23"/>
        <v>0</v>
      </c>
      <c r="K370" s="80"/>
      <c r="L370" s="82"/>
    </row>
    <row r="371" spans="2:12" s="1" customFormat="1" ht="14.25" x14ac:dyDescent="0.15">
      <c r="B371" s="16">
        <v>6</v>
      </c>
      <c r="C371" s="61"/>
      <c r="D371" s="49"/>
      <c r="E371" s="49"/>
      <c r="F371" s="129"/>
      <c r="G371" s="20"/>
      <c r="H371" s="20">
        <v>1</v>
      </c>
      <c r="I371" s="126">
        <f t="shared" si="24"/>
        <v>0</v>
      </c>
      <c r="J371" s="21">
        <f t="shared" si="23"/>
        <v>0</v>
      </c>
      <c r="K371" s="80"/>
      <c r="L371" s="82"/>
    </row>
    <row r="372" spans="2:12" s="1" customFormat="1" ht="14.25" x14ac:dyDescent="0.15">
      <c r="B372" s="16">
        <v>7</v>
      </c>
      <c r="C372" s="61"/>
      <c r="D372" s="49"/>
      <c r="E372" s="49"/>
      <c r="F372" s="129"/>
      <c r="G372" s="20"/>
      <c r="H372" s="20">
        <v>1</v>
      </c>
      <c r="I372" s="126">
        <f t="shared" si="24"/>
        <v>0</v>
      </c>
      <c r="J372" s="21">
        <f t="shared" si="23"/>
        <v>0</v>
      </c>
      <c r="K372" s="80"/>
      <c r="L372" s="82"/>
    </row>
    <row r="373" spans="2:12" s="1" customFormat="1" ht="14.25" x14ac:dyDescent="0.15">
      <c r="B373" s="16">
        <v>8</v>
      </c>
      <c r="C373" s="61"/>
      <c r="D373" s="49"/>
      <c r="E373" s="49"/>
      <c r="F373" s="129"/>
      <c r="G373" s="20"/>
      <c r="H373" s="20">
        <v>1</v>
      </c>
      <c r="I373" s="126">
        <f t="shared" si="24"/>
        <v>0</v>
      </c>
      <c r="J373" s="21">
        <f t="shared" si="23"/>
        <v>0</v>
      </c>
      <c r="K373" s="80"/>
      <c r="L373" s="82"/>
    </row>
    <row r="374" spans="2:12" s="1" customFormat="1" ht="14.25" x14ac:dyDescent="0.15">
      <c r="B374" s="16">
        <v>9</v>
      </c>
      <c r="C374" s="61"/>
      <c r="D374" s="49"/>
      <c r="E374" s="49"/>
      <c r="F374" s="129"/>
      <c r="G374" s="20"/>
      <c r="H374" s="20">
        <v>1</v>
      </c>
      <c r="I374" s="126">
        <f t="shared" si="24"/>
        <v>0</v>
      </c>
      <c r="J374" s="21">
        <f t="shared" si="23"/>
        <v>0</v>
      </c>
      <c r="K374" s="80"/>
      <c r="L374" s="82"/>
    </row>
    <row r="375" spans="2:12" s="1" customFormat="1" ht="14.25" x14ac:dyDescent="0.15">
      <c r="B375" s="16">
        <v>10</v>
      </c>
      <c r="C375" s="61"/>
      <c r="D375" s="49"/>
      <c r="E375" s="49"/>
      <c r="F375" s="129"/>
      <c r="G375" s="20"/>
      <c r="H375" s="20">
        <v>1</v>
      </c>
      <c r="I375" s="126">
        <f t="shared" si="24"/>
        <v>0</v>
      </c>
      <c r="J375" s="21">
        <f t="shared" si="23"/>
        <v>0</v>
      </c>
      <c r="K375" s="80"/>
      <c r="L375" s="82"/>
    </row>
    <row r="376" spans="2:12" s="1" customFormat="1" ht="14.25" x14ac:dyDescent="0.15">
      <c r="B376" s="16">
        <v>11</v>
      </c>
      <c r="C376" s="61"/>
      <c r="D376" s="49"/>
      <c r="E376" s="49"/>
      <c r="F376" s="129"/>
      <c r="G376" s="20"/>
      <c r="H376" s="20">
        <v>1</v>
      </c>
      <c r="I376" s="126">
        <f>J376*$C$32</f>
        <v>0</v>
      </c>
      <c r="J376" s="21">
        <f t="shared" si="23"/>
        <v>0</v>
      </c>
      <c r="K376" s="80"/>
      <c r="L376" s="82"/>
    </row>
    <row r="377" spans="2:12" s="1" customFormat="1" ht="14.25" x14ac:dyDescent="0.15">
      <c r="B377" s="16">
        <v>12</v>
      </c>
      <c r="C377" s="46"/>
      <c r="D377" s="18"/>
      <c r="E377" s="18"/>
      <c r="F377" s="129"/>
      <c r="G377" s="20"/>
      <c r="H377" s="20">
        <v>1</v>
      </c>
      <c r="I377" s="126">
        <f t="shared" ref="I377:I385" si="25">J377*$C$32</f>
        <v>0</v>
      </c>
      <c r="J377" s="21">
        <f t="shared" si="23"/>
        <v>0</v>
      </c>
      <c r="K377" s="80"/>
      <c r="L377" s="82"/>
    </row>
    <row r="378" spans="2:12" s="1" customFormat="1" ht="14.25" x14ac:dyDescent="0.15">
      <c r="B378" s="16">
        <v>13</v>
      </c>
      <c r="C378" s="46"/>
      <c r="D378" s="18"/>
      <c r="E378" s="18"/>
      <c r="F378" s="129"/>
      <c r="G378" s="20"/>
      <c r="H378" s="20">
        <v>1</v>
      </c>
      <c r="I378" s="126">
        <f t="shared" si="25"/>
        <v>0</v>
      </c>
      <c r="J378" s="21">
        <f t="shared" si="23"/>
        <v>0</v>
      </c>
      <c r="K378" s="80"/>
      <c r="L378" s="82"/>
    </row>
    <row r="379" spans="2:12" s="1" customFormat="1" ht="14.25" x14ac:dyDescent="0.15">
      <c r="B379" s="16">
        <v>14</v>
      </c>
      <c r="C379" s="46"/>
      <c r="D379" s="18"/>
      <c r="E379" s="18"/>
      <c r="F379" s="129"/>
      <c r="G379" s="20"/>
      <c r="H379" s="20">
        <v>1</v>
      </c>
      <c r="I379" s="126">
        <f t="shared" si="25"/>
        <v>0</v>
      </c>
      <c r="J379" s="21">
        <f t="shared" si="23"/>
        <v>0</v>
      </c>
      <c r="K379" s="80"/>
      <c r="L379" s="82"/>
    </row>
    <row r="380" spans="2:12" s="1" customFormat="1" ht="14.25" x14ac:dyDescent="0.15">
      <c r="B380" s="16">
        <v>15</v>
      </c>
      <c r="C380" s="46"/>
      <c r="D380" s="18"/>
      <c r="E380" s="18"/>
      <c r="F380" s="129"/>
      <c r="G380" s="20"/>
      <c r="H380" s="20">
        <v>1</v>
      </c>
      <c r="I380" s="126">
        <f t="shared" si="25"/>
        <v>0</v>
      </c>
      <c r="J380" s="21">
        <f t="shared" si="23"/>
        <v>0</v>
      </c>
      <c r="K380" s="80"/>
      <c r="L380" s="82"/>
    </row>
    <row r="381" spans="2:12" s="1" customFormat="1" ht="14.25" x14ac:dyDescent="0.15">
      <c r="B381" s="16">
        <v>16</v>
      </c>
      <c r="C381" s="46"/>
      <c r="D381" s="18"/>
      <c r="E381" s="18"/>
      <c r="F381" s="129"/>
      <c r="G381" s="20"/>
      <c r="H381" s="20">
        <v>1</v>
      </c>
      <c r="I381" s="126">
        <f t="shared" si="25"/>
        <v>0</v>
      </c>
      <c r="J381" s="21">
        <f t="shared" si="23"/>
        <v>0</v>
      </c>
      <c r="K381" s="80"/>
      <c r="L381" s="82"/>
    </row>
    <row r="382" spans="2:12" s="1" customFormat="1" ht="14.25" x14ac:dyDescent="0.15">
      <c r="B382" s="16">
        <v>17</v>
      </c>
      <c r="C382" s="46"/>
      <c r="D382" s="18"/>
      <c r="E382" s="18"/>
      <c r="F382" s="129"/>
      <c r="G382" s="20"/>
      <c r="H382" s="20">
        <v>1</v>
      </c>
      <c r="I382" s="126">
        <f t="shared" si="25"/>
        <v>0</v>
      </c>
      <c r="J382" s="78">
        <f t="shared" si="23"/>
        <v>0</v>
      </c>
      <c r="K382" s="111"/>
      <c r="L382" s="119"/>
    </row>
    <row r="383" spans="2:12" s="1" customFormat="1" ht="14.25" x14ac:dyDescent="0.15">
      <c r="B383" s="16">
        <v>18</v>
      </c>
      <c r="C383" s="46"/>
      <c r="D383" s="18"/>
      <c r="E383" s="18"/>
      <c r="F383" s="129"/>
      <c r="G383" s="20"/>
      <c r="H383" s="20">
        <v>1</v>
      </c>
      <c r="I383" s="254">
        <f t="shared" si="25"/>
        <v>0</v>
      </c>
      <c r="J383" s="94">
        <f t="shared" si="23"/>
        <v>0</v>
      </c>
      <c r="K383" s="82"/>
      <c r="L383" s="82"/>
    </row>
    <row r="384" spans="2:12" s="1" customFormat="1" ht="14.25" x14ac:dyDescent="0.15">
      <c r="B384" s="16">
        <v>19</v>
      </c>
      <c r="C384" s="46"/>
      <c r="D384" s="18"/>
      <c r="E384" s="18"/>
      <c r="F384" s="129"/>
      <c r="G384" s="20"/>
      <c r="H384" s="20">
        <v>1</v>
      </c>
      <c r="I384" s="254">
        <f t="shared" si="25"/>
        <v>0</v>
      </c>
      <c r="J384" s="94">
        <f t="shared" si="23"/>
        <v>0</v>
      </c>
      <c r="K384" s="82"/>
      <c r="L384" s="82"/>
    </row>
    <row r="385" spans="2:12" s="1" customFormat="1" ht="14.25" x14ac:dyDescent="0.15">
      <c r="B385" s="16">
        <v>20</v>
      </c>
      <c r="C385" s="46"/>
      <c r="D385" s="18"/>
      <c r="E385" s="18"/>
      <c r="F385" s="129"/>
      <c r="G385" s="20"/>
      <c r="H385" s="20">
        <v>1</v>
      </c>
      <c r="I385" s="254">
        <f t="shared" si="25"/>
        <v>0</v>
      </c>
      <c r="J385" s="94">
        <f t="shared" si="23"/>
        <v>0</v>
      </c>
      <c r="K385" s="82"/>
      <c r="L385" s="82"/>
    </row>
    <row r="386" spans="2:12" s="1" customFormat="1" ht="14.25" x14ac:dyDescent="0.15">
      <c r="B386" s="83"/>
      <c r="C386" s="174"/>
      <c r="D386" s="75"/>
      <c r="E386" s="75"/>
      <c r="F386" s="132"/>
      <c r="G386" s="77"/>
      <c r="H386" s="77"/>
      <c r="I386" s="255"/>
      <c r="J386" s="94"/>
      <c r="K386" s="82"/>
      <c r="L386" s="82"/>
    </row>
    <row r="387" spans="2:12" s="1" customFormat="1" ht="12.75" x14ac:dyDescent="0.15">
      <c r="B387" s="82"/>
      <c r="C387" s="102"/>
      <c r="D387" s="103"/>
      <c r="E387" s="102"/>
      <c r="F387" s="128">
        <f>SUM(F327:F386)</f>
        <v>0</v>
      </c>
      <c r="G387" s="104"/>
      <c r="H387" s="105"/>
      <c r="I387" s="256">
        <f>SUM(I328:I386)</f>
        <v>0</v>
      </c>
      <c r="J387" s="257">
        <f>SUM(J327:J386)</f>
        <v>0</v>
      </c>
    </row>
    <row r="388" spans="2:12" s="67" customFormat="1" ht="12.75" x14ac:dyDescent="0.15">
      <c r="B388" s="116"/>
      <c r="C388" s="114"/>
      <c r="D388" s="114"/>
      <c r="E388" s="114" t="s">
        <v>147</v>
      </c>
      <c r="F388" s="162">
        <f>100/115*F387</f>
        <v>0</v>
      </c>
      <c r="G388" s="114"/>
      <c r="H388" s="114" t="s">
        <v>147</v>
      </c>
      <c r="I388" s="264">
        <f>100/115*I387</f>
        <v>0</v>
      </c>
      <c r="J388" s="114"/>
    </row>
    <row r="389" spans="2:12" s="1" customFormat="1" ht="12.75" x14ac:dyDescent="0.15"/>
    <row r="390" spans="2:12" s="1" customFormat="1" ht="12.75" x14ac:dyDescent="0.15"/>
    <row r="391" spans="2:12" s="1" customFormat="1" ht="12.75" x14ac:dyDescent="0.15"/>
    <row r="392" spans="2:12" s="1" customFormat="1" ht="12.75" x14ac:dyDescent="0.15"/>
    <row r="393" spans="2:12" s="247" customFormat="1" ht="32.25" x14ac:dyDescent="0.4">
      <c r="B393" s="248"/>
      <c r="C393" s="380" t="s">
        <v>112</v>
      </c>
      <c r="D393" s="380"/>
      <c r="E393" s="428" t="s">
        <v>101</v>
      </c>
      <c r="F393" s="428"/>
      <c r="G393" s="428"/>
      <c r="H393" s="428"/>
      <c r="I393" s="428"/>
      <c r="J393" s="382">
        <v>2026</v>
      </c>
      <c r="K393" s="382"/>
      <c r="L393" s="382"/>
    </row>
    <row r="394" spans="2:12" s="1" customFormat="1" ht="22.5" x14ac:dyDescent="0.15">
      <c r="B394" s="82"/>
      <c r="C394" s="102" t="s">
        <v>114</v>
      </c>
      <c r="D394" s="388" t="s">
        <v>115</v>
      </c>
      <c r="E394" s="388"/>
      <c r="F394" s="102" t="s">
        <v>116</v>
      </c>
      <c r="G394" s="102" t="s">
        <v>117</v>
      </c>
      <c r="H394" s="102" t="s">
        <v>118</v>
      </c>
      <c r="I394" s="102" t="s">
        <v>119</v>
      </c>
      <c r="J394" s="102" t="s">
        <v>120</v>
      </c>
      <c r="K394" s="82"/>
      <c r="L394" s="82"/>
    </row>
    <row r="395" spans="2:12" s="1" customFormat="1" ht="12.75" x14ac:dyDescent="0.15">
      <c r="B395" s="82"/>
      <c r="C395" s="66">
        <f>C325</f>
        <v>350</v>
      </c>
      <c r="D395" s="389">
        <v>21</v>
      </c>
      <c r="E395" s="389"/>
      <c r="F395" s="13">
        <f>F325</f>
        <v>0.8</v>
      </c>
      <c r="G395" s="14">
        <f>G325</f>
        <v>8</v>
      </c>
      <c r="H395" s="142">
        <f>D395*G395*F395</f>
        <v>134.4</v>
      </c>
      <c r="I395" s="66">
        <f>I457</f>
        <v>0</v>
      </c>
      <c r="J395" s="143">
        <f>H395-J457</f>
        <v>134.4</v>
      </c>
      <c r="K395" s="82"/>
      <c r="L395" s="82"/>
    </row>
    <row r="396" spans="2:12" s="1" customFormat="1" ht="33.75" x14ac:dyDescent="0.15">
      <c r="B396" s="84"/>
      <c r="C396" s="136" t="s">
        <v>121</v>
      </c>
      <c r="D396" s="414" t="s">
        <v>122</v>
      </c>
      <c r="E396" s="414"/>
      <c r="F396" s="137" t="s">
        <v>123</v>
      </c>
      <c r="G396" s="138" t="s">
        <v>124</v>
      </c>
      <c r="H396" s="139" t="s">
        <v>125</v>
      </c>
      <c r="I396" s="140" t="s">
        <v>126</v>
      </c>
      <c r="J396" s="138" t="s">
        <v>127</v>
      </c>
      <c r="K396" s="122" t="s">
        <v>128</v>
      </c>
      <c r="L396" s="123" t="s">
        <v>129</v>
      </c>
    </row>
    <row r="397" spans="2:12" s="1" customFormat="1" ht="12.75" x14ac:dyDescent="0.15">
      <c r="B397" s="16"/>
      <c r="C397" s="17"/>
      <c r="D397" s="405"/>
      <c r="E397" s="405"/>
      <c r="F397" s="36"/>
      <c r="G397" s="20"/>
      <c r="H397" s="20"/>
      <c r="I397" s="126"/>
      <c r="J397" s="21"/>
      <c r="K397" s="80"/>
      <c r="L397" s="82"/>
    </row>
    <row r="398" spans="2:12" s="1" customFormat="1" ht="12.95" customHeight="1" x14ac:dyDescent="0.15">
      <c r="B398" s="16"/>
      <c r="C398" s="411" t="s">
        <v>130</v>
      </c>
      <c r="D398" s="411"/>
      <c r="E398" s="411"/>
      <c r="F398" s="129"/>
      <c r="G398" s="20"/>
      <c r="H398" s="20"/>
      <c r="I398" s="126"/>
      <c r="J398" s="21"/>
      <c r="K398" s="80"/>
      <c r="L398" s="82"/>
    </row>
    <row r="399" spans="2:12" s="1" customFormat="1" ht="12.75" customHeight="1" x14ac:dyDescent="0.15">
      <c r="B399" s="16"/>
      <c r="C399" s="37" t="s">
        <v>149</v>
      </c>
      <c r="D399" s="24"/>
      <c r="E399" s="24"/>
      <c r="F399" s="129"/>
      <c r="G399" s="20"/>
      <c r="H399" s="20"/>
      <c r="I399" s="126"/>
      <c r="J399" s="38"/>
      <c r="K399" s="80"/>
      <c r="L399" s="82"/>
    </row>
    <row r="400" spans="2:12" s="1" customFormat="1" ht="12.75" x14ac:dyDescent="0.15">
      <c r="B400" s="16">
        <v>1</v>
      </c>
      <c r="C400" s="23"/>
      <c r="D400" s="24"/>
      <c r="E400" s="24"/>
      <c r="F400" s="129"/>
      <c r="G400" s="20"/>
      <c r="H400" s="20">
        <v>1</v>
      </c>
      <c r="I400" s="126">
        <f t="shared" ref="I400:I455" si="26">J400*$C$32</f>
        <v>0</v>
      </c>
      <c r="J400" s="38">
        <f t="shared" ref="J400:J419" si="27">(F400*G400*H400)/$C$32</f>
        <v>0</v>
      </c>
      <c r="K400" s="80"/>
      <c r="L400" s="82"/>
    </row>
    <row r="401" spans="2:12" s="1" customFormat="1" ht="12.75" customHeight="1" x14ac:dyDescent="0.15">
      <c r="B401" s="16">
        <v>2</v>
      </c>
      <c r="C401" s="23"/>
      <c r="D401" s="24"/>
      <c r="E401" s="24"/>
      <c r="F401" s="126"/>
      <c r="G401" s="20"/>
      <c r="H401" s="20">
        <v>1</v>
      </c>
      <c r="I401" s="126">
        <f t="shared" si="26"/>
        <v>0</v>
      </c>
      <c r="J401" s="38">
        <f t="shared" si="27"/>
        <v>0</v>
      </c>
      <c r="K401" s="80"/>
      <c r="L401" s="82"/>
    </row>
    <row r="402" spans="2:12" s="1" customFormat="1" ht="12.95" customHeight="1" x14ac:dyDescent="0.15">
      <c r="B402" s="16">
        <v>3</v>
      </c>
      <c r="C402" s="23"/>
      <c r="D402" s="25"/>
      <c r="E402" s="25"/>
      <c r="F402" s="129"/>
      <c r="G402" s="20"/>
      <c r="H402" s="20">
        <v>1</v>
      </c>
      <c r="I402" s="126">
        <f t="shared" si="26"/>
        <v>0</v>
      </c>
      <c r="J402" s="38">
        <f t="shared" si="27"/>
        <v>0</v>
      </c>
      <c r="K402" s="80"/>
      <c r="L402" s="82"/>
    </row>
    <row r="403" spans="2:12" s="1" customFormat="1" ht="12.95" customHeight="1" x14ac:dyDescent="0.15">
      <c r="B403" s="16">
        <v>4</v>
      </c>
      <c r="C403" s="23"/>
      <c r="D403" s="24"/>
      <c r="E403" s="24"/>
      <c r="F403" s="129"/>
      <c r="G403" s="20"/>
      <c r="H403" s="20">
        <v>1</v>
      </c>
      <c r="I403" s="126">
        <f t="shared" si="26"/>
        <v>0</v>
      </c>
      <c r="J403" s="38">
        <f t="shared" si="27"/>
        <v>0</v>
      </c>
      <c r="K403" s="80"/>
      <c r="L403" s="82"/>
    </row>
    <row r="404" spans="2:12" s="1" customFormat="1" ht="12.95" customHeight="1" x14ac:dyDescent="0.15">
      <c r="B404" s="16">
        <v>5</v>
      </c>
      <c r="C404" s="16"/>
      <c r="D404" s="18"/>
      <c r="E404" s="18"/>
      <c r="F404" s="129"/>
      <c r="G404" s="20"/>
      <c r="H404" s="20">
        <v>1</v>
      </c>
      <c r="I404" s="126">
        <f t="shared" si="26"/>
        <v>0</v>
      </c>
      <c r="J404" s="38">
        <f t="shared" si="27"/>
        <v>0</v>
      </c>
      <c r="K404" s="80"/>
      <c r="L404" s="82"/>
    </row>
    <row r="405" spans="2:12" s="1" customFormat="1" ht="12.95" customHeight="1" x14ac:dyDescent="0.15">
      <c r="B405" s="16">
        <v>6</v>
      </c>
      <c r="C405" s="17"/>
      <c r="D405" s="24"/>
      <c r="E405" s="24"/>
      <c r="F405" s="129"/>
      <c r="G405" s="20"/>
      <c r="H405" s="20">
        <v>1</v>
      </c>
      <c r="I405" s="126">
        <f t="shared" si="26"/>
        <v>0</v>
      </c>
      <c r="J405" s="38">
        <f t="shared" si="27"/>
        <v>0</v>
      </c>
      <c r="K405" s="80"/>
      <c r="L405" s="82"/>
    </row>
    <row r="406" spans="2:12" s="1" customFormat="1" ht="12.95" customHeight="1" x14ac:dyDescent="0.15">
      <c r="B406" s="16">
        <v>7</v>
      </c>
      <c r="C406" s="17"/>
      <c r="D406" s="24"/>
      <c r="E406" s="24"/>
      <c r="F406" s="129"/>
      <c r="G406" s="20"/>
      <c r="H406" s="20">
        <v>1</v>
      </c>
      <c r="I406" s="126">
        <f t="shared" si="26"/>
        <v>0</v>
      </c>
      <c r="J406" s="38">
        <f t="shared" si="27"/>
        <v>0</v>
      </c>
      <c r="K406" s="80"/>
      <c r="L406" s="82"/>
    </row>
    <row r="407" spans="2:12" s="1" customFormat="1" ht="12.95" customHeight="1" x14ac:dyDescent="0.15">
      <c r="B407" s="16">
        <v>8</v>
      </c>
      <c r="C407" s="17"/>
      <c r="D407" s="24"/>
      <c r="E407" s="24"/>
      <c r="F407" s="129"/>
      <c r="G407" s="20"/>
      <c r="H407" s="20">
        <v>1</v>
      </c>
      <c r="I407" s="126">
        <f t="shared" si="26"/>
        <v>0</v>
      </c>
      <c r="J407" s="38">
        <f t="shared" si="27"/>
        <v>0</v>
      </c>
      <c r="K407" s="80"/>
      <c r="L407" s="82"/>
    </row>
    <row r="408" spans="2:12" s="1" customFormat="1" ht="12.95" customHeight="1" x14ac:dyDescent="0.15">
      <c r="B408" s="16">
        <v>9</v>
      </c>
      <c r="C408" s="17"/>
      <c r="D408" s="24"/>
      <c r="E408" s="24"/>
      <c r="F408" s="129"/>
      <c r="G408" s="20"/>
      <c r="H408" s="20">
        <v>1</v>
      </c>
      <c r="I408" s="126">
        <f t="shared" si="26"/>
        <v>0</v>
      </c>
      <c r="J408" s="38">
        <f t="shared" si="27"/>
        <v>0</v>
      </c>
      <c r="K408" s="80"/>
      <c r="L408" s="82"/>
    </row>
    <row r="409" spans="2:12" s="1" customFormat="1" ht="12.95" customHeight="1" x14ac:dyDescent="0.15">
      <c r="B409" s="16">
        <v>10</v>
      </c>
      <c r="C409" s="17"/>
      <c r="D409" s="24"/>
      <c r="E409" s="24"/>
      <c r="F409" s="129"/>
      <c r="G409" s="20"/>
      <c r="H409" s="20">
        <v>1</v>
      </c>
      <c r="I409" s="126">
        <f t="shared" si="26"/>
        <v>0</v>
      </c>
      <c r="J409" s="38">
        <f t="shared" si="27"/>
        <v>0</v>
      </c>
      <c r="K409" s="80"/>
      <c r="L409" s="82"/>
    </row>
    <row r="410" spans="2:12" s="1" customFormat="1" ht="12.95" customHeight="1" x14ac:dyDescent="0.15">
      <c r="B410" s="16"/>
      <c r="C410" s="17"/>
      <c r="D410" s="24"/>
      <c r="E410" s="24"/>
      <c r="F410" s="129"/>
      <c r="G410" s="20"/>
      <c r="H410" s="20"/>
      <c r="I410" s="126"/>
      <c r="J410" s="38"/>
      <c r="K410" s="80"/>
      <c r="L410" s="82"/>
    </row>
    <row r="411" spans="2:12" s="1" customFormat="1" ht="12.95" customHeight="1" x14ac:dyDescent="0.15">
      <c r="B411" s="16"/>
      <c r="C411" s="17"/>
      <c r="D411" s="24"/>
      <c r="E411" s="24"/>
      <c r="F411" s="129"/>
      <c r="G411" s="20"/>
      <c r="H411" s="20"/>
      <c r="I411" s="126"/>
      <c r="J411" s="38"/>
      <c r="K411" s="80"/>
      <c r="L411" s="82"/>
    </row>
    <row r="412" spans="2:12" s="1" customFormat="1" ht="12.95" customHeight="1" x14ac:dyDescent="0.15">
      <c r="B412" s="16"/>
      <c r="C412" s="22" t="s">
        <v>153</v>
      </c>
      <c r="D412" s="24"/>
      <c r="E412" s="24"/>
      <c r="F412" s="129"/>
      <c r="G412" s="20"/>
      <c r="H412" s="20"/>
      <c r="I412" s="126"/>
      <c r="J412" s="38"/>
      <c r="K412" s="80"/>
      <c r="L412" s="82"/>
    </row>
    <row r="413" spans="2:12" s="1" customFormat="1" ht="12.95" customHeight="1" x14ac:dyDescent="0.15">
      <c r="B413" s="16">
        <v>1</v>
      </c>
      <c r="C413" s="17"/>
      <c r="D413" s="18"/>
      <c r="E413" s="24"/>
      <c r="F413" s="129"/>
      <c r="G413" s="20"/>
      <c r="H413" s="20">
        <v>1</v>
      </c>
      <c r="I413" s="126">
        <f t="shared" si="26"/>
        <v>0</v>
      </c>
      <c r="J413" s="38">
        <f t="shared" si="27"/>
        <v>0</v>
      </c>
      <c r="K413" s="80"/>
      <c r="L413" s="82"/>
    </row>
    <row r="414" spans="2:12" s="1" customFormat="1" ht="12.95" customHeight="1" x14ac:dyDescent="0.15">
      <c r="B414" s="16">
        <v>2</v>
      </c>
      <c r="C414" s="17"/>
      <c r="D414" s="18"/>
      <c r="E414" s="24"/>
      <c r="F414" s="129"/>
      <c r="G414" s="20"/>
      <c r="H414" s="20">
        <v>1</v>
      </c>
      <c r="I414" s="126">
        <f t="shared" si="26"/>
        <v>0</v>
      </c>
      <c r="J414" s="38">
        <f t="shared" si="27"/>
        <v>0</v>
      </c>
      <c r="K414" s="80"/>
      <c r="L414" s="82"/>
    </row>
    <row r="415" spans="2:12" s="1" customFormat="1" ht="12.95" customHeight="1" x14ac:dyDescent="0.15">
      <c r="B415" s="16">
        <v>3</v>
      </c>
      <c r="C415" s="17"/>
      <c r="D415" s="24"/>
      <c r="E415" s="18"/>
      <c r="F415" s="129"/>
      <c r="G415" s="20"/>
      <c r="H415" s="20">
        <v>1</v>
      </c>
      <c r="I415" s="126">
        <f t="shared" si="26"/>
        <v>0</v>
      </c>
      <c r="J415" s="38">
        <f t="shared" si="27"/>
        <v>0</v>
      </c>
      <c r="K415" s="80"/>
      <c r="L415" s="82"/>
    </row>
    <row r="416" spans="2:12" s="4" customFormat="1" ht="12.95" customHeight="1" x14ac:dyDescent="0.15">
      <c r="B416" s="26">
        <v>4</v>
      </c>
      <c r="C416" s="23"/>
      <c r="D416" s="48"/>
      <c r="E416" s="49"/>
      <c r="F416" s="126"/>
      <c r="G416" s="50"/>
      <c r="H416" s="50">
        <v>1</v>
      </c>
      <c r="I416" s="126">
        <f t="shared" si="26"/>
        <v>0</v>
      </c>
      <c r="J416" s="38">
        <f t="shared" si="27"/>
        <v>0</v>
      </c>
      <c r="K416" s="108"/>
      <c r="L416" s="113"/>
    </row>
    <row r="417" spans="2:20" s="1" customFormat="1" ht="12.95" customHeight="1" x14ac:dyDescent="0.15">
      <c r="B417" s="16">
        <v>5</v>
      </c>
      <c r="C417" s="17"/>
      <c r="D417" s="24"/>
      <c r="E417" s="18"/>
      <c r="F417" s="129"/>
      <c r="G417" s="20"/>
      <c r="H417" s="20">
        <v>1</v>
      </c>
      <c r="I417" s="126">
        <f t="shared" si="26"/>
        <v>0</v>
      </c>
      <c r="J417" s="38">
        <f t="shared" si="27"/>
        <v>0</v>
      </c>
      <c r="K417" s="80"/>
      <c r="L417" s="82"/>
    </row>
    <row r="418" spans="2:20" s="1" customFormat="1" ht="12.95" customHeight="1" x14ac:dyDescent="0.15">
      <c r="B418" s="16">
        <v>6</v>
      </c>
      <c r="C418" s="17"/>
      <c r="D418" s="24"/>
      <c r="E418" s="18"/>
      <c r="F418" s="129"/>
      <c r="G418" s="20"/>
      <c r="H418" s="20">
        <v>1</v>
      </c>
      <c r="I418" s="126">
        <f t="shared" si="26"/>
        <v>0</v>
      </c>
      <c r="J418" s="38">
        <f t="shared" si="27"/>
        <v>0</v>
      </c>
      <c r="K418" s="80"/>
      <c r="L418" s="82"/>
    </row>
    <row r="419" spans="2:20" s="1" customFormat="1" ht="12.95" customHeight="1" x14ac:dyDescent="0.15">
      <c r="B419" s="16">
        <v>7</v>
      </c>
      <c r="C419" s="17"/>
      <c r="D419" s="24"/>
      <c r="E419" s="24"/>
      <c r="F419" s="129"/>
      <c r="G419" s="20"/>
      <c r="H419" s="20">
        <v>1</v>
      </c>
      <c r="I419" s="126">
        <f t="shared" si="26"/>
        <v>0</v>
      </c>
      <c r="J419" s="38">
        <f t="shared" si="27"/>
        <v>0</v>
      </c>
      <c r="K419" s="80"/>
      <c r="L419" s="82"/>
    </row>
    <row r="420" spans="2:20" s="1" customFormat="1" ht="12.95" customHeight="1" x14ac:dyDescent="0.15">
      <c r="B420" s="16">
        <v>8</v>
      </c>
      <c r="C420" s="17"/>
      <c r="D420" s="24"/>
      <c r="E420" s="24"/>
      <c r="F420" s="129"/>
      <c r="G420" s="20"/>
      <c r="H420" s="20">
        <v>1</v>
      </c>
      <c r="I420" s="126">
        <f t="shared" si="26"/>
        <v>0</v>
      </c>
      <c r="J420" s="38">
        <f>(F420*G420*H420)/$C$32</f>
        <v>0</v>
      </c>
      <c r="K420" s="80"/>
      <c r="L420" s="82"/>
    </row>
    <row r="421" spans="2:20" s="1" customFormat="1" ht="14.85" customHeight="1" x14ac:dyDescent="0.15">
      <c r="B421" s="16">
        <v>9</v>
      </c>
      <c r="C421" s="17"/>
      <c r="D421" s="24"/>
      <c r="E421" s="24"/>
      <c r="F421" s="129"/>
      <c r="G421" s="20"/>
      <c r="H421" s="20">
        <v>1</v>
      </c>
      <c r="I421" s="126">
        <f t="shared" si="26"/>
        <v>0</v>
      </c>
      <c r="J421" s="38">
        <f>(F421*G421*H421)/$C$32</f>
        <v>0</v>
      </c>
      <c r="K421" s="80"/>
      <c r="L421" s="82"/>
    </row>
    <row r="422" spans="2:20" s="1" customFormat="1" ht="12.95" customHeight="1" x14ac:dyDescent="0.15">
      <c r="B422" s="16">
        <v>10</v>
      </c>
      <c r="C422" s="17"/>
      <c r="D422" s="24"/>
      <c r="E422" s="24"/>
      <c r="F422" s="129"/>
      <c r="G422" s="20"/>
      <c r="H422" s="20">
        <v>1</v>
      </c>
      <c r="I422" s="126">
        <f t="shared" si="26"/>
        <v>0</v>
      </c>
      <c r="J422" s="38">
        <f t="shared" ref="J422:J455" si="28">(F422*G422*H422)/$C$32</f>
        <v>0</v>
      </c>
      <c r="K422" s="80"/>
      <c r="L422" s="82"/>
      <c r="M422" s="39"/>
      <c r="N422" s="40"/>
      <c r="O422" s="40"/>
    </row>
    <row r="423" spans="2:20" s="1" customFormat="1" ht="12.95" customHeight="1" x14ac:dyDescent="0.15">
      <c r="B423" s="16">
        <v>11</v>
      </c>
      <c r="C423" s="17"/>
      <c r="D423" s="24"/>
      <c r="E423" s="24"/>
      <c r="F423" s="129"/>
      <c r="G423" s="20"/>
      <c r="H423" s="20">
        <v>1</v>
      </c>
      <c r="I423" s="126">
        <f t="shared" si="26"/>
        <v>0</v>
      </c>
      <c r="J423" s="38">
        <f t="shared" si="28"/>
        <v>0</v>
      </c>
      <c r="K423" s="80"/>
      <c r="L423" s="82"/>
    </row>
    <row r="424" spans="2:20" s="1" customFormat="1" ht="12.95" customHeight="1" x14ac:dyDescent="0.15">
      <c r="B424" s="16">
        <v>12</v>
      </c>
      <c r="C424" s="17"/>
      <c r="D424" s="24"/>
      <c r="E424" s="24"/>
      <c r="F424" s="129"/>
      <c r="G424" s="20"/>
      <c r="H424" s="20">
        <v>1</v>
      </c>
      <c r="I424" s="126">
        <f t="shared" si="26"/>
        <v>0</v>
      </c>
      <c r="J424" s="38">
        <f t="shared" si="28"/>
        <v>0</v>
      </c>
      <c r="K424" s="80"/>
      <c r="L424" s="82"/>
    </row>
    <row r="425" spans="2:20" s="1" customFormat="1" ht="12.95" customHeight="1" x14ac:dyDescent="0.15">
      <c r="B425" s="16">
        <v>13</v>
      </c>
      <c r="C425" s="17"/>
      <c r="D425" s="24"/>
      <c r="E425" s="24"/>
      <c r="F425" s="130"/>
      <c r="G425" s="20"/>
      <c r="H425" s="20">
        <v>1</v>
      </c>
      <c r="I425" s="126">
        <f t="shared" si="26"/>
        <v>0</v>
      </c>
      <c r="J425" s="38">
        <f t="shared" si="28"/>
        <v>0</v>
      </c>
      <c r="K425" s="80"/>
      <c r="L425" s="82"/>
    </row>
    <row r="426" spans="2:20" s="1" customFormat="1" ht="12.95" customHeight="1" x14ac:dyDescent="0.15">
      <c r="B426" s="16">
        <v>14</v>
      </c>
      <c r="C426" s="17"/>
      <c r="D426" s="24"/>
      <c r="E426" s="24"/>
      <c r="F426" s="129"/>
      <c r="G426" s="20"/>
      <c r="H426" s="20">
        <v>1</v>
      </c>
      <c r="I426" s="126">
        <f t="shared" si="26"/>
        <v>0</v>
      </c>
      <c r="J426" s="38">
        <f t="shared" si="28"/>
        <v>0</v>
      </c>
      <c r="K426" s="80"/>
      <c r="L426" s="82"/>
    </row>
    <row r="427" spans="2:20" s="1" customFormat="1" ht="12.95" customHeight="1" x14ac:dyDescent="0.15">
      <c r="B427" s="16">
        <v>15</v>
      </c>
      <c r="C427" s="17"/>
      <c r="D427" s="24"/>
      <c r="E427" s="24"/>
      <c r="F427" s="129"/>
      <c r="G427" s="20"/>
      <c r="H427" s="20">
        <v>1</v>
      </c>
      <c r="I427" s="126">
        <f t="shared" si="26"/>
        <v>0</v>
      </c>
      <c r="J427" s="38">
        <f t="shared" si="28"/>
        <v>0</v>
      </c>
      <c r="K427" s="80"/>
      <c r="L427" s="82"/>
    </row>
    <row r="428" spans="2:20" s="1" customFormat="1" ht="12.95" customHeight="1" x14ac:dyDescent="0.15">
      <c r="B428" s="16">
        <v>16</v>
      </c>
      <c r="C428" s="17"/>
      <c r="D428" s="24"/>
      <c r="E428" s="24"/>
      <c r="F428" s="129"/>
      <c r="G428" s="20"/>
      <c r="H428" s="20">
        <v>1</v>
      </c>
      <c r="I428" s="126">
        <f t="shared" si="26"/>
        <v>0</v>
      </c>
      <c r="J428" s="38">
        <f t="shared" si="28"/>
        <v>0</v>
      </c>
      <c r="K428" s="80"/>
      <c r="L428" s="82"/>
    </row>
    <row r="429" spans="2:20" s="1" customFormat="1" ht="12.95" customHeight="1" x14ac:dyDescent="0.15">
      <c r="B429" s="16">
        <v>17</v>
      </c>
      <c r="C429" s="17"/>
      <c r="D429" s="24"/>
      <c r="E429" s="24"/>
      <c r="F429" s="129"/>
      <c r="G429" s="20"/>
      <c r="H429" s="20">
        <v>1</v>
      </c>
      <c r="I429" s="126">
        <f t="shared" si="26"/>
        <v>0</v>
      </c>
      <c r="J429" s="38">
        <f t="shared" si="28"/>
        <v>0</v>
      </c>
      <c r="K429" s="80"/>
      <c r="L429" s="82"/>
    </row>
    <row r="430" spans="2:20" s="1" customFormat="1" ht="12.95" customHeight="1" x14ac:dyDescent="0.15">
      <c r="B430" s="16">
        <v>18</v>
      </c>
      <c r="C430" s="17"/>
      <c r="D430" s="24"/>
      <c r="E430" s="24"/>
      <c r="F430" s="129"/>
      <c r="G430" s="20"/>
      <c r="H430" s="20">
        <v>1</v>
      </c>
      <c r="I430" s="126">
        <f t="shared" si="26"/>
        <v>0</v>
      </c>
      <c r="J430" s="38">
        <f t="shared" si="28"/>
        <v>0</v>
      </c>
      <c r="K430" s="80"/>
      <c r="L430" s="82"/>
    </row>
    <row r="431" spans="2:20" s="1" customFormat="1" ht="12.95" customHeight="1" x14ac:dyDescent="0.15">
      <c r="B431" s="16">
        <v>19</v>
      </c>
      <c r="C431" s="17"/>
      <c r="D431" s="18"/>
      <c r="E431" s="18"/>
      <c r="F431" s="129"/>
      <c r="G431" s="20"/>
      <c r="H431" s="20">
        <v>1</v>
      </c>
      <c r="I431" s="126">
        <f t="shared" si="26"/>
        <v>0</v>
      </c>
      <c r="J431" s="21">
        <f t="shared" si="28"/>
        <v>0</v>
      </c>
      <c r="K431" s="80"/>
      <c r="L431" s="82"/>
      <c r="M431" s="10"/>
      <c r="N431" s="10"/>
      <c r="O431" s="10"/>
      <c r="P431" s="10"/>
      <c r="Q431" s="43"/>
      <c r="R431" s="10"/>
      <c r="T431" s="10"/>
    </row>
    <row r="432" spans="2:20" s="1" customFormat="1" ht="12.95" customHeight="1" x14ac:dyDescent="0.15">
      <c r="B432" s="16">
        <v>20</v>
      </c>
      <c r="C432" s="17"/>
      <c r="D432" s="18"/>
      <c r="E432" s="18"/>
      <c r="F432" s="129"/>
      <c r="G432" s="20"/>
      <c r="H432" s="20">
        <v>1</v>
      </c>
      <c r="I432" s="126">
        <f t="shared" si="26"/>
        <v>0</v>
      </c>
      <c r="J432" s="21">
        <f t="shared" si="28"/>
        <v>0</v>
      </c>
      <c r="K432" s="80"/>
      <c r="L432" s="82"/>
      <c r="M432" s="10"/>
      <c r="N432" s="10"/>
      <c r="O432" s="10"/>
      <c r="P432" s="10"/>
      <c r="Q432" s="43"/>
      <c r="R432" s="10"/>
      <c r="T432" s="10"/>
    </row>
    <row r="433" spans="2:20" s="1" customFormat="1" ht="12.95" customHeight="1" x14ac:dyDescent="0.15">
      <c r="B433" s="16"/>
      <c r="C433" s="17"/>
      <c r="D433" s="18"/>
      <c r="E433" s="18"/>
      <c r="F433" s="129"/>
      <c r="G433" s="20"/>
      <c r="H433" s="20"/>
      <c r="I433" s="126"/>
      <c r="J433" s="21"/>
      <c r="K433" s="80"/>
      <c r="L433" s="82"/>
      <c r="M433" s="10"/>
      <c r="N433" s="10"/>
      <c r="O433" s="10"/>
      <c r="P433" s="10"/>
      <c r="Q433" s="43"/>
      <c r="R433" s="10"/>
      <c r="T433" s="10"/>
    </row>
    <row r="434" spans="2:20" s="1" customFormat="1" ht="12.95" customHeight="1" x14ac:dyDescent="0.15">
      <c r="B434" s="16"/>
      <c r="C434" s="17"/>
      <c r="D434" s="18"/>
      <c r="E434" s="18"/>
      <c r="F434" s="129"/>
      <c r="G434" s="20"/>
      <c r="H434" s="20"/>
      <c r="I434" s="126"/>
      <c r="J434" s="21"/>
      <c r="K434" s="80"/>
      <c r="L434" s="82"/>
      <c r="M434" s="10"/>
      <c r="N434" s="10"/>
      <c r="O434" s="10"/>
      <c r="P434" s="10"/>
      <c r="Q434" s="43"/>
      <c r="R434" s="10"/>
      <c r="T434" s="10"/>
    </row>
    <row r="435" spans="2:20" s="1" customFormat="1" ht="12.95" customHeight="1" x14ac:dyDescent="0.15">
      <c r="B435" s="16"/>
      <c r="C435" s="22" t="s">
        <v>160</v>
      </c>
      <c r="D435" s="18"/>
      <c r="E435" s="18"/>
      <c r="F435" s="129"/>
      <c r="G435" s="20"/>
      <c r="H435" s="20"/>
      <c r="I435" s="126"/>
      <c r="J435" s="21"/>
      <c r="K435" s="80"/>
      <c r="L435" s="82"/>
      <c r="M435" s="10"/>
      <c r="N435" s="10"/>
      <c r="O435" s="10"/>
      <c r="P435" s="10"/>
      <c r="Q435" s="43"/>
      <c r="R435" s="10"/>
      <c r="T435" s="10"/>
    </row>
    <row r="436" spans="2:20" s="1" customFormat="1" ht="12.95" customHeight="1" x14ac:dyDescent="0.15">
      <c r="B436" s="16">
        <v>1</v>
      </c>
      <c r="C436" s="22"/>
      <c r="D436" s="18"/>
      <c r="E436" s="18"/>
      <c r="F436" s="129"/>
      <c r="G436" s="20"/>
      <c r="H436" s="20">
        <v>1</v>
      </c>
      <c r="I436" s="126">
        <f t="shared" si="26"/>
        <v>0</v>
      </c>
      <c r="J436" s="21">
        <f t="shared" si="28"/>
        <v>0</v>
      </c>
      <c r="K436" s="80"/>
      <c r="L436" s="82"/>
      <c r="M436" s="10"/>
      <c r="N436" s="10"/>
      <c r="O436" s="10"/>
      <c r="P436" s="10"/>
      <c r="Q436" s="43"/>
      <c r="R436" s="10"/>
      <c r="T436" s="10"/>
    </row>
    <row r="437" spans="2:20" s="1" customFormat="1" ht="12.95" customHeight="1" x14ac:dyDescent="0.15">
      <c r="B437" s="16">
        <v>2</v>
      </c>
      <c r="C437" s="22"/>
      <c r="D437" s="18"/>
      <c r="E437" s="18"/>
      <c r="F437" s="129"/>
      <c r="G437" s="20"/>
      <c r="H437" s="20">
        <v>1</v>
      </c>
      <c r="I437" s="126">
        <f t="shared" si="26"/>
        <v>0</v>
      </c>
      <c r="J437" s="21">
        <f t="shared" si="28"/>
        <v>0</v>
      </c>
      <c r="K437" s="80"/>
      <c r="L437" s="82"/>
      <c r="M437" s="10"/>
      <c r="N437" s="10"/>
      <c r="O437" s="10"/>
      <c r="P437" s="10"/>
      <c r="Q437" s="43"/>
      <c r="R437" s="10"/>
      <c r="T437" s="10"/>
    </row>
    <row r="438" spans="2:20" s="1" customFormat="1" ht="12.95" customHeight="1" x14ac:dyDescent="0.15">
      <c r="B438" s="16">
        <v>3</v>
      </c>
      <c r="C438" s="22"/>
      <c r="D438" s="18"/>
      <c r="E438" s="18"/>
      <c r="F438" s="129"/>
      <c r="G438" s="20"/>
      <c r="H438" s="20">
        <v>1</v>
      </c>
      <c r="I438" s="126">
        <f t="shared" si="26"/>
        <v>0</v>
      </c>
      <c r="J438" s="21">
        <f t="shared" si="28"/>
        <v>0</v>
      </c>
      <c r="K438" s="80"/>
      <c r="L438" s="82"/>
      <c r="M438" s="10"/>
      <c r="N438" s="10"/>
      <c r="O438" s="10"/>
      <c r="P438" s="10"/>
      <c r="Q438" s="43"/>
      <c r="R438" s="10"/>
      <c r="T438" s="10"/>
    </row>
    <row r="439" spans="2:20" s="1" customFormat="1" ht="12.95" customHeight="1" x14ac:dyDescent="0.15">
      <c r="B439" s="16">
        <v>4</v>
      </c>
      <c r="C439" s="22"/>
      <c r="D439" s="18"/>
      <c r="E439" s="18"/>
      <c r="F439" s="129"/>
      <c r="G439" s="20"/>
      <c r="H439" s="20">
        <v>1</v>
      </c>
      <c r="I439" s="126">
        <f t="shared" si="26"/>
        <v>0</v>
      </c>
      <c r="J439" s="21">
        <f t="shared" si="28"/>
        <v>0</v>
      </c>
      <c r="K439" s="80"/>
      <c r="L439" s="82"/>
      <c r="M439" s="10"/>
      <c r="N439" s="10"/>
      <c r="O439" s="10"/>
      <c r="P439" s="10"/>
      <c r="Q439" s="43"/>
      <c r="R439" s="10"/>
      <c r="T439" s="10"/>
    </row>
    <row r="440" spans="2:20" s="1" customFormat="1" ht="12.95" customHeight="1" x14ac:dyDescent="0.15">
      <c r="B440" s="16">
        <v>5</v>
      </c>
      <c r="C440" s="22"/>
      <c r="D440" s="18"/>
      <c r="E440" s="18"/>
      <c r="F440" s="129"/>
      <c r="G440" s="20"/>
      <c r="H440" s="20">
        <v>1</v>
      </c>
      <c r="I440" s="126">
        <f t="shared" si="26"/>
        <v>0</v>
      </c>
      <c r="J440" s="21">
        <f t="shared" si="28"/>
        <v>0</v>
      </c>
      <c r="K440" s="80"/>
      <c r="L440" s="82"/>
      <c r="M440" s="10"/>
      <c r="N440" s="10"/>
      <c r="O440" s="10"/>
      <c r="P440" s="10"/>
      <c r="Q440" s="43"/>
      <c r="R440" s="10"/>
      <c r="T440" s="10"/>
    </row>
    <row r="441" spans="2:20" s="1" customFormat="1" ht="12.95" customHeight="1" x14ac:dyDescent="0.15">
      <c r="B441" s="16">
        <v>6</v>
      </c>
      <c r="C441" s="22"/>
      <c r="D441" s="18"/>
      <c r="E441" s="18"/>
      <c r="F441" s="129"/>
      <c r="G441" s="20"/>
      <c r="H441" s="20">
        <v>1</v>
      </c>
      <c r="I441" s="126">
        <f t="shared" si="26"/>
        <v>0</v>
      </c>
      <c r="J441" s="21">
        <f t="shared" si="28"/>
        <v>0</v>
      </c>
      <c r="K441" s="80"/>
      <c r="L441" s="82"/>
      <c r="M441" s="10"/>
      <c r="N441" s="10"/>
      <c r="O441" s="10"/>
      <c r="P441" s="10"/>
      <c r="Q441" s="43"/>
      <c r="R441" s="10"/>
      <c r="T441" s="10"/>
    </row>
    <row r="442" spans="2:20" s="1" customFormat="1" ht="12.95" customHeight="1" x14ac:dyDescent="0.15">
      <c r="B442" s="16">
        <v>7</v>
      </c>
      <c r="C442" s="22"/>
      <c r="D442" s="18"/>
      <c r="E442" s="18"/>
      <c r="F442" s="129"/>
      <c r="G442" s="20"/>
      <c r="H442" s="20">
        <v>1</v>
      </c>
      <c r="I442" s="126">
        <f t="shared" si="26"/>
        <v>0</v>
      </c>
      <c r="J442" s="21">
        <f t="shared" si="28"/>
        <v>0</v>
      </c>
      <c r="K442" s="80"/>
      <c r="L442" s="82"/>
      <c r="M442" s="10"/>
      <c r="N442" s="10"/>
      <c r="O442" s="10"/>
      <c r="P442" s="10"/>
      <c r="Q442" s="43"/>
      <c r="R442" s="10"/>
      <c r="T442" s="10"/>
    </row>
    <row r="443" spans="2:20" s="1" customFormat="1" ht="12.95" customHeight="1" x14ac:dyDescent="0.15">
      <c r="B443" s="16">
        <v>8</v>
      </c>
      <c r="C443" s="22"/>
      <c r="D443" s="18"/>
      <c r="E443" s="18"/>
      <c r="F443" s="129"/>
      <c r="G443" s="20"/>
      <c r="H443" s="20">
        <v>1</v>
      </c>
      <c r="I443" s="126">
        <f t="shared" si="26"/>
        <v>0</v>
      </c>
      <c r="J443" s="21">
        <f t="shared" si="28"/>
        <v>0</v>
      </c>
      <c r="K443" s="80"/>
      <c r="L443" s="82"/>
      <c r="M443" s="10"/>
      <c r="N443" s="10"/>
      <c r="O443" s="10"/>
      <c r="P443" s="10"/>
      <c r="Q443" s="43"/>
      <c r="R443" s="10"/>
      <c r="T443" s="10"/>
    </row>
    <row r="444" spans="2:20" s="1" customFormat="1" ht="12.95" customHeight="1" x14ac:dyDescent="0.15">
      <c r="B444" s="16">
        <v>9</v>
      </c>
      <c r="C444" s="22"/>
      <c r="D444" s="18"/>
      <c r="E444" s="18"/>
      <c r="F444" s="129"/>
      <c r="G444" s="20"/>
      <c r="H444" s="20">
        <v>1</v>
      </c>
      <c r="I444" s="126">
        <f t="shared" si="26"/>
        <v>0</v>
      </c>
      <c r="J444" s="21">
        <f t="shared" si="28"/>
        <v>0</v>
      </c>
      <c r="K444" s="80"/>
      <c r="L444" s="82"/>
      <c r="M444" s="10"/>
      <c r="N444" s="10"/>
      <c r="O444" s="10"/>
      <c r="P444" s="10"/>
      <c r="Q444" s="43"/>
      <c r="R444" s="10"/>
      <c r="T444" s="10"/>
    </row>
    <row r="445" spans="2:20" s="1" customFormat="1" ht="12.95" customHeight="1" x14ac:dyDescent="0.15">
      <c r="B445" s="16">
        <v>10</v>
      </c>
      <c r="C445" s="22"/>
      <c r="D445" s="18"/>
      <c r="E445" s="18"/>
      <c r="F445" s="129"/>
      <c r="G445" s="20"/>
      <c r="H445" s="20">
        <v>1</v>
      </c>
      <c r="I445" s="126">
        <f t="shared" si="26"/>
        <v>0</v>
      </c>
      <c r="J445" s="21">
        <f t="shared" si="28"/>
        <v>0</v>
      </c>
      <c r="K445" s="80"/>
      <c r="L445" s="82"/>
      <c r="M445" s="10"/>
      <c r="N445" s="10"/>
      <c r="O445" s="10"/>
      <c r="P445" s="10"/>
      <c r="Q445" s="43"/>
      <c r="R445" s="10"/>
      <c r="T445" s="10"/>
    </row>
    <row r="446" spans="2:20" s="1" customFormat="1" ht="12.95" customHeight="1" x14ac:dyDescent="0.15">
      <c r="B446" s="16">
        <v>11</v>
      </c>
      <c r="C446" s="22"/>
      <c r="D446" s="18"/>
      <c r="E446" s="18"/>
      <c r="F446" s="129"/>
      <c r="G446" s="20"/>
      <c r="H446" s="20">
        <v>1</v>
      </c>
      <c r="I446" s="126">
        <f t="shared" si="26"/>
        <v>0</v>
      </c>
      <c r="J446" s="21">
        <f t="shared" si="28"/>
        <v>0</v>
      </c>
      <c r="K446" s="80"/>
      <c r="L446" s="82"/>
      <c r="M446" s="10"/>
      <c r="N446" s="10"/>
      <c r="O446" s="10"/>
      <c r="P446" s="10"/>
      <c r="Q446" s="43"/>
      <c r="R446" s="10"/>
      <c r="T446" s="10"/>
    </row>
    <row r="447" spans="2:20" s="1" customFormat="1" ht="12.95" customHeight="1" x14ac:dyDescent="0.2">
      <c r="B447" s="16">
        <v>12</v>
      </c>
      <c r="C447" s="45"/>
      <c r="D447" s="18"/>
      <c r="E447" s="18"/>
      <c r="F447" s="51"/>
      <c r="G447" s="20"/>
      <c r="H447" s="20">
        <v>1</v>
      </c>
      <c r="I447" s="126">
        <f t="shared" si="26"/>
        <v>0</v>
      </c>
      <c r="J447" s="21">
        <f t="shared" si="28"/>
        <v>0</v>
      </c>
      <c r="K447" s="80"/>
      <c r="L447" s="82"/>
      <c r="N447" s="10"/>
      <c r="O447" s="10"/>
      <c r="P447" s="10"/>
      <c r="Q447" s="43"/>
      <c r="R447" s="10"/>
      <c r="T447" s="10"/>
    </row>
    <row r="448" spans="2:20" s="1" customFormat="1" ht="12.95" customHeight="1" x14ac:dyDescent="0.2">
      <c r="B448" s="16">
        <v>13</v>
      </c>
      <c r="C448" s="45"/>
      <c r="D448" s="18"/>
      <c r="E448" s="18"/>
      <c r="F448" s="51"/>
      <c r="G448" s="20"/>
      <c r="H448" s="20">
        <v>1</v>
      </c>
      <c r="I448" s="126">
        <f t="shared" si="26"/>
        <v>0</v>
      </c>
      <c r="J448" s="21">
        <f t="shared" si="28"/>
        <v>0</v>
      </c>
      <c r="K448" s="80"/>
      <c r="L448" s="82"/>
      <c r="N448" s="10"/>
      <c r="O448" s="10"/>
      <c r="P448" s="10"/>
      <c r="Q448" s="43"/>
      <c r="R448" s="10"/>
      <c r="T448" s="10"/>
    </row>
    <row r="449" spans="2:20" s="1" customFormat="1" ht="12.95" customHeight="1" x14ac:dyDescent="0.2">
      <c r="B449" s="16">
        <v>14</v>
      </c>
      <c r="C449" s="45"/>
      <c r="D449" s="18"/>
      <c r="E449" s="18"/>
      <c r="F449" s="51"/>
      <c r="G449" s="20"/>
      <c r="H449" s="20">
        <v>1</v>
      </c>
      <c r="I449" s="126">
        <f t="shared" si="26"/>
        <v>0</v>
      </c>
      <c r="J449" s="21">
        <f t="shared" si="28"/>
        <v>0</v>
      </c>
      <c r="K449" s="80"/>
      <c r="L449" s="82"/>
      <c r="N449" s="10"/>
      <c r="O449" s="10"/>
      <c r="P449" s="10"/>
      <c r="Q449" s="43"/>
      <c r="R449" s="10"/>
      <c r="T449" s="10"/>
    </row>
    <row r="450" spans="2:20" s="1" customFormat="1" ht="12.95" customHeight="1" x14ac:dyDescent="0.2">
      <c r="B450" s="16">
        <v>15</v>
      </c>
      <c r="C450" s="45"/>
      <c r="D450" s="18"/>
      <c r="E450" s="18"/>
      <c r="F450" s="51"/>
      <c r="G450" s="20"/>
      <c r="H450" s="20">
        <v>1</v>
      </c>
      <c r="I450" s="126">
        <f t="shared" si="26"/>
        <v>0</v>
      </c>
      <c r="J450" s="21">
        <f t="shared" si="28"/>
        <v>0</v>
      </c>
      <c r="K450" s="80"/>
      <c r="L450" s="82"/>
      <c r="N450" s="10"/>
      <c r="O450" s="10"/>
      <c r="P450" s="10"/>
      <c r="Q450" s="43"/>
      <c r="R450" s="10"/>
      <c r="T450" s="10"/>
    </row>
    <row r="451" spans="2:20" s="1" customFormat="1" ht="12.95" customHeight="1" x14ac:dyDescent="0.2">
      <c r="B451" s="16">
        <v>16</v>
      </c>
      <c r="C451" s="45"/>
      <c r="D451" s="18"/>
      <c r="E451" s="18"/>
      <c r="F451" s="51"/>
      <c r="G451" s="20"/>
      <c r="H451" s="20">
        <v>1</v>
      </c>
      <c r="I451" s="126">
        <f t="shared" si="26"/>
        <v>0</v>
      </c>
      <c r="J451" s="21">
        <f t="shared" si="28"/>
        <v>0</v>
      </c>
      <c r="K451" s="80"/>
      <c r="L451" s="82"/>
      <c r="N451" s="10"/>
      <c r="O451" s="10"/>
      <c r="P451" s="10"/>
      <c r="Q451" s="43"/>
      <c r="R451" s="10"/>
      <c r="T451" s="10"/>
    </row>
    <row r="452" spans="2:20" s="1" customFormat="1" ht="12.95" customHeight="1" x14ac:dyDescent="0.2">
      <c r="B452" s="16">
        <v>17</v>
      </c>
      <c r="C452" s="45"/>
      <c r="D452" s="18"/>
      <c r="E452" s="18"/>
      <c r="F452" s="51"/>
      <c r="G452" s="20"/>
      <c r="H452" s="20">
        <v>1</v>
      </c>
      <c r="I452" s="126">
        <f t="shared" si="26"/>
        <v>0</v>
      </c>
      <c r="J452" s="21">
        <f t="shared" si="28"/>
        <v>0</v>
      </c>
      <c r="K452" s="80"/>
      <c r="L452" s="82"/>
      <c r="N452" s="10"/>
      <c r="O452" s="10"/>
      <c r="P452" s="10"/>
      <c r="Q452" s="43"/>
      <c r="R452" s="10"/>
      <c r="T452" s="10"/>
    </row>
    <row r="453" spans="2:20" s="1" customFormat="1" ht="12.95" customHeight="1" x14ac:dyDescent="0.2">
      <c r="B453" s="16">
        <v>18</v>
      </c>
      <c r="C453" s="45"/>
      <c r="D453" s="18"/>
      <c r="E453" s="18"/>
      <c r="F453" s="51"/>
      <c r="G453" s="20"/>
      <c r="H453" s="20">
        <v>1</v>
      </c>
      <c r="I453" s="126">
        <f t="shared" si="26"/>
        <v>0</v>
      </c>
      <c r="J453" s="21">
        <f t="shared" si="28"/>
        <v>0</v>
      </c>
      <c r="K453" s="80"/>
      <c r="L453" s="82"/>
      <c r="N453" s="10"/>
      <c r="O453" s="10"/>
      <c r="P453" s="10"/>
      <c r="Q453" s="43"/>
      <c r="R453" s="10"/>
      <c r="T453" s="10"/>
    </row>
    <row r="454" spans="2:20" s="1" customFormat="1" ht="12.95" customHeight="1" x14ac:dyDescent="0.2">
      <c r="B454" s="16">
        <v>19</v>
      </c>
      <c r="C454" s="45"/>
      <c r="D454" s="18"/>
      <c r="E454" s="18"/>
      <c r="F454" s="51"/>
      <c r="G454" s="20"/>
      <c r="H454" s="20">
        <v>1</v>
      </c>
      <c r="I454" s="126">
        <f t="shared" si="26"/>
        <v>0</v>
      </c>
      <c r="J454" s="78">
        <f t="shared" si="28"/>
        <v>0</v>
      </c>
      <c r="K454" s="111"/>
      <c r="L454" s="119"/>
      <c r="N454" s="10"/>
      <c r="O454" s="10"/>
      <c r="P454" s="10"/>
      <c r="Q454" s="43"/>
      <c r="R454" s="10"/>
      <c r="T454" s="10"/>
    </row>
    <row r="455" spans="2:20" s="1" customFormat="1" ht="12.95" customHeight="1" x14ac:dyDescent="0.2">
      <c r="B455" s="16">
        <v>20</v>
      </c>
      <c r="C455" s="45"/>
      <c r="D455" s="18"/>
      <c r="E455" s="18"/>
      <c r="F455" s="51"/>
      <c r="G455" s="20"/>
      <c r="H455" s="20">
        <v>1</v>
      </c>
      <c r="I455" s="254">
        <f t="shared" si="26"/>
        <v>0</v>
      </c>
      <c r="J455" s="94">
        <f t="shared" si="28"/>
        <v>0</v>
      </c>
      <c r="K455" s="82"/>
      <c r="L455" s="82"/>
      <c r="N455" s="10"/>
      <c r="O455" s="10"/>
      <c r="P455" s="10"/>
      <c r="Q455" s="43"/>
      <c r="R455" s="10"/>
      <c r="T455" s="10"/>
    </row>
    <row r="456" spans="2:20" s="1" customFormat="1" ht="12.95" customHeight="1" x14ac:dyDescent="0.2">
      <c r="B456" s="83"/>
      <c r="C456" s="171"/>
      <c r="D456" s="75"/>
      <c r="E456" s="75"/>
      <c r="F456" s="172"/>
      <c r="G456" s="77"/>
      <c r="H456" s="77"/>
      <c r="I456" s="255"/>
      <c r="J456" s="94"/>
      <c r="K456" s="82"/>
      <c r="L456" s="82"/>
      <c r="N456" s="10"/>
      <c r="O456" s="10"/>
      <c r="P456" s="10"/>
      <c r="Q456" s="43"/>
      <c r="R456" s="10"/>
      <c r="T456" s="10"/>
    </row>
    <row r="457" spans="2:20" s="1" customFormat="1" ht="12.95" customHeight="1" x14ac:dyDescent="0.15">
      <c r="B457" s="82"/>
      <c r="C457" s="102"/>
      <c r="D457" s="103"/>
      <c r="E457" s="102"/>
      <c r="F457" s="128">
        <f>SUM(F397:F456)</f>
        <v>0</v>
      </c>
      <c r="G457" s="104"/>
      <c r="H457" s="105"/>
      <c r="I457" s="256">
        <f>SUM(I398:I456)</f>
        <v>0</v>
      </c>
      <c r="J457" s="257">
        <f>SUM(J397:J456)</f>
        <v>0</v>
      </c>
    </row>
    <row r="458" spans="2:20" s="67" customFormat="1" ht="12.95" customHeight="1" x14ac:dyDescent="0.15">
      <c r="B458" s="116"/>
      <c r="C458" s="114"/>
      <c r="D458" s="114"/>
      <c r="E458" s="114" t="s">
        <v>147</v>
      </c>
      <c r="F458" s="162">
        <f>100/115*F457</f>
        <v>0</v>
      </c>
      <c r="G458" s="114"/>
      <c r="H458" s="114" t="s">
        <v>147</v>
      </c>
      <c r="I458" s="264">
        <f>100/115*I457</f>
        <v>0</v>
      </c>
      <c r="J458" s="114"/>
    </row>
    <row r="459" spans="2:20" s="1" customFormat="1" ht="12.95" customHeight="1" x14ac:dyDescent="0.15"/>
    <row r="460" spans="2:20" s="1" customFormat="1" ht="12.95" customHeight="1" x14ac:dyDescent="0.15"/>
    <row r="461" spans="2:20" s="1" customFormat="1" ht="12.95" customHeight="1" x14ac:dyDescent="0.15"/>
    <row r="462" spans="2:20" s="1" customFormat="1" ht="12.95" customHeight="1" x14ac:dyDescent="0.15"/>
    <row r="463" spans="2:20" s="247" customFormat="1" ht="32.25" x14ac:dyDescent="0.4">
      <c r="B463" s="248"/>
      <c r="C463" s="380" t="s">
        <v>112</v>
      </c>
      <c r="D463" s="380"/>
      <c r="E463" s="400" t="s">
        <v>161</v>
      </c>
      <c r="F463" s="401"/>
      <c r="G463" s="401"/>
      <c r="H463" s="401"/>
      <c r="I463" s="402"/>
      <c r="J463" s="407">
        <v>2026</v>
      </c>
      <c r="K463" s="408"/>
      <c r="L463" s="409"/>
    </row>
    <row r="464" spans="2:20" s="1" customFormat="1" ht="42" customHeight="1" x14ac:dyDescent="0.15">
      <c r="B464" s="82"/>
      <c r="C464" s="102" t="s">
        <v>114</v>
      </c>
      <c r="D464" s="388" t="s">
        <v>115</v>
      </c>
      <c r="E464" s="388"/>
      <c r="F464" s="102" t="s">
        <v>116</v>
      </c>
      <c r="G464" s="102" t="s">
        <v>117</v>
      </c>
      <c r="H464" s="102" t="s">
        <v>118</v>
      </c>
      <c r="I464" s="173" t="s">
        <v>119</v>
      </c>
      <c r="J464" s="102" t="s">
        <v>120</v>
      </c>
      <c r="K464" s="82"/>
      <c r="L464" s="82"/>
    </row>
    <row r="465" spans="2:12" s="1" customFormat="1" ht="12.95" customHeight="1" x14ac:dyDescent="0.15">
      <c r="B465" s="84"/>
      <c r="C465" s="149">
        <f>C395</f>
        <v>350</v>
      </c>
      <c r="D465" s="412">
        <v>21</v>
      </c>
      <c r="E465" s="412"/>
      <c r="F465" s="146">
        <f>F395</f>
        <v>0.8</v>
      </c>
      <c r="G465" s="147">
        <f>G395</f>
        <v>8</v>
      </c>
      <c r="H465" s="148">
        <f>D465*G465*F465</f>
        <v>134.4</v>
      </c>
      <c r="I465" s="149">
        <f>I527</f>
        <v>0</v>
      </c>
      <c r="J465" s="150">
        <f>H465-J527</f>
        <v>134.4</v>
      </c>
      <c r="K465" s="79"/>
      <c r="L465" s="120"/>
    </row>
    <row r="466" spans="2:12" s="1" customFormat="1" ht="69.95" customHeight="1" x14ac:dyDescent="0.15">
      <c r="B466" s="16"/>
      <c r="C466" s="22" t="s">
        <v>121</v>
      </c>
      <c r="D466" s="413" t="s">
        <v>122</v>
      </c>
      <c r="E466" s="413"/>
      <c r="F466" s="33" t="s">
        <v>123</v>
      </c>
      <c r="G466" s="34" t="s">
        <v>124</v>
      </c>
      <c r="H466" s="35" t="s">
        <v>125</v>
      </c>
      <c r="I466" s="125" t="s">
        <v>126</v>
      </c>
      <c r="J466" s="34" t="s">
        <v>127</v>
      </c>
      <c r="K466" s="107" t="s">
        <v>128</v>
      </c>
      <c r="L466" s="123" t="s">
        <v>129</v>
      </c>
    </row>
    <row r="467" spans="2:12" s="1" customFormat="1" ht="12.75" customHeight="1" x14ac:dyDescent="0.15">
      <c r="B467" s="83"/>
      <c r="C467" s="159"/>
      <c r="D467" s="164"/>
      <c r="E467" s="164"/>
      <c r="F467" s="76"/>
      <c r="G467" s="20"/>
      <c r="H467" s="20"/>
      <c r="I467" s="126"/>
      <c r="J467" s="38"/>
      <c r="K467" s="80"/>
      <c r="L467" s="82"/>
    </row>
    <row r="468" spans="2:12" s="1" customFormat="1" ht="12.75" x14ac:dyDescent="0.15">
      <c r="B468" s="82"/>
      <c r="C468" s="392" t="s">
        <v>130</v>
      </c>
      <c r="D468" s="392"/>
      <c r="E468" s="392"/>
      <c r="F468" s="168"/>
      <c r="G468" s="163"/>
      <c r="H468" s="20"/>
      <c r="I468" s="126"/>
      <c r="J468" s="21"/>
      <c r="K468" s="80"/>
      <c r="L468" s="82"/>
    </row>
    <row r="469" spans="2:12" s="1" customFormat="1" ht="12.95" customHeight="1" x14ac:dyDescent="0.15">
      <c r="B469" s="82"/>
      <c r="C469" s="116" t="s">
        <v>149</v>
      </c>
      <c r="D469" s="169"/>
      <c r="E469" s="169"/>
      <c r="F469" s="168"/>
      <c r="G469" s="163"/>
      <c r="H469" s="20"/>
      <c r="I469" s="126"/>
      <c r="J469" s="38"/>
      <c r="K469" s="80"/>
      <c r="L469" s="82"/>
    </row>
    <row r="470" spans="2:12" s="1" customFormat="1" ht="12.95" customHeight="1" x14ac:dyDescent="0.15">
      <c r="B470" s="82">
        <v>1</v>
      </c>
      <c r="C470" s="89"/>
      <c r="D470" s="169"/>
      <c r="E470" s="169"/>
      <c r="F470" s="168"/>
      <c r="G470" s="163"/>
      <c r="H470" s="20">
        <v>1</v>
      </c>
      <c r="I470" s="129">
        <f t="shared" ref="I470:I502" si="29">J470*$C$32</f>
        <v>0</v>
      </c>
      <c r="J470" s="52">
        <f t="shared" ref="J470:J483" si="30">(F470*G470*H470)/$C$32</f>
        <v>0</v>
      </c>
      <c r="K470" s="80"/>
      <c r="L470" s="82"/>
    </row>
    <row r="471" spans="2:12" s="1" customFormat="1" ht="12.95" customHeight="1" x14ac:dyDescent="0.15">
      <c r="B471" s="82">
        <v>2</v>
      </c>
      <c r="C471" s="89"/>
      <c r="D471" s="169"/>
      <c r="E471" s="169"/>
      <c r="F471" s="168"/>
      <c r="G471" s="163"/>
      <c r="H471" s="20">
        <v>1</v>
      </c>
      <c r="I471" s="129">
        <f t="shared" si="29"/>
        <v>0</v>
      </c>
      <c r="J471" s="52">
        <f t="shared" si="30"/>
        <v>0</v>
      </c>
      <c r="K471" s="80"/>
      <c r="L471" s="82"/>
    </row>
    <row r="472" spans="2:12" s="1" customFormat="1" ht="12.95" customHeight="1" x14ac:dyDescent="0.15">
      <c r="B472" s="82">
        <v>3</v>
      </c>
      <c r="C472" s="89"/>
      <c r="D472" s="169"/>
      <c r="E472" s="169"/>
      <c r="F472" s="168"/>
      <c r="G472" s="163"/>
      <c r="H472" s="20">
        <v>1</v>
      </c>
      <c r="I472" s="129">
        <f t="shared" si="29"/>
        <v>0</v>
      </c>
      <c r="J472" s="52">
        <f t="shared" si="30"/>
        <v>0</v>
      </c>
      <c r="K472" s="80"/>
      <c r="L472" s="82"/>
    </row>
    <row r="473" spans="2:12" s="1" customFormat="1" ht="12.95" customHeight="1" x14ac:dyDescent="0.15">
      <c r="B473" s="82">
        <v>4</v>
      </c>
      <c r="C473" s="82"/>
      <c r="D473" s="90"/>
      <c r="E473" s="90"/>
      <c r="F473" s="168"/>
      <c r="G473" s="163"/>
      <c r="H473" s="20">
        <v>1</v>
      </c>
      <c r="I473" s="129">
        <f t="shared" si="29"/>
        <v>0</v>
      </c>
      <c r="J473" s="52">
        <f t="shared" si="30"/>
        <v>0</v>
      </c>
      <c r="K473" s="80"/>
      <c r="L473" s="82"/>
    </row>
    <row r="474" spans="2:12" s="1" customFormat="1" ht="12.95" customHeight="1" x14ac:dyDescent="0.15">
      <c r="B474" s="82">
        <v>5</v>
      </c>
      <c r="C474" s="89"/>
      <c r="D474" s="170"/>
      <c r="E474" s="170"/>
      <c r="F474" s="168"/>
      <c r="G474" s="163"/>
      <c r="H474" s="20">
        <v>1</v>
      </c>
      <c r="I474" s="129">
        <f t="shared" si="29"/>
        <v>0</v>
      </c>
      <c r="J474" s="27">
        <f t="shared" si="30"/>
        <v>0</v>
      </c>
      <c r="K474" s="80"/>
      <c r="L474" s="82"/>
    </row>
    <row r="475" spans="2:12" s="1" customFormat="1" ht="12.95" customHeight="1" x14ac:dyDescent="0.15">
      <c r="B475" s="82">
        <v>6</v>
      </c>
      <c r="C475" s="89"/>
      <c r="D475" s="169"/>
      <c r="E475" s="169"/>
      <c r="F475" s="168"/>
      <c r="G475" s="163"/>
      <c r="H475" s="20">
        <v>1</v>
      </c>
      <c r="I475" s="129">
        <f t="shared" si="29"/>
        <v>0</v>
      </c>
      <c r="J475" s="52">
        <f t="shared" si="30"/>
        <v>0</v>
      </c>
      <c r="K475" s="80"/>
      <c r="L475" s="82"/>
    </row>
    <row r="476" spans="2:12" s="1" customFormat="1" ht="12.95" customHeight="1" x14ac:dyDescent="0.15">
      <c r="B476" s="82">
        <v>7</v>
      </c>
      <c r="C476" s="89"/>
      <c r="D476" s="167"/>
      <c r="E476" s="167"/>
      <c r="F476" s="168"/>
      <c r="G476" s="163"/>
      <c r="H476" s="20">
        <v>1</v>
      </c>
      <c r="I476" s="129">
        <f t="shared" si="29"/>
        <v>0</v>
      </c>
      <c r="J476" s="27">
        <f t="shared" si="30"/>
        <v>0</v>
      </c>
      <c r="K476" s="80"/>
      <c r="L476" s="82"/>
    </row>
    <row r="477" spans="2:12" s="1" customFormat="1" ht="12.95" customHeight="1" x14ac:dyDescent="0.15">
      <c r="B477" s="84">
        <v>8</v>
      </c>
      <c r="C477" s="81"/>
      <c r="D477" s="85"/>
      <c r="E477" s="165"/>
      <c r="F477" s="166"/>
      <c r="G477" s="20"/>
      <c r="H477" s="20">
        <v>1</v>
      </c>
      <c r="I477" s="129">
        <f t="shared" si="29"/>
        <v>0</v>
      </c>
      <c r="J477" s="52">
        <f t="shared" si="30"/>
        <v>0</v>
      </c>
      <c r="K477" s="80"/>
      <c r="L477" s="82"/>
    </row>
    <row r="478" spans="2:12" s="1" customFormat="1" ht="12.95" customHeight="1" x14ac:dyDescent="0.15">
      <c r="B478" s="16">
        <v>9</v>
      </c>
      <c r="C478" s="17"/>
      <c r="D478" s="18"/>
      <c r="E478" s="24"/>
      <c r="F478" s="129"/>
      <c r="G478" s="20"/>
      <c r="H478" s="20">
        <v>1</v>
      </c>
      <c r="I478" s="129">
        <f t="shared" si="29"/>
        <v>0</v>
      </c>
      <c r="J478" s="52">
        <f t="shared" si="30"/>
        <v>0</v>
      </c>
      <c r="K478" s="80"/>
      <c r="L478" s="82"/>
    </row>
    <row r="479" spans="2:12" s="1" customFormat="1" ht="12.95" customHeight="1" x14ac:dyDescent="0.15">
      <c r="B479" s="16">
        <v>10</v>
      </c>
      <c r="C479" s="17"/>
      <c r="D479" s="24"/>
      <c r="E479" s="18"/>
      <c r="F479" s="129"/>
      <c r="G479" s="20"/>
      <c r="H479" s="20">
        <v>1</v>
      </c>
      <c r="I479" s="129">
        <f t="shared" si="29"/>
        <v>0</v>
      </c>
      <c r="J479" s="52">
        <f t="shared" si="30"/>
        <v>0</v>
      </c>
      <c r="K479" s="80"/>
      <c r="L479" s="82"/>
    </row>
    <row r="480" spans="2:12" s="1" customFormat="1" ht="12.95" customHeight="1" x14ac:dyDescent="0.15">
      <c r="B480" s="16"/>
      <c r="C480" s="17"/>
      <c r="D480" s="24"/>
      <c r="E480" s="18"/>
      <c r="F480" s="129"/>
      <c r="G480" s="20"/>
      <c r="H480" s="20"/>
      <c r="I480" s="129"/>
      <c r="J480" s="52"/>
      <c r="K480" s="80"/>
      <c r="L480" s="82"/>
    </row>
    <row r="481" spans="2:20" s="1" customFormat="1" ht="12.95" customHeight="1" x14ac:dyDescent="0.15">
      <c r="B481" s="16"/>
      <c r="C481" s="17"/>
      <c r="D481" s="24"/>
      <c r="E481" s="18"/>
      <c r="F481" s="129"/>
      <c r="G481" s="20"/>
      <c r="H481" s="20"/>
      <c r="I481" s="129"/>
      <c r="J481" s="52"/>
      <c r="K481" s="80"/>
      <c r="L481" s="82"/>
    </row>
    <row r="482" spans="2:20" s="1" customFormat="1" ht="12.95" customHeight="1" x14ac:dyDescent="0.15">
      <c r="B482" s="16"/>
      <c r="C482" s="22" t="s">
        <v>153</v>
      </c>
      <c r="D482" s="24"/>
      <c r="E482" s="18"/>
      <c r="F482" s="129"/>
      <c r="G482" s="20"/>
      <c r="H482" s="20"/>
      <c r="I482" s="129"/>
      <c r="J482" s="52"/>
      <c r="K482" s="80"/>
      <c r="L482" s="82"/>
    </row>
    <row r="483" spans="2:20" s="1" customFormat="1" ht="12.95" customHeight="1" x14ac:dyDescent="0.15">
      <c r="B483" s="16">
        <v>1</v>
      </c>
      <c r="C483" s="17"/>
      <c r="D483" s="24"/>
      <c r="E483" s="24"/>
      <c r="F483" s="129"/>
      <c r="G483" s="20"/>
      <c r="H483" s="20">
        <v>1</v>
      </c>
      <c r="I483" s="129">
        <f t="shared" si="29"/>
        <v>0</v>
      </c>
      <c r="J483" s="52">
        <f t="shared" si="30"/>
        <v>0</v>
      </c>
      <c r="K483" s="80"/>
      <c r="L483" s="82"/>
    </row>
    <row r="484" spans="2:20" s="1" customFormat="1" ht="12.95" customHeight="1" x14ac:dyDescent="0.15">
      <c r="B484" s="16">
        <v>2</v>
      </c>
      <c r="C484" s="17"/>
      <c r="D484" s="24"/>
      <c r="E484" s="24"/>
      <c r="F484" s="129"/>
      <c r="G484" s="20"/>
      <c r="H484" s="20">
        <v>1</v>
      </c>
      <c r="I484" s="129">
        <f t="shared" si="29"/>
        <v>0</v>
      </c>
      <c r="J484" s="52">
        <f>(F484*G484*H484)/$C$32</f>
        <v>0</v>
      </c>
      <c r="K484" s="80"/>
      <c r="L484" s="82"/>
    </row>
    <row r="485" spans="2:20" s="1" customFormat="1" ht="12.95" customHeight="1" x14ac:dyDescent="0.15">
      <c r="B485" s="16">
        <v>3</v>
      </c>
      <c r="C485" s="24"/>
      <c r="D485" s="24"/>
      <c r="E485" s="24"/>
      <c r="F485" s="129"/>
      <c r="G485" s="20"/>
      <c r="H485" s="20">
        <v>1</v>
      </c>
      <c r="I485" s="129">
        <f t="shared" si="29"/>
        <v>0</v>
      </c>
      <c r="J485" s="52">
        <f>(F485*G485*H485)/$C$32</f>
        <v>0</v>
      </c>
      <c r="K485" s="80"/>
      <c r="L485" s="82"/>
    </row>
    <row r="486" spans="2:20" s="1" customFormat="1" ht="12.95" customHeight="1" x14ac:dyDescent="0.15">
      <c r="B486" s="16">
        <v>4</v>
      </c>
      <c r="C486" s="24"/>
      <c r="D486" s="18"/>
      <c r="E486" s="18"/>
      <c r="F486" s="129"/>
      <c r="G486" s="20"/>
      <c r="H486" s="20">
        <v>1</v>
      </c>
      <c r="I486" s="129">
        <f t="shared" si="29"/>
        <v>0</v>
      </c>
      <c r="J486" s="27">
        <f t="shared" ref="J486:J512" si="31">(F486*G486*H486)/$C$32</f>
        <v>0</v>
      </c>
      <c r="K486" s="80"/>
      <c r="L486" s="82"/>
      <c r="M486" s="10"/>
      <c r="N486" s="10"/>
      <c r="O486" s="10"/>
      <c r="P486" s="10"/>
      <c r="Q486" s="43"/>
      <c r="R486" s="10"/>
      <c r="T486" s="10"/>
    </row>
    <row r="487" spans="2:20" s="1" customFormat="1" ht="12.95" customHeight="1" x14ac:dyDescent="0.15">
      <c r="B487" s="16">
        <v>5</v>
      </c>
      <c r="C487" s="24"/>
      <c r="D487" s="24"/>
      <c r="E487" s="24"/>
      <c r="F487" s="129"/>
      <c r="G487" s="20"/>
      <c r="H487" s="20">
        <v>1</v>
      </c>
      <c r="I487" s="129">
        <f t="shared" si="29"/>
        <v>0</v>
      </c>
      <c r="J487" s="52">
        <f t="shared" si="31"/>
        <v>0</v>
      </c>
      <c r="K487" s="80"/>
      <c r="L487" s="82"/>
      <c r="M487" s="39"/>
      <c r="N487" s="40"/>
      <c r="O487" s="40"/>
    </row>
    <row r="488" spans="2:20" s="1" customFormat="1" ht="12.95" customHeight="1" x14ac:dyDescent="0.15">
      <c r="B488" s="16">
        <v>6</v>
      </c>
      <c r="C488" s="17"/>
      <c r="D488" s="18"/>
      <c r="E488" s="18"/>
      <c r="F488" s="129"/>
      <c r="G488" s="20"/>
      <c r="H488" s="20">
        <v>1</v>
      </c>
      <c r="I488" s="129">
        <f>J488*$C$32</f>
        <v>0</v>
      </c>
      <c r="J488" s="27">
        <f t="shared" si="31"/>
        <v>0</v>
      </c>
      <c r="K488" s="80"/>
      <c r="L488" s="82"/>
      <c r="N488" s="10"/>
      <c r="O488" s="10"/>
      <c r="P488" s="10"/>
      <c r="Q488" s="43"/>
      <c r="R488" s="10"/>
      <c r="T488" s="10"/>
    </row>
    <row r="489" spans="2:20" s="1" customFormat="1" ht="12.95" customHeight="1" x14ac:dyDescent="0.15">
      <c r="B489" s="16">
        <v>7</v>
      </c>
      <c r="C489" s="17"/>
      <c r="D489" s="24"/>
      <c r="E489" s="24"/>
      <c r="F489" s="129"/>
      <c r="G489" s="20"/>
      <c r="H489" s="20">
        <v>1</v>
      </c>
      <c r="I489" s="129">
        <f t="shared" si="29"/>
        <v>0</v>
      </c>
      <c r="J489" s="54">
        <f>(F489*G489*H489)/$C$32</f>
        <v>0</v>
      </c>
      <c r="K489" s="80"/>
      <c r="L489" s="82"/>
    </row>
    <row r="490" spans="2:20" s="1" customFormat="1" ht="12.95" customHeight="1" x14ac:dyDescent="0.15">
      <c r="B490" s="16">
        <v>8</v>
      </c>
      <c r="C490" s="17"/>
      <c r="D490" s="24"/>
      <c r="E490" s="24"/>
      <c r="F490" s="129"/>
      <c r="G490" s="20"/>
      <c r="H490" s="20">
        <v>1</v>
      </c>
      <c r="I490" s="129">
        <f>J490*$C$32</f>
        <v>0</v>
      </c>
      <c r="J490" s="54">
        <f>(F490*G490*H490)/$C$32</f>
        <v>0</v>
      </c>
      <c r="K490" s="80"/>
      <c r="L490" s="82"/>
    </row>
    <row r="491" spans="2:20" s="1" customFormat="1" ht="12.95" customHeight="1" x14ac:dyDescent="0.15">
      <c r="B491" s="16">
        <v>9</v>
      </c>
      <c r="C491" s="17"/>
      <c r="D491" s="24"/>
      <c r="E491" s="24"/>
      <c r="F491" s="129"/>
      <c r="G491" s="20"/>
      <c r="H491" s="20">
        <v>1</v>
      </c>
      <c r="I491" s="129">
        <f t="shared" si="29"/>
        <v>0</v>
      </c>
      <c r="J491" s="52">
        <f t="shared" si="31"/>
        <v>0</v>
      </c>
      <c r="K491" s="80"/>
      <c r="L491" s="82"/>
    </row>
    <row r="492" spans="2:20" s="1" customFormat="1" ht="12.95" customHeight="1" x14ac:dyDescent="0.15">
      <c r="B492" s="16">
        <v>10</v>
      </c>
      <c r="C492" s="17"/>
      <c r="D492" s="24"/>
      <c r="E492" s="24"/>
      <c r="F492" s="129"/>
      <c r="G492" s="20"/>
      <c r="H492" s="20">
        <v>1</v>
      </c>
      <c r="I492" s="129">
        <f t="shared" si="29"/>
        <v>0</v>
      </c>
      <c r="J492" s="52">
        <f t="shared" si="31"/>
        <v>0</v>
      </c>
      <c r="K492" s="80"/>
      <c r="L492" s="82"/>
    </row>
    <row r="493" spans="2:20" s="1" customFormat="1" ht="12" customHeight="1" x14ac:dyDescent="0.15">
      <c r="B493" s="16">
        <v>11</v>
      </c>
      <c r="C493" s="17"/>
      <c r="D493" s="24"/>
      <c r="E493" s="24"/>
      <c r="F493" s="129"/>
      <c r="G493" s="20"/>
      <c r="H493" s="20">
        <v>1</v>
      </c>
      <c r="I493" s="129">
        <f t="shared" si="29"/>
        <v>0</v>
      </c>
      <c r="J493" s="52">
        <f t="shared" si="31"/>
        <v>0</v>
      </c>
      <c r="K493" s="80"/>
      <c r="L493" s="82"/>
    </row>
    <row r="494" spans="2:20" s="1" customFormat="1" ht="12.95" customHeight="1" x14ac:dyDescent="0.15">
      <c r="B494" s="16">
        <v>12</v>
      </c>
      <c r="C494" s="17"/>
      <c r="D494" s="24"/>
      <c r="E494" s="24"/>
      <c r="F494" s="129"/>
      <c r="G494" s="20"/>
      <c r="H494" s="20">
        <v>1</v>
      </c>
      <c r="I494" s="129">
        <f t="shared" si="29"/>
        <v>0</v>
      </c>
      <c r="J494" s="52">
        <f t="shared" si="31"/>
        <v>0</v>
      </c>
      <c r="K494" s="80"/>
      <c r="L494" s="82"/>
    </row>
    <row r="495" spans="2:20" s="1" customFormat="1" ht="12.95" customHeight="1" x14ac:dyDescent="0.15">
      <c r="B495" s="16">
        <v>13</v>
      </c>
      <c r="C495" s="17"/>
      <c r="D495" s="18"/>
      <c r="E495" s="18"/>
      <c r="F495" s="129"/>
      <c r="G495" s="20"/>
      <c r="H495" s="20">
        <v>1</v>
      </c>
      <c r="I495" s="129">
        <f t="shared" si="29"/>
        <v>0</v>
      </c>
      <c r="J495" s="52">
        <f t="shared" si="31"/>
        <v>0</v>
      </c>
      <c r="K495" s="80"/>
      <c r="L495" s="82"/>
      <c r="M495" s="10"/>
      <c r="N495" s="10"/>
      <c r="O495" s="10"/>
      <c r="P495" s="10"/>
      <c r="Q495" s="43"/>
      <c r="R495" s="10"/>
      <c r="T495" s="10"/>
    </row>
    <row r="496" spans="2:20" s="1" customFormat="1" ht="12.95" customHeight="1" x14ac:dyDescent="0.15">
      <c r="B496" s="16">
        <v>14</v>
      </c>
      <c r="C496" s="17"/>
      <c r="D496" s="18"/>
      <c r="E496" s="18"/>
      <c r="F496" s="129"/>
      <c r="G496" s="20"/>
      <c r="H496" s="20">
        <v>1</v>
      </c>
      <c r="I496" s="129">
        <f t="shared" si="29"/>
        <v>0</v>
      </c>
      <c r="J496" s="52">
        <f t="shared" si="31"/>
        <v>0</v>
      </c>
      <c r="K496" s="80"/>
      <c r="L496" s="82"/>
      <c r="M496" s="10"/>
      <c r="N496" s="10"/>
      <c r="O496" s="10"/>
      <c r="P496" s="10"/>
      <c r="Q496" s="43"/>
      <c r="R496" s="10"/>
      <c r="T496" s="10"/>
    </row>
    <row r="497" spans="2:20" s="1" customFormat="1" ht="12.95" customHeight="1" x14ac:dyDescent="0.15">
      <c r="B497" s="16">
        <v>15</v>
      </c>
      <c r="C497" s="17"/>
      <c r="D497" s="18"/>
      <c r="E497" s="18"/>
      <c r="F497" s="129"/>
      <c r="G497" s="20"/>
      <c r="H497" s="20">
        <v>1</v>
      </c>
      <c r="I497" s="129">
        <f t="shared" si="29"/>
        <v>0</v>
      </c>
      <c r="J497" s="52">
        <f t="shared" si="31"/>
        <v>0</v>
      </c>
      <c r="K497" s="80"/>
      <c r="L497" s="82"/>
      <c r="M497" s="10"/>
      <c r="N497" s="10"/>
      <c r="O497" s="10"/>
      <c r="P497" s="10"/>
      <c r="Q497" s="43"/>
      <c r="R497" s="10"/>
      <c r="T497" s="10"/>
    </row>
    <row r="498" spans="2:20" s="1" customFormat="1" ht="12.95" customHeight="1" x14ac:dyDescent="0.15">
      <c r="B498" s="16">
        <v>16</v>
      </c>
      <c r="C498" s="17"/>
      <c r="D498" s="18"/>
      <c r="E498" s="18"/>
      <c r="F498" s="129"/>
      <c r="G498" s="20"/>
      <c r="H498" s="20">
        <v>1</v>
      </c>
      <c r="I498" s="129">
        <f t="shared" si="29"/>
        <v>0</v>
      </c>
      <c r="J498" s="52">
        <f t="shared" si="31"/>
        <v>0</v>
      </c>
      <c r="K498" s="80"/>
      <c r="L498" s="82"/>
      <c r="M498" s="10"/>
      <c r="N498" s="10"/>
      <c r="O498" s="10"/>
      <c r="P498" s="10"/>
      <c r="Q498" s="43"/>
      <c r="R498" s="10"/>
      <c r="T498" s="10"/>
    </row>
    <row r="499" spans="2:20" s="1" customFormat="1" ht="12.95" customHeight="1" x14ac:dyDescent="0.15">
      <c r="B499" s="16">
        <v>17</v>
      </c>
      <c r="C499" s="17"/>
      <c r="D499" s="18"/>
      <c r="E499" s="18"/>
      <c r="F499" s="129"/>
      <c r="G499" s="20"/>
      <c r="H499" s="20">
        <v>1</v>
      </c>
      <c r="I499" s="129">
        <f t="shared" si="29"/>
        <v>0</v>
      </c>
      <c r="J499" s="52">
        <f t="shared" si="31"/>
        <v>0</v>
      </c>
      <c r="K499" s="80"/>
      <c r="L499" s="82"/>
      <c r="M499" s="10"/>
      <c r="N499" s="10"/>
      <c r="O499" s="10"/>
      <c r="P499" s="10"/>
      <c r="Q499" s="43"/>
      <c r="R499" s="10"/>
      <c r="T499" s="10"/>
    </row>
    <row r="500" spans="2:20" s="1" customFormat="1" ht="12.95" customHeight="1" x14ac:dyDescent="0.15">
      <c r="B500" s="16">
        <v>18</v>
      </c>
      <c r="C500" s="17"/>
      <c r="D500" s="18"/>
      <c r="E500" s="18"/>
      <c r="F500" s="129"/>
      <c r="G500" s="20"/>
      <c r="H500" s="20">
        <v>1</v>
      </c>
      <c r="I500" s="129">
        <f t="shared" si="29"/>
        <v>0</v>
      </c>
      <c r="J500" s="52">
        <f t="shared" si="31"/>
        <v>0</v>
      </c>
      <c r="K500" s="80"/>
      <c r="L500" s="82"/>
      <c r="M500" s="10"/>
      <c r="N500" s="10"/>
      <c r="O500" s="10"/>
      <c r="P500" s="10"/>
      <c r="Q500" s="43"/>
      <c r="R500" s="10"/>
      <c r="T500" s="10"/>
    </row>
    <row r="501" spans="2:20" s="1" customFormat="1" ht="12.95" customHeight="1" x14ac:dyDescent="0.15">
      <c r="B501" s="16">
        <v>19</v>
      </c>
      <c r="C501" s="17"/>
      <c r="D501" s="18"/>
      <c r="E501" s="18"/>
      <c r="F501" s="129"/>
      <c r="G501" s="20"/>
      <c r="H501" s="20">
        <v>1</v>
      </c>
      <c r="I501" s="129">
        <f t="shared" si="29"/>
        <v>0</v>
      </c>
      <c r="J501" s="52">
        <f t="shared" si="31"/>
        <v>0</v>
      </c>
      <c r="K501" s="80"/>
      <c r="L501" s="82"/>
      <c r="M501" s="10"/>
      <c r="N501" s="10"/>
      <c r="O501" s="10"/>
      <c r="P501" s="10"/>
      <c r="Q501" s="43"/>
      <c r="R501" s="10"/>
      <c r="T501" s="10"/>
    </row>
    <row r="502" spans="2:20" s="1" customFormat="1" ht="12.95" customHeight="1" x14ac:dyDescent="0.15">
      <c r="B502" s="16">
        <v>20</v>
      </c>
      <c r="C502" s="17"/>
      <c r="D502" s="18"/>
      <c r="E502" s="18"/>
      <c r="F502" s="129"/>
      <c r="G502" s="20"/>
      <c r="H502" s="20">
        <v>1</v>
      </c>
      <c r="I502" s="129">
        <f t="shared" si="29"/>
        <v>0</v>
      </c>
      <c r="J502" s="52">
        <f t="shared" si="31"/>
        <v>0</v>
      </c>
      <c r="K502" s="80"/>
      <c r="L502" s="82"/>
      <c r="M502" s="10"/>
      <c r="N502" s="10"/>
      <c r="O502" s="10"/>
      <c r="P502" s="10"/>
      <c r="Q502" s="43"/>
      <c r="R502" s="10"/>
      <c r="T502" s="10"/>
    </row>
    <row r="503" spans="2:20" s="1" customFormat="1" ht="12.95" customHeight="1" x14ac:dyDescent="0.15">
      <c r="B503" s="16"/>
      <c r="C503" s="17"/>
      <c r="D503" s="18"/>
      <c r="E503" s="18"/>
      <c r="F503" s="129"/>
      <c r="G503" s="20"/>
      <c r="H503" s="20"/>
      <c r="I503" s="129"/>
      <c r="J503" s="52"/>
      <c r="K503" s="80"/>
      <c r="L503" s="82"/>
      <c r="M503" s="10"/>
      <c r="N503" s="10"/>
      <c r="O503" s="10"/>
      <c r="P503" s="10"/>
      <c r="Q503" s="43"/>
      <c r="R503" s="10"/>
      <c r="T503" s="10"/>
    </row>
    <row r="504" spans="2:20" s="1" customFormat="1" ht="12.95" customHeight="1" x14ac:dyDescent="0.15">
      <c r="B504" s="16"/>
      <c r="C504" s="17"/>
      <c r="D504" s="18"/>
      <c r="E504" s="18"/>
      <c r="F504" s="129"/>
      <c r="G504" s="20"/>
      <c r="H504" s="20"/>
      <c r="I504" s="129"/>
      <c r="J504" s="52"/>
      <c r="K504" s="80"/>
      <c r="L504" s="82"/>
      <c r="M504" s="10"/>
      <c r="N504" s="10"/>
      <c r="O504" s="10"/>
      <c r="P504" s="10"/>
      <c r="Q504" s="43"/>
      <c r="R504" s="10"/>
      <c r="T504" s="10"/>
    </row>
    <row r="505" spans="2:20" s="1" customFormat="1" ht="12.95" customHeight="1" x14ac:dyDescent="0.15">
      <c r="B505" s="16"/>
      <c r="C505" s="73" t="s">
        <v>132</v>
      </c>
      <c r="D505" s="18"/>
      <c r="E505" s="18"/>
      <c r="F505" s="129"/>
      <c r="G505" s="55"/>
      <c r="H505" s="20"/>
      <c r="I505" s="129"/>
      <c r="J505" s="52"/>
      <c r="K505" s="80"/>
      <c r="L505" s="82"/>
      <c r="N505" s="10"/>
      <c r="O505" s="10"/>
      <c r="P505" s="10"/>
      <c r="Q505" s="43"/>
      <c r="R505" s="10"/>
      <c r="T505" s="10"/>
    </row>
    <row r="506" spans="2:20" s="1" customFormat="1" ht="12.95" customHeight="1" x14ac:dyDescent="0.15">
      <c r="B506" s="16">
        <v>1</v>
      </c>
      <c r="C506" s="45"/>
      <c r="D506" s="18"/>
      <c r="E506" s="18"/>
      <c r="F506" s="129"/>
      <c r="G506" s="20"/>
      <c r="H506" s="20">
        <v>1</v>
      </c>
      <c r="I506" s="129">
        <f>J506*$C$32</f>
        <v>0</v>
      </c>
      <c r="J506" s="52">
        <f t="shared" si="31"/>
        <v>0</v>
      </c>
      <c r="K506" s="80"/>
      <c r="L506" s="82"/>
      <c r="N506" s="10"/>
      <c r="O506" s="10"/>
      <c r="P506" s="10"/>
      <c r="Q506" s="43"/>
      <c r="R506" s="10"/>
      <c r="T506" s="10"/>
    </row>
    <row r="507" spans="2:20" s="1" customFormat="1" ht="12.95" customHeight="1" x14ac:dyDescent="0.15">
      <c r="B507" s="16">
        <v>2</v>
      </c>
      <c r="C507" s="44"/>
      <c r="D507" s="18"/>
      <c r="E507" s="18"/>
      <c r="F507" s="129"/>
      <c r="G507" s="20"/>
      <c r="H507" s="20">
        <v>1</v>
      </c>
      <c r="I507" s="129">
        <f>J507*$C$32</f>
        <v>0</v>
      </c>
      <c r="J507" s="52">
        <f t="shared" si="31"/>
        <v>0</v>
      </c>
      <c r="K507" s="80"/>
      <c r="L507" s="82"/>
      <c r="N507" s="10"/>
      <c r="O507" s="10"/>
      <c r="P507" s="10"/>
      <c r="Q507" s="43"/>
      <c r="R507" s="10"/>
      <c r="T507" s="10"/>
    </row>
    <row r="508" spans="2:20" s="1" customFormat="1" ht="12.95" customHeight="1" x14ac:dyDescent="0.15">
      <c r="B508" s="16">
        <v>3</v>
      </c>
      <c r="C508" s="11"/>
      <c r="D508" s="18"/>
      <c r="E508" s="18"/>
      <c r="F508" s="129"/>
      <c r="G508" s="20"/>
      <c r="H508" s="20">
        <v>1</v>
      </c>
      <c r="I508" s="129">
        <f t="shared" ref="I508:I525" si="32">J508*$C$32</f>
        <v>0</v>
      </c>
      <c r="J508" s="52">
        <f t="shared" si="31"/>
        <v>0</v>
      </c>
      <c r="K508" s="80"/>
      <c r="L508" s="82"/>
      <c r="N508" s="10"/>
      <c r="O508" s="10"/>
      <c r="P508" s="10"/>
      <c r="Q508" s="43"/>
      <c r="R508" s="10"/>
      <c r="T508" s="10"/>
    </row>
    <row r="509" spans="2:20" s="1" customFormat="1" ht="12.95" customHeight="1" x14ac:dyDescent="0.2">
      <c r="B509" s="16">
        <v>4</v>
      </c>
      <c r="C509" s="56"/>
      <c r="D509" s="17"/>
      <c r="E509" s="17"/>
      <c r="F509" s="129"/>
      <c r="G509" s="20"/>
      <c r="H509" s="20">
        <v>1</v>
      </c>
      <c r="I509" s="129">
        <f t="shared" si="32"/>
        <v>0</v>
      </c>
      <c r="J509" s="52">
        <f t="shared" si="31"/>
        <v>0</v>
      </c>
      <c r="K509" s="80"/>
      <c r="L509" s="82"/>
      <c r="M509" s="10"/>
      <c r="N509" s="10"/>
      <c r="O509" s="10"/>
      <c r="P509" s="10"/>
      <c r="Q509" s="43"/>
      <c r="R509" s="10"/>
      <c r="T509" s="10"/>
    </row>
    <row r="510" spans="2:20" s="1" customFormat="1" ht="12.95" customHeight="1" x14ac:dyDescent="0.15">
      <c r="B510" s="16">
        <v>5</v>
      </c>
      <c r="C510" s="17"/>
      <c r="D510" s="17"/>
      <c r="E510" s="17"/>
      <c r="F510" s="129"/>
      <c r="G510" s="20"/>
      <c r="H510" s="20">
        <v>1</v>
      </c>
      <c r="I510" s="129">
        <f t="shared" si="32"/>
        <v>0</v>
      </c>
      <c r="J510" s="52">
        <f t="shared" si="31"/>
        <v>0</v>
      </c>
      <c r="K510" s="80"/>
      <c r="L510" s="82"/>
      <c r="M510" s="10"/>
      <c r="N510" s="10"/>
      <c r="O510" s="10"/>
      <c r="P510" s="10"/>
      <c r="Q510" s="43"/>
      <c r="R510" s="10"/>
      <c r="T510" s="10"/>
    </row>
    <row r="511" spans="2:20" s="1" customFormat="1" ht="12.95" customHeight="1" x14ac:dyDescent="0.15">
      <c r="B511" s="16">
        <v>6</v>
      </c>
      <c r="C511" s="17"/>
      <c r="D511" s="17"/>
      <c r="E511" s="17"/>
      <c r="F511" s="129"/>
      <c r="G511" s="20"/>
      <c r="H511" s="20">
        <v>1</v>
      </c>
      <c r="I511" s="129">
        <f t="shared" si="32"/>
        <v>0</v>
      </c>
      <c r="J511" s="52">
        <f t="shared" si="31"/>
        <v>0</v>
      </c>
      <c r="K511" s="80"/>
      <c r="L511" s="82"/>
      <c r="M511" s="10"/>
      <c r="N511" s="10"/>
      <c r="O511" s="10"/>
      <c r="P511" s="10"/>
      <c r="Q511" s="43"/>
      <c r="R511" s="10"/>
      <c r="T511" s="10"/>
    </row>
    <row r="512" spans="2:20" s="1" customFormat="1" ht="12.95" customHeight="1" x14ac:dyDescent="0.15">
      <c r="B512" s="16">
        <v>7</v>
      </c>
      <c r="C512" s="17"/>
      <c r="D512" s="17"/>
      <c r="E512" s="17"/>
      <c r="F512" s="129"/>
      <c r="G512" s="20"/>
      <c r="H512" s="20">
        <v>1</v>
      </c>
      <c r="I512" s="129">
        <f t="shared" si="32"/>
        <v>0</v>
      </c>
      <c r="J512" s="52">
        <f t="shared" si="31"/>
        <v>0</v>
      </c>
      <c r="K512" s="80"/>
      <c r="L512" s="82"/>
      <c r="M512" s="10"/>
      <c r="N512" s="10"/>
      <c r="O512" s="10"/>
      <c r="P512" s="10"/>
      <c r="Q512" s="43"/>
      <c r="R512" s="10"/>
      <c r="T512" s="10"/>
    </row>
    <row r="513" spans="2:20" s="1" customFormat="1" ht="12.95" customHeight="1" x14ac:dyDescent="0.15">
      <c r="B513" s="16">
        <v>8</v>
      </c>
      <c r="C513" s="17"/>
      <c r="D513" s="17"/>
      <c r="E513" s="17"/>
      <c r="F513" s="129"/>
      <c r="G513" s="20"/>
      <c r="H513" s="20">
        <v>1</v>
      </c>
      <c r="I513" s="129">
        <f t="shared" si="32"/>
        <v>0</v>
      </c>
      <c r="J513" s="52">
        <f>(F513*G513*H513)/$C$32</f>
        <v>0</v>
      </c>
      <c r="K513" s="80"/>
      <c r="L513" s="82"/>
    </row>
    <row r="514" spans="2:20" s="1" customFormat="1" ht="12.95" customHeight="1" x14ac:dyDescent="0.15">
      <c r="B514" s="16">
        <v>9</v>
      </c>
      <c r="C514" s="17"/>
      <c r="D514" s="17"/>
      <c r="E514" s="17"/>
      <c r="F514" s="129"/>
      <c r="G514" s="20"/>
      <c r="H514" s="20">
        <v>1</v>
      </c>
      <c r="I514" s="129">
        <f t="shared" si="32"/>
        <v>0</v>
      </c>
      <c r="J514" s="52">
        <f>(F514*G514*H514)/$C$32</f>
        <v>0</v>
      </c>
      <c r="K514" s="80"/>
      <c r="L514" s="82"/>
    </row>
    <row r="515" spans="2:20" s="1" customFormat="1" ht="12.95" customHeight="1" x14ac:dyDescent="0.15">
      <c r="B515" s="16">
        <v>10</v>
      </c>
      <c r="C515" s="17"/>
      <c r="D515" s="17"/>
      <c r="E515" s="17"/>
      <c r="F515" s="129"/>
      <c r="G515" s="20"/>
      <c r="H515" s="20">
        <v>1</v>
      </c>
      <c r="I515" s="129">
        <f t="shared" si="32"/>
        <v>0</v>
      </c>
      <c r="J515" s="52">
        <f t="shared" ref="J515:J525" si="33">(F515*G515*H515)/$C$32</f>
        <v>0</v>
      </c>
      <c r="K515" s="80"/>
      <c r="L515" s="82"/>
      <c r="M515" s="10"/>
      <c r="N515" s="10"/>
      <c r="O515" s="10"/>
      <c r="P515" s="10"/>
      <c r="Q515" s="43"/>
      <c r="R515" s="10"/>
      <c r="T515" s="10"/>
    </row>
    <row r="516" spans="2:20" s="1" customFormat="1" ht="12.95" customHeight="1" x14ac:dyDescent="0.15">
      <c r="B516" s="16">
        <v>11</v>
      </c>
      <c r="C516" s="17"/>
      <c r="D516" s="17"/>
      <c r="E516" s="17"/>
      <c r="F516" s="129"/>
      <c r="G516" s="20"/>
      <c r="H516" s="20">
        <v>1</v>
      </c>
      <c r="I516" s="129">
        <f t="shared" si="32"/>
        <v>0</v>
      </c>
      <c r="J516" s="52">
        <f t="shared" si="33"/>
        <v>0</v>
      </c>
      <c r="K516" s="80"/>
      <c r="L516" s="82"/>
      <c r="M516" s="10"/>
      <c r="N516" s="10"/>
      <c r="O516" s="10"/>
      <c r="P516" s="10"/>
      <c r="Q516" s="43"/>
      <c r="R516" s="10"/>
      <c r="T516" s="10"/>
    </row>
    <row r="517" spans="2:20" s="1" customFormat="1" ht="12.95" customHeight="1" x14ac:dyDescent="0.15">
      <c r="B517" s="16">
        <v>12</v>
      </c>
      <c r="C517" s="17"/>
      <c r="D517" s="17"/>
      <c r="E517" s="17"/>
      <c r="F517" s="129"/>
      <c r="G517" s="20"/>
      <c r="H517" s="20">
        <v>1</v>
      </c>
      <c r="I517" s="129">
        <f t="shared" si="32"/>
        <v>0</v>
      </c>
      <c r="J517" s="52">
        <f t="shared" si="33"/>
        <v>0</v>
      </c>
      <c r="K517" s="80"/>
      <c r="L517" s="82"/>
      <c r="M517" s="10"/>
      <c r="N517" s="10"/>
      <c r="O517" s="10"/>
      <c r="P517" s="10"/>
      <c r="Q517" s="43"/>
      <c r="R517" s="10"/>
      <c r="T517" s="10"/>
    </row>
    <row r="518" spans="2:20" s="1" customFormat="1" ht="12.95" customHeight="1" x14ac:dyDescent="0.15">
      <c r="B518" s="16">
        <v>13</v>
      </c>
      <c r="C518" s="17"/>
      <c r="D518" s="17"/>
      <c r="E518" s="17"/>
      <c r="F518" s="129"/>
      <c r="G518" s="20"/>
      <c r="H518" s="20">
        <v>1</v>
      </c>
      <c r="I518" s="129">
        <f t="shared" si="32"/>
        <v>0</v>
      </c>
      <c r="J518" s="52">
        <f t="shared" si="33"/>
        <v>0</v>
      </c>
      <c r="K518" s="80"/>
      <c r="L518" s="82"/>
      <c r="M518" s="10"/>
      <c r="N518" s="10"/>
      <c r="O518" s="10"/>
      <c r="P518" s="10"/>
      <c r="Q518" s="43"/>
      <c r="R518" s="10"/>
      <c r="T518" s="10"/>
    </row>
    <row r="519" spans="2:20" s="1" customFormat="1" ht="12.95" customHeight="1" x14ac:dyDescent="0.15">
      <c r="B519" s="16">
        <v>14</v>
      </c>
      <c r="C519" s="17"/>
      <c r="D519" s="17"/>
      <c r="E519" s="17"/>
      <c r="F519" s="129"/>
      <c r="G519" s="20"/>
      <c r="H519" s="20">
        <v>1</v>
      </c>
      <c r="I519" s="129">
        <f t="shared" si="32"/>
        <v>0</v>
      </c>
      <c r="J519" s="52">
        <f t="shared" si="33"/>
        <v>0</v>
      </c>
      <c r="K519" s="80"/>
      <c r="L519" s="82"/>
      <c r="M519" s="10"/>
      <c r="N519" s="10"/>
      <c r="O519" s="10"/>
      <c r="P519" s="10"/>
      <c r="Q519" s="43"/>
      <c r="R519" s="10"/>
      <c r="T519" s="10"/>
    </row>
    <row r="520" spans="2:20" s="1" customFormat="1" ht="12.95" customHeight="1" x14ac:dyDescent="0.15">
      <c r="B520" s="16">
        <v>15</v>
      </c>
      <c r="C520" s="17"/>
      <c r="D520" s="17"/>
      <c r="E520" s="17"/>
      <c r="F520" s="129"/>
      <c r="G520" s="20"/>
      <c r="H520" s="20">
        <v>1</v>
      </c>
      <c r="I520" s="129">
        <f t="shared" si="32"/>
        <v>0</v>
      </c>
      <c r="J520" s="52">
        <f t="shared" si="33"/>
        <v>0</v>
      </c>
      <c r="K520" s="80"/>
      <c r="L520" s="82"/>
      <c r="M520" s="10"/>
      <c r="N520" s="10"/>
      <c r="O520" s="10"/>
      <c r="P520" s="10"/>
      <c r="Q520" s="43"/>
      <c r="R520" s="10"/>
      <c r="T520" s="10"/>
    </row>
    <row r="521" spans="2:20" s="1" customFormat="1" ht="12.95" customHeight="1" x14ac:dyDescent="0.15">
      <c r="B521" s="16">
        <v>16</v>
      </c>
      <c r="C521" s="17"/>
      <c r="D521" s="17"/>
      <c r="E521" s="17"/>
      <c r="F521" s="129"/>
      <c r="G521" s="20"/>
      <c r="H521" s="20">
        <v>1</v>
      </c>
      <c r="I521" s="129">
        <f t="shared" si="32"/>
        <v>0</v>
      </c>
      <c r="J521" s="52">
        <f t="shared" si="33"/>
        <v>0</v>
      </c>
      <c r="K521" s="80"/>
      <c r="L521" s="82"/>
      <c r="M521" s="10"/>
      <c r="N521" s="10"/>
      <c r="O521" s="10"/>
      <c r="P521" s="10"/>
      <c r="Q521" s="43"/>
      <c r="R521" s="10"/>
      <c r="T521" s="10"/>
    </row>
    <row r="522" spans="2:20" s="1" customFormat="1" ht="12.95" customHeight="1" x14ac:dyDescent="0.15">
      <c r="B522" s="16">
        <v>17</v>
      </c>
      <c r="C522" s="17"/>
      <c r="D522" s="17"/>
      <c r="E522" s="17"/>
      <c r="F522" s="129"/>
      <c r="G522" s="20"/>
      <c r="H522" s="20">
        <v>1</v>
      </c>
      <c r="I522" s="129">
        <f t="shared" si="32"/>
        <v>0</v>
      </c>
      <c r="J522" s="52">
        <f t="shared" si="33"/>
        <v>0</v>
      </c>
      <c r="K522" s="80"/>
      <c r="L522" s="82"/>
      <c r="M522" s="10"/>
      <c r="N522" s="10"/>
      <c r="O522" s="10"/>
      <c r="P522" s="10"/>
      <c r="Q522" s="43"/>
      <c r="R522" s="10"/>
      <c r="T522" s="10"/>
    </row>
    <row r="523" spans="2:20" s="1" customFormat="1" ht="12.95" customHeight="1" x14ac:dyDescent="0.15">
      <c r="B523" s="16">
        <v>18</v>
      </c>
      <c r="C523" s="17"/>
      <c r="D523" s="17"/>
      <c r="E523" s="17"/>
      <c r="F523" s="129"/>
      <c r="G523" s="20"/>
      <c r="H523" s="20">
        <v>1</v>
      </c>
      <c r="I523" s="129">
        <f t="shared" si="32"/>
        <v>0</v>
      </c>
      <c r="J523" s="265">
        <f t="shared" si="33"/>
        <v>0</v>
      </c>
      <c r="K523" s="111"/>
      <c r="L523" s="119"/>
      <c r="M523" s="10"/>
      <c r="N523" s="10"/>
      <c r="O523" s="10"/>
      <c r="P523" s="10"/>
      <c r="Q523" s="43"/>
      <c r="R523" s="10"/>
      <c r="T523" s="10"/>
    </row>
    <row r="524" spans="2:20" s="1" customFormat="1" ht="12.95" customHeight="1" x14ac:dyDescent="0.15">
      <c r="B524" s="16">
        <v>19</v>
      </c>
      <c r="C524" s="17"/>
      <c r="D524" s="17"/>
      <c r="E524" s="17"/>
      <c r="F524" s="129"/>
      <c r="G524" s="20"/>
      <c r="H524" s="20">
        <v>1</v>
      </c>
      <c r="I524" s="262">
        <f t="shared" si="32"/>
        <v>0</v>
      </c>
      <c r="J524" s="266">
        <f t="shared" si="33"/>
        <v>0</v>
      </c>
      <c r="K524" s="82"/>
      <c r="L524" s="82"/>
      <c r="M524" s="10"/>
      <c r="N524" s="10"/>
      <c r="O524" s="10"/>
      <c r="P524" s="10"/>
      <c r="Q524" s="43"/>
      <c r="R524" s="10"/>
      <c r="T524" s="10"/>
    </row>
    <row r="525" spans="2:20" s="1" customFormat="1" ht="12.95" customHeight="1" x14ac:dyDescent="0.15">
      <c r="B525" s="16">
        <v>20</v>
      </c>
      <c r="C525" s="17"/>
      <c r="D525" s="17"/>
      <c r="E525" s="17"/>
      <c r="F525" s="129"/>
      <c r="G525" s="20"/>
      <c r="H525" s="20">
        <v>1</v>
      </c>
      <c r="I525" s="262">
        <f t="shared" si="32"/>
        <v>0</v>
      </c>
      <c r="J525" s="266">
        <f t="shared" si="33"/>
        <v>0</v>
      </c>
      <c r="K525" s="82"/>
      <c r="L525" s="82"/>
      <c r="M525" s="10"/>
      <c r="N525" s="10"/>
      <c r="O525" s="10"/>
      <c r="P525" s="10"/>
      <c r="Q525" s="43"/>
      <c r="R525" s="10"/>
      <c r="T525" s="10"/>
    </row>
    <row r="526" spans="2:20" s="1" customFormat="1" ht="12.95" customHeight="1" x14ac:dyDescent="0.15">
      <c r="B526" s="83"/>
      <c r="C526" s="160"/>
      <c r="D526" s="160"/>
      <c r="E526" s="160"/>
      <c r="F526" s="132"/>
      <c r="G526" s="76"/>
      <c r="H526" s="76"/>
      <c r="I526" s="263"/>
      <c r="J526" s="184"/>
      <c r="K526" s="82"/>
      <c r="L526" s="82"/>
      <c r="M526" s="10"/>
      <c r="N526" s="10"/>
      <c r="O526" s="10"/>
      <c r="P526" s="10"/>
      <c r="Q526" s="43"/>
      <c r="R526" s="10"/>
      <c r="T526" s="10"/>
    </row>
    <row r="527" spans="2:20" s="1" customFormat="1" ht="12.75" x14ac:dyDescent="0.15">
      <c r="B527" s="82"/>
      <c r="C527" s="102"/>
      <c r="D527" s="103"/>
      <c r="E527" s="102"/>
      <c r="F527" s="128">
        <f>SUM(F467:F526)</f>
        <v>0</v>
      </c>
      <c r="G527" s="104"/>
      <c r="H527" s="105"/>
      <c r="I527" s="256">
        <f>SUM(I469:I526)</f>
        <v>0</v>
      </c>
      <c r="J527" s="257">
        <f>SUM(J467:J526)</f>
        <v>0</v>
      </c>
    </row>
    <row r="528" spans="2:20" s="67" customFormat="1" ht="12.75" x14ac:dyDescent="0.15">
      <c r="B528" s="116"/>
      <c r="C528" s="114"/>
      <c r="D528" s="114"/>
      <c r="E528" s="114" t="s">
        <v>147</v>
      </c>
      <c r="F528" s="162">
        <f>100/115*F527</f>
        <v>0</v>
      </c>
      <c r="G528" s="114"/>
      <c r="H528" s="114" t="s">
        <v>147</v>
      </c>
      <c r="I528" s="264">
        <f>100/115*I527</f>
        <v>0</v>
      </c>
      <c r="J528" s="114"/>
    </row>
    <row r="529" spans="2:13" s="1" customFormat="1" ht="13.5" customHeight="1" x14ac:dyDescent="0.15"/>
    <row r="530" spans="2:13" s="1" customFormat="1" ht="16.899999999999999" customHeight="1" x14ac:dyDescent="0.15"/>
    <row r="531" spans="2:13" s="1" customFormat="1" ht="13.5" customHeight="1" x14ac:dyDescent="0.15"/>
    <row r="532" spans="2:13" s="1" customFormat="1" ht="13.5" customHeight="1" x14ac:dyDescent="0.15"/>
    <row r="533" spans="2:13" s="247" customFormat="1" ht="32.25" x14ac:dyDescent="0.4">
      <c r="B533" s="248"/>
      <c r="C533" s="380" t="s">
        <v>112</v>
      </c>
      <c r="D533" s="380"/>
      <c r="E533" s="428" t="s">
        <v>162</v>
      </c>
      <c r="F533" s="428"/>
      <c r="G533" s="428"/>
      <c r="H533" s="428"/>
      <c r="I533" s="428"/>
      <c r="J533" s="382">
        <v>2026</v>
      </c>
      <c r="K533" s="382"/>
      <c r="L533" s="382"/>
    </row>
    <row r="534" spans="2:13" s="1" customFormat="1" ht="42" customHeight="1" x14ac:dyDescent="0.15">
      <c r="B534" s="82"/>
      <c r="C534" s="102" t="s">
        <v>114</v>
      </c>
      <c r="D534" s="388" t="s">
        <v>115</v>
      </c>
      <c r="E534" s="388"/>
      <c r="F534" s="102" t="s">
        <v>116</v>
      </c>
      <c r="G534" s="102" t="s">
        <v>117</v>
      </c>
      <c r="H534" s="102" t="s">
        <v>118</v>
      </c>
      <c r="I534" s="102" t="s">
        <v>119</v>
      </c>
      <c r="J534" s="102" t="s">
        <v>120</v>
      </c>
      <c r="K534" s="82"/>
      <c r="L534" s="82"/>
    </row>
    <row r="535" spans="2:13" s="1" customFormat="1" ht="12.95" customHeight="1" x14ac:dyDescent="0.15">
      <c r="B535" s="84"/>
      <c r="C535" s="149">
        <f>C465</f>
        <v>350</v>
      </c>
      <c r="D535" s="412">
        <v>21</v>
      </c>
      <c r="E535" s="412"/>
      <c r="F535" s="146">
        <f>F465</f>
        <v>0.8</v>
      </c>
      <c r="G535" s="147">
        <f>G465</f>
        <v>8</v>
      </c>
      <c r="H535" s="148">
        <f>D535*G535*F535</f>
        <v>134.4</v>
      </c>
      <c r="I535" s="149">
        <f>I597</f>
        <v>0</v>
      </c>
      <c r="J535" s="150">
        <f>H535-J597</f>
        <v>134.4</v>
      </c>
      <c r="K535" s="79"/>
      <c r="L535" s="120"/>
    </row>
    <row r="536" spans="2:13" s="1" customFormat="1" ht="33.75" x14ac:dyDescent="0.15">
      <c r="B536" s="16"/>
      <c r="C536" s="22" t="s">
        <v>121</v>
      </c>
      <c r="D536" s="413" t="s">
        <v>122</v>
      </c>
      <c r="E536" s="413"/>
      <c r="F536" s="33" t="s">
        <v>123</v>
      </c>
      <c r="G536" s="34" t="s">
        <v>124</v>
      </c>
      <c r="H536" s="35" t="s">
        <v>125</v>
      </c>
      <c r="I536" s="125" t="s">
        <v>126</v>
      </c>
      <c r="J536" s="34" t="s">
        <v>127</v>
      </c>
      <c r="K536" s="107" t="s">
        <v>128</v>
      </c>
      <c r="L536" s="123" t="s">
        <v>129</v>
      </c>
    </row>
    <row r="537" spans="2:13" s="1" customFormat="1" ht="12.75" x14ac:dyDescent="0.15">
      <c r="B537" s="16"/>
      <c r="C537" s="22"/>
      <c r="D537" s="32"/>
      <c r="E537" s="32"/>
      <c r="F537" s="33"/>
      <c r="G537" s="34"/>
      <c r="H537" s="35"/>
      <c r="I537" s="125"/>
      <c r="J537" s="34"/>
      <c r="K537" s="110"/>
      <c r="L537" s="117"/>
    </row>
    <row r="538" spans="2:13" s="1" customFormat="1" ht="12.75" x14ac:dyDescent="0.15">
      <c r="B538" s="16"/>
      <c r="C538" s="22" t="s">
        <v>130</v>
      </c>
      <c r="D538" s="32"/>
      <c r="E538" s="32"/>
      <c r="F538" s="151"/>
      <c r="G538" s="34"/>
      <c r="H538" s="35"/>
      <c r="I538" s="125"/>
      <c r="J538" s="34"/>
      <c r="K538" s="110"/>
      <c r="L538" s="117"/>
    </row>
    <row r="539" spans="2:13" s="1" customFormat="1" ht="12.75" customHeight="1" x14ac:dyDescent="0.15">
      <c r="B539" s="16"/>
      <c r="C539" s="37" t="s">
        <v>149</v>
      </c>
      <c r="D539" s="24"/>
      <c r="E539" s="24"/>
      <c r="F539" s="129"/>
      <c r="G539" s="20"/>
      <c r="H539" s="20"/>
      <c r="I539" s="126"/>
      <c r="J539" s="38"/>
      <c r="K539" s="80"/>
      <c r="L539" s="82"/>
    </row>
    <row r="540" spans="2:13" s="4" customFormat="1" ht="12.75" customHeight="1" x14ac:dyDescent="0.15">
      <c r="B540" s="26">
        <v>1</v>
      </c>
      <c r="C540" s="17"/>
      <c r="D540" s="24"/>
      <c r="E540" s="24"/>
      <c r="F540" s="129"/>
      <c r="G540" s="20"/>
      <c r="H540" s="20">
        <v>1</v>
      </c>
      <c r="I540" s="129">
        <f t="shared" ref="I540:I557" si="34">J540*$C$32</f>
        <v>0</v>
      </c>
      <c r="J540" s="52">
        <f t="shared" ref="J540:J553" si="35">(F540*G540*H540)/$C$32</f>
        <v>0</v>
      </c>
      <c r="K540" s="108"/>
      <c r="L540" s="113"/>
    </row>
    <row r="541" spans="2:13" s="4" customFormat="1" ht="12.75" customHeight="1" x14ac:dyDescent="0.15">
      <c r="B541" s="26">
        <v>2</v>
      </c>
      <c r="C541" s="17"/>
      <c r="D541" s="24"/>
      <c r="E541" s="24"/>
      <c r="F541" s="129"/>
      <c r="G541" s="20"/>
      <c r="H541" s="20">
        <v>1</v>
      </c>
      <c r="I541" s="129">
        <f t="shared" si="34"/>
        <v>0</v>
      </c>
      <c r="J541" s="52">
        <f t="shared" si="35"/>
        <v>0</v>
      </c>
      <c r="K541" s="108"/>
      <c r="L541" s="113"/>
      <c r="M541" s="144"/>
    </row>
    <row r="542" spans="2:13" s="4" customFormat="1" ht="12.95" customHeight="1" x14ac:dyDescent="0.15">
      <c r="B542" s="26">
        <v>3</v>
      </c>
      <c r="C542" s="17"/>
      <c r="D542" s="24"/>
      <c r="E542" s="24"/>
      <c r="F542" s="129"/>
      <c r="G542" s="20"/>
      <c r="H542" s="20">
        <v>1</v>
      </c>
      <c r="I542" s="129">
        <f t="shared" si="34"/>
        <v>0</v>
      </c>
      <c r="J542" s="52">
        <f t="shared" si="35"/>
        <v>0</v>
      </c>
      <c r="K542" s="108"/>
      <c r="L542" s="113"/>
      <c r="M542" s="145"/>
    </row>
    <row r="543" spans="2:13" s="4" customFormat="1" ht="12.95" customHeight="1" x14ac:dyDescent="0.15">
      <c r="B543" s="26">
        <v>4</v>
      </c>
      <c r="C543" s="16"/>
      <c r="D543" s="18"/>
      <c r="E543" s="18"/>
      <c r="F543" s="129"/>
      <c r="G543" s="20"/>
      <c r="H543" s="20">
        <v>1</v>
      </c>
      <c r="I543" s="129">
        <f t="shared" si="34"/>
        <v>0</v>
      </c>
      <c r="J543" s="52">
        <f t="shared" si="35"/>
        <v>0</v>
      </c>
      <c r="K543" s="108"/>
      <c r="L543" s="113"/>
    </row>
    <row r="544" spans="2:13" s="4" customFormat="1" ht="12.95" customHeight="1" x14ac:dyDescent="0.15">
      <c r="B544" s="26">
        <v>5</v>
      </c>
      <c r="C544" s="17"/>
      <c r="D544" s="53"/>
      <c r="E544" s="53"/>
      <c r="F544" s="129"/>
      <c r="G544" s="20"/>
      <c r="H544" s="20">
        <v>1</v>
      </c>
      <c r="I544" s="129">
        <f t="shared" si="34"/>
        <v>0</v>
      </c>
      <c r="J544" s="27">
        <f t="shared" si="35"/>
        <v>0</v>
      </c>
      <c r="K544" s="108"/>
      <c r="L544" s="113"/>
    </row>
    <row r="545" spans="2:12" s="4" customFormat="1" ht="12.95" customHeight="1" x14ac:dyDescent="0.15">
      <c r="B545" s="26">
        <v>6</v>
      </c>
      <c r="C545" s="17"/>
      <c r="D545" s="24"/>
      <c r="E545" s="24"/>
      <c r="F545" s="129"/>
      <c r="G545" s="20"/>
      <c r="H545" s="20">
        <v>1</v>
      </c>
      <c r="I545" s="129">
        <f t="shared" si="34"/>
        <v>0</v>
      </c>
      <c r="J545" s="52">
        <f t="shared" si="35"/>
        <v>0</v>
      </c>
      <c r="K545" s="108"/>
      <c r="L545" s="113"/>
    </row>
    <row r="546" spans="2:12" s="4" customFormat="1" ht="12.95" customHeight="1" x14ac:dyDescent="0.15">
      <c r="B546" s="26">
        <v>7</v>
      </c>
      <c r="C546" s="17"/>
      <c r="D546" s="22"/>
      <c r="E546" s="22"/>
      <c r="F546" s="129"/>
      <c r="G546" s="20"/>
      <c r="H546" s="20">
        <v>1</v>
      </c>
      <c r="I546" s="129">
        <f t="shared" si="34"/>
        <v>0</v>
      </c>
      <c r="J546" s="27">
        <f t="shared" si="35"/>
        <v>0</v>
      </c>
      <c r="K546" s="108"/>
      <c r="L546" s="113"/>
    </row>
    <row r="547" spans="2:12" s="4" customFormat="1" ht="12.95" customHeight="1" x14ac:dyDescent="0.15">
      <c r="B547" s="26">
        <v>8</v>
      </c>
      <c r="C547" s="17"/>
      <c r="D547" s="18"/>
      <c r="E547" s="24"/>
      <c r="F547" s="129"/>
      <c r="G547" s="20"/>
      <c r="H547" s="20">
        <v>1</v>
      </c>
      <c r="I547" s="129">
        <f t="shared" si="34"/>
        <v>0</v>
      </c>
      <c r="J547" s="52">
        <f t="shared" si="35"/>
        <v>0</v>
      </c>
      <c r="K547" s="108"/>
      <c r="L547" s="113"/>
    </row>
    <row r="548" spans="2:12" s="4" customFormat="1" ht="12.95" customHeight="1" x14ac:dyDescent="0.15">
      <c r="B548" s="26">
        <v>9</v>
      </c>
      <c r="C548" s="17"/>
      <c r="D548" s="18"/>
      <c r="E548" s="24"/>
      <c r="F548" s="129"/>
      <c r="G548" s="20"/>
      <c r="H548" s="20">
        <v>1</v>
      </c>
      <c r="I548" s="129">
        <f t="shared" si="34"/>
        <v>0</v>
      </c>
      <c r="J548" s="52">
        <f t="shared" si="35"/>
        <v>0</v>
      </c>
      <c r="K548" s="108"/>
      <c r="L548" s="113"/>
    </row>
    <row r="549" spans="2:12" s="4" customFormat="1" ht="12.95" customHeight="1" x14ac:dyDescent="0.15">
      <c r="B549" s="26">
        <v>10</v>
      </c>
      <c r="C549" s="17"/>
      <c r="D549" s="24"/>
      <c r="E549" s="18"/>
      <c r="F549" s="129"/>
      <c r="G549" s="20"/>
      <c r="H549" s="20">
        <v>1</v>
      </c>
      <c r="I549" s="129">
        <f t="shared" si="34"/>
        <v>0</v>
      </c>
      <c r="J549" s="52">
        <f t="shared" si="35"/>
        <v>0</v>
      </c>
      <c r="K549" s="108"/>
      <c r="L549" s="113"/>
    </row>
    <row r="550" spans="2:12" s="4" customFormat="1" ht="12.95" customHeight="1" x14ac:dyDescent="0.15">
      <c r="B550" s="26"/>
      <c r="C550" s="17"/>
      <c r="D550" s="24"/>
      <c r="E550" s="18"/>
      <c r="F550" s="129"/>
      <c r="G550" s="20"/>
      <c r="H550" s="20"/>
      <c r="I550" s="129"/>
      <c r="J550" s="52"/>
      <c r="K550" s="108"/>
      <c r="L550" s="113"/>
    </row>
    <row r="551" spans="2:12" s="4" customFormat="1" ht="12.95" customHeight="1" x14ac:dyDescent="0.15">
      <c r="B551" s="26"/>
      <c r="C551" s="17"/>
      <c r="D551" s="24"/>
      <c r="E551" s="18"/>
      <c r="F551" s="129"/>
      <c r="G551" s="20"/>
      <c r="H551" s="20"/>
      <c r="I551" s="129"/>
      <c r="J551" s="52"/>
      <c r="K551" s="108"/>
      <c r="L551" s="113"/>
    </row>
    <row r="552" spans="2:12" s="4" customFormat="1" ht="12.95" customHeight="1" x14ac:dyDescent="0.15">
      <c r="B552" s="26"/>
      <c r="C552" s="22" t="s">
        <v>153</v>
      </c>
      <c r="D552" s="24"/>
      <c r="E552" s="18"/>
      <c r="F552" s="129"/>
      <c r="G552" s="20"/>
      <c r="H552" s="20"/>
      <c r="I552" s="129"/>
      <c r="J552" s="52"/>
      <c r="K552" s="108"/>
      <c r="L552" s="113"/>
    </row>
    <row r="553" spans="2:12" s="4" customFormat="1" ht="12.95" customHeight="1" x14ac:dyDescent="0.15">
      <c r="B553" s="26">
        <v>1</v>
      </c>
      <c r="C553" s="17"/>
      <c r="D553" s="24"/>
      <c r="E553" s="24"/>
      <c r="F553" s="129"/>
      <c r="G553" s="20"/>
      <c r="H553" s="20">
        <v>1</v>
      </c>
      <c r="I553" s="129">
        <f t="shared" si="34"/>
        <v>0</v>
      </c>
      <c r="J553" s="52">
        <f t="shared" si="35"/>
        <v>0</v>
      </c>
      <c r="K553" s="108"/>
      <c r="L553" s="113"/>
    </row>
    <row r="554" spans="2:12" s="4" customFormat="1" ht="12.95" customHeight="1" x14ac:dyDescent="0.15">
      <c r="B554" s="26">
        <v>2</v>
      </c>
      <c r="C554" s="17"/>
      <c r="D554" s="24"/>
      <c r="E554" s="24"/>
      <c r="F554" s="129"/>
      <c r="G554" s="20"/>
      <c r="H554" s="20">
        <v>1</v>
      </c>
      <c r="I554" s="129">
        <f t="shared" si="34"/>
        <v>0</v>
      </c>
      <c r="J554" s="52">
        <f>(F554*G554*H554)/$C$32</f>
        <v>0</v>
      </c>
      <c r="K554" s="108"/>
      <c r="L554" s="113"/>
    </row>
    <row r="555" spans="2:12" s="4" customFormat="1" ht="12.95" customHeight="1" x14ac:dyDescent="0.15">
      <c r="B555" s="26">
        <v>3</v>
      </c>
      <c r="C555" s="24"/>
      <c r="D555" s="24"/>
      <c r="E555" s="24"/>
      <c r="F555" s="129"/>
      <c r="G555" s="20"/>
      <c r="H555" s="20">
        <v>1</v>
      </c>
      <c r="I555" s="129">
        <f t="shared" si="34"/>
        <v>0</v>
      </c>
      <c r="J555" s="52">
        <f>(F555*G555*H555)/$C$32</f>
        <v>0</v>
      </c>
      <c r="K555" s="108"/>
      <c r="L555" s="113"/>
    </row>
    <row r="556" spans="2:12" s="4" customFormat="1" ht="12.95" customHeight="1" x14ac:dyDescent="0.15">
      <c r="B556" s="26">
        <v>4</v>
      </c>
      <c r="C556" s="24"/>
      <c r="D556" s="18"/>
      <c r="E556" s="18"/>
      <c r="F556" s="129"/>
      <c r="G556" s="20"/>
      <c r="H556" s="20">
        <v>1</v>
      </c>
      <c r="I556" s="129">
        <f t="shared" si="34"/>
        <v>0</v>
      </c>
      <c r="J556" s="27">
        <f t="shared" ref="J556:J558" si="36">(F556*G556*H556)/$C$32</f>
        <v>0</v>
      </c>
      <c r="K556" s="108"/>
      <c r="L556" s="113"/>
    </row>
    <row r="557" spans="2:12" s="4" customFormat="1" ht="14.85" customHeight="1" x14ac:dyDescent="0.15">
      <c r="B557" s="26">
        <v>5</v>
      </c>
      <c r="C557" s="24"/>
      <c r="D557" s="24"/>
      <c r="E557" s="24"/>
      <c r="F557" s="129"/>
      <c r="G557" s="20"/>
      <c r="H557" s="20">
        <v>1</v>
      </c>
      <c r="I557" s="129">
        <f t="shared" si="34"/>
        <v>0</v>
      </c>
      <c r="J557" s="52">
        <f t="shared" si="36"/>
        <v>0</v>
      </c>
      <c r="K557" s="108"/>
      <c r="L557" s="113"/>
    </row>
    <row r="558" spans="2:12" s="4" customFormat="1" ht="12.95" customHeight="1" x14ac:dyDescent="0.15">
      <c r="B558" s="26">
        <v>6</v>
      </c>
      <c r="C558" s="17"/>
      <c r="D558" s="18"/>
      <c r="E558" s="18"/>
      <c r="F558" s="129"/>
      <c r="G558" s="20"/>
      <c r="H558" s="20">
        <v>1</v>
      </c>
      <c r="I558" s="129">
        <f>J558*$C$32</f>
        <v>0</v>
      </c>
      <c r="J558" s="27">
        <f t="shared" si="36"/>
        <v>0</v>
      </c>
      <c r="K558" s="108"/>
      <c r="L558" s="113"/>
    </row>
    <row r="559" spans="2:12" s="4" customFormat="1" ht="12.95" customHeight="1" x14ac:dyDescent="0.15">
      <c r="B559" s="26">
        <v>7</v>
      </c>
      <c r="C559" s="17"/>
      <c r="D559" s="24"/>
      <c r="E559" s="24"/>
      <c r="F559" s="129"/>
      <c r="G559" s="20"/>
      <c r="H559" s="20">
        <v>1</v>
      </c>
      <c r="I559" s="129">
        <f t="shared" ref="I559" si="37">J559*$C$32</f>
        <v>0</v>
      </c>
      <c r="J559" s="54">
        <f>(F559*G559*H559)/$C$32</f>
        <v>0</v>
      </c>
      <c r="K559" s="108"/>
      <c r="L559" s="113"/>
    </row>
    <row r="560" spans="2:12" s="4" customFormat="1" ht="12.95" customHeight="1" x14ac:dyDescent="0.15">
      <c r="B560" s="26">
        <v>8</v>
      </c>
      <c r="C560" s="17"/>
      <c r="D560" s="24"/>
      <c r="E560" s="24"/>
      <c r="F560" s="129"/>
      <c r="G560" s="20"/>
      <c r="H560" s="20">
        <v>1</v>
      </c>
      <c r="I560" s="129">
        <f>J560*$C$32</f>
        <v>0</v>
      </c>
      <c r="J560" s="54">
        <f>(F560*G560*H560)/$C$32</f>
        <v>0</v>
      </c>
      <c r="K560" s="108"/>
      <c r="L560" s="113"/>
    </row>
    <row r="561" spans="2:20" s="4" customFormat="1" ht="12.95" customHeight="1" x14ac:dyDescent="0.15">
      <c r="B561" s="26">
        <v>9</v>
      </c>
      <c r="C561" s="17"/>
      <c r="D561" s="24"/>
      <c r="E561" s="24"/>
      <c r="F561" s="129"/>
      <c r="G561" s="20"/>
      <c r="H561" s="20">
        <v>1</v>
      </c>
      <c r="I561" s="129">
        <f t="shared" ref="I561:I572" si="38">J561*$C$32</f>
        <v>0</v>
      </c>
      <c r="J561" s="52">
        <f t="shared" ref="J561:J572" si="39">(F561*G561*H561)/$C$32</f>
        <v>0</v>
      </c>
      <c r="K561" s="108"/>
      <c r="L561" s="113"/>
    </row>
    <row r="562" spans="2:20" s="4" customFormat="1" ht="12.95" customHeight="1" x14ac:dyDescent="0.15">
      <c r="B562" s="26">
        <v>10</v>
      </c>
      <c r="C562" s="17"/>
      <c r="D562" s="24"/>
      <c r="E562" s="24"/>
      <c r="F562" s="129"/>
      <c r="G562" s="20"/>
      <c r="H562" s="20">
        <v>1</v>
      </c>
      <c r="I562" s="129">
        <f t="shared" si="38"/>
        <v>0</v>
      </c>
      <c r="J562" s="52">
        <f t="shared" si="39"/>
        <v>0</v>
      </c>
      <c r="K562" s="108"/>
      <c r="L562" s="113"/>
    </row>
    <row r="563" spans="2:20" s="4" customFormat="1" ht="12.95" customHeight="1" x14ac:dyDescent="0.15">
      <c r="B563" s="26">
        <v>11</v>
      </c>
      <c r="C563" s="17"/>
      <c r="D563" s="24"/>
      <c r="E563" s="24"/>
      <c r="F563" s="129"/>
      <c r="G563" s="20"/>
      <c r="H563" s="20">
        <v>1</v>
      </c>
      <c r="I563" s="129">
        <f t="shared" si="38"/>
        <v>0</v>
      </c>
      <c r="J563" s="52">
        <f t="shared" si="39"/>
        <v>0</v>
      </c>
      <c r="K563" s="108"/>
      <c r="L563" s="113"/>
    </row>
    <row r="564" spans="2:20" s="4" customFormat="1" ht="12.95" customHeight="1" x14ac:dyDescent="0.15">
      <c r="B564" s="26">
        <v>12</v>
      </c>
      <c r="C564" s="17"/>
      <c r="D564" s="24"/>
      <c r="E564" s="24"/>
      <c r="F564" s="129"/>
      <c r="G564" s="20"/>
      <c r="H564" s="20">
        <v>1</v>
      </c>
      <c r="I564" s="129">
        <f t="shared" si="38"/>
        <v>0</v>
      </c>
      <c r="J564" s="52">
        <f t="shared" si="39"/>
        <v>0</v>
      </c>
      <c r="K564" s="108"/>
      <c r="L564" s="113"/>
    </row>
    <row r="565" spans="2:20" s="4" customFormat="1" ht="12.95" customHeight="1" x14ac:dyDescent="0.15">
      <c r="B565" s="26">
        <v>13</v>
      </c>
      <c r="C565" s="17"/>
      <c r="D565" s="18"/>
      <c r="E565" s="18"/>
      <c r="F565" s="129"/>
      <c r="G565" s="20"/>
      <c r="H565" s="20">
        <v>1</v>
      </c>
      <c r="I565" s="129">
        <f t="shared" si="38"/>
        <v>0</v>
      </c>
      <c r="J565" s="52">
        <f t="shared" si="39"/>
        <v>0</v>
      </c>
      <c r="K565" s="108"/>
      <c r="L565" s="113"/>
    </row>
    <row r="566" spans="2:20" s="4" customFormat="1" ht="12.95" customHeight="1" x14ac:dyDescent="0.15">
      <c r="B566" s="26">
        <v>14</v>
      </c>
      <c r="C566" s="17"/>
      <c r="D566" s="18"/>
      <c r="E566" s="18"/>
      <c r="F566" s="129"/>
      <c r="G566" s="20"/>
      <c r="H566" s="20">
        <v>1</v>
      </c>
      <c r="I566" s="129">
        <f t="shared" si="38"/>
        <v>0</v>
      </c>
      <c r="J566" s="52">
        <f t="shared" si="39"/>
        <v>0</v>
      </c>
      <c r="K566" s="108"/>
      <c r="L566" s="113"/>
    </row>
    <row r="567" spans="2:20" s="4" customFormat="1" ht="12.95" customHeight="1" x14ac:dyDescent="0.15">
      <c r="B567" s="26">
        <v>15</v>
      </c>
      <c r="C567" s="17"/>
      <c r="D567" s="18"/>
      <c r="E567" s="18"/>
      <c r="F567" s="129"/>
      <c r="G567" s="20"/>
      <c r="H567" s="20">
        <v>1</v>
      </c>
      <c r="I567" s="129">
        <f t="shared" si="38"/>
        <v>0</v>
      </c>
      <c r="J567" s="52">
        <f t="shared" si="39"/>
        <v>0</v>
      </c>
      <c r="K567" s="108"/>
      <c r="L567" s="113"/>
    </row>
    <row r="568" spans="2:20" s="4" customFormat="1" ht="12.95" customHeight="1" x14ac:dyDescent="0.15">
      <c r="B568" s="26">
        <v>16</v>
      </c>
      <c r="C568" s="11"/>
      <c r="D568" s="18"/>
      <c r="E568" s="18"/>
      <c r="F568" s="129"/>
      <c r="G568" s="20"/>
      <c r="H568" s="20">
        <v>1</v>
      </c>
      <c r="I568" s="126">
        <f t="shared" si="38"/>
        <v>0</v>
      </c>
      <c r="J568" s="21">
        <f t="shared" si="39"/>
        <v>0</v>
      </c>
      <c r="K568" s="108"/>
      <c r="L568" s="113"/>
    </row>
    <row r="569" spans="2:20" s="4" customFormat="1" ht="12.95" customHeight="1" x14ac:dyDescent="0.15">
      <c r="B569" s="26">
        <v>17</v>
      </c>
      <c r="C569" s="23"/>
      <c r="D569" s="48"/>
      <c r="E569" s="48"/>
      <c r="F569" s="126"/>
      <c r="G569" s="50"/>
      <c r="H569" s="20">
        <v>1</v>
      </c>
      <c r="I569" s="126">
        <f t="shared" si="38"/>
        <v>0</v>
      </c>
      <c r="J569" s="21">
        <f t="shared" si="39"/>
        <v>0</v>
      </c>
      <c r="K569" s="108"/>
      <c r="L569" s="113"/>
    </row>
    <row r="570" spans="2:20" s="4" customFormat="1" ht="12.95" customHeight="1" x14ac:dyDescent="0.15">
      <c r="B570" s="26">
        <v>18</v>
      </c>
      <c r="C570" s="23"/>
      <c r="D570" s="48"/>
      <c r="E570" s="48"/>
      <c r="F570" s="126"/>
      <c r="G570" s="50"/>
      <c r="H570" s="20">
        <v>1</v>
      </c>
      <c r="I570" s="126">
        <f t="shared" si="38"/>
        <v>0</v>
      </c>
      <c r="J570" s="21">
        <f t="shared" si="39"/>
        <v>0</v>
      </c>
      <c r="K570" s="108"/>
      <c r="L570" s="113"/>
    </row>
    <row r="571" spans="2:20" s="4" customFormat="1" ht="12.95" customHeight="1" x14ac:dyDescent="0.15">
      <c r="B571" s="26">
        <v>19</v>
      </c>
      <c r="C571" s="23"/>
      <c r="D571" s="48"/>
      <c r="E571" s="48"/>
      <c r="F571" s="126"/>
      <c r="G571" s="50"/>
      <c r="H571" s="20">
        <v>1</v>
      </c>
      <c r="I571" s="126">
        <f t="shared" si="38"/>
        <v>0</v>
      </c>
      <c r="J571" s="21">
        <f t="shared" si="39"/>
        <v>0</v>
      </c>
      <c r="K571" s="108"/>
      <c r="L571" s="113"/>
    </row>
    <row r="572" spans="2:20" s="4" customFormat="1" ht="12.95" customHeight="1" x14ac:dyDescent="0.15">
      <c r="B572" s="26">
        <v>20</v>
      </c>
      <c r="C572" s="23"/>
      <c r="D572" s="48"/>
      <c r="E572" s="48"/>
      <c r="F572" s="126"/>
      <c r="G572" s="50"/>
      <c r="H572" s="20">
        <v>1</v>
      </c>
      <c r="I572" s="126">
        <f t="shared" si="38"/>
        <v>0</v>
      </c>
      <c r="J572" s="21">
        <f t="shared" si="39"/>
        <v>0</v>
      </c>
      <c r="K572" s="108"/>
      <c r="L572" s="113"/>
    </row>
    <row r="573" spans="2:20" s="4" customFormat="1" ht="12.95" customHeight="1" x14ac:dyDescent="0.15">
      <c r="B573" s="26"/>
      <c r="C573" s="23"/>
      <c r="D573" s="48"/>
      <c r="E573" s="48"/>
      <c r="F573" s="126"/>
      <c r="G573" s="50"/>
      <c r="H573" s="50"/>
      <c r="I573" s="126"/>
      <c r="J573" s="38"/>
      <c r="K573" s="108"/>
      <c r="L573" s="113"/>
    </row>
    <row r="574" spans="2:20" s="4" customFormat="1" ht="12.95" customHeight="1" x14ac:dyDescent="0.15">
      <c r="B574" s="26"/>
      <c r="C574" s="23"/>
      <c r="D574" s="48"/>
      <c r="E574" s="48"/>
      <c r="F574" s="126"/>
      <c r="G574" s="50"/>
      <c r="H574" s="50"/>
      <c r="I574" s="126"/>
      <c r="J574" s="38"/>
      <c r="K574" s="108"/>
      <c r="L574" s="113"/>
    </row>
    <row r="575" spans="2:20" s="4" customFormat="1" ht="12.95" customHeight="1" x14ac:dyDescent="0.15">
      <c r="B575" s="26"/>
      <c r="C575" s="72" t="s">
        <v>132</v>
      </c>
      <c r="D575" s="48"/>
      <c r="E575" s="48"/>
      <c r="F575" s="126"/>
      <c r="G575" s="50"/>
      <c r="H575" s="50"/>
      <c r="I575" s="126"/>
      <c r="J575" s="38"/>
      <c r="K575" s="108"/>
      <c r="L575" s="113"/>
    </row>
    <row r="576" spans="2:20" s="4" customFormat="1" ht="12.95" customHeight="1" x14ac:dyDescent="0.15">
      <c r="B576" s="26">
        <v>1</v>
      </c>
      <c r="C576" s="59"/>
      <c r="D576" s="49"/>
      <c r="E576" s="49"/>
      <c r="F576" s="126"/>
      <c r="G576" s="50"/>
      <c r="H576" s="50">
        <v>1</v>
      </c>
      <c r="I576" s="126">
        <f t="shared" ref="I576" si="40">J576*$C$32</f>
        <v>0</v>
      </c>
      <c r="J576" s="21">
        <f t="shared" ref="J576:J595" si="41">(F576*G576*H576)/$C$32</f>
        <v>0</v>
      </c>
      <c r="K576" s="108"/>
      <c r="L576" s="113"/>
      <c r="M576" s="57"/>
      <c r="N576" s="57"/>
      <c r="O576" s="57"/>
      <c r="P576" s="57"/>
      <c r="Q576" s="58"/>
      <c r="R576" s="57"/>
      <c r="T576" s="57"/>
    </row>
    <row r="577" spans="2:20" s="4" customFormat="1" ht="12.95" customHeight="1" x14ac:dyDescent="0.15">
      <c r="B577" s="26">
        <v>2</v>
      </c>
      <c r="C577" s="60"/>
      <c r="D577" s="49"/>
      <c r="E577" s="49"/>
      <c r="F577" s="126"/>
      <c r="G577" s="50"/>
      <c r="H577" s="50">
        <v>1</v>
      </c>
      <c r="I577" s="126">
        <f>J577*$C$32</f>
        <v>0</v>
      </c>
      <c r="J577" s="21">
        <f t="shared" si="41"/>
        <v>0</v>
      </c>
      <c r="K577" s="108"/>
      <c r="L577" s="113"/>
      <c r="M577" s="57"/>
      <c r="N577" s="57"/>
      <c r="O577" s="57"/>
      <c r="P577" s="57"/>
      <c r="Q577" s="58"/>
      <c r="R577" s="57"/>
      <c r="T577" s="57"/>
    </row>
    <row r="578" spans="2:20" s="4" customFormat="1" ht="12.95" customHeight="1" x14ac:dyDescent="0.15">
      <c r="B578" s="26">
        <v>3</v>
      </c>
      <c r="C578" s="59"/>
      <c r="D578" s="49"/>
      <c r="E578" s="49"/>
      <c r="F578" s="126"/>
      <c r="G578" s="50"/>
      <c r="H578" s="50">
        <v>1</v>
      </c>
      <c r="I578" s="126">
        <f t="shared" ref="I578:I595" si="42">J578*$C$32</f>
        <v>0</v>
      </c>
      <c r="J578" s="21">
        <f t="shared" si="41"/>
        <v>0</v>
      </c>
      <c r="K578" s="108"/>
      <c r="L578" s="113"/>
      <c r="M578" s="57"/>
      <c r="N578" s="57"/>
      <c r="O578" s="57"/>
      <c r="P578" s="57"/>
      <c r="Q578" s="58"/>
      <c r="R578" s="57"/>
      <c r="T578" s="57"/>
    </row>
    <row r="579" spans="2:20" s="4" customFormat="1" ht="12.95" customHeight="1" x14ac:dyDescent="0.15">
      <c r="B579" s="26">
        <v>4</v>
      </c>
      <c r="C579" s="61"/>
      <c r="D579" s="49"/>
      <c r="E579" s="49"/>
      <c r="F579" s="126"/>
      <c r="G579" s="50"/>
      <c r="H579" s="50">
        <v>1</v>
      </c>
      <c r="I579" s="126">
        <f t="shared" si="42"/>
        <v>0</v>
      </c>
      <c r="J579" s="21">
        <f t="shared" si="41"/>
        <v>0</v>
      </c>
      <c r="K579" s="108"/>
      <c r="L579" s="113"/>
      <c r="M579" s="57"/>
      <c r="N579" s="57"/>
      <c r="O579" s="57"/>
      <c r="P579" s="57"/>
      <c r="Q579" s="58"/>
      <c r="R579" s="57"/>
      <c r="T579" s="57"/>
    </row>
    <row r="580" spans="2:20" s="1" customFormat="1" ht="12.95" customHeight="1" x14ac:dyDescent="0.15">
      <c r="B580" s="16">
        <v>5</v>
      </c>
      <c r="C580" s="11"/>
      <c r="D580" s="18"/>
      <c r="E580" s="18"/>
      <c r="F580" s="129"/>
      <c r="G580" s="20"/>
      <c r="H580" s="20">
        <v>1</v>
      </c>
      <c r="I580" s="126">
        <f t="shared" si="42"/>
        <v>0</v>
      </c>
      <c r="J580" s="21">
        <f t="shared" si="41"/>
        <v>0</v>
      </c>
      <c r="K580" s="80"/>
      <c r="L580" s="82"/>
      <c r="M580" s="10"/>
      <c r="N580" s="10"/>
      <c r="O580" s="10"/>
      <c r="P580" s="10"/>
      <c r="Q580" s="43"/>
      <c r="R580" s="10"/>
      <c r="T580" s="10"/>
    </row>
    <row r="581" spans="2:20" s="1" customFormat="1" ht="12.95" customHeight="1" x14ac:dyDescent="0.15">
      <c r="B581" s="16">
        <v>6</v>
      </c>
      <c r="C581" s="46"/>
      <c r="D581" s="18"/>
      <c r="E581" s="18"/>
      <c r="F581" s="129"/>
      <c r="G581" s="20"/>
      <c r="H581" s="20">
        <v>1</v>
      </c>
      <c r="I581" s="126">
        <f t="shared" si="42"/>
        <v>0</v>
      </c>
      <c r="J581" s="21">
        <f t="shared" si="41"/>
        <v>0</v>
      </c>
      <c r="K581" s="80"/>
      <c r="L581" s="82"/>
      <c r="M581" s="10"/>
      <c r="N581" s="10"/>
      <c r="O581" s="10"/>
      <c r="P581" s="10"/>
      <c r="Q581" s="43"/>
      <c r="R581" s="10"/>
      <c r="T581" s="10"/>
    </row>
    <row r="582" spans="2:20" s="1" customFormat="1" ht="12.95" customHeight="1" x14ac:dyDescent="0.15">
      <c r="B582" s="16">
        <v>7</v>
      </c>
      <c r="C582" s="11"/>
      <c r="D582" s="18"/>
      <c r="E582" s="18"/>
      <c r="F582" s="129"/>
      <c r="G582" s="20"/>
      <c r="H582" s="20">
        <v>1</v>
      </c>
      <c r="I582" s="126">
        <f t="shared" si="42"/>
        <v>0</v>
      </c>
      <c r="J582" s="21">
        <f t="shared" si="41"/>
        <v>0</v>
      </c>
      <c r="K582" s="80"/>
      <c r="L582" s="82"/>
      <c r="M582" s="10"/>
      <c r="N582" s="10"/>
      <c r="O582" s="10"/>
      <c r="P582" s="10"/>
      <c r="Q582" s="43"/>
      <c r="R582" s="10"/>
      <c r="T582" s="10"/>
    </row>
    <row r="583" spans="2:20" s="1" customFormat="1" ht="12.95" customHeight="1" x14ac:dyDescent="0.15">
      <c r="B583" s="16">
        <v>8</v>
      </c>
      <c r="C583" s="11"/>
      <c r="D583" s="18"/>
      <c r="E583" s="18"/>
      <c r="F583" s="129"/>
      <c r="G583" s="20"/>
      <c r="H583" s="20">
        <v>1</v>
      </c>
      <c r="I583" s="126">
        <f t="shared" si="42"/>
        <v>0</v>
      </c>
      <c r="J583" s="21">
        <f t="shared" si="41"/>
        <v>0</v>
      </c>
      <c r="K583" s="80"/>
      <c r="L583" s="82"/>
      <c r="M583" s="10"/>
      <c r="N583" s="10"/>
      <c r="O583" s="10"/>
      <c r="P583" s="10"/>
      <c r="Q583" s="43"/>
      <c r="R583" s="10"/>
      <c r="T583" s="10"/>
    </row>
    <row r="584" spans="2:20" s="1" customFormat="1" ht="12.95" customHeight="1" x14ac:dyDescent="0.15">
      <c r="B584" s="16">
        <v>9</v>
      </c>
      <c r="C584" s="11"/>
      <c r="D584" s="18"/>
      <c r="E584" s="18"/>
      <c r="F584" s="129"/>
      <c r="G584" s="20"/>
      <c r="H584" s="20">
        <v>1</v>
      </c>
      <c r="I584" s="126">
        <f t="shared" si="42"/>
        <v>0</v>
      </c>
      <c r="J584" s="21">
        <f t="shared" si="41"/>
        <v>0</v>
      </c>
      <c r="K584" s="80"/>
      <c r="L584" s="82"/>
      <c r="M584" s="10"/>
      <c r="N584" s="10"/>
      <c r="O584" s="10"/>
      <c r="P584" s="10"/>
      <c r="Q584" s="43"/>
      <c r="R584" s="10"/>
      <c r="T584" s="10"/>
    </row>
    <row r="585" spans="2:20" s="1" customFormat="1" ht="12.95" customHeight="1" x14ac:dyDescent="0.15">
      <c r="B585" s="16">
        <v>10</v>
      </c>
      <c r="C585" s="11"/>
      <c r="D585" s="18"/>
      <c r="E585" s="18"/>
      <c r="F585" s="129"/>
      <c r="G585" s="20"/>
      <c r="H585" s="20">
        <v>1</v>
      </c>
      <c r="I585" s="126">
        <f t="shared" si="42"/>
        <v>0</v>
      </c>
      <c r="J585" s="21">
        <f t="shared" si="41"/>
        <v>0</v>
      </c>
      <c r="K585" s="80"/>
      <c r="L585" s="82"/>
      <c r="M585" s="10"/>
      <c r="N585" s="10"/>
      <c r="O585" s="10"/>
      <c r="P585" s="10"/>
      <c r="Q585" s="43"/>
      <c r="R585" s="10"/>
      <c r="T585" s="10"/>
    </row>
    <row r="586" spans="2:20" s="1" customFormat="1" ht="12.95" customHeight="1" x14ac:dyDescent="0.15">
      <c r="B586" s="16">
        <v>11</v>
      </c>
      <c r="C586" s="11"/>
      <c r="D586" s="18"/>
      <c r="E586" s="18"/>
      <c r="F586" s="129"/>
      <c r="G586" s="20"/>
      <c r="H586" s="20">
        <v>1</v>
      </c>
      <c r="I586" s="126">
        <f t="shared" si="42"/>
        <v>0</v>
      </c>
      <c r="J586" s="21">
        <f t="shared" si="41"/>
        <v>0</v>
      </c>
      <c r="K586" s="80"/>
      <c r="L586" s="82"/>
      <c r="M586" s="10"/>
      <c r="N586" s="10"/>
      <c r="O586" s="10"/>
      <c r="P586" s="10"/>
      <c r="Q586" s="43"/>
      <c r="R586" s="10"/>
      <c r="T586" s="10"/>
    </row>
    <row r="587" spans="2:20" s="1" customFormat="1" ht="12.95" customHeight="1" x14ac:dyDescent="0.15">
      <c r="B587" s="16">
        <v>12</v>
      </c>
      <c r="C587" s="11"/>
      <c r="D587" s="18"/>
      <c r="E587" s="18"/>
      <c r="F587" s="129"/>
      <c r="G587" s="20"/>
      <c r="H587" s="20">
        <v>1</v>
      </c>
      <c r="I587" s="126">
        <f t="shared" si="42"/>
        <v>0</v>
      </c>
      <c r="J587" s="21">
        <f t="shared" si="41"/>
        <v>0</v>
      </c>
      <c r="K587" s="80"/>
      <c r="L587" s="82"/>
      <c r="M587" s="10"/>
      <c r="N587" s="10"/>
      <c r="O587" s="10"/>
      <c r="P587" s="10"/>
      <c r="Q587" s="43"/>
      <c r="R587" s="10"/>
      <c r="T587" s="10"/>
    </row>
    <row r="588" spans="2:20" s="1" customFormat="1" ht="12.95" customHeight="1" x14ac:dyDescent="0.15">
      <c r="B588" s="16">
        <v>13</v>
      </c>
      <c r="C588" s="11"/>
      <c r="D588" s="18"/>
      <c r="E588" s="18"/>
      <c r="F588" s="129"/>
      <c r="G588" s="20"/>
      <c r="H588" s="20">
        <v>1</v>
      </c>
      <c r="I588" s="126">
        <f t="shared" si="42"/>
        <v>0</v>
      </c>
      <c r="J588" s="21">
        <f t="shared" si="41"/>
        <v>0</v>
      </c>
      <c r="K588" s="80"/>
      <c r="L588" s="82"/>
      <c r="M588" s="10"/>
      <c r="N588" s="10"/>
      <c r="O588" s="10"/>
      <c r="P588" s="10"/>
      <c r="Q588" s="43"/>
      <c r="R588" s="10"/>
      <c r="T588" s="10"/>
    </row>
    <row r="589" spans="2:20" s="1" customFormat="1" ht="12.95" customHeight="1" x14ac:dyDescent="0.15">
      <c r="B589" s="16">
        <v>14</v>
      </c>
      <c r="C589" s="11"/>
      <c r="D589" s="18"/>
      <c r="E589" s="18"/>
      <c r="F589" s="129"/>
      <c r="G589" s="20"/>
      <c r="H589" s="20">
        <v>1</v>
      </c>
      <c r="I589" s="126">
        <f t="shared" si="42"/>
        <v>0</v>
      </c>
      <c r="J589" s="21">
        <f t="shared" si="41"/>
        <v>0</v>
      </c>
      <c r="K589" s="80"/>
      <c r="L589" s="82"/>
      <c r="M589" s="10"/>
      <c r="N589" s="10"/>
      <c r="O589" s="10"/>
      <c r="P589" s="10"/>
      <c r="Q589" s="43"/>
      <c r="R589" s="10"/>
      <c r="T589" s="10"/>
    </row>
    <row r="590" spans="2:20" s="1" customFormat="1" ht="12.95" customHeight="1" x14ac:dyDescent="0.15">
      <c r="B590" s="16">
        <v>15</v>
      </c>
      <c r="C590" s="11"/>
      <c r="D590" s="18"/>
      <c r="E590" s="18"/>
      <c r="F590" s="129"/>
      <c r="G590" s="20"/>
      <c r="H590" s="20">
        <v>1</v>
      </c>
      <c r="I590" s="126">
        <f t="shared" si="42"/>
        <v>0</v>
      </c>
      <c r="J590" s="21">
        <f t="shared" si="41"/>
        <v>0</v>
      </c>
      <c r="K590" s="80"/>
      <c r="L590" s="82"/>
      <c r="M590" s="10"/>
      <c r="N590" s="10"/>
      <c r="O590" s="10"/>
      <c r="P590" s="10"/>
      <c r="Q590" s="43"/>
      <c r="R590" s="10"/>
      <c r="T590" s="10"/>
    </row>
    <row r="591" spans="2:20" s="1" customFormat="1" ht="12.95" customHeight="1" x14ac:dyDescent="0.15">
      <c r="B591" s="16">
        <v>16</v>
      </c>
      <c r="C591" s="74"/>
      <c r="D591" s="75"/>
      <c r="E591" s="75"/>
      <c r="F591" s="132"/>
      <c r="G591" s="77"/>
      <c r="H591" s="77">
        <v>1</v>
      </c>
      <c r="I591" s="131">
        <f t="shared" si="42"/>
        <v>0</v>
      </c>
      <c r="J591" s="78">
        <f t="shared" si="41"/>
        <v>0</v>
      </c>
      <c r="K591" s="80"/>
      <c r="L591" s="82"/>
      <c r="M591" s="10"/>
      <c r="N591" s="10"/>
      <c r="O591" s="10"/>
      <c r="P591" s="10"/>
      <c r="Q591" s="43"/>
      <c r="R591" s="10"/>
      <c r="T591" s="10"/>
    </row>
    <row r="592" spans="2:20" s="1" customFormat="1" ht="12.95" customHeight="1" x14ac:dyDescent="0.15">
      <c r="B592" s="80">
        <v>17</v>
      </c>
      <c r="C592" s="82"/>
      <c r="D592" s="82"/>
      <c r="E592" s="82"/>
      <c r="F592" s="156"/>
      <c r="G592" s="82"/>
      <c r="H592" s="77">
        <v>1</v>
      </c>
      <c r="I592" s="131">
        <f t="shared" si="42"/>
        <v>0</v>
      </c>
      <c r="J592" s="78">
        <f t="shared" si="41"/>
        <v>0</v>
      </c>
      <c r="K592" s="109"/>
      <c r="L592" s="82"/>
      <c r="M592" s="10"/>
      <c r="N592" s="10"/>
      <c r="O592" s="10"/>
      <c r="P592" s="10"/>
      <c r="Q592" s="43"/>
      <c r="R592" s="10"/>
      <c r="T592" s="10"/>
    </row>
    <row r="593" spans="2:20" s="1" customFormat="1" ht="12.95" customHeight="1" x14ac:dyDescent="0.15">
      <c r="B593" s="80">
        <v>18</v>
      </c>
      <c r="C593" s="82"/>
      <c r="D593" s="82"/>
      <c r="E593" s="82"/>
      <c r="F593" s="156"/>
      <c r="G593" s="82"/>
      <c r="H593" s="77">
        <v>1</v>
      </c>
      <c r="I593" s="131">
        <f t="shared" si="42"/>
        <v>0</v>
      </c>
      <c r="J593" s="78">
        <f t="shared" si="41"/>
        <v>0</v>
      </c>
      <c r="K593" s="155"/>
      <c r="L593" s="119"/>
      <c r="M593" s="10"/>
      <c r="N593" s="10"/>
      <c r="O593" s="10"/>
      <c r="P593" s="10"/>
      <c r="Q593" s="43"/>
      <c r="R593" s="10"/>
      <c r="T593" s="10"/>
    </row>
    <row r="594" spans="2:20" s="1" customFormat="1" ht="12.95" customHeight="1" x14ac:dyDescent="0.15">
      <c r="B594" s="80">
        <v>19</v>
      </c>
      <c r="C594" s="82"/>
      <c r="D594" s="82"/>
      <c r="E594" s="82"/>
      <c r="F594" s="156"/>
      <c r="G594" s="82"/>
      <c r="H594" s="77">
        <v>1</v>
      </c>
      <c r="I594" s="131">
        <f t="shared" si="42"/>
        <v>0</v>
      </c>
      <c r="J594" s="260">
        <f t="shared" si="41"/>
        <v>0</v>
      </c>
      <c r="K594" s="82"/>
      <c r="L594" s="82"/>
      <c r="M594" s="10"/>
      <c r="N594" s="10"/>
      <c r="O594" s="10"/>
      <c r="P594" s="10"/>
      <c r="Q594" s="43"/>
      <c r="R594" s="10"/>
      <c r="T594" s="10"/>
    </row>
    <row r="595" spans="2:20" s="1" customFormat="1" ht="12.95" customHeight="1" x14ac:dyDescent="0.15">
      <c r="B595" s="80">
        <v>20</v>
      </c>
      <c r="C595" s="82"/>
      <c r="D595" s="82"/>
      <c r="E595" s="82"/>
      <c r="F595" s="156"/>
      <c r="G595" s="82"/>
      <c r="H595" s="77">
        <v>1</v>
      </c>
      <c r="I595" s="131">
        <f t="shared" si="42"/>
        <v>0</v>
      </c>
      <c r="J595" s="260">
        <f t="shared" si="41"/>
        <v>0</v>
      </c>
      <c r="K595" s="82"/>
      <c r="L595" s="82"/>
      <c r="M595" s="10"/>
      <c r="N595" s="10"/>
      <c r="O595" s="10"/>
      <c r="P595" s="10"/>
      <c r="Q595" s="43"/>
      <c r="R595" s="10"/>
      <c r="T595" s="10"/>
    </row>
    <row r="596" spans="2:20" s="1" customFormat="1" ht="12.95" customHeight="1" x14ac:dyDescent="0.15">
      <c r="B596" s="111"/>
      <c r="C596" s="152"/>
      <c r="D596" s="153"/>
      <c r="E596" s="153"/>
      <c r="F596" s="157"/>
      <c r="G596" s="154"/>
      <c r="H596" s="154"/>
      <c r="I596" s="158"/>
      <c r="J596" s="261"/>
      <c r="K596" s="82"/>
      <c r="L596" s="82"/>
      <c r="M596" s="10"/>
      <c r="N596" s="10"/>
      <c r="O596" s="10"/>
      <c r="P596" s="10"/>
      <c r="Q596" s="43"/>
      <c r="R596" s="10"/>
      <c r="T596" s="10"/>
    </row>
    <row r="597" spans="2:20" s="1" customFormat="1" ht="12.75" x14ac:dyDescent="0.15">
      <c r="B597" s="82"/>
      <c r="C597" s="102"/>
      <c r="D597" s="103"/>
      <c r="E597" s="102"/>
      <c r="F597" s="128">
        <f>SUM(F539:F596)</f>
        <v>0</v>
      </c>
      <c r="G597" s="104"/>
      <c r="H597" s="105"/>
      <c r="I597" s="128">
        <f>SUM(I539:I596)</f>
        <v>0</v>
      </c>
      <c r="J597" s="106">
        <f>SUM(J539:J596)</f>
        <v>0</v>
      </c>
    </row>
    <row r="598" spans="2:20" s="1" customFormat="1" ht="12.75" x14ac:dyDescent="0.15">
      <c r="B598" s="82"/>
      <c r="C598" s="102"/>
      <c r="D598" s="103"/>
      <c r="E598" s="102" t="s">
        <v>147</v>
      </c>
      <c r="F598" s="128">
        <f>100/115*F597</f>
        <v>0</v>
      </c>
      <c r="G598" s="104"/>
      <c r="H598" s="105" t="s">
        <v>147</v>
      </c>
      <c r="I598" s="128">
        <f>100/115*I597</f>
        <v>0</v>
      </c>
      <c r="J598" s="106"/>
    </row>
    <row r="599" spans="2:20" s="1" customFormat="1" ht="12.75" x14ac:dyDescent="0.15"/>
    <row r="600" spans="2:20" s="1" customFormat="1" ht="12.75" x14ac:dyDescent="0.15"/>
    <row r="601" spans="2:20" s="1" customFormat="1" ht="12.75" x14ac:dyDescent="0.15"/>
    <row r="602" spans="2:20" s="1" customFormat="1" ht="12.75" x14ac:dyDescent="0.15"/>
    <row r="603" spans="2:20" s="247" customFormat="1" ht="32.25" x14ac:dyDescent="0.4">
      <c r="B603" s="248"/>
      <c r="C603" s="380" t="s">
        <v>112</v>
      </c>
      <c r="D603" s="380"/>
      <c r="E603" s="428" t="s">
        <v>163</v>
      </c>
      <c r="F603" s="428"/>
      <c r="G603" s="428"/>
      <c r="H603" s="428"/>
      <c r="I603" s="428"/>
      <c r="J603" s="382">
        <v>2026</v>
      </c>
      <c r="K603" s="382"/>
      <c r="L603" s="382"/>
    </row>
    <row r="604" spans="2:20" s="1" customFormat="1" ht="22.5" x14ac:dyDescent="0.15">
      <c r="B604" s="82"/>
      <c r="C604" s="102" t="s">
        <v>114</v>
      </c>
      <c r="D604" s="388" t="s">
        <v>115</v>
      </c>
      <c r="E604" s="388"/>
      <c r="F604" s="102" t="s">
        <v>116</v>
      </c>
      <c r="G604" s="102" t="s">
        <v>117</v>
      </c>
      <c r="H604" s="102" t="s">
        <v>118</v>
      </c>
      <c r="I604" s="102" t="s">
        <v>119</v>
      </c>
      <c r="J604" s="102" t="s">
        <v>120</v>
      </c>
      <c r="K604" s="82"/>
      <c r="L604" s="82"/>
    </row>
    <row r="605" spans="2:20" s="1" customFormat="1" ht="12.75" x14ac:dyDescent="0.15">
      <c r="B605" s="84"/>
      <c r="C605" s="149">
        <f>C535</f>
        <v>350</v>
      </c>
      <c r="D605" s="412">
        <v>23</v>
      </c>
      <c r="E605" s="412"/>
      <c r="F605" s="146">
        <f>F535</f>
        <v>0.8</v>
      </c>
      <c r="G605" s="147">
        <f>G535</f>
        <v>8</v>
      </c>
      <c r="H605" s="148">
        <f>D605*G605*F605</f>
        <v>147.20000000000002</v>
      </c>
      <c r="I605" s="149">
        <f>I667</f>
        <v>0</v>
      </c>
      <c r="J605" s="150">
        <f>H605-J667</f>
        <v>147.20000000000002</v>
      </c>
      <c r="K605" s="79"/>
      <c r="L605" s="120"/>
    </row>
    <row r="606" spans="2:20" s="1" customFormat="1" ht="33.75" x14ac:dyDescent="0.15">
      <c r="B606" s="16"/>
      <c r="C606" s="22" t="s">
        <v>121</v>
      </c>
      <c r="D606" s="413" t="s">
        <v>122</v>
      </c>
      <c r="E606" s="413"/>
      <c r="F606" s="33" t="s">
        <v>123</v>
      </c>
      <c r="G606" s="34" t="s">
        <v>124</v>
      </c>
      <c r="H606" s="35" t="s">
        <v>125</v>
      </c>
      <c r="I606" s="125" t="s">
        <v>126</v>
      </c>
      <c r="J606" s="34" t="s">
        <v>127</v>
      </c>
      <c r="K606" s="107" t="s">
        <v>128</v>
      </c>
      <c r="L606" s="123" t="s">
        <v>129</v>
      </c>
    </row>
    <row r="607" spans="2:20" s="1" customFormat="1" ht="12.75" x14ac:dyDescent="0.15">
      <c r="B607" s="16"/>
      <c r="C607" s="22"/>
      <c r="D607" s="32"/>
      <c r="E607" s="32"/>
      <c r="F607" s="33"/>
      <c r="G607" s="34"/>
      <c r="H607" s="35"/>
      <c r="I607" s="125"/>
      <c r="J607" s="34"/>
      <c r="K607" s="110"/>
      <c r="L607" s="82"/>
    </row>
    <row r="608" spans="2:20" s="1" customFormat="1" ht="12.75" x14ac:dyDescent="0.15">
      <c r="B608" s="16"/>
      <c r="C608" s="22" t="s">
        <v>130</v>
      </c>
      <c r="D608" s="32"/>
      <c r="E608" s="32"/>
      <c r="F608" s="151"/>
      <c r="G608" s="34"/>
      <c r="H608" s="35"/>
      <c r="I608" s="125"/>
      <c r="J608" s="34"/>
      <c r="K608" s="110"/>
      <c r="L608" s="82"/>
    </row>
    <row r="609" spans="2:20" s="1" customFormat="1" ht="12.75" x14ac:dyDescent="0.15">
      <c r="B609" s="16"/>
      <c r="C609" s="22" t="s">
        <v>149</v>
      </c>
      <c r="D609" s="32"/>
      <c r="E609" s="32"/>
      <c r="F609" s="151"/>
      <c r="G609" s="34"/>
      <c r="H609" s="35"/>
      <c r="I609" s="125"/>
      <c r="J609" s="34"/>
      <c r="K609" s="110"/>
      <c r="L609" s="82"/>
    </row>
    <row r="610" spans="2:20" s="1" customFormat="1" ht="13.15" customHeight="1" x14ac:dyDescent="0.15">
      <c r="B610" s="26">
        <v>1</v>
      </c>
      <c r="C610" s="17"/>
      <c r="D610" s="24"/>
      <c r="E610" s="24"/>
      <c r="F610" s="129"/>
      <c r="G610" s="20"/>
      <c r="H610" s="20">
        <v>1</v>
      </c>
      <c r="I610" s="129">
        <f t="shared" ref="I610:I626" si="43">J610*$C$32</f>
        <v>0</v>
      </c>
      <c r="J610" s="52">
        <f t="shared" ref="J610:J623" si="44">(F610*G610*H610)/$C$32</f>
        <v>0</v>
      </c>
      <c r="K610" s="108"/>
      <c r="L610" s="113"/>
      <c r="M610" s="4"/>
      <c r="N610" s="4"/>
      <c r="O610" s="4"/>
      <c r="P610" s="4"/>
      <c r="Q610" s="4"/>
      <c r="R610" s="4"/>
      <c r="S610" s="4"/>
      <c r="T610" s="4"/>
    </row>
    <row r="611" spans="2:20" s="1" customFormat="1" ht="12.75" customHeight="1" x14ac:dyDescent="0.15">
      <c r="B611" s="26">
        <v>2</v>
      </c>
      <c r="C611" s="17"/>
      <c r="D611" s="24"/>
      <c r="E611" s="24"/>
      <c r="F611" s="129"/>
      <c r="G611" s="20"/>
      <c r="H611" s="20">
        <v>1</v>
      </c>
      <c r="I611" s="129">
        <f t="shared" si="43"/>
        <v>0</v>
      </c>
      <c r="J611" s="52">
        <f t="shared" si="44"/>
        <v>0</v>
      </c>
      <c r="K611" s="108"/>
      <c r="L611" s="113"/>
      <c r="M611" s="144"/>
      <c r="N611" s="4"/>
      <c r="O611" s="4"/>
      <c r="P611" s="4"/>
      <c r="Q611" s="4"/>
      <c r="R611" s="4"/>
      <c r="S611" s="4"/>
      <c r="T611" s="4"/>
    </row>
    <row r="612" spans="2:20" s="1" customFormat="1" ht="16.5" x14ac:dyDescent="0.15">
      <c r="B612" s="26">
        <v>3</v>
      </c>
      <c r="C612" s="17"/>
      <c r="D612" s="24"/>
      <c r="E612" s="24"/>
      <c r="F612" s="129"/>
      <c r="G612" s="20"/>
      <c r="H612" s="20">
        <v>1</v>
      </c>
      <c r="I612" s="129">
        <f t="shared" si="43"/>
        <v>0</v>
      </c>
      <c r="J612" s="52">
        <f t="shared" si="44"/>
        <v>0</v>
      </c>
      <c r="K612" s="108"/>
      <c r="L612" s="113"/>
      <c r="M612" s="145"/>
      <c r="N612" s="4"/>
      <c r="O612" s="4"/>
      <c r="P612" s="4"/>
      <c r="Q612" s="4"/>
      <c r="R612" s="4"/>
      <c r="S612" s="4"/>
      <c r="T612" s="4"/>
    </row>
    <row r="613" spans="2:20" s="1" customFormat="1" ht="12.75" customHeight="1" x14ac:dyDescent="0.15">
      <c r="B613" s="26">
        <v>4</v>
      </c>
      <c r="C613" s="16"/>
      <c r="D613" s="18"/>
      <c r="E613" s="18"/>
      <c r="F613" s="129"/>
      <c r="G613" s="20"/>
      <c r="H613" s="20">
        <v>1</v>
      </c>
      <c r="I613" s="129">
        <f t="shared" si="43"/>
        <v>0</v>
      </c>
      <c r="J613" s="52">
        <f t="shared" si="44"/>
        <v>0</v>
      </c>
      <c r="K613" s="108"/>
      <c r="L613" s="113"/>
      <c r="M613" s="4"/>
      <c r="N613" s="4"/>
      <c r="O613" s="4"/>
      <c r="P613" s="4"/>
      <c r="Q613" s="4"/>
      <c r="R613" s="4"/>
      <c r="S613" s="4"/>
      <c r="T613" s="4"/>
    </row>
    <row r="614" spans="2:20" s="1" customFormat="1" ht="12.75" customHeight="1" x14ac:dyDescent="0.15">
      <c r="B614" s="26">
        <v>5</v>
      </c>
      <c r="C614" s="17"/>
      <c r="D614" s="53"/>
      <c r="E614" s="53"/>
      <c r="F614" s="129"/>
      <c r="G614" s="20"/>
      <c r="H614" s="20">
        <v>1</v>
      </c>
      <c r="I614" s="129">
        <f t="shared" si="43"/>
        <v>0</v>
      </c>
      <c r="J614" s="27">
        <f t="shared" si="44"/>
        <v>0</v>
      </c>
      <c r="K614" s="108"/>
      <c r="L614" s="113"/>
      <c r="M614" s="4"/>
      <c r="N614" s="4"/>
      <c r="O614" s="4"/>
      <c r="P614" s="4"/>
      <c r="Q614" s="4"/>
      <c r="R614" s="4"/>
      <c r="S614" s="4"/>
      <c r="T614" s="4"/>
    </row>
    <row r="615" spans="2:20" s="1" customFormat="1" ht="12.75" x14ac:dyDescent="0.15">
      <c r="B615" s="26">
        <v>6</v>
      </c>
      <c r="C615" s="17"/>
      <c r="D615" s="24"/>
      <c r="E615" s="24"/>
      <c r="F615" s="129"/>
      <c r="G615" s="20"/>
      <c r="H615" s="20">
        <v>1</v>
      </c>
      <c r="I615" s="129">
        <f t="shared" si="43"/>
        <v>0</v>
      </c>
      <c r="J615" s="52">
        <f t="shared" si="44"/>
        <v>0</v>
      </c>
      <c r="K615" s="108"/>
      <c r="L615" s="113"/>
      <c r="M615" s="4"/>
      <c r="N615" s="4"/>
      <c r="O615" s="4"/>
      <c r="P615" s="4"/>
      <c r="Q615" s="4"/>
      <c r="R615" s="4"/>
      <c r="S615" s="4"/>
      <c r="T615" s="4"/>
    </row>
    <row r="616" spans="2:20" s="1" customFormat="1" ht="12.75" customHeight="1" x14ac:dyDescent="0.15">
      <c r="B616" s="26">
        <v>7</v>
      </c>
      <c r="C616" s="17"/>
      <c r="D616" s="22"/>
      <c r="E616" s="22"/>
      <c r="F616" s="129"/>
      <c r="G616" s="20"/>
      <c r="H616" s="20">
        <v>1</v>
      </c>
      <c r="I616" s="129">
        <f t="shared" si="43"/>
        <v>0</v>
      </c>
      <c r="J616" s="27">
        <f t="shared" si="44"/>
        <v>0</v>
      </c>
      <c r="K616" s="108"/>
      <c r="L616" s="113"/>
      <c r="M616" s="4"/>
      <c r="N616" s="4"/>
      <c r="O616" s="4"/>
      <c r="P616" s="4"/>
      <c r="Q616" s="4"/>
      <c r="R616" s="4"/>
      <c r="S616" s="4"/>
      <c r="T616" s="4"/>
    </row>
    <row r="617" spans="2:20" s="1" customFormat="1" ht="12.95" customHeight="1" x14ac:dyDescent="0.15">
      <c r="B617" s="26">
        <v>8</v>
      </c>
      <c r="C617" s="17"/>
      <c r="D617" s="18"/>
      <c r="E617" s="24"/>
      <c r="F617" s="129"/>
      <c r="G617" s="20"/>
      <c r="H617" s="20">
        <v>1</v>
      </c>
      <c r="I617" s="129">
        <f t="shared" si="43"/>
        <v>0</v>
      </c>
      <c r="J617" s="52">
        <f t="shared" si="44"/>
        <v>0</v>
      </c>
      <c r="K617" s="108"/>
      <c r="L617" s="113"/>
      <c r="M617" s="4"/>
      <c r="N617" s="4"/>
      <c r="O617" s="4"/>
      <c r="P617" s="4"/>
      <c r="Q617" s="4"/>
      <c r="R617" s="4"/>
      <c r="S617" s="4"/>
      <c r="T617" s="4"/>
    </row>
    <row r="618" spans="2:20" s="1" customFormat="1" ht="12.95" customHeight="1" x14ac:dyDescent="0.15">
      <c r="B618" s="26">
        <v>9</v>
      </c>
      <c r="C618" s="17"/>
      <c r="D618" s="18"/>
      <c r="E618" s="24"/>
      <c r="F618" s="129"/>
      <c r="G618" s="20"/>
      <c r="H618" s="20">
        <v>1</v>
      </c>
      <c r="I618" s="129">
        <f t="shared" si="43"/>
        <v>0</v>
      </c>
      <c r="J618" s="52">
        <f t="shared" si="44"/>
        <v>0</v>
      </c>
      <c r="K618" s="108"/>
      <c r="L618" s="113"/>
      <c r="M618" s="4"/>
      <c r="N618" s="4"/>
      <c r="O618" s="4"/>
      <c r="P618" s="4"/>
      <c r="Q618" s="4"/>
      <c r="R618" s="4"/>
      <c r="S618" s="4"/>
      <c r="T618" s="4"/>
    </row>
    <row r="619" spans="2:20" s="1" customFormat="1" ht="12.95" customHeight="1" x14ac:dyDescent="0.15">
      <c r="B619" s="26">
        <v>10</v>
      </c>
      <c r="C619" s="17"/>
      <c r="D619" s="24"/>
      <c r="E619" s="18"/>
      <c r="F619" s="129"/>
      <c r="G619" s="20"/>
      <c r="H619" s="20">
        <v>1</v>
      </c>
      <c r="I619" s="129">
        <f t="shared" si="43"/>
        <v>0</v>
      </c>
      <c r="J619" s="52">
        <f t="shared" si="44"/>
        <v>0</v>
      </c>
      <c r="K619" s="108"/>
      <c r="L619" s="113"/>
      <c r="M619" s="4"/>
      <c r="N619" s="4"/>
      <c r="O619" s="4"/>
      <c r="P619" s="4"/>
      <c r="Q619" s="4"/>
      <c r="R619" s="4"/>
      <c r="S619" s="4"/>
      <c r="T619" s="4"/>
    </row>
    <row r="620" spans="2:20" s="1" customFormat="1" ht="12.95" customHeight="1" x14ac:dyDescent="0.15">
      <c r="B620" s="26"/>
      <c r="C620" s="17"/>
      <c r="D620" s="24"/>
      <c r="E620" s="18"/>
      <c r="F620" s="129"/>
      <c r="G620" s="20"/>
      <c r="H620" s="20"/>
      <c r="I620" s="129"/>
      <c r="J620" s="52"/>
      <c r="K620" s="108"/>
      <c r="L620" s="113"/>
      <c r="M620" s="4"/>
      <c r="N620" s="4"/>
      <c r="O620" s="4"/>
      <c r="P620" s="4"/>
      <c r="Q620" s="4"/>
      <c r="R620" s="4"/>
      <c r="S620" s="4"/>
      <c r="T620" s="4"/>
    </row>
    <row r="621" spans="2:20" s="1" customFormat="1" ht="12.95" customHeight="1" x14ac:dyDescent="0.15">
      <c r="B621" s="26"/>
      <c r="C621" s="17"/>
      <c r="D621" s="24"/>
      <c r="E621" s="18"/>
      <c r="F621" s="129"/>
      <c r="G621" s="20"/>
      <c r="H621" s="20"/>
      <c r="I621" s="129"/>
      <c r="J621" s="52"/>
      <c r="K621" s="108"/>
      <c r="L621" s="113"/>
      <c r="M621" s="4"/>
      <c r="N621" s="4"/>
      <c r="O621" s="4"/>
      <c r="P621" s="4"/>
      <c r="Q621" s="4"/>
      <c r="R621" s="4"/>
      <c r="S621" s="4"/>
      <c r="T621" s="4"/>
    </row>
    <row r="622" spans="2:20" s="1" customFormat="1" ht="12.95" customHeight="1" x14ac:dyDescent="0.15">
      <c r="B622" s="26"/>
      <c r="C622" s="22" t="s">
        <v>153</v>
      </c>
      <c r="D622" s="24"/>
      <c r="E622" s="18"/>
      <c r="F622" s="129"/>
      <c r="G622" s="20"/>
      <c r="H622" s="20"/>
      <c r="I622" s="129"/>
      <c r="J622" s="52"/>
      <c r="K622" s="108"/>
      <c r="L622" s="113"/>
      <c r="M622" s="4"/>
      <c r="N622" s="4"/>
      <c r="O622" s="4"/>
      <c r="P622" s="4"/>
      <c r="Q622" s="4"/>
      <c r="R622" s="4"/>
      <c r="S622" s="4"/>
      <c r="T622" s="4"/>
    </row>
    <row r="623" spans="2:20" s="1" customFormat="1" ht="12.95" customHeight="1" x14ac:dyDescent="0.15">
      <c r="B623" s="26">
        <v>1</v>
      </c>
      <c r="C623" s="17"/>
      <c r="D623" s="24"/>
      <c r="E623" s="24"/>
      <c r="F623" s="129"/>
      <c r="G623" s="20"/>
      <c r="H623" s="20">
        <v>1</v>
      </c>
      <c r="I623" s="129">
        <f t="shared" si="43"/>
        <v>0</v>
      </c>
      <c r="J623" s="52">
        <f t="shared" si="44"/>
        <v>0</v>
      </c>
      <c r="K623" s="108"/>
      <c r="L623" s="113"/>
      <c r="M623" s="4"/>
      <c r="N623" s="4"/>
      <c r="O623" s="4"/>
      <c r="P623" s="4"/>
      <c r="Q623" s="4"/>
      <c r="R623" s="4"/>
      <c r="S623" s="4"/>
      <c r="T623" s="4"/>
    </row>
    <row r="624" spans="2:20" s="1" customFormat="1" ht="12.95" customHeight="1" x14ac:dyDescent="0.15">
      <c r="B624" s="26">
        <v>2</v>
      </c>
      <c r="C624" s="17"/>
      <c r="D624" s="24"/>
      <c r="E624" s="24"/>
      <c r="F624" s="129"/>
      <c r="G624" s="20"/>
      <c r="H624" s="20">
        <v>1</v>
      </c>
      <c r="I624" s="129">
        <f t="shared" si="43"/>
        <v>0</v>
      </c>
      <c r="J624" s="52">
        <f>(F624*G624*H624)/$C$32</f>
        <v>0</v>
      </c>
      <c r="K624" s="108"/>
      <c r="L624" s="113"/>
      <c r="M624" s="4"/>
      <c r="N624" s="4"/>
      <c r="O624" s="4"/>
      <c r="P624" s="4"/>
      <c r="Q624" s="4"/>
      <c r="R624" s="4"/>
      <c r="S624" s="4"/>
      <c r="T624" s="4"/>
    </row>
    <row r="625" spans="2:20" s="1" customFormat="1" ht="12.95" customHeight="1" x14ac:dyDescent="0.15">
      <c r="B625" s="26">
        <v>3</v>
      </c>
      <c r="C625" s="24"/>
      <c r="D625" s="24"/>
      <c r="E625" s="24"/>
      <c r="F625" s="129"/>
      <c r="G625" s="20"/>
      <c r="H625" s="20">
        <v>1</v>
      </c>
      <c r="I625" s="129">
        <f t="shared" si="43"/>
        <v>0</v>
      </c>
      <c r="J625" s="52">
        <f>(F625*G625*H625)/$C$32</f>
        <v>0</v>
      </c>
      <c r="K625" s="108"/>
      <c r="L625" s="113"/>
      <c r="M625" s="4"/>
      <c r="N625" s="4"/>
      <c r="O625" s="4"/>
      <c r="P625" s="4"/>
      <c r="Q625" s="4"/>
      <c r="R625" s="4"/>
      <c r="S625" s="4"/>
      <c r="T625" s="4"/>
    </row>
    <row r="626" spans="2:20" s="1" customFormat="1" ht="12.95" customHeight="1" x14ac:dyDescent="0.15">
      <c r="B626" s="26">
        <v>4</v>
      </c>
      <c r="C626" s="24"/>
      <c r="D626" s="24"/>
      <c r="E626" s="24"/>
      <c r="F626" s="129"/>
      <c r="G626" s="20"/>
      <c r="H626" s="20">
        <v>1</v>
      </c>
      <c r="I626" s="129">
        <f t="shared" si="43"/>
        <v>0</v>
      </c>
      <c r="J626" s="52">
        <f t="shared" ref="J626:J627" si="45">(F626*G626*H626)/$C$32</f>
        <v>0</v>
      </c>
      <c r="K626" s="108"/>
      <c r="L626" s="113"/>
      <c r="M626" s="4"/>
      <c r="N626" s="4"/>
      <c r="O626" s="4"/>
      <c r="P626" s="4"/>
      <c r="Q626" s="4"/>
      <c r="R626" s="4"/>
      <c r="S626" s="4"/>
      <c r="T626" s="4"/>
    </row>
    <row r="627" spans="2:20" s="1" customFormat="1" ht="12.95" customHeight="1" x14ac:dyDescent="0.15">
      <c r="B627" s="26">
        <v>5</v>
      </c>
      <c r="C627" s="17"/>
      <c r="D627" s="18"/>
      <c r="E627" s="18"/>
      <c r="F627" s="129"/>
      <c r="G627" s="20"/>
      <c r="H627" s="20">
        <v>1</v>
      </c>
      <c r="I627" s="129">
        <f>J627*$C$32</f>
        <v>0</v>
      </c>
      <c r="J627" s="27">
        <f t="shared" si="45"/>
        <v>0</v>
      </c>
      <c r="K627" s="108"/>
      <c r="L627" s="113"/>
      <c r="M627" s="4"/>
      <c r="N627" s="4"/>
      <c r="O627" s="4"/>
      <c r="P627" s="4"/>
      <c r="Q627" s="4"/>
      <c r="R627" s="4"/>
      <c r="S627" s="4"/>
      <c r="T627" s="4"/>
    </row>
    <row r="628" spans="2:20" s="1" customFormat="1" ht="12.95" customHeight="1" x14ac:dyDescent="0.15">
      <c r="B628" s="26">
        <v>6</v>
      </c>
      <c r="C628" s="17"/>
      <c r="D628" s="24"/>
      <c r="E628" s="24"/>
      <c r="F628" s="129"/>
      <c r="G628" s="20"/>
      <c r="H628" s="20">
        <v>1</v>
      </c>
      <c r="I628" s="129">
        <f t="shared" ref="I628" si="46">J628*$C$32</f>
        <v>0</v>
      </c>
      <c r="J628" s="54">
        <f>(F628*G628*H628)/$C$32</f>
        <v>0</v>
      </c>
      <c r="K628" s="108"/>
      <c r="L628" s="113"/>
      <c r="M628" s="4"/>
      <c r="N628" s="4"/>
      <c r="O628" s="4"/>
      <c r="P628" s="4"/>
      <c r="Q628" s="4"/>
      <c r="R628" s="4"/>
      <c r="S628" s="4"/>
      <c r="T628" s="4"/>
    </row>
    <row r="629" spans="2:20" s="1" customFormat="1" ht="12.95" customHeight="1" x14ac:dyDescent="0.15">
      <c r="B629" s="26">
        <v>7</v>
      </c>
      <c r="C629" s="17"/>
      <c r="D629" s="24"/>
      <c r="E629" s="24"/>
      <c r="F629" s="129"/>
      <c r="G629" s="20"/>
      <c r="H629" s="20">
        <v>1</v>
      </c>
      <c r="I629" s="129">
        <f>J629*$C$32</f>
        <v>0</v>
      </c>
      <c r="J629" s="54">
        <f>(F629*G629*H629)/$C$32</f>
        <v>0</v>
      </c>
      <c r="K629" s="108"/>
      <c r="L629" s="113"/>
      <c r="M629" s="4"/>
      <c r="N629" s="4"/>
      <c r="O629" s="4"/>
      <c r="P629" s="4"/>
      <c r="Q629" s="4"/>
      <c r="R629" s="4"/>
      <c r="S629" s="4"/>
      <c r="T629" s="4"/>
    </row>
    <row r="630" spans="2:20" s="1" customFormat="1" ht="14.85" customHeight="1" x14ac:dyDescent="0.15">
      <c r="B630" s="26">
        <v>8</v>
      </c>
      <c r="C630" s="17"/>
      <c r="D630" s="24"/>
      <c r="E630" s="24"/>
      <c r="F630" s="129"/>
      <c r="G630" s="20"/>
      <c r="H630" s="20">
        <v>1</v>
      </c>
      <c r="I630" s="129">
        <f t="shared" ref="I630:I642" si="47">J630*$C$32</f>
        <v>0</v>
      </c>
      <c r="J630" s="52">
        <f t="shared" ref="J630:J642" si="48">(F630*G630*H630)/$C$32</f>
        <v>0</v>
      </c>
      <c r="K630" s="108"/>
      <c r="L630" s="113"/>
      <c r="M630" s="4"/>
      <c r="N630" s="4"/>
      <c r="O630" s="4"/>
      <c r="P630" s="4"/>
      <c r="Q630" s="4"/>
      <c r="R630" s="4"/>
      <c r="S630" s="4"/>
      <c r="T630" s="4"/>
    </row>
    <row r="631" spans="2:20" s="1" customFormat="1" ht="12.95" customHeight="1" x14ac:dyDescent="0.15">
      <c r="B631" s="26">
        <v>9</v>
      </c>
      <c r="C631" s="17"/>
      <c r="D631" s="24"/>
      <c r="E631" s="24"/>
      <c r="F631" s="129"/>
      <c r="G631" s="20"/>
      <c r="H631" s="20">
        <v>1</v>
      </c>
      <c r="I631" s="129">
        <f t="shared" si="47"/>
        <v>0</v>
      </c>
      <c r="J631" s="52">
        <f t="shared" si="48"/>
        <v>0</v>
      </c>
      <c r="K631" s="108"/>
      <c r="L631" s="113"/>
      <c r="M631" s="4"/>
      <c r="N631" s="4"/>
      <c r="O631" s="4"/>
      <c r="P631" s="4"/>
      <c r="Q631" s="4"/>
      <c r="R631" s="4"/>
      <c r="S631" s="4"/>
      <c r="T631" s="4"/>
    </row>
    <row r="632" spans="2:20" s="1" customFormat="1" ht="12.95" customHeight="1" x14ac:dyDescent="0.15">
      <c r="B632" s="26">
        <v>10</v>
      </c>
      <c r="C632" s="17"/>
      <c r="D632" s="24"/>
      <c r="E632" s="24"/>
      <c r="F632" s="129"/>
      <c r="G632" s="20"/>
      <c r="H632" s="20">
        <v>1</v>
      </c>
      <c r="I632" s="129">
        <f t="shared" si="47"/>
        <v>0</v>
      </c>
      <c r="J632" s="52">
        <f t="shared" si="48"/>
        <v>0</v>
      </c>
      <c r="K632" s="108"/>
      <c r="L632" s="113"/>
      <c r="M632" s="4"/>
      <c r="N632" s="4"/>
      <c r="O632" s="4"/>
      <c r="P632" s="4"/>
      <c r="Q632" s="4"/>
      <c r="R632" s="4"/>
      <c r="S632" s="4"/>
      <c r="T632" s="4"/>
    </row>
    <row r="633" spans="2:20" s="1" customFormat="1" ht="12.95" customHeight="1" x14ac:dyDescent="0.15">
      <c r="B633" s="26">
        <v>11</v>
      </c>
      <c r="C633" s="17"/>
      <c r="D633" s="24"/>
      <c r="E633" s="24"/>
      <c r="F633" s="129"/>
      <c r="G633" s="20"/>
      <c r="H633" s="20">
        <v>1</v>
      </c>
      <c r="I633" s="129">
        <f t="shared" si="47"/>
        <v>0</v>
      </c>
      <c r="J633" s="52">
        <f t="shared" si="48"/>
        <v>0</v>
      </c>
      <c r="K633" s="108"/>
      <c r="L633" s="113"/>
      <c r="M633" s="4"/>
      <c r="N633" s="4"/>
      <c r="O633" s="4"/>
      <c r="P633" s="4"/>
      <c r="Q633" s="4"/>
      <c r="R633" s="4"/>
      <c r="S633" s="4"/>
      <c r="T633" s="4"/>
    </row>
    <row r="634" spans="2:20" s="1" customFormat="1" ht="12.95" customHeight="1" x14ac:dyDescent="0.15">
      <c r="B634" s="26">
        <v>12</v>
      </c>
      <c r="C634" s="17"/>
      <c r="D634" s="18"/>
      <c r="E634" s="18"/>
      <c r="F634" s="129"/>
      <c r="G634" s="20"/>
      <c r="H634" s="20">
        <v>1</v>
      </c>
      <c r="I634" s="129">
        <f t="shared" si="47"/>
        <v>0</v>
      </c>
      <c r="J634" s="52">
        <f t="shared" si="48"/>
        <v>0</v>
      </c>
      <c r="K634" s="108"/>
      <c r="L634" s="113"/>
      <c r="M634" s="4"/>
      <c r="N634" s="4"/>
      <c r="O634" s="4"/>
      <c r="P634" s="4"/>
      <c r="Q634" s="4"/>
      <c r="R634" s="4"/>
      <c r="S634" s="4"/>
      <c r="T634" s="4"/>
    </row>
    <row r="635" spans="2:20" s="1" customFormat="1" ht="12.95" customHeight="1" x14ac:dyDescent="0.15">
      <c r="B635" s="26">
        <v>13</v>
      </c>
      <c r="C635" s="17"/>
      <c r="D635" s="18"/>
      <c r="E635" s="18"/>
      <c r="F635" s="129"/>
      <c r="G635" s="20"/>
      <c r="H635" s="20">
        <v>1</v>
      </c>
      <c r="I635" s="129">
        <f t="shared" si="47"/>
        <v>0</v>
      </c>
      <c r="J635" s="52">
        <f t="shared" si="48"/>
        <v>0</v>
      </c>
      <c r="K635" s="108"/>
      <c r="L635" s="113"/>
      <c r="M635" s="4"/>
      <c r="N635" s="4"/>
      <c r="O635" s="4"/>
      <c r="P635" s="4"/>
      <c r="Q635" s="4"/>
      <c r="R635" s="4"/>
      <c r="S635" s="4"/>
      <c r="T635" s="4"/>
    </row>
    <row r="636" spans="2:20" s="1" customFormat="1" ht="12.95" customHeight="1" x14ac:dyDescent="0.15">
      <c r="B636" s="26">
        <v>14</v>
      </c>
      <c r="C636" s="17"/>
      <c r="D636" s="18"/>
      <c r="E636" s="18"/>
      <c r="F636" s="129"/>
      <c r="G636" s="20"/>
      <c r="H636" s="20">
        <v>1</v>
      </c>
      <c r="I636" s="129">
        <f t="shared" si="47"/>
        <v>0</v>
      </c>
      <c r="J636" s="52">
        <f t="shared" si="48"/>
        <v>0</v>
      </c>
      <c r="K636" s="108"/>
      <c r="L636" s="113"/>
      <c r="M636" s="4"/>
      <c r="N636" s="4"/>
      <c r="O636" s="4"/>
      <c r="P636" s="4"/>
      <c r="Q636" s="4"/>
      <c r="R636" s="4"/>
      <c r="S636" s="4"/>
      <c r="T636" s="4"/>
    </row>
    <row r="637" spans="2:20" s="1" customFormat="1" ht="12.95" customHeight="1" x14ac:dyDescent="0.15">
      <c r="B637" s="26">
        <v>15</v>
      </c>
      <c r="C637" s="11"/>
      <c r="D637" s="18"/>
      <c r="E637" s="18"/>
      <c r="F637" s="129"/>
      <c r="G637" s="20"/>
      <c r="H637" s="20">
        <v>1</v>
      </c>
      <c r="I637" s="126">
        <f t="shared" si="47"/>
        <v>0</v>
      </c>
      <c r="J637" s="21">
        <f t="shared" si="48"/>
        <v>0</v>
      </c>
      <c r="K637" s="108"/>
      <c r="L637" s="113"/>
      <c r="M637" s="4"/>
      <c r="N637" s="4"/>
      <c r="O637" s="4"/>
      <c r="P637" s="4"/>
      <c r="Q637" s="4"/>
      <c r="R637" s="4"/>
      <c r="S637" s="4"/>
      <c r="T637" s="4"/>
    </row>
    <row r="638" spans="2:20" s="1" customFormat="1" ht="12.95" customHeight="1" x14ac:dyDescent="0.15">
      <c r="B638" s="26">
        <v>16</v>
      </c>
      <c r="C638" s="23"/>
      <c r="D638" s="49"/>
      <c r="E638" s="49"/>
      <c r="F638" s="126"/>
      <c r="G638" s="50"/>
      <c r="H638" s="20">
        <v>1</v>
      </c>
      <c r="I638" s="126">
        <f t="shared" si="47"/>
        <v>0</v>
      </c>
      <c r="J638" s="21">
        <f t="shared" si="48"/>
        <v>0</v>
      </c>
      <c r="K638" s="108"/>
      <c r="L638" s="113"/>
      <c r="M638" s="4"/>
      <c r="N638" s="4"/>
      <c r="O638" s="4"/>
      <c r="P638" s="4"/>
      <c r="Q638" s="4"/>
      <c r="R638" s="4"/>
      <c r="S638" s="4"/>
      <c r="T638" s="4"/>
    </row>
    <row r="639" spans="2:20" s="1" customFormat="1" ht="12.95" customHeight="1" x14ac:dyDescent="0.15">
      <c r="B639" s="26">
        <v>17</v>
      </c>
      <c r="C639" s="23"/>
      <c r="D639" s="48"/>
      <c r="E639" s="48"/>
      <c r="F639" s="126"/>
      <c r="G639" s="50"/>
      <c r="H639" s="20">
        <v>1</v>
      </c>
      <c r="I639" s="126">
        <f t="shared" si="47"/>
        <v>0</v>
      </c>
      <c r="J639" s="21">
        <f t="shared" si="48"/>
        <v>0</v>
      </c>
      <c r="K639" s="108"/>
      <c r="L639" s="113"/>
      <c r="M639" s="4"/>
      <c r="N639" s="4"/>
      <c r="O639" s="4"/>
      <c r="P639" s="4"/>
      <c r="Q639" s="4"/>
      <c r="R639" s="4"/>
      <c r="S639" s="4"/>
      <c r="T639" s="4"/>
    </row>
    <row r="640" spans="2:20" s="1" customFormat="1" ht="12.95" customHeight="1" x14ac:dyDescent="0.15">
      <c r="B640" s="26">
        <v>18</v>
      </c>
      <c r="C640" s="23"/>
      <c r="D640" s="48"/>
      <c r="E640" s="48"/>
      <c r="F640" s="126"/>
      <c r="G640" s="50"/>
      <c r="H640" s="20">
        <v>1</v>
      </c>
      <c r="I640" s="126">
        <f t="shared" si="47"/>
        <v>0</v>
      </c>
      <c r="J640" s="21">
        <f t="shared" si="48"/>
        <v>0</v>
      </c>
      <c r="K640" s="108"/>
      <c r="L640" s="113"/>
      <c r="M640" s="4"/>
      <c r="N640" s="4"/>
      <c r="O640" s="4"/>
      <c r="P640" s="4"/>
      <c r="Q640" s="4"/>
      <c r="R640" s="4"/>
      <c r="S640" s="4"/>
      <c r="T640" s="4"/>
    </row>
    <row r="641" spans="2:20" s="1" customFormat="1" ht="12.95" customHeight="1" x14ac:dyDescent="0.15">
      <c r="B641" s="26">
        <v>19</v>
      </c>
      <c r="C641" s="23"/>
      <c r="D641" s="48"/>
      <c r="E641" s="48"/>
      <c r="F641" s="126"/>
      <c r="G641" s="50"/>
      <c r="H641" s="20">
        <v>1</v>
      </c>
      <c r="I641" s="126">
        <f t="shared" si="47"/>
        <v>0</v>
      </c>
      <c r="J641" s="21">
        <f t="shared" si="48"/>
        <v>0</v>
      </c>
      <c r="K641" s="108"/>
      <c r="L641" s="113"/>
      <c r="M641" s="4"/>
      <c r="N641" s="4"/>
      <c r="O641" s="4"/>
      <c r="P641" s="4"/>
      <c r="Q641" s="4"/>
      <c r="R641" s="4"/>
      <c r="S641" s="4"/>
      <c r="T641" s="4"/>
    </row>
    <row r="642" spans="2:20" s="1" customFormat="1" ht="12.95" customHeight="1" x14ac:dyDescent="0.15">
      <c r="B642" s="26">
        <v>20</v>
      </c>
      <c r="C642" s="23"/>
      <c r="D642" s="48"/>
      <c r="E642" s="48"/>
      <c r="F642" s="126"/>
      <c r="G642" s="50"/>
      <c r="H642" s="20">
        <v>1</v>
      </c>
      <c r="I642" s="126">
        <f t="shared" si="47"/>
        <v>0</v>
      </c>
      <c r="J642" s="21">
        <f t="shared" si="48"/>
        <v>0</v>
      </c>
      <c r="K642" s="108"/>
      <c r="L642" s="113"/>
      <c r="M642" s="4"/>
      <c r="N642" s="4"/>
      <c r="O642" s="4"/>
      <c r="P642" s="4"/>
      <c r="Q642" s="4"/>
      <c r="R642" s="4"/>
      <c r="S642" s="4"/>
      <c r="T642" s="4"/>
    </row>
    <row r="643" spans="2:20" s="1" customFormat="1" ht="12.95" customHeight="1" x14ac:dyDescent="0.15">
      <c r="B643" s="26"/>
      <c r="C643" s="23"/>
      <c r="D643" s="48"/>
      <c r="E643" s="48"/>
      <c r="F643" s="126"/>
      <c r="G643" s="50"/>
      <c r="H643" s="50"/>
      <c r="I643" s="126"/>
      <c r="J643" s="38"/>
      <c r="K643" s="108"/>
      <c r="L643" s="113"/>
      <c r="M643" s="4"/>
      <c r="N643" s="4"/>
      <c r="O643" s="4"/>
      <c r="P643" s="4"/>
      <c r="Q643" s="4"/>
      <c r="R643" s="4"/>
      <c r="S643" s="4"/>
      <c r="T643" s="4"/>
    </row>
    <row r="644" spans="2:20" s="1" customFormat="1" ht="12.95" customHeight="1" x14ac:dyDescent="0.15">
      <c r="B644" s="26"/>
      <c r="C644" s="23"/>
      <c r="D644" s="48"/>
      <c r="E644" s="48"/>
      <c r="F644" s="126"/>
      <c r="G644" s="50"/>
      <c r="H644" s="50"/>
      <c r="I644" s="126"/>
      <c r="J644" s="38"/>
      <c r="K644" s="108"/>
      <c r="L644" s="113"/>
      <c r="M644" s="4"/>
      <c r="N644" s="4"/>
      <c r="O644" s="4"/>
      <c r="P644" s="4"/>
      <c r="Q644" s="4"/>
      <c r="R644" s="4"/>
      <c r="S644" s="4"/>
      <c r="T644" s="4"/>
    </row>
    <row r="645" spans="2:20" s="1" customFormat="1" ht="12.95" customHeight="1" x14ac:dyDescent="0.15">
      <c r="B645" s="26"/>
      <c r="C645" s="95" t="s">
        <v>132</v>
      </c>
      <c r="D645" s="49"/>
      <c r="E645" s="49"/>
      <c r="F645" s="126"/>
      <c r="G645" s="50"/>
      <c r="H645" s="50"/>
      <c r="I645" s="126"/>
      <c r="J645" s="21"/>
      <c r="K645" s="108"/>
      <c r="L645" s="113"/>
      <c r="M645" s="57"/>
      <c r="N645" s="57"/>
      <c r="O645" s="57"/>
      <c r="P645" s="57"/>
      <c r="Q645" s="58"/>
      <c r="R645" s="57"/>
      <c r="S645" s="4"/>
      <c r="T645" s="57"/>
    </row>
    <row r="646" spans="2:20" s="1" customFormat="1" ht="12.95" customHeight="1" x14ac:dyDescent="0.15">
      <c r="B646" s="26">
        <v>1</v>
      </c>
      <c r="C646" s="60"/>
      <c r="D646" s="49"/>
      <c r="E646" s="49"/>
      <c r="F646" s="126"/>
      <c r="G646" s="50"/>
      <c r="H646" s="50">
        <v>1</v>
      </c>
      <c r="I646" s="126">
        <f>J646*$C$32</f>
        <v>0</v>
      </c>
      <c r="J646" s="21">
        <f t="shared" ref="J646:J665" si="49">(F646*G646*H646)/$C$32</f>
        <v>0</v>
      </c>
      <c r="K646" s="108"/>
      <c r="L646" s="113"/>
      <c r="M646" s="57"/>
      <c r="N646" s="57"/>
      <c r="O646" s="57"/>
      <c r="P646" s="57"/>
      <c r="Q646" s="58"/>
      <c r="R646" s="57"/>
      <c r="S646" s="4"/>
      <c r="T646" s="57"/>
    </row>
    <row r="647" spans="2:20" s="1" customFormat="1" ht="12.95" customHeight="1" x14ac:dyDescent="0.15">
      <c r="B647" s="26">
        <v>2</v>
      </c>
      <c r="C647" s="59"/>
      <c r="D647" s="49"/>
      <c r="E647" s="49"/>
      <c r="F647" s="126"/>
      <c r="G647" s="50"/>
      <c r="H647" s="50">
        <v>1</v>
      </c>
      <c r="I647" s="126">
        <f t="shared" ref="I647:I665" si="50">J647*$C$32</f>
        <v>0</v>
      </c>
      <c r="J647" s="21">
        <f t="shared" si="49"/>
        <v>0</v>
      </c>
      <c r="K647" s="108"/>
      <c r="L647" s="113"/>
      <c r="M647" s="57"/>
      <c r="N647" s="57"/>
      <c r="O647" s="57"/>
      <c r="P647" s="57"/>
      <c r="Q647" s="58"/>
      <c r="R647" s="57"/>
      <c r="S647" s="4"/>
      <c r="T647" s="57"/>
    </row>
    <row r="648" spans="2:20" s="1" customFormat="1" ht="12.95" customHeight="1" x14ac:dyDescent="0.15">
      <c r="B648" s="26">
        <v>3</v>
      </c>
      <c r="C648" s="61"/>
      <c r="D648" s="49"/>
      <c r="E648" s="49"/>
      <c r="F648" s="126"/>
      <c r="G648" s="50"/>
      <c r="H648" s="50">
        <v>1</v>
      </c>
      <c r="I648" s="126">
        <f t="shared" si="50"/>
        <v>0</v>
      </c>
      <c r="J648" s="21">
        <f t="shared" si="49"/>
        <v>0</v>
      </c>
      <c r="K648" s="108"/>
      <c r="L648" s="113"/>
      <c r="M648" s="57"/>
      <c r="N648" s="57"/>
      <c r="O648" s="57"/>
      <c r="P648" s="57"/>
      <c r="Q648" s="58"/>
      <c r="R648" s="57"/>
      <c r="S648" s="4"/>
      <c r="T648" s="57"/>
    </row>
    <row r="649" spans="2:20" s="1" customFormat="1" ht="12.95" customHeight="1" x14ac:dyDescent="0.15">
      <c r="B649" s="16">
        <v>4</v>
      </c>
      <c r="C649" s="11"/>
      <c r="D649" s="18"/>
      <c r="E649" s="18"/>
      <c r="F649" s="129"/>
      <c r="G649" s="20"/>
      <c r="H649" s="20">
        <v>1</v>
      </c>
      <c r="I649" s="126">
        <f t="shared" si="50"/>
        <v>0</v>
      </c>
      <c r="J649" s="21">
        <f t="shared" si="49"/>
        <v>0</v>
      </c>
      <c r="K649" s="80"/>
      <c r="L649" s="82"/>
      <c r="M649" s="10"/>
      <c r="N649" s="10"/>
      <c r="O649" s="10"/>
      <c r="P649" s="10"/>
      <c r="Q649" s="43"/>
      <c r="R649" s="10"/>
      <c r="T649" s="10"/>
    </row>
    <row r="650" spans="2:20" s="1" customFormat="1" ht="12.95" customHeight="1" x14ac:dyDescent="0.15">
      <c r="B650" s="16">
        <v>5</v>
      </c>
      <c r="C650" s="46"/>
      <c r="D650" s="18"/>
      <c r="E650" s="18"/>
      <c r="F650" s="129"/>
      <c r="G650" s="20"/>
      <c r="H650" s="20">
        <v>1</v>
      </c>
      <c r="I650" s="126">
        <f t="shared" si="50"/>
        <v>0</v>
      </c>
      <c r="J650" s="21">
        <f t="shared" si="49"/>
        <v>0</v>
      </c>
      <c r="K650" s="80"/>
      <c r="L650" s="82"/>
      <c r="M650" s="10"/>
      <c r="N650" s="10"/>
      <c r="O650" s="10"/>
      <c r="P650" s="10"/>
      <c r="Q650" s="43"/>
      <c r="R650" s="10"/>
      <c r="T650" s="10"/>
    </row>
    <row r="651" spans="2:20" s="1" customFormat="1" ht="12.95" customHeight="1" x14ac:dyDescent="0.15">
      <c r="B651" s="16">
        <v>6</v>
      </c>
      <c r="C651" s="11"/>
      <c r="D651" s="18"/>
      <c r="E651" s="18"/>
      <c r="F651" s="129"/>
      <c r="G651" s="20"/>
      <c r="H651" s="20">
        <v>1</v>
      </c>
      <c r="I651" s="126">
        <f t="shared" si="50"/>
        <v>0</v>
      </c>
      <c r="J651" s="21">
        <f t="shared" si="49"/>
        <v>0</v>
      </c>
      <c r="K651" s="80"/>
      <c r="L651" s="82"/>
      <c r="M651" s="10"/>
      <c r="N651" s="10"/>
      <c r="O651" s="10"/>
      <c r="P651" s="10"/>
      <c r="Q651" s="43"/>
      <c r="R651" s="10"/>
      <c r="T651" s="10"/>
    </row>
    <row r="652" spans="2:20" s="1" customFormat="1" ht="12.95" customHeight="1" x14ac:dyDescent="0.15">
      <c r="B652" s="16">
        <v>7</v>
      </c>
      <c r="C652" s="11"/>
      <c r="D652" s="18"/>
      <c r="E652" s="18"/>
      <c r="F652" s="129"/>
      <c r="G652" s="20"/>
      <c r="H652" s="20">
        <v>1</v>
      </c>
      <c r="I652" s="126">
        <f t="shared" si="50"/>
        <v>0</v>
      </c>
      <c r="J652" s="21">
        <f t="shared" si="49"/>
        <v>0</v>
      </c>
      <c r="K652" s="80"/>
      <c r="L652" s="82"/>
      <c r="M652" s="10"/>
      <c r="N652" s="10"/>
      <c r="O652" s="10"/>
      <c r="P652" s="10"/>
      <c r="Q652" s="43"/>
      <c r="R652" s="10"/>
      <c r="T652" s="10"/>
    </row>
    <row r="653" spans="2:20" s="1" customFormat="1" ht="12.95" customHeight="1" x14ac:dyDescent="0.15">
      <c r="B653" s="16">
        <v>8</v>
      </c>
      <c r="C653" s="11"/>
      <c r="D653" s="18"/>
      <c r="E653" s="18"/>
      <c r="F653" s="129"/>
      <c r="G653" s="20"/>
      <c r="H653" s="20">
        <v>1</v>
      </c>
      <c r="I653" s="126">
        <f t="shared" si="50"/>
        <v>0</v>
      </c>
      <c r="J653" s="21">
        <f t="shared" si="49"/>
        <v>0</v>
      </c>
      <c r="K653" s="80"/>
      <c r="L653" s="82"/>
      <c r="M653" s="10"/>
      <c r="N653" s="10"/>
      <c r="O653" s="10"/>
      <c r="P653" s="10"/>
      <c r="Q653" s="43"/>
      <c r="R653" s="10"/>
      <c r="T653" s="10"/>
    </row>
    <row r="654" spans="2:20" s="1" customFormat="1" ht="12.95" customHeight="1" x14ac:dyDescent="0.15">
      <c r="B654" s="16">
        <v>9</v>
      </c>
      <c r="C654" s="11"/>
      <c r="D654" s="18"/>
      <c r="E654" s="18"/>
      <c r="F654" s="129"/>
      <c r="G654" s="20"/>
      <c r="H654" s="20">
        <v>1</v>
      </c>
      <c r="I654" s="126">
        <f t="shared" si="50"/>
        <v>0</v>
      </c>
      <c r="J654" s="21">
        <f t="shared" si="49"/>
        <v>0</v>
      </c>
      <c r="K654" s="80"/>
      <c r="L654" s="82"/>
      <c r="M654" s="10"/>
      <c r="N654" s="10"/>
      <c r="O654" s="10"/>
      <c r="P654" s="10"/>
      <c r="Q654" s="43"/>
      <c r="R654" s="10"/>
      <c r="T654" s="10"/>
    </row>
    <row r="655" spans="2:20" s="1" customFormat="1" ht="12.95" customHeight="1" x14ac:dyDescent="0.15">
      <c r="B655" s="16">
        <v>10</v>
      </c>
      <c r="C655" s="11"/>
      <c r="D655" s="18"/>
      <c r="E655" s="18"/>
      <c r="F655" s="129"/>
      <c r="G655" s="20"/>
      <c r="H655" s="20">
        <v>1</v>
      </c>
      <c r="I655" s="126">
        <f t="shared" si="50"/>
        <v>0</v>
      </c>
      <c r="J655" s="21">
        <f t="shared" si="49"/>
        <v>0</v>
      </c>
      <c r="K655" s="80"/>
      <c r="L655" s="82"/>
      <c r="M655" s="10"/>
      <c r="N655" s="10"/>
      <c r="O655" s="10"/>
      <c r="P655" s="10"/>
      <c r="Q655" s="43"/>
      <c r="R655" s="10"/>
      <c r="T655" s="10"/>
    </row>
    <row r="656" spans="2:20" s="1" customFormat="1" ht="12.95" customHeight="1" x14ac:dyDescent="0.15">
      <c r="B656" s="16">
        <v>11</v>
      </c>
      <c r="C656" s="11"/>
      <c r="D656" s="18"/>
      <c r="E656" s="18"/>
      <c r="F656" s="129"/>
      <c r="G656" s="20"/>
      <c r="H656" s="20">
        <v>1</v>
      </c>
      <c r="I656" s="126">
        <f t="shared" si="50"/>
        <v>0</v>
      </c>
      <c r="J656" s="21">
        <f t="shared" si="49"/>
        <v>0</v>
      </c>
      <c r="K656" s="80"/>
      <c r="L656" s="82"/>
      <c r="M656" s="10"/>
      <c r="N656" s="10"/>
      <c r="O656" s="10"/>
      <c r="P656" s="10"/>
      <c r="Q656" s="43"/>
      <c r="R656" s="10"/>
      <c r="T656" s="10"/>
    </row>
    <row r="657" spans="2:20" s="1" customFormat="1" ht="12.95" customHeight="1" x14ac:dyDescent="0.15">
      <c r="B657" s="16">
        <v>12</v>
      </c>
      <c r="C657" s="11"/>
      <c r="D657" s="18"/>
      <c r="E657" s="18"/>
      <c r="F657" s="129"/>
      <c r="G657" s="20"/>
      <c r="H657" s="20">
        <v>1</v>
      </c>
      <c r="I657" s="126">
        <f t="shared" si="50"/>
        <v>0</v>
      </c>
      <c r="J657" s="21">
        <f t="shared" si="49"/>
        <v>0</v>
      </c>
      <c r="K657" s="80"/>
      <c r="L657" s="82"/>
      <c r="M657" s="10"/>
      <c r="N657" s="10"/>
      <c r="O657" s="10"/>
      <c r="P657" s="10"/>
      <c r="Q657" s="43"/>
      <c r="R657" s="10"/>
      <c r="T657" s="10"/>
    </row>
    <row r="658" spans="2:20" s="1" customFormat="1" ht="12.95" customHeight="1" x14ac:dyDescent="0.15">
      <c r="B658" s="16">
        <v>13</v>
      </c>
      <c r="C658" s="11"/>
      <c r="D658" s="18"/>
      <c r="E658" s="18"/>
      <c r="F658" s="129"/>
      <c r="G658" s="20"/>
      <c r="H658" s="20">
        <v>1</v>
      </c>
      <c r="I658" s="126">
        <f t="shared" si="50"/>
        <v>0</v>
      </c>
      <c r="J658" s="21">
        <f t="shared" si="49"/>
        <v>0</v>
      </c>
      <c r="K658" s="80"/>
      <c r="L658" s="82"/>
      <c r="M658" s="10"/>
      <c r="N658" s="10"/>
      <c r="O658" s="10"/>
      <c r="P658" s="10"/>
      <c r="Q658" s="43"/>
      <c r="R658" s="10"/>
      <c r="T658" s="10"/>
    </row>
    <row r="659" spans="2:20" s="1" customFormat="1" ht="12.95" customHeight="1" x14ac:dyDescent="0.15">
      <c r="B659" s="16">
        <v>14</v>
      </c>
      <c r="C659" s="11"/>
      <c r="D659" s="18"/>
      <c r="E659" s="18"/>
      <c r="F659" s="129"/>
      <c r="G659" s="20"/>
      <c r="H659" s="20">
        <v>1</v>
      </c>
      <c r="I659" s="126">
        <f t="shared" si="50"/>
        <v>0</v>
      </c>
      <c r="J659" s="21">
        <f t="shared" si="49"/>
        <v>0</v>
      </c>
      <c r="K659" s="80"/>
      <c r="L659" s="82"/>
      <c r="M659" s="10"/>
      <c r="N659" s="10"/>
      <c r="O659" s="10"/>
      <c r="P659" s="10"/>
      <c r="Q659" s="43"/>
      <c r="R659" s="10"/>
      <c r="T659" s="10"/>
    </row>
    <row r="660" spans="2:20" s="1" customFormat="1" ht="12.95" customHeight="1" x14ac:dyDescent="0.15">
      <c r="B660" s="16">
        <v>15</v>
      </c>
      <c r="C660" s="11"/>
      <c r="D660" s="18"/>
      <c r="E660" s="18"/>
      <c r="F660" s="129"/>
      <c r="G660" s="20"/>
      <c r="H660" s="20">
        <v>1</v>
      </c>
      <c r="I660" s="126">
        <f t="shared" si="50"/>
        <v>0</v>
      </c>
      <c r="J660" s="21">
        <f t="shared" si="49"/>
        <v>0</v>
      </c>
      <c r="K660" s="80"/>
      <c r="L660" s="82"/>
      <c r="M660" s="10"/>
      <c r="N660" s="10"/>
      <c r="O660" s="10"/>
      <c r="P660" s="10"/>
      <c r="Q660" s="43"/>
      <c r="R660" s="10"/>
      <c r="T660" s="10"/>
    </row>
    <row r="661" spans="2:20" s="1" customFormat="1" ht="12.95" customHeight="1" x14ac:dyDescent="0.15">
      <c r="B661" s="16">
        <v>16</v>
      </c>
      <c r="C661" s="11"/>
      <c r="D661" s="18"/>
      <c r="E661" s="18"/>
      <c r="F661" s="129"/>
      <c r="G661" s="20"/>
      <c r="H661" s="20">
        <v>1</v>
      </c>
      <c r="I661" s="126">
        <f t="shared" si="50"/>
        <v>0</v>
      </c>
      <c r="J661" s="21">
        <f t="shared" si="49"/>
        <v>0</v>
      </c>
      <c r="K661" s="80"/>
      <c r="L661" s="82"/>
      <c r="M661" s="10"/>
      <c r="N661" s="10"/>
      <c r="O661" s="10"/>
      <c r="P661" s="10"/>
      <c r="Q661" s="43"/>
      <c r="R661" s="10"/>
      <c r="T661" s="10"/>
    </row>
    <row r="662" spans="2:20" s="1" customFormat="1" ht="12.95" customHeight="1" x14ac:dyDescent="0.15">
      <c r="B662" s="16">
        <v>17</v>
      </c>
      <c r="C662" s="11"/>
      <c r="D662" s="18"/>
      <c r="E662" s="18"/>
      <c r="F662" s="129"/>
      <c r="G662" s="20"/>
      <c r="H662" s="20">
        <v>1</v>
      </c>
      <c r="I662" s="126">
        <f t="shared" si="50"/>
        <v>0</v>
      </c>
      <c r="J662" s="21">
        <f t="shared" si="49"/>
        <v>0</v>
      </c>
      <c r="K662" s="80"/>
      <c r="L662" s="82"/>
      <c r="M662" s="10"/>
      <c r="N662" s="10"/>
      <c r="O662" s="10"/>
      <c r="P662" s="10"/>
      <c r="Q662" s="43"/>
      <c r="R662" s="10"/>
      <c r="T662" s="10"/>
    </row>
    <row r="663" spans="2:20" s="1" customFormat="1" ht="12.95" customHeight="1" x14ac:dyDescent="0.15">
      <c r="B663" s="16">
        <v>18</v>
      </c>
      <c r="C663" s="11"/>
      <c r="D663" s="18"/>
      <c r="E663" s="18"/>
      <c r="F663" s="129"/>
      <c r="G663" s="20"/>
      <c r="H663" s="20">
        <v>1</v>
      </c>
      <c r="I663" s="126">
        <f t="shared" si="50"/>
        <v>0</v>
      </c>
      <c r="J663" s="21">
        <f t="shared" si="49"/>
        <v>0</v>
      </c>
      <c r="K663" s="111"/>
      <c r="L663" s="119"/>
      <c r="M663" s="10"/>
      <c r="N663" s="10"/>
      <c r="O663" s="10"/>
      <c r="P663" s="10"/>
      <c r="Q663" s="43"/>
      <c r="R663" s="10"/>
      <c r="T663" s="10"/>
    </row>
    <row r="664" spans="2:20" s="1" customFormat="1" ht="12.95" customHeight="1" x14ac:dyDescent="0.15">
      <c r="B664" s="16">
        <v>19</v>
      </c>
      <c r="C664" s="16"/>
      <c r="D664" s="18"/>
      <c r="E664" s="18"/>
      <c r="F664" s="129"/>
      <c r="G664" s="20"/>
      <c r="H664" s="20">
        <v>1</v>
      </c>
      <c r="I664" s="126">
        <f t="shared" si="50"/>
        <v>0</v>
      </c>
      <c r="J664" s="259">
        <f t="shared" si="49"/>
        <v>0</v>
      </c>
      <c r="K664" s="82"/>
      <c r="L664" s="82"/>
      <c r="M664" s="10"/>
      <c r="N664" s="10"/>
      <c r="O664" s="10"/>
      <c r="P664" s="10"/>
      <c r="Q664" s="43"/>
      <c r="R664" s="10"/>
      <c r="T664" s="10"/>
    </row>
    <row r="665" spans="2:20" s="1" customFormat="1" ht="12.95" customHeight="1" x14ac:dyDescent="0.15">
      <c r="B665" s="16">
        <v>20</v>
      </c>
      <c r="C665" s="11"/>
      <c r="D665" s="18"/>
      <c r="E665" s="18"/>
      <c r="F665" s="129"/>
      <c r="G665" s="20"/>
      <c r="H665" s="20">
        <v>1</v>
      </c>
      <c r="I665" s="126">
        <f t="shared" si="50"/>
        <v>0</v>
      </c>
      <c r="J665" s="260">
        <f t="shared" si="49"/>
        <v>0</v>
      </c>
      <c r="K665" s="82"/>
      <c r="L665" s="82"/>
      <c r="M665" s="10"/>
      <c r="N665" s="10"/>
      <c r="O665" s="10"/>
      <c r="P665" s="10"/>
      <c r="Q665" s="43"/>
      <c r="R665" s="10"/>
      <c r="T665" s="10"/>
    </row>
    <row r="666" spans="2:20" s="1" customFormat="1" ht="12.95" customHeight="1" x14ac:dyDescent="0.15">
      <c r="B666" s="16"/>
      <c r="C666" s="17"/>
      <c r="D666" s="62"/>
      <c r="E666" s="63"/>
      <c r="F666" s="129"/>
      <c r="G666" s="20"/>
      <c r="H666" s="20"/>
      <c r="I666" s="254"/>
      <c r="J666" s="261"/>
      <c r="K666" s="82"/>
      <c r="L666" s="82"/>
    </row>
    <row r="667" spans="2:20" s="1" customFormat="1" ht="13.15" customHeight="1" x14ac:dyDescent="0.15">
      <c r="B667" s="83"/>
      <c r="C667" s="98"/>
      <c r="D667" s="99"/>
      <c r="E667" s="98"/>
      <c r="F667" s="127">
        <f>SUM(F608:F666)</f>
        <v>0</v>
      </c>
      <c r="G667" s="100"/>
      <c r="H667" s="101"/>
      <c r="I667" s="258">
        <f>SUM(I608:I666)</f>
        <v>0</v>
      </c>
      <c r="J667" s="106">
        <f>SUM(J610:J646)</f>
        <v>0</v>
      </c>
    </row>
    <row r="668" spans="2:20" s="1" customFormat="1" ht="13.15" customHeight="1" x14ac:dyDescent="0.15">
      <c r="B668" s="82"/>
      <c r="C668" s="102"/>
      <c r="D668" s="103"/>
      <c r="E668" s="102" t="s">
        <v>147</v>
      </c>
      <c r="F668" s="128">
        <f>100/115*F667</f>
        <v>0</v>
      </c>
      <c r="G668" s="104"/>
      <c r="H668" s="105" t="s">
        <v>147</v>
      </c>
      <c r="I668" s="256">
        <f>100/115*I667</f>
        <v>0</v>
      </c>
      <c r="J668" s="106">
        <f>SUM(J611:J647)</f>
        <v>0</v>
      </c>
    </row>
    <row r="669" spans="2:20" s="1" customFormat="1" ht="13.15" customHeight="1" x14ac:dyDescent="0.15">
      <c r="I669" s="135"/>
    </row>
    <row r="670" spans="2:20" s="1" customFormat="1" ht="13.15" customHeight="1" x14ac:dyDescent="0.15">
      <c r="I670" s="135"/>
    </row>
    <row r="671" spans="2:20" s="1" customFormat="1" ht="13.15" customHeight="1" x14ac:dyDescent="0.15">
      <c r="I671" s="135"/>
    </row>
    <row r="672" spans="2:20" s="1" customFormat="1" ht="13.15" customHeight="1" x14ac:dyDescent="0.15">
      <c r="I672" s="135"/>
    </row>
    <row r="673" spans="2:13" s="247" customFormat="1" ht="32.25" x14ac:dyDescent="0.4">
      <c r="B673" s="248"/>
      <c r="C673" s="380" t="s">
        <v>112</v>
      </c>
      <c r="D673" s="380"/>
      <c r="E673" s="428" t="s">
        <v>164</v>
      </c>
      <c r="F673" s="428"/>
      <c r="G673" s="428"/>
      <c r="H673" s="428"/>
      <c r="I673" s="428"/>
      <c r="J673" s="382">
        <v>2026</v>
      </c>
      <c r="K673" s="382"/>
      <c r="L673" s="382"/>
    </row>
    <row r="674" spans="2:13" s="1" customFormat="1" ht="39.6" customHeight="1" x14ac:dyDescent="0.15">
      <c r="B674" s="82"/>
      <c r="C674" s="102" t="s">
        <v>114</v>
      </c>
      <c r="D674" s="388" t="s">
        <v>115</v>
      </c>
      <c r="E674" s="388"/>
      <c r="F674" s="102" t="s">
        <v>116</v>
      </c>
      <c r="G674" s="102" t="s">
        <v>117</v>
      </c>
      <c r="H674" s="102" t="s">
        <v>118</v>
      </c>
      <c r="I674" s="141" t="s">
        <v>119</v>
      </c>
      <c r="J674" s="102" t="s">
        <v>120</v>
      </c>
      <c r="K674" s="82"/>
      <c r="L674" s="82"/>
    </row>
    <row r="675" spans="2:13" s="1" customFormat="1" ht="13.15" customHeight="1" x14ac:dyDescent="0.15">
      <c r="B675" s="82"/>
      <c r="C675" s="66">
        <f>C605</f>
        <v>350</v>
      </c>
      <c r="D675" s="389">
        <v>20</v>
      </c>
      <c r="E675" s="389"/>
      <c r="F675" s="13">
        <f>F605</f>
        <v>0.8</v>
      </c>
      <c r="G675" s="14">
        <f>G605</f>
        <v>8</v>
      </c>
      <c r="H675" s="142">
        <f>D675*G675*F675</f>
        <v>128</v>
      </c>
      <c r="I675" s="66">
        <f>I737</f>
        <v>0</v>
      </c>
      <c r="J675" s="143">
        <f>H675-J737</f>
        <v>128</v>
      </c>
      <c r="K675" s="82"/>
      <c r="L675" s="82"/>
    </row>
    <row r="676" spans="2:13" s="1" customFormat="1" ht="66" customHeight="1" x14ac:dyDescent="0.15">
      <c r="B676" s="84"/>
      <c r="C676" s="136" t="s">
        <v>121</v>
      </c>
      <c r="D676" s="420" t="s">
        <v>122</v>
      </c>
      <c r="E676" s="421"/>
      <c r="F676" s="137" t="s">
        <v>123</v>
      </c>
      <c r="G676" s="138" t="s">
        <v>124</v>
      </c>
      <c r="H676" s="139" t="s">
        <v>125</v>
      </c>
      <c r="I676" s="140" t="s">
        <v>126</v>
      </c>
      <c r="J676" s="138" t="s">
        <v>127</v>
      </c>
      <c r="K676" s="122" t="s">
        <v>128</v>
      </c>
      <c r="L676" s="123" t="s">
        <v>129</v>
      </c>
    </row>
    <row r="677" spans="2:13" s="1" customFormat="1" ht="12.95" customHeight="1" x14ac:dyDescent="0.15">
      <c r="B677" s="16"/>
      <c r="C677" s="17"/>
      <c r="D677" s="422"/>
      <c r="E677" s="423"/>
      <c r="F677" s="36"/>
      <c r="G677" s="20"/>
      <c r="H677" s="20"/>
      <c r="I677" s="126"/>
      <c r="J677" s="21"/>
      <c r="K677" s="80"/>
      <c r="L677" s="82"/>
    </row>
    <row r="678" spans="2:13" s="1" customFormat="1" ht="12.95" customHeight="1" x14ac:dyDescent="0.15">
      <c r="B678" s="16"/>
      <c r="C678" s="37" t="s">
        <v>130</v>
      </c>
      <c r="D678" s="24"/>
      <c r="E678" s="24"/>
      <c r="F678" s="129"/>
      <c r="G678" s="20"/>
      <c r="H678" s="20"/>
      <c r="I678" s="126"/>
      <c r="J678" s="38"/>
      <c r="K678" s="80"/>
      <c r="L678" s="82"/>
    </row>
    <row r="679" spans="2:13" s="1" customFormat="1" ht="12.75" customHeight="1" x14ac:dyDescent="0.15">
      <c r="B679" s="16"/>
      <c r="C679" s="72" t="s">
        <v>149</v>
      </c>
      <c r="D679" s="24"/>
      <c r="E679" s="24"/>
      <c r="F679" s="129"/>
      <c r="G679" s="20"/>
      <c r="H679" s="20"/>
      <c r="I679" s="126"/>
      <c r="J679" s="38"/>
      <c r="K679" s="80"/>
      <c r="L679" s="82"/>
    </row>
    <row r="680" spans="2:13" s="1" customFormat="1" ht="16.5" x14ac:dyDescent="0.15">
      <c r="B680" s="16">
        <v>1</v>
      </c>
      <c r="C680" s="23"/>
      <c r="D680" s="48"/>
      <c r="E680" s="48"/>
      <c r="F680" s="126"/>
      <c r="G680" s="50"/>
      <c r="H680" s="20">
        <v>1</v>
      </c>
      <c r="I680" s="126">
        <f t="shared" ref="I680:I702" si="51">J680*$C$32</f>
        <v>0</v>
      </c>
      <c r="J680" s="38">
        <f t="shared" ref="J680:J696" si="52">(F680*G680*H680)/$C$32</f>
        <v>0</v>
      </c>
      <c r="K680" s="80"/>
      <c r="L680" s="82"/>
      <c r="M680" s="133"/>
    </row>
    <row r="681" spans="2:13" s="1" customFormat="1" ht="12.75" customHeight="1" x14ac:dyDescent="0.15">
      <c r="B681" s="16">
        <v>2</v>
      </c>
      <c r="C681" s="23"/>
      <c r="D681" s="97"/>
      <c r="E681" s="97"/>
      <c r="F681" s="126"/>
      <c r="G681" s="50"/>
      <c r="H681" s="20">
        <v>1</v>
      </c>
      <c r="I681" s="126">
        <f t="shared" si="51"/>
        <v>0</v>
      </c>
      <c r="J681" s="38">
        <f t="shared" si="52"/>
        <v>0</v>
      </c>
      <c r="K681" s="80"/>
      <c r="L681" s="82"/>
      <c r="M681" s="134"/>
    </row>
    <row r="682" spans="2:13" s="1" customFormat="1" ht="12.75" customHeight="1" x14ac:dyDescent="0.15">
      <c r="B682" s="16">
        <v>3</v>
      </c>
      <c r="C682" s="23"/>
      <c r="D682" s="48"/>
      <c r="E682" s="48"/>
      <c r="F682" s="126"/>
      <c r="G682" s="50"/>
      <c r="H682" s="20">
        <v>1</v>
      </c>
      <c r="I682" s="126">
        <f t="shared" si="51"/>
        <v>0</v>
      </c>
      <c r="J682" s="38">
        <f t="shared" si="52"/>
        <v>0</v>
      </c>
      <c r="K682" s="80"/>
      <c r="L682" s="82"/>
    </row>
    <row r="683" spans="2:13" s="1" customFormat="1" ht="12.75" x14ac:dyDescent="0.15">
      <c r="B683" s="16">
        <v>4</v>
      </c>
      <c r="C683" s="26"/>
      <c r="D683" s="49"/>
      <c r="E683" s="49"/>
      <c r="F683" s="126"/>
      <c r="G683" s="50"/>
      <c r="H683" s="20">
        <v>1</v>
      </c>
      <c r="I683" s="126">
        <f t="shared" si="51"/>
        <v>0</v>
      </c>
      <c r="J683" s="38">
        <f t="shared" si="52"/>
        <v>0</v>
      </c>
      <c r="K683" s="80"/>
      <c r="L683" s="82"/>
    </row>
    <row r="684" spans="2:13" s="1" customFormat="1" ht="12.75" customHeight="1" x14ac:dyDescent="0.15">
      <c r="B684" s="16">
        <v>5</v>
      </c>
      <c r="C684" s="23"/>
      <c r="D684" s="48"/>
      <c r="E684" s="48"/>
      <c r="F684" s="126"/>
      <c r="G684" s="50"/>
      <c r="H684" s="20">
        <v>1</v>
      </c>
      <c r="I684" s="126">
        <f t="shared" si="51"/>
        <v>0</v>
      </c>
      <c r="J684" s="38">
        <f t="shared" si="52"/>
        <v>0</v>
      </c>
      <c r="K684" s="80"/>
      <c r="L684" s="82"/>
    </row>
    <row r="685" spans="2:13" s="1" customFormat="1" ht="12.95" customHeight="1" x14ac:dyDescent="0.15">
      <c r="B685" s="16">
        <v>6</v>
      </c>
      <c r="C685" s="23"/>
      <c r="D685" s="48"/>
      <c r="E685" s="48"/>
      <c r="F685" s="126"/>
      <c r="G685" s="50"/>
      <c r="H685" s="20">
        <v>1</v>
      </c>
      <c r="I685" s="126">
        <f t="shared" si="51"/>
        <v>0</v>
      </c>
      <c r="J685" s="38">
        <f t="shared" si="52"/>
        <v>0</v>
      </c>
      <c r="K685" s="80"/>
      <c r="L685" s="82"/>
    </row>
    <row r="686" spans="2:13" s="1" customFormat="1" ht="12.95" customHeight="1" x14ac:dyDescent="0.15">
      <c r="B686" s="16">
        <v>7</v>
      </c>
      <c r="C686" s="23"/>
      <c r="D686" s="48"/>
      <c r="E686" s="48"/>
      <c r="F686" s="126"/>
      <c r="G686" s="50"/>
      <c r="H686" s="20">
        <v>1</v>
      </c>
      <c r="I686" s="126">
        <f t="shared" si="51"/>
        <v>0</v>
      </c>
      <c r="J686" s="38">
        <f t="shared" si="52"/>
        <v>0</v>
      </c>
      <c r="K686" s="80"/>
      <c r="L686" s="82"/>
    </row>
    <row r="687" spans="2:13" s="1" customFormat="1" ht="12.95" customHeight="1" x14ac:dyDescent="0.15">
      <c r="B687" s="16">
        <v>8</v>
      </c>
      <c r="C687" s="23"/>
      <c r="D687" s="48"/>
      <c r="E687" s="48"/>
      <c r="F687" s="126"/>
      <c r="G687" s="50"/>
      <c r="H687" s="20">
        <v>1</v>
      </c>
      <c r="I687" s="126">
        <f t="shared" si="51"/>
        <v>0</v>
      </c>
      <c r="J687" s="38">
        <f t="shared" si="52"/>
        <v>0</v>
      </c>
      <c r="K687" s="80"/>
      <c r="L687" s="82"/>
    </row>
    <row r="688" spans="2:13" s="1" customFormat="1" ht="12.95" customHeight="1" x14ac:dyDescent="0.15">
      <c r="B688" s="16">
        <v>9</v>
      </c>
      <c r="C688" s="23"/>
      <c r="D688" s="48"/>
      <c r="E688" s="48"/>
      <c r="F688" s="126"/>
      <c r="G688" s="50"/>
      <c r="H688" s="20">
        <v>1</v>
      </c>
      <c r="I688" s="126">
        <f t="shared" si="51"/>
        <v>0</v>
      </c>
      <c r="J688" s="38">
        <f t="shared" si="52"/>
        <v>0</v>
      </c>
      <c r="K688" s="80"/>
      <c r="L688" s="82"/>
    </row>
    <row r="689" spans="2:20" s="1" customFormat="1" ht="12.95" customHeight="1" x14ac:dyDescent="0.15">
      <c r="B689" s="16">
        <v>10</v>
      </c>
      <c r="C689" s="23"/>
      <c r="D689" s="49"/>
      <c r="E689" s="48"/>
      <c r="F689" s="126"/>
      <c r="G689" s="50"/>
      <c r="H689" s="20">
        <v>1</v>
      </c>
      <c r="I689" s="126">
        <f t="shared" si="51"/>
        <v>0</v>
      </c>
      <c r="J689" s="38">
        <f t="shared" si="52"/>
        <v>0</v>
      </c>
      <c r="K689" s="80"/>
      <c r="L689" s="82"/>
    </row>
    <row r="690" spans="2:20" s="1" customFormat="1" ht="12.95" customHeight="1" x14ac:dyDescent="0.15">
      <c r="B690" s="16"/>
      <c r="C690" s="23"/>
      <c r="D690" s="49"/>
      <c r="E690" s="48"/>
      <c r="F690" s="126"/>
      <c r="G690" s="50"/>
      <c r="H690" s="20"/>
      <c r="I690" s="126"/>
      <c r="J690" s="38"/>
      <c r="K690" s="80"/>
      <c r="L690" s="82"/>
    </row>
    <row r="691" spans="2:20" s="1" customFormat="1" ht="12.95" customHeight="1" x14ac:dyDescent="0.15">
      <c r="B691" s="16"/>
      <c r="C691" s="23"/>
      <c r="D691" s="48"/>
      <c r="E691" s="49"/>
      <c r="F691" s="126"/>
      <c r="G691" s="50"/>
      <c r="H691" s="20"/>
      <c r="I691" s="126"/>
      <c r="J691" s="38"/>
      <c r="K691" s="80"/>
      <c r="L691" s="82"/>
    </row>
    <row r="692" spans="2:20" s="1" customFormat="1" ht="12.95" customHeight="1" x14ac:dyDescent="0.15">
      <c r="B692" s="16"/>
      <c r="C692" s="22" t="s">
        <v>156</v>
      </c>
      <c r="D692" s="24"/>
      <c r="E692" s="18"/>
      <c r="F692" s="129"/>
      <c r="G692" s="20"/>
      <c r="H692" s="20"/>
      <c r="I692" s="126"/>
      <c r="J692" s="38"/>
      <c r="K692" s="80"/>
      <c r="L692" s="82"/>
    </row>
    <row r="693" spans="2:20" s="1" customFormat="1" ht="12.95" customHeight="1" x14ac:dyDescent="0.15">
      <c r="B693" s="16">
        <v>1</v>
      </c>
      <c r="C693" s="17"/>
      <c r="D693" s="24"/>
      <c r="E693" s="18"/>
      <c r="F693" s="129"/>
      <c r="G693" s="20"/>
      <c r="H693" s="20">
        <v>1</v>
      </c>
      <c r="I693" s="126">
        <f t="shared" si="51"/>
        <v>0</v>
      </c>
      <c r="J693" s="38">
        <f t="shared" si="52"/>
        <v>0</v>
      </c>
      <c r="K693" s="80"/>
      <c r="L693" s="82"/>
    </row>
    <row r="694" spans="2:20" s="1" customFormat="1" ht="12.95" customHeight="1" x14ac:dyDescent="0.15">
      <c r="B694" s="16">
        <v>2</v>
      </c>
      <c r="C694" s="17"/>
      <c r="D694" s="24"/>
      <c r="E694" s="18"/>
      <c r="F694" s="129"/>
      <c r="G694" s="20"/>
      <c r="H694" s="20">
        <v>1</v>
      </c>
      <c r="I694" s="126">
        <f t="shared" si="51"/>
        <v>0</v>
      </c>
      <c r="J694" s="38">
        <f t="shared" si="52"/>
        <v>0</v>
      </c>
      <c r="K694" s="80"/>
      <c r="L694" s="82"/>
    </row>
    <row r="695" spans="2:20" s="1" customFormat="1" ht="12.95" customHeight="1" x14ac:dyDescent="0.15">
      <c r="B695" s="16">
        <v>3</v>
      </c>
      <c r="C695" s="17"/>
      <c r="D695" s="24"/>
      <c r="E695" s="18"/>
      <c r="F695" s="129"/>
      <c r="G695" s="20"/>
      <c r="H695" s="20">
        <v>1</v>
      </c>
      <c r="I695" s="126">
        <f t="shared" si="51"/>
        <v>0</v>
      </c>
      <c r="J695" s="38">
        <f t="shared" si="52"/>
        <v>0</v>
      </c>
      <c r="K695" s="80"/>
      <c r="L695" s="82"/>
    </row>
    <row r="696" spans="2:20" s="1" customFormat="1" ht="12.95" customHeight="1" x14ac:dyDescent="0.15">
      <c r="B696" s="16">
        <v>4</v>
      </c>
      <c r="C696" s="17"/>
      <c r="D696" s="24"/>
      <c r="E696" s="24"/>
      <c r="F696" s="129"/>
      <c r="G696" s="20"/>
      <c r="H696" s="20">
        <v>1</v>
      </c>
      <c r="I696" s="126">
        <f t="shared" si="51"/>
        <v>0</v>
      </c>
      <c r="J696" s="38">
        <f t="shared" si="52"/>
        <v>0</v>
      </c>
      <c r="K696" s="80"/>
      <c r="L696" s="82"/>
    </row>
    <row r="697" spans="2:20" s="1" customFormat="1" ht="12.95" customHeight="1" x14ac:dyDescent="0.15">
      <c r="B697" s="16">
        <v>5</v>
      </c>
      <c r="C697" s="17"/>
      <c r="D697" s="24"/>
      <c r="E697" s="24"/>
      <c r="F697" s="129"/>
      <c r="G697" s="20"/>
      <c r="H697" s="20">
        <v>1</v>
      </c>
      <c r="I697" s="126">
        <f t="shared" si="51"/>
        <v>0</v>
      </c>
      <c r="J697" s="38">
        <f>(F697*G697*H697)/$C$32</f>
        <v>0</v>
      </c>
      <c r="K697" s="80"/>
      <c r="L697" s="82"/>
    </row>
    <row r="698" spans="2:20" s="1" customFormat="1" ht="12.95" customHeight="1" x14ac:dyDescent="0.15">
      <c r="B698" s="16">
        <v>6</v>
      </c>
      <c r="C698" s="17"/>
      <c r="D698" s="24"/>
      <c r="E698" s="24"/>
      <c r="F698" s="129"/>
      <c r="G698" s="20"/>
      <c r="H698" s="20">
        <v>1</v>
      </c>
      <c r="I698" s="126">
        <f t="shared" si="51"/>
        <v>0</v>
      </c>
      <c r="J698" s="38">
        <f>(F698*G698*H698)/$C$32</f>
        <v>0</v>
      </c>
      <c r="K698" s="80"/>
      <c r="L698" s="82"/>
    </row>
    <row r="699" spans="2:20" s="1" customFormat="1" ht="12.95" customHeight="1" x14ac:dyDescent="0.15">
      <c r="B699" s="16">
        <v>7</v>
      </c>
      <c r="C699" s="17"/>
      <c r="D699" s="24"/>
      <c r="E699" s="24"/>
      <c r="F699" s="129"/>
      <c r="G699" s="20"/>
      <c r="H699" s="20">
        <v>1</v>
      </c>
      <c r="I699" s="126">
        <f t="shared" si="51"/>
        <v>0</v>
      </c>
      <c r="J699" s="21">
        <f t="shared" ref="J699:J735" si="53">(F699*G699*H699)/$C$32</f>
        <v>0</v>
      </c>
      <c r="K699" s="80"/>
      <c r="L699" s="82"/>
    </row>
    <row r="700" spans="2:20" s="1" customFormat="1" ht="12.95" customHeight="1" x14ac:dyDescent="0.15">
      <c r="B700" s="16">
        <v>8</v>
      </c>
      <c r="C700" s="17"/>
      <c r="D700" s="24"/>
      <c r="E700" s="24"/>
      <c r="F700" s="129"/>
      <c r="G700" s="20"/>
      <c r="H700" s="20">
        <v>1</v>
      </c>
      <c r="I700" s="126">
        <f t="shared" si="51"/>
        <v>0</v>
      </c>
      <c r="J700" s="38">
        <f t="shared" si="53"/>
        <v>0</v>
      </c>
      <c r="K700" s="80"/>
      <c r="L700" s="82"/>
    </row>
    <row r="701" spans="2:20" s="1" customFormat="1" ht="12.95" customHeight="1" x14ac:dyDescent="0.15">
      <c r="B701" s="16">
        <v>9</v>
      </c>
      <c r="C701" s="17"/>
      <c r="D701" s="24"/>
      <c r="E701" s="24"/>
      <c r="F701" s="129"/>
      <c r="G701" s="20"/>
      <c r="H701" s="20">
        <v>1</v>
      </c>
      <c r="I701" s="126">
        <f t="shared" si="51"/>
        <v>0</v>
      </c>
      <c r="J701" s="38">
        <f t="shared" si="53"/>
        <v>0</v>
      </c>
      <c r="K701" s="80"/>
      <c r="L701" s="82"/>
    </row>
    <row r="702" spans="2:20" s="1" customFormat="1" ht="12.95" customHeight="1" x14ac:dyDescent="0.15">
      <c r="B702" s="16">
        <v>10</v>
      </c>
      <c r="C702" s="44"/>
      <c r="D702" s="18"/>
      <c r="E702" s="18"/>
      <c r="F702" s="129"/>
      <c r="G702" s="20"/>
      <c r="H702" s="20">
        <v>1</v>
      </c>
      <c r="I702" s="126">
        <f t="shared" si="51"/>
        <v>0</v>
      </c>
      <c r="J702" s="21">
        <f t="shared" si="53"/>
        <v>0</v>
      </c>
      <c r="K702" s="80"/>
      <c r="L702" s="82"/>
      <c r="M702" s="10"/>
      <c r="N702" s="10"/>
      <c r="O702" s="10"/>
      <c r="P702" s="10"/>
      <c r="Q702" s="43"/>
      <c r="R702" s="10"/>
      <c r="T702" s="10"/>
    </row>
    <row r="703" spans="2:20" s="1" customFormat="1" ht="12.95" customHeight="1" x14ac:dyDescent="0.15">
      <c r="B703" s="16">
        <v>11</v>
      </c>
      <c r="C703" s="45"/>
      <c r="D703" s="18"/>
      <c r="E703" s="18"/>
      <c r="F703" s="130"/>
      <c r="G703" s="20"/>
      <c r="H703" s="20">
        <v>1</v>
      </c>
      <c r="I703" s="126">
        <f>J703*$C$32</f>
        <v>0</v>
      </c>
      <c r="J703" s="21">
        <f t="shared" si="53"/>
        <v>0</v>
      </c>
      <c r="K703" s="80"/>
      <c r="L703" s="82"/>
      <c r="M703" s="10"/>
      <c r="N703" s="10"/>
      <c r="O703" s="10"/>
      <c r="P703" s="10"/>
      <c r="Q703" s="43"/>
      <c r="R703" s="10"/>
      <c r="T703" s="10"/>
    </row>
    <row r="704" spans="2:20" s="1" customFormat="1" ht="12.95" customHeight="1" x14ac:dyDescent="0.15">
      <c r="B704" s="16">
        <v>12</v>
      </c>
      <c r="C704" s="44"/>
      <c r="D704" s="18"/>
      <c r="E704" s="18"/>
      <c r="F704" s="129"/>
      <c r="G704" s="20"/>
      <c r="H704" s="20">
        <v>1</v>
      </c>
      <c r="I704" s="126">
        <f t="shared" ref="I704:I735" si="54">J704*$C$32</f>
        <v>0</v>
      </c>
      <c r="J704" s="21">
        <f t="shared" si="53"/>
        <v>0</v>
      </c>
      <c r="K704" s="80"/>
      <c r="L704" s="82"/>
      <c r="M704" s="10"/>
      <c r="N704" s="10"/>
      <c r="O704" s="10"/>
      <c r="P704" s="10"/>
      <c r="Q704" s="43"/>
      <c r="R704" s="10"/>
      <c r="T704" s="10"/>
    </row>
    <row r="705" spans="2:20" s="1" customFormat="1" ht="12.95" customHeight="1" x14ac:dyDescent="0.15">
      <c r="B705" s="16">
        <v>13</v>
      </c>
      <c r="C705" s="11"/>
      <c r="D705" s="18"/>
      <c r="E705" s="18"/>
      <c r="F705" s="129"/>
      <c r="G705" s="20"/>
      <c r="H705" s="20">
        <v>1</v>
      </c>
      <c r="I705" s="126">
        <f t="shared" si="54"/>
        <v>0</v>
      </c>
      <c r="J705" s="21">
        <f t="shared" si="53"/>
        <v>0</v>
      </c>
      <c r="K705" s="80"/>
      <c r="L705" s="82"/>
      <c r="M705" s="10"/>
      <c r="N705" s="10"/>
      <c r="O705" s="10"/>
      <c r="P705" s="10"/>
      <c r="Q705" s="43"/>
      <c r="R705" s="10"/>
      <c r="T705" s="10"/>
    </row>
    <row r="706" spans="2:20" s="1" customFormat="1" ht="12.95" customHeight="1" x14ac:dyDescent="0.15">
      <c r="B706" s="16">
        <v>14</v>
      </c>
      <c r="C706" s="11"/>
      <c r="D706" s="18"/>
      <c r="E706" s="18"/>
      <c r="F706" s="129"/>
      <c r="G706" s="20"/>
      <c r="H706" s="20">
        <v>1</v>
      </c>
      <c r="I706" s="126">
        <f t="shared" si="54"/>
        <v>0</v>
      </c>
      <c r="J706" s="21">
        <f t="shared" si="53"/>
        <v>0</v>
      </c>
      <c r="K706" s="80"/>
      <c r="L706" s="82"/>
      <c r="M706" s="10"/>
      <c r="N706" s="10"/>
      <c r="O706" s="10"/>
      <c r="P706" s="10"/>
      <c r="Q706" s="43"/>
      <c r="R706" s="10"/>
      <c r="T706" s="10"/>
    </row>
    <row r="707" spans="2:20" s="1" customFormat="1" ht="12.95" customHeight="1" x14ac:dyDescent="0.15">
      <c r="B707" s="16">
        <v>15</v>
      </c>
      <c r="C707" s="11"/>
      <c r="D707" s="18"/>
      <c r="E707" s="18"/>
      <c r="F707" s="129"/>
      <c r="G707" s="20"/>
      <c r="H707" s="20">
        <v>1</v>
      </c>
      <c r="I707" s="126">
        <f t="shared" si="54"/>
        <v>0</v>
      </c>
      <c r="J707" s="21">
        <f t="shared" si="53"/>
        <v>0</v>
      </c>
      <c r="K707" s="80"/>
      <c r="L707" s="82"/>
      <c r="M707" s="10"/>
      <c r="N707" s="10"/>
      <c r="O707" s="10"/>
      <c r="P707" s="10"/>
      <c r="Q707" s="43"/>
      <c r="R707" s="10"/>
      <c r="T707" s="10"/>
    </row>
    <row r="708" spans="2:20" s="1" customFormat="1" ht="12.95" customHeight="1" x14ac:dyDescent="0.15">
      <c r="B708" s="16">
        <v>16</v>
      </c>
      <c r="C708" s="11"/>
      <c r="D708" s="18"/>
      <c r="E708" s="18"/>
      <c r="F708" s="129"/>
      <c r="G708" s="20"/>
      <c r="H708" s="20">
        <v>1</v>
      </c>
      <c r="I708" s="126">
        <f t="shared" si="54"/>
        <v>0</v>
      </c>
      <c r="J708" s="21">
        <f t="shared" si="53"/>
        <v>0</v>
      </c>
      <c r="K708" s="80"/>
      <c r="L708" s="82"/>
      <c r="M708" s="10"/>
      <c r="N708" s="10"/>
      <c r="O708" s="10"/>
      <c r="P708" s="10"/>
      <c r="Q708" s="43"/>
      <c r="R708" s="10"/>
      <c r="T708" s="10"/>
    </row>
    <row r="709" spans="2:20" s="1" customFormat="1" ht="12.95" customHeight="1" x14ac:dyDescent="0.15">
      <c r="B709" s="16">
        <v>17</v>
      </c>
      <c r="C709" s="11"/>
      <c r="D709" s="18"/>
      <c r="E709" s="18"/>
      <c r="F709" s="129"/>
      <c r="G709" s="20"/>
      <c r="H709" s="20">
        <v>1</v>
      </c>
      <c r="I709" s="126">
        <f t="shared" si="54"/>
        <v>0</v>
      </c>
      <c r="J709" s="21">
        <f t="shared" si="53"/>
        <v>0</v>
      </c>
      <c r="K709" s="80"/>
      <c r="L709" s="82"/>
      <c r="M709" s="10"/>
      <c r="N709" s="10"/>
      <c r="O709" s="10"/>
      <c r="P709" s="10"/>
      <c r="Q709" s="43"/>
      <c r="R709" s="10"/>
      <c r="T709" s="10"/>
    </row>
    <row r="710" spans="2:20" s="1" customFormat="1" ht="12.95" customHeight="1" x14ac:dyDescent="0.15">
      <c r="B710" s="16">
        <v>18</v>
      </c>
      <c r="C710" s="11"/>
      <c r="D710" s="18"/>
      <c r="E710" s="18"/>
      <c r="F710" s="129"/>
      <c r="G710" s="20"/>
      <c r="H710" s="20">
        <v>1</v>
      </c>
      <c r="I710" s="126">
        <f t="shared" si="54"/>
        <v>0</v>
      </c>
      <c r="J710" s="21">
        <f t="shared" si="53"/>
        <v>0</v>
      </c>
      <c r="K710" s="80"/>
      <c r="L710" s="82"/>
      <c r="M710" s="10"/>
      <c r="N710" s="10"/>
      <c r="O710" s="10"/>
      <c r="P710" s="10"/>
      <c r="Q710" s="43"/>
      <c r="R710" s="10"/>
      <c r="T710" s="10"/>
    </row>
    <row r="711" spans="2:20" s="1" customFormat="1" ht="12.95" customHeight="1" x14ac:dyDescent="0.15">
      <c r="B711" s="16">
        <v>19</v>
      </c>
      <c r="C711" s="11"/>
      <c r="D711" s="18"/>
      <c r="E711" s="18"/>
      <c r="F711" s="129"/>
      <c r="G711" s="20"/>
      <c r="H711" s="20">
        <v>1</v>
      </c>
      <c r="I711" s="126">
        <f t="shared" si="54"/>
        <v>0</v>
      </c>
      <c r="J711" s="21">
        <f t="shared" si="53"/>
        <v>0</v>
      </c>
      <c r="K711" s="80"/>
      <c r="L711" s="82"/>
      <c r="M711" s="10"/>
      <c r="N711" s="10"/>
      <c r="O711" s="10"/>
      <c r="P711" s="10"/>
      <c r="Q711" s="43"/>
      <c r="R711" s="10"/>
      <c r="T711" s="10"/>
    </row>
    <row r="712" spans="2:20" s="1" customFormat="1" ht="12.95" customHeight="1" x14ac:dyDescent="0.15">
      <c r="B712" s="16">
        <v>20</v>
      </c>
      <c r="C712" s="11"/>
      <c r="D712" s="18"/>
      <c r="E712" s="18"/>
      <c r="F712" s="129"/>
      <c r="G712" s="20"/>
      <c r="H712" s="20">
        <v>1</v>
      </c>
      <c r="I712" s="126">
        <f t="shared" si="54"/>
        <v>0</v>
      </c>
      <c r="J712" s="21">
        <f t="shared" si="53"/>
        <v>0</v>
      </c>
      <c r="K712" s="80"/>
      <c r="L712" s="82"/>
      <c r="M712" s="10"/>
      <c r="N712" s="10"/>
      <c r="O712" s="10"/>
      <c r="P712" s="10"/>
      <c r="Q712" s="43"/>
      <c r="R712" s="10"/>
      <c r="T712" s="10"/>
    </row>
    <row r="713" spans="2:20" s="1" customFormat="1" ht="12.95" customHeight="1" x14ac:dyDescent="0.15">
      <c r="B713" s="16"/>
      <c r="C713" s="11"/>
      <c r="D713" s="18"/>
      <c r="E713" s="18"/>
      <c r="F713" s="129"/>
      <c r="G713" s="20"/>
      <c r="H713" s="20"/>
      <c r="I713" s="126"/>
      <c r="J713" s="21"/>
      <c r="K713" s="80"/>
      <c r="L713" s="82"/>
      <c r="M713" s="10"/>
      <c r="N713" s="10"/>
      <c r="O713" s="10"/>
      <c r="P713" s="10"/>
      <c r="Q713" s="43"/>
      <c r="R713" s="10"/>
      <c r="T713" s="10"/>
    </row>
    <row r="714" spans="2:20" s="1" customFormat="1" ht="12.95" customHeight="1" x14ac:dyDescent="0.15">
      <c r="B714" s="16"/>
      <c r="C714" s="11"/>
      <c r="D714" s="18"/>
      <c r="E714" s="18"/>
      <c r="F714" s="129"/>
      <c r="G714" s="20"/>
      <c r="H714" s="20"/>
      <c r="I714" s="126"/>
      <c r="J714" s="21"/>
      <c r="K714" s="80"/>
      <c r="L714" s="82"/>
      <c r="M714" s="10"/>
      <c r="N714" s="10"/>
      <c r="O714" s="10"/>
      <c r="P714" s="10"/>
      <c r="Q714" s="43"/>
      <c r="R714" s="10"/>
      <c r="T714" s="10"/>
    </row>
    <row r="715" spans="2:20" s="1" customFormat="1" ht="12.95" customHeight="1" x14ac:dyDescent="0.15">
      <c r="B715" s="16"/>
      <c r="C715" s="96" t="s">
        <v>132</v>
      </c>
      <c r="D715" s="18"/>
      <c r="E715" s="18"/>
      <c r="F715" s="129"/>
      <c r="G715" s="20"/>
      <c r="H715" s="20"/>
      <c r="I715" s="126"/>
      <c r="J715" s="21"/>
      <c r="K715" s="80"/>
      <c r="L715" s="82"/>
      <c r="M715" s="10"/>
      <c r="N715" s="10"/>
      <c r="O715" s="10"/>
      <c r="P715" s="10"/>
      <c r="Q715" s="43"/>
      <c r="R715" s="10"/>
      <c r="T715" s="10"/>
    </row>
    <row r="716" spans="2:20" s="1" customFormat="1" ht="12.95" customHeight="1" x14ac:dyDescent="0.15">
      <c r="B716" s="16">
        <v>1</v>
      </c>
      <c r="C716" s="11"/>
      <c r="D716" s="18"/>
      <c r="E716" s="18"/>
      <c r="F716" s="129"/>
      <c r="G716" s="20"/>
      <c r="H716" s="20">
        <v>1</v>
      </c>
      <c r="I716" s="126">
        <f t="shared" si="54"/>
        <v>0</v>
      </c>
      <c r="J716" s="21">
        <f t="shared" si="53"/>
        <v>0</v>
      </c>
      <c r="K716" s="80"/>
      <c r="L716" s="82"/>
      <c r="M716" s="10"/>
      <c r="N716" s="10"/>
      <c r="O716" s="10"/>
      <c r="P716" s="10"/>
      <c r="Q716" s="43"/>
      <c r="R716" s="10"/>
      <c r="T716" s="10"/>
    </row>
    <row r="717" spans="2:20" s="1" customFormat="1" ht="12.95" customHeight="1" x14ac:dyDescent="0.15">
      <c r="B717" s="16">
        <v>2</v>
      </c>
      <c r="C717" s="11"/>
      <c r="D717" s="18"/>
      <c r="E717" s="18"/>
      <c r="F717" s="129"/>
      <c r="G717" s="20"/>
      <c r="H717" s="20">
        <v>1</v>
      </c>
      <c r="I717" s="126">
        <f t="shared" si="54"/>
        <v>0</v>
      </c>
      <c r="J717" s="21">
        <f t="shared" si="53"/>
        <v>0</v>
      </c>
      <c r="K717" s="80"/>
      <c r="L717" s="82"/>
      <c r="M717" s="10"/>
      <c r="N717" s="10"/>
      <c r="O717" s="10"/>
      <c r="P717" s="10"/>
      <c r="Q717" s="43"/>
      <c r="R717" s="10"/>
      <c r="T717" s="10"/>
    </row>
    <row r="718" spans="2:20" s="1" customFormat="1" ht="12.95" customHeight="1" x14ac:dyDescent="0.15">
      <c r="B718" s="16">
        <v>3</v>
      </c>
      <c r="C718" s="11"/>
      <c r="D718" s="18"/>
      <c r="E718" s="18"/>
      <c r="F718" s="129"/>
      <c r="G718" s="20"/>
      <c r="H718" s="20">
        <v>1</v>
      </c>
      <c r="I718" s="126">
        <f t="shared" si="54"/>
        <v>0</v>
      </c>
      <c r="J718" s="21">
        <f t="shared" si="53"/>
        <v>0</v>
      </c>
      <c r="K718" s="80"/>
      <c r="L718" s="82"/>
      <c r="M718" s="10"/>
      <c r="N718" s="10"/>
      <c r="O718" s="10"/>
      <c r="P718" s="10"/>
      <c r="Q718" s="43"/>
      <c r="R718" s="10"/>
      <c r="T718" s="10"/>
    </row>
    <row r="719" spans="2:20" s="1" customFormat="1" ht="12.95" customHeight="1" x14ac:dyDescent="0.15">
      <c r="B719" s="16">
        <v>4</v>
      </c>
      <c r="C719" s="11"/>
      <c r="D719" s="18"/>
      <c r="E719" s="18"/>
      <c r="F719" s="129"/>
      <c r="G719" s="20"/>
      <c r="H719" s="20">
        <v>1</v>
      </c>
      <c r="I719" s="126">
        <f t="shared" si="54"/>
        <v>0</v>
      </c>
      <c r="J719" s="21">
        <f t="shared" si="53"/>
        <v>0</v>
      </c>
      <c r="K719" s="80"/>
      <c r="L719" s="82"/>
      <c r="M719" s="10"/>
      <c r="N719" s="10"/>
      <c r="O719" s="10"/>
      <c r="P719" s="10"/>
      <c r="Q719" s="43"/>
      <c r="R719" s="10"/>
      <c r="T719" s="10"/>
    </row>
    <row r="720" spans="2:20" s="1" customFormat="1" ht="12.95" customHeight="1" x14ac:dyDescent="0.15">
      <c r="B720" s="16">
        <v>5</v>
      </c>
      <c r="C720" s="11"/>
      <c r="D720" s="18"/>
      <c r="E720" s="18"/>
      <c r="F720" s="129"/>
      <c r="G720" s="20"/>
      <c r="H720" s="20">
        <v>1</v>
      </c>
      <c r="I720" s="126">
        <f t="shared" si="54"/>
        <v>0</v>
      </c>
      <c r="J720" s="21">
        <f t="shared" si="53"/>
        <v>0</v>
      </c>
      <c r="K720" s="80"/>
      <c r="L720" s="82"/>
      <c r="M720" s="10"/>
      <c r="N720" s="10"/>
      <c r="O720" s="10"/>
      <c r="P720" s="10"/>
      <c r="Q720" s="43"/>
      <c r="R720" s="10"/>
      <c r="T720" s="10"/>
    </row>
    <row r="721" spans="2:20" s="1" customFormat="1" ht="12.95" customHeight="1" x14ac:dyDescent="0.15">
      <c r="B721" s="16">
        <v>6</v>
      </c>
      <c r="C721" s="11"/>
      <c r="D721" s="18"/>
      <c r="E721" s="18"/>
      <c r="F721" s="129"/>
      <c r="G721" s="20"/>
      <c r="H721" s="20">
        <v>1</v>
      </c>
      <c r="I721" s="126">
        <f t="shared" si="54"/>
        <v>0</v>
      </c>
      <c r="J721" s="21">
        <f t="shared" si="53"/>
        <v>0</v>
      </c>
      <c r="K721" s="80"/>
      <c r="L721" s="82"/>
      <c r="M721" s="10"/>
      <c r="N721" s="10"/>
      <c r="O721" s="10"/>
      <c r="P721" s="10"/>
      <c r="Q721" s="43"/>
      <c r="R721" s="10"/>
      <c r="T721" s="10"/>
    </row>
    <row r="722" spans="2:20" s="1" customFormat="1" ht="12.95" customHeight="1" x14ac:dyDescent="0.15">
      <c r="B722" s="16">
        <v>7</v>
      </c>
      <c r="C722" s="11"/>
      <c r="D722" s="18"/>
      <c r="E722" s="18"/>
      <c r="F722" s="129"/>
      <c r="G722" s="20"/>
      <c r="H722" s="20">
        <v>1</v>
      </c>
      <c r="I722" s="126">
        <f t="shared" si="54"/>
        <v>0</v>
      </c>
      <c r="J722" s="21">
        <f t="shared" si="53"/>
        <v>0</v>
      </c>
      <c r="K722" s="80"/>
      <c r="L722" s="82"/>
      <c r="M722" s="10"/>
      <c r="N722" s="10"/>
      <c r="O722" s="10"/>
      <c r="P722" s="10"/>
      <c r="Q722" s="43"/>
      <c r="R722" s="10"/>
      <c r="T722" s="10"/>
    </row>
    <row r="723" spans="2:20" s="1" customFormat="1" ht="12.95" customHeight="1" x14ac:dyDescent="0.15">
      <c r="B723" s="16">
        <v>8</v>
      </c>
      <c r="C723" s="11"/>
      <c r="D723" s="18"/>
      <c r="E723" s="18"/>
      <c r="F723" s="129"/>
      <c r="G723" s="20"/>
      <c r="H723" s="20">
        <v>1</v>
      </c>
      <c r="I723" s="126">
        <f t="shared" si="54"/>
        <v>0</v>
      </c>
      <c r="J723" s="21">
        <f t="shared" si="53"/>
        <v>0</v>
      </c>
      <c r="K723" s="80"/>
      <c r="L723" s="82"/>
      <c r="M723" s="10"/>
      <c r="N723" s="10"/>
      <c r="O723" s="10"/>
      <c r="P723" s="10"/>
      <c r="Q723" s="43"/>
      <c r="R723" s="10"/>
      <c r="T723" s="10"/>
    </row>
    <row r="724" spans="2:20" s="1" customFormat="1" ht="12.95" customHeight="1" x14ac:dyDescent="0.15">
      <c r="B724" s="16">
        <v>9</v>
      </c>
      <c r="C724" s="11"/>
      <c r="D724" s="18"/>
      <c r="E724" s="18"/>
      <c r="F724" s="129"/>
      <c r="G724" s="20"/>
      <c r="H724" s="20">
        <v>1</v>
      </c>
      <c r="I724" s="126">
        <f t="shared" si="54"/>
        <v>0</v>
      </c>
      <c r="J724" s="21">
        <f t="shared" si="53"/>
        <v>0</v>
      </c>
      <c r="K724" s="80"/>
      <c r="L724" s="82"/>
      <c r="M724" s="10"/>
      <c r="N724" s="10"/>
      <c r="O724" s="10"/>
      <c r="P724" s="10"/>
      <c r="Q724" s="43"/>
      <c r="R724" s="10"/>
      <c r="T724" s="10"/>
    </row>
    <row r="725" spans="2:20" s="1" customFormat="1" ht="12.95" customHeight="1" x14ac:dyDescent="0.15">
      <c r="B725" s="16">
        <v>10</v>
      </c>
      <c r="C725" s="11"/>
      <c r="D725" s="18"/>
      <c r="E725" s="18"/>
      <c r="F725" s="129"/>
      <c r="G725" s="20"/>
      <c r="H725" s="20">
        <v>1</v>
      </c>
      <c r="I725" s="126">
        <f t="shared" si="54"/>
        <v>0</v>
      </c>
      <c r="J725" s="21">
        <f t="shared" si="53"/>
        <v>0</v>
      </c>
      <c r="K725" s="80"/>
      <c r="L725" s="82"/>
      <c r="M725" s="10"/>
      <c r="N725" s="10"/>
      <c r="O725" s="10"/>
      <c r="P725" s="10"/>
      <c r="Q725" s="43"/>
      <c r="R725" s="10"/>
      <c r="T725" s="10"/>
    </row>
    <row r="726" spans="2:20" s="1" customFormat="1" ht="12.95" customHeight="1" x14ac:dyDescent="0.15">
      <c r="B726" s="16">
        <v>11</v>
      </c>
      <c r="C726" s="12" t="s">
        <v>165</v>
      </c>
      <c r="D726" s="18"/>
      <c r="E726" s="18"/>
      <c r="F726" s="129"/>
      <c r="G726" s="20"/>
      <c r="H726" s="20">
        <v>1</v>
      </c>
      <c r="I726" s="126">
        <f t="shared" si="54"/>
        <v>0</v>
      </c>
      <c r="J726" s="21">
        <f t="shared" si="53"/>
        <v>0</v>
      </c>
      <c r="K726" s="80"/>
      <c r="L726" s="82"/>
      <c r="M726" s="10"/>
      <c r="N726" s="10"/>
      <c r="O726" s="10"/>
      <c r="P726" s="10"/>
      <c r="Q726" s="43"/>
      <c r="R726" s="10"/>
      <c r="T726" s="10"/>
    </row>
    <row r="727" spans="2:20" s="1" customFormat="1" ht="12.95" customHeight="1" x14ac:dyDescent="0.15">
      <c r="B727" s="16">
        <v>12</v>
      </c>
      <c r="C727" s="12"/>
      <c r="D727" s="18"/>
      <c r="E727" s="18"/>
      <c r="F727" s="129"/>
      <c r="G727" s="20"/>
      <c r="H727" s="20">
        <v>1</v>
      </c>
      <c r="I727" s="126">
        <f t="shared" si="54"/>
        <v>0</v>
      </c>
      <c r="J727" s="21">
        <f t="shared" si="53"/>
        <v>0</v>
      </c>
      <c r="K727" s="80"/>
      <c r="L727" s="82"/>
      <c r="M727" s="10"/>
      <c r="N727" s="10"/>
      <c r="O727" s="10"/>
      <c r="P727" s="10"/>
      <c r="Q727" s="43"/>
      <c r="R727" s="10"/>
      <c r="T727" s="10"/>
    </row>
    <row r="728" spans="2:20" s="1" customFormat="1" ht="12.95" customHeight="1" x14ac:dyDescent="0.15">
      <c r="B728" s="16">
        <v>13</v>
      </c>
      <c r="C728" s="12"/>
      <c r="D728" s="18"/>
      <c r="E728" s="18"/>
      <c r="F728" s="129"/>
      <c r="G728" s="20"/>
      <c r="H728" s="20">
        <v>1</v>
      </c>
      <c r="I728" s="126">
        <f t="shared" si="54"/>
        <v>0</v>
      </c>
      <c r="J728" s="21">
        <f t="shared" si="53"/>
        <v>0</v>
      </c>
      <c r="K728" s="80"/>
      <c r="L728" s="82"/>
      <c r="M728" s="10"/>
      <c r="N728" s="10"/>
      <c r="O728" s="10"/>
      <c r="P728" s="10"/>
      <c r="Q728" s="43"/>
      <c r="R728" s="10"/>
      <c r="T728" s="10"/>
    </row>
    <row r="729" spans="2:20" s="1" customFormat="1" ht="12.95" customHeight="1" x14ac:dyDescent="0.15">
      <c r="B729" s="16">
        <v>14</v>
      </c>
      <c r="C729" s="12"/>
      <c r="D729" s="18"/>
      <c r="E729" s="18"/>
      <c r="F729" s="129"/>
      <c r="G729" s="20"/>
      <c r="H729" s="20">
        <v>1</v>
      </c>
      <c r="I729" s="126">
        <f t="shared" si="54"/>
        <v>0</v>
      </c>
      <c r="J729" s="21">
        <f t="shared" si="53"/>
        <v>0</v>
      </c>
      <c r="K729" s="80"/>
      <c r="L729" s="82"/>
      <c r="M729" s="10"/>
      <c r="N729" s="10"/>
      <c r="O729" s="10"/>
      <c r="P729" s="10"/>
      <c r="Q729" s="43"/>
      <c r="R729" s="10"/>
      <c r="T729" s="10"/>
    </row>
    <row r="730" spans="2:20" s="1" customFormat="1" ht="12.95" customHeight="1" x14ac:dyDescent="0.15">
      <c r="B730" s="16">
        <v>15</v>
      </c>
      <c r="C730" s="12"/>
      <c r="D730" s="18"/>
      <c r="E730" s="18"/>
      <c r="F730" s="129"/>
      <c r="G730" s="20"/>
      <c r="H730" s="20">
        <v>1</v>
      </c>
      <c r="I730" s="126">
        <f t="shared" si="54"/>
        <v>0</v>
      </c>
      <c r="J730" s="21">
        <f t="shared" si="53"/>
        <v>0</v>
      </c>
      <c r="K730" s="80"/>
      <c r="L730" s="82"/>
      <c r="M730" s="10"/>
      <c r="N730" s="10"/>
      <c r="O730" s="10"/>
      <c r="P730" s="10"/>
      <c r="Q730" s="43"/>
      <c r="R730" s="10"/>
      <c r="T730" s="10"/>
    </row>
    <row r="731" spans="2:20" s="1" customFormat="1" ht="12.95" customHeight="1" x14ac:dyDescent="0.15">
      <c r="B731" s="16">
        <v>16</v>
      </c>
      <c r="C731" s="12"/>
      <c r="D731" s="18"/>
      <c r="E731" s="18"/>
      <c r="F731" s="129"/>
      <c r="G731" s="20"/>
      <c r="H731" s="20">
        <v>1</v>
      </c>
      <c r="I731" s="126">
        <f t="shared" si="54"/>
        <v>0</v>
      </c>
      <c r="J731" s="21">
        <f t="shared" si="53"/>
        <v>0</v>
      </c>
      <c r="K731" s="80"/>
      <c r="L731" s="82"/>
      <c r="M731" s="10"/>
      <c r="N731" s="10"/>
      <c r="O731" s="10"/>
      <c r="P731" s="10"/>
      <c r="Q731" s="43"/>
      <c r="R731" s="10"/>
      <c r="T731" s="10"/>
    </row>
    <row r="732" spans="2:20" s="1" customFormat="1" ht="12.95" customHeight="1" x14ac:dyDescent="0.15">
      <c r="B732" s="16">
        <v>17</v>
      </c>
      <c r="C732" s="12"/>
      <c r="D732" s="18"/>
      <c r="E732" s="18"/>
      <c r="F732" s="129"/>
      <c r="G732" s="20"/>
      <c r="H732" s="20">
        <v>1</v>
      </c>
      <c r="I732" s="126">
        <f t="shared" si="54"/>
        <v>0</v>
      </c>
      <c r="J732" s="21">
        <f t="shared" si="53"/>
        <v>0</v>
      </c>
      <c r="K732" s="80"/>
      <c r="L732" s="82"/>
      <c r="M732" s="10"/>
      <c r="N732" s="10"/>
      <c r="O732" s="10"/>
      <c r="P732" s="10"/>
      <c r="Q732" s="43"/>
      <c r="R732" s="10"/>
      <c r="T732" s="10"/>
    </row>
    <row r="733" spans="2:20" s="1" customFormat="1" ht="12.95" customHeight="1" x14ac:dyDescent="0.15">
      <c r="B733" s="16">
        <v>18</v>
      </c>
      <c r="C733" s="12"/>
      <c r="D733" s="18"/>
      <c r="E733" s="18"/>
      <c r="F733" s="129"/>
      <c r="G733" s="20"/>
      <c r="H733" s="20">
        <v>1</v>
      </c>
      <c r="I733" s="126">
        <f t="shared" si="54"/>
        <v>0</v>
      </c>
      <c r="J733" s="78">
        <f t="shared" si="53"/>
        <v>0</v>
      </c>
      <c r="K733" s="111"/>
      <c r="L733" s="119"/>
      <c r="M733" s="10"/>
      <c r="N733" s="10"/>
      <c r="O733" s="10"/>
      <c r="P733" s="10"/>
      <c r="Q733" s="43"/>
      <c r="R733" s="10"/>
      <c r="T733" s="10"/>
    </row>
    <row r="734" spans="2:20" s="1" customFormat="1" ht="12.95" customHeight="1" x14ac:dyDescent="0.15">
      <c r="B734" s="16">
        <v>19</v>
      </c>
      <c r="C734" s="12"/>
      <c r="D734" s="18"/>
      <c r="E734" s="18"/>
      <c r="F734" s="129"/>
      <c r="G734" s="20"/>
      <c r="H734" s="20">
        <v>1</v>
      </c>
      <c r="I734" s="254">
        <f t="shared" si="54"/>
        <v>0</v>
      </c>
      <c r="J734" s="94">
        <f t="shared" si="53"/>
        <v>0</v>
      </c>
      <c r="K734" s="82"/>
      <c r="L734" s="82"/>
      <c r="M734" s="10"/>
      <c r="N734" s="10"/>
      <c r="O734" s="10"/>
      <c r="P734" s="10"/>
      <c r="Q734" s="43"/>
      <c r="R734" s="10"/>
      <c r="T734" s="10"/>
    </row>
    <row r="735" spans="2:20" s="1" customFormat="1" ht="12.95" customHeight="1" x14ac:dyDescent="0.15">
      <c r="B735" s="16">
        <v>20</v>
      </c>
      <c r="C735" s="12"/>
      <c r="D735" s="18"/>
      <c r="E735" s="18"/>
      <c r="F735" s="129"/>
      <c r="G735" s="20"/>
      <c r="H735" s="20">
        <v>1</v>
      </c>
      <c r="I735" s="254">
        <f t="shared" si="54"/>
        <v>0</v>
      </c>
      <c r="J735" s="94">
        <f t="shared" si="53"/>
        <v>0</v>
      </c>
      <c r="K735" s="82"/>
      <c r="L735" s="82"/>
      <c r="M735" s="10"/>
      <c r="N735" s="10"/>
      <c r="O735" s="10"/>
      <c r="P735" s="10"/>
      <c r="Q735" s="43"/>
      <c r="R735" s="10"/>
      <c r="T735" s="10"/>
    </row>
    <row r="736" spans="2:20" s="1" customFormat="1" ht="12.95" customHeight="1" x14ac:dyDescent="0.15">
      <c r="B736" s="83"/>
      <c r="C736" s="74"/>
      <c r="D736" s="75"/>
      <c r="E736" s="75"/>
      <c r="F736" s="132"/>
      <c r="G736" s="77"/>
      <c r="H736" s="77"/>
      <c r="I736" s="255"/>
      <c r="J736" s="94"/>
      <c r="K736" s="82"/>
      <c r="L736" s="82"/>
      <c r="M736" s="10"/>
      <c r="N736" s="10"/>
      <c r="O736" s="10"/>
      <c r="P736" s="10"/>
      <c r="Q736" s="43"/>
      <c r="R736" s="10"/>
      <c r="T736" s="10"/>
    </row>
    <row r="737" spans="2:12" s="1" customFormat="1" ht="12.75" x14ac:dyDescent="0.15">
      <c r="B737" s="82"/>
      <c r="C737" s="102"/>
      <c r="D737" s="103"/>
      <c r="E737" s="102"/>
      <c r="F737" s="128">
        <f>SUM(F677:F736)</f>
        <v>0</v>
      </c>
      <c r="G737" s="104"/>
      <c r="H737" s="105"/>
      <c r="I737" s="128">
        <f>SUM(I677:I736)</f>
        <v>0</v>
      </c>
      <c r="J737" s="257">
        <f>SUM(J677:J736)</f>
        <v>0</v>
      </c>
    </row>
    <row r="738" spans="2:12" s="1" customFormat="1" ht="12.75" x14ac:dyDescent="0.15">
      <c r="B738" s="82"/>
      <c r="C738" s="102"/>
      <c r="D738" s="103"/>
      <c r="E738" s="102" t="s">
        <v>147</v>
      </c>
      <c r="F738" s="128">
        <f>100/115*F737</f>
        <v>0</v>
      </c>
      <c r="G738" s="104"/>
      <c r="H738" s="105" t="s">
        <v>147</v>
      </c>
      <c r="I738" s="128">
        <f>100/115*I737</f>
        <v>0</v>
      </c>
      <c r="J738" s="106"/>
    </row>
    <row r="739" spans="2:12" s="1" customFormat="1" ht="12.75" x14ac:dyDescent="0.15"/>
    <row r="740" spans="2:12" s="1" customFormat="1" ht="12.75" x14ac:dyDescent="0.15"/>
    <row r="741" spans="2:12" s="1" customFormat="1" ht="12.75" x14ac:dyDescent="0.15"/>
    <row r="742" spans="2:12" s="1" customFormat="1" ht="12.75" x14ac:dyDescent="0.15"/>
    <row r="743" spans="2:12" s="247" customFormat="1" ht="32.25" x14ac:dyDescent="0.4">
      <c r="B743" s="251"/>
      <c r="C743" s="424" t="s">
        <v>166</v>
      </c>
      <c r="D743" s="424"/>
      <c r="E743" s="425" t="s">
        <v>167</v>
      </c>
      <c r="F743" s="426"/>
      <c r="G743" s="426"/>
      <c r="H743" s="426"/>
      <c r="I743" s="427"/>
      <c r="J743" s="415">
        <v>2026</v>
      </c>
      <c r="K743" s="416"/>
      <c r="L743" s="417"/>
    </row>
    <row r="744" spans="2:12" s="1" customFormat="1" ht="22.5" x14ac:dyDescent="0.15">
      <c r="B744" s="16"/>
      <c r="C744" s="28" t="s">
        <v>114</v>
      </c>
      <c r="D744" s="418" t="s">
        <v>115</v>
      </c>
      <c r="E744" s="418"/>
      <c r="F744" s="28" t="s">
        <v>116</v>
      </c>
      <c r="G744" s="28" t="s">
        <v>117</v>
      </c>
      <c r="H744" s="28" t="s">
        <v>118</v>
      </c>
      <c r="I744" s="28" t="s">
        <v>119</v>
      </c>
      <c r="J744" s="64" t="s">
        <v>120</v>
      </c>
      <c r="K744" s="82"/>
      <c r="L744" s="82"/>
    </row>
    <row r="745" spans="2:12" s="1" customFormat="1" ht="12.75" x14ac:dyDescent="0.15">
      <c r="B745" s="16"/>
      <c r="C745" s="124">
        <f>C675</f>
        <v>350</v>
      </c>
      <c r="D745" s="419">
        <v>20</v>
      </c>
      <c r="E745" s="419"/>
      <c r="F745" s="29">
        <f>F675</f>
        <v>0.8</v>
      </c>
      <c r="G745" s="30">
        <f>G675</f>
        <v>8</v>
      </c>
      <c r="H745" s="31">
        <f>D745*G745*F745</f>
        <v>128</v>
      </c>
      <c r="I745" s="124">
        <f>I807</f>
        <v>0</v>
      </c>
      <c r="J745" s="121">
        <f>H745-J807</f>
        <v>128</v>
      </c>
      <c r="K745" s="82"/>
      <c r="L745" s="82"/>
    </row>
    <row r="746" spans="2:12" s="1" customFormat="1" ht="33.75" x14ac:dyDescent="0.15">
      <c r="B746" s="16"/>
      <c r="C746" s="22" t="s">
        <v>121</v>
      </c>
      <c r="D746" s="413" t="s">
        <v>122</v>
      </c>
      <c r="E746" s="413"/>
      <c r="F746" s="33" t="s">
        <v>123</v>
      </c>
      <c r="G746" s="34" t="s">
        <v>124</v>
      </c>
      <c r="H746" s="35" t="s">
        <v>125</v>
      </c>
      <c r="I746" s="125" t="s">
        <v>126</v>
      </c>
      <c r="J746" s="34" t="s">
        <v>127</v>
      </c>
      <c r="K746" s="122" t="s">
        <v>128</v>
      </c>
      <c r="L746" s="123" t="s">
        <v>168</v>
      </c>
    </row>
    <row r="747" spans="2:12" s="1" customFormat="1" ht="12.75" x14ac:dyDescent="0.15">
      <c r="B747" s="16"/>
      <c r="C747" s="22"/>
      <c r="D747" s="32"/>
      <c r="E747" s="32"/>
      <c r="F747" s="33"/>
      <c r="G747" s="34"/>
      <c r="H747" s="35"/>
      <c r="I747" s="125"/>
      <c r="J747" s="34"/>
      <c r="K747" s="110"/>
      <c r="L747" s="117"/>
    </row>
    <row r="748" spans="2:12" s="1" customFormat="1" ht="12.75" x14ac:dyDescent="0.15">
      <c r="B748" s="16"/>
      <c r="C748" s="22" t="s">
        <v>130</v>
      </c>
      <c r="D748" s="32"/>
      <c r="E748" s="32"/>
      <c r="F748" s="33"/>
      <c r="G748" s="34"/>
      <c r="H748" s="35"/>
      <c r="I748" s="125"/>
      <c r="J748" s="34"/>
      <c r="K748" s="110"/>
      <c r="L748" s="117"/>
    </row>
    <row r="749" spans="2:12" s="1" customFormat="1" ht="12.75" customHeight="1" x14ac:dyDescent="0.15">
      <c r="B749" s="16"/>
      <c r="C749" s="37" t="s">
        <v>149</v>
      </c>
      <c r="D749" s="24"/>
      <c r="E749" s="24"/>
      <c r="F749" s="19"/>
      <c r="G749" s="20"/>
      <c r="H749" s="20"/>
      <c r="I749" s="126"/>
      <c r="J749" s="38"/>
      <c r="K749" s="80"/>
      <c r="L749" s="82"/>
    </row>
    <row r="750" spans="2:12" s="1" customFormat="1" ht="12.75" x14ac:dyDescent="0.15">
      <c r="B750" s="16">
        <v>1</v>
      </c>
      <c r="C750" s="23"/>
      <c r="D750" s="24"/>
      <c r="E750" s="24"/>
      <c r="F750" s="129"/>
      <c r="G750" s="20"/>
      <c r="H750" s="20">
        <v>1</v>
      </c>
      <c r="I750" s="126">
        <f t="shared" ref="I750:I759" si="55">J750*$C$32</f>
        <v>0</v>
      </c>
      <c r="J750" s="38">
        <f t="shared" ref="J750:J759" si="56">(F750*G750*H750)/$C$32</f>
        <v>0</v>
      </c>
      <c r="K750" s="80"/>
      <c r="L750" s="82"/>
    </row>
    <row r="751" spans="2:12" s="1" customFormat="1" ht="12.75" customHeight="1" x14ac:dyDescent="0.15">
      <c r="B751" s="16">
        <v>2</v>
      </c>
      <c r="C751" s="23"/>
      <c r="D751" s="24"/>
      <c r="E751" s="24"/>
      <c r="F751" s="126"/>
      <c r="G751" s="20"/>
      <c r="H751" s="20">
        <v>1</v>
      </c>
      <c r="I751" s="126">
        <f t="shared" si="55"/>
        <v>0</v>
      </c>
      <c r="J751" s="38">
        <f t="shared" si="56"/>
        <v>0</v>
      </c>
      <c r="K751" s="80"/>
      <c r="L751" s="82"/>
    </row>
    <row r="752" spans="2:12" s="1" customFormat="1" ht="12.75" customHeight="1" x14ac:dyDescent="0.15">
      <c r="B752" s="16">
        <v>3</v>
      </c>
      <c r="C752" s="23"/>
      <c r="D752" s="25"/>
      <c r="E752" s="25"/>
      <c r="F752" s="129"/>
      <c r="G752" s="20"/>
      <c r="H752" s="20">
        <v>1</v>
      </c>
      <c r="I752" s="126">
        <f t="shared" si="55"/>
        <v>0</v>
      </c>
      <c r="J752" s="38">
        <f t="shared" si="56"/>
        <v>0</v>
      </c>
      <c r="K752" s="80"/>
      <c r="L752" s="82"/>
    </row>
    <row r="753" spans="2:12" s="1" customFormat="1" ht="12.95" customHeight="1" x14ac:dyDescent="0.15">
      <c r="B753" s="16">
        <v>4</v>
      </c>
      <c r="C753" s="23"/>
      <c r="D753" s="24"/>
      <c r="E753" s="24"/>
      <c r="F753" s="129"/>
      <c r="G753" s="20"/>
      <c r="H753" s="20">
        <v>1</v>
      </c>
      <c r="I753" s="126">
        <f t="shared" si="55"/>
        <v>0</v>
      </c>
      <c r="J753" s="38">
        <f t="shared" si="56"/>
        <v>0</v>
      </c>
      <c r="K753" s="80"/>
      <c r="L753" s="82"/>
    </row>
    <row r="754" spans="2:12" s="1" customFormat="1" ht="14.1" customHeight="1" x14ac:dyDescent="0.15">
      <c r="B754" s="16">
        <v>5</v>
      </c>
      <c r="C754" s="16"/>
      <c r="D754" s="18"/>
      <c r="E754" s="18"/>
      <c r="F754" s="129"/>
      <c r="G754" s="20"/>
      <c r="H754" s="20">
        <v>1</v>
      </c>
      <c r="I754" s="126">
        <f t="shared" si="55"/>
        <v>0</v>
      </c>
      <c r="J754" s="38">
        <f t="shared" si="56"/>
        <v>0</v>
      </c>
      <c r="K754" s="80"/>
      <c r="L754" s="82"/>
    </row>
    <row r="755" spans="2:12" s="1" customFormat="1" ht="12.95" customHeight="1" x14ac:dyDescent="0.15">
      <c r="B755" s="16">
        <v>6</v>
      </c>
      <c r="C755" s="17"/>
      <c r="D755" s="24"/>
      <c r="E755" s="24"/>
      <c r="F755" s="129"/>
      <c r="G755" s="20"/>
      <c r="H755" s="20">
        <v>1</v>
      </c>
      <c r="I755" s="126">
        <f t="shared" si="55"/>
        <v>0</v>
      </c>
      <c r="J755" s="38">
        <f t="shared" si="56"/>
        <v>0</v>
      </c>
      <c r="K755" s="80"/>
      <c r="L755" s="82"/>
    </row>
    <row r="756" spans="2:12" s="1" customFormat="1" ht="12.95" customHeight="1" x14ac:dyDescent="0.15">
      <c r="B756" s="16">
        <v>7</v>
      </c>
      <c r="C756" s="17"/>
      <c r="D756" s="24"/>
      <c r="E756" s="24"/>
      <c r="F756" s="129"/>
      <c r="G756" s="20"/>
      <c r="H756" s="20">
        <v>1</v>
      </c>
      <c r="I756" s="126">
        <f t="shared" si="55"/>
        <v>0</v>
      </c>
      <c r="J756" s="38">
        <f t="shared" si="56"/>
        <v>0</v>
      </c>
      <c r="K756" s="80"/>
      <c r="L756" s="82"/>
    </row>
    <row r="757" spans="2:12" s="1" customFormat="1" ht="12.95" customHeight="1" x14ac:dyDescent="0.15">
      <c r="B757" s="16">
        <v>8</v>
      </c>
      <c r="C757" s="17"/>
      <c r="D757" s="24"/>
      <c r="E757" s="24"/>
      <c r="F757" s="129"/>
      <c r="G757" s="20"/>
      <c r="H757" s="20">
        <v>1</v>
      </c>
      <c r="I757" s="126">
        <f t="shared" si="55"/>
        <v>0</v>
      </c>
      <c r="J757" s="38">
        <f t="shared" si="56"/>
        <v>0</v>
      </c>
      <c r="K757" s="80"/>
      <c r="L757" s="82"/>
    </row>
    <row r="758" spans="2:12" s="1" customFormat="1" ht="12.95" customHeight="1" x14ac:dyDescent="0.15">
      <c r="B758" s="16">
        <v>9</v>
      </c>
      <c r="C758" s="17"/>
      <c r="D758" s="24"/>
      <c r="E758" s="24"/>
      <c r="F758" s="129"/>
      <c r="G758" s="20"/>
      <c r="H758" s="20">
        <v>1</v>
      </c>
      <c r="I758" s="126">
        <f t="shared" si="55"/>
        <v>0</v>
      </c>
      <c r="J758" s="38">
        <f t="shared" si="56"/>
        <v>0</v>
      </c>
      <c r="K758" s="80"/>
      <c r="L758" s="82"/>
    </row>
    <row r="759" spans="2:12" s="1" customFormat="1" ht="12.95" customHeight="1" x14ac:dyDescent="0.15">
      <c r="B759" s="16">
        <v>10</v>
      </c>
      <c r="C759" s="17"/>
      <c r="D759" s="24"/>
      <c r="E759" s="24"/>
      <c r="F759" s="129"/>
      <c r="G759" s="20"/>
      <c r="H759" s="20">
        <v>1</v>
      </c>
      <c r="I759" s="126">
        <f t="shared" si="55"/>
        <v>0</v>
      </c>
      <c r="J759" s="38">
        <f t="shared" si="56"/>
        <v>0</v>
      </c>
      <c r="K759" s="80"/>
      <c r="L759" s="82"/>
    </row>
    <row r="760" spans="2:12" s="1" customFormat="1" ht="12.95" customHeight="1" x14ac:dyDescent="0.15">
      <c r="B760" s="16"/>
      <c r="C760" s="17"/>
      <c r="D760" s="18"/>
      <c r="E760" s="24"/>
      <c r="F760" s="129"/>
      <c r="G760" s="20"/>
      <c r="H760" s="20"/>
      <c r="I760" s="126"/>
      <c r="J760" s="38"/>
      <c r="K760" s="80"/>
      <c r="L760" s="82"/>
    </row>
    <row r="761" spans="2:12" s="1" customFormat="1" ht="12.95" customHeight="1" x14ac:dyDescent="0.15">
      <c r="B761" s="16"/>
      <c r="C761" s="17"/>
      <c r="D761" s="18"/>
      <c r="E761" s="24"/>
      <c r="F761" s="129"/>
      <c r="G761" s="20"/>
      <c r="H761" s="20"/>
      <c r="I761" s="126"/>
      <c r="J761" s="38"/>
      <c r="K761" s="80"/>
      <c r="L761" s="82"/>
    </row>
    <row r="762" spans="2:12" s="1" customFormat="1" ht="12.95" customHeight="1" x14ac:dyDescent="0.15">
      <c r="B762" s="16"/>
      <c r="C762" s="22" t="s">
        <v>153</v>
      </c>
      <c r="D762" s="24"/>
      <c r="E762" s="18"/>
      <c r="F762" s="129"/>
      <c r="G762" s="20"/>
      <c r="H762" s="20"/>
      <c r="I762" s="126"/>
      <c r="J762" s="38"/>
      <c r="K762" s="80"/>
      <c r="L762" s="82"/>
    </row>
    <row r="763" spans="2:12" s="1" customFormat="1" ht="12.95" customHeight="1" x14ac:dyDescent="0.15">
      <c r="B763" s="16">
        <v>1</v>
      </c>
      <c r="C763" s="17"/>
      <c r="D763" s="24"/>
      <c r="E763" s="18"/>
      <c r="F763" s="129"/>
      <c r="G763" s="20"/>
      <c r="H763" s="20">
        <v>1</v>
      </c>
      <c r="I763" s="126">
        <f t="shared" ref="I763:I782" si="57">J763*$C$32</f>
        <v>0</v>
      </c>
      <c r="J763" s="38">
        <f t="shared" ref="J763:J782" si="58">(F763*G763*H763)/$C$32</f>
        <v>0</v>
      </c>
      <c r="K763" s="80"/>
      <c r="L763" s="82"/>
    </row>
    <row r="764" spans="2:12" s="1" customFormat="1" ht="12.95" customHeight="1" x14ac:dyDescent="0.15">
      <c r="B764" s="16">
        <v>2</v>
      </c>
      <c r="C764" s="17"/>
      <c r="D764" s="24"/>
      <c r="E764" s="18"/>
      <c r="F764" s="129"/>
      <c r="G764" s="20"/>
      <c r="H764" s="20">
        <v>1</v>
      </c>
      <c r="I764" s="126">
        <f t="shared" si="57"/>
        <v>0</v>
      </c>
      <c r="J764" s="38">
        <f t="shared" si="58"/>
        <v>0</v>
      </c>
      <c r="K764" s="80"/>
      <c r="L764" s="82"/>
    </row>
    <row r="765" spans="2:12" s="1" customFormat="1" ht="12.95" customHeight="1" x14ac:dyDescent="0.15">
      <c r="B765" s="16">
        <v>3</v>
      </c>
      <c r="C765" s="17"/>
      <c r="D765" s="24"/>
      <c r="E765" s="18"/>
      <c r="F765" s="129"/>
      <c r="G765" s="20"/>
      <c r="H765" s="20">
        <v>1</v>
      </c>
      <c r="I765" s="126">
        <f t="shared" si="57"/>
        <v>0</v>
      </c>
      <c r="J765" s="38">
        <f t="shared" si="58"/>
        <v>0</v>
      </c>
      <c r="K765" s="80"/>
      <c r="L765" s="82"/>
    </row>
    <row r="766" spans="2:12" s="1" customFormat="1" ht="12.95" customHeight="1" x14ac:dyDescent="0.15">
      <c r="B766" s="16">
        <v>4</v>
      </c>
      <c r="C766" s="17"/>
      <c r="D766" s="24"/>
      <c r="E766" s="18"/>
      <c r="F766" s="129"/>
      <c r="G766" s="20"/>
      <c r="H766" s="20">
        <v>1</v>
      </c>
      <c r="I766" s="126">
        <f t="shared" si="57"/>
        <v>0</v>
      </c>
      <c r="J766" s="38">
        <f t="shared" si="58"/>
        <v>0</v>
      </c>
      <c r="K766" s="80"/>
      <c r="L766" s="82"/>
    </row>
    <row r="767" spans="2:12" s="1" customFormat="1" ht="12.95" customHeight="1" x14ac:dyDescent="0.15">
      <c r="B767" s="16">
        <v>5</v>
      </c>
      <c r="C767" s="17"/>
      <c r="D767" s="24"/>
      <c r="E767" s="18"/>
      <c r="F767" s="129"/>
      <c r="G767" s="20"/>
      <c r="H767" s="20">
        <v>1</v>
      </c>
      <c r="I767" s="126">
        <f t="shared" si="57"/>
        <v>0</v>
      </c>
      <c r="J767" s="38">
        <f t="shared" si="58"/>
        <v>0</v>
      </c>
      <c r="K767" s="80"/>
      <c r="L767" s="82"/>
    </row>
    <row r="768" spans="2:12" s="1" customFormat="1" ht="12.95" customHeight="1" x14ac:dyDescent="0.15">
      <c r="B768" s="16">
        <v>6</v>
      </c>
      <c r="C768" s="17"/>
      <c r="D768" s="24"/>
      <c r="E768" s="18"/>
      <c r="F768" s="129"/>
      <c r="G768" s="20"/>
      <c r="H768" s="20">
        <v>1</v>
      </c>
      <c r="I768" s="126">
        <f t="shared" si="57"/>
        <v>0</v>
      </c>
      <c r="J768" s="38">
        <f t="shared" si="58"/>
        <v>0</v>
      </c>
      <c r="K768" s="80"/>
      <c r="L768" s="82"/>
    </row>
    <row r="769" spans="2:12" s="1" customFormat="1" ht="12.95" customHeight="1" x14ac:dyDescent="0.15">
      <c r="B769" s="16">
        <v>7</v>
      </c>
      <c r="C769" s="17"/>
      <c r="D769" s="24"/>
      <c r="E769" s="18"/>
      <c r="F769" s="129"/>
      <c r="G769" s="20"/>
      <c r="H769" s="20">
        <v>1</v>
      </c>
      <c r="I769" s="126">
        <f t="shared" si="57"/>
        <v>0</v>
      </c>
      <c r="J769" s="38">
        <f t="shared" si="58"/>
        <v>0</v>
      </c>
      <c r="K769" s="80"/>
      <c r="L769" s="82"/>
    </row>
    <row r="770" spans="2:12" s="1" customFormat="1" ht="12.95" customHeight="1" x14ac:dyDescent="0.15">
      <c r="B770" s="16">
        <v>8</v>
      </c>
      <c r="C770" s="17"/>
      <c r="D770" s="24"/>
      <c r="E770" s="18"/>
      <c r="F770" s="129"/>
      <c r="G770" s="20"/>
      <c r="H770" s="20">
        <v>1</v>
      </c>
      <c r="I770" s="126">
        <f t="shared" si="57"/>
        <v>0</v>
      </c>
      <c r="J770" s="21">
        <f t="shared" si="58"/>
        <v>0</v>
      </c>
      <c r="K770" s="80"/>
      <c r="L770" s="82"/>
    </row>
    <row r="771" spans="2:12" s="1" customFormat="1" ht="12.95" customHeight="1" x14ac:dyDescent="0.15">
      <c r="B771" s="16">
        <v>9</v>
      </c>
      <c r="C771" s="17"/>
      <c r="D771" s="24"/>
      <c r="E771" s="18"/>
      <c r="F771" s="129"/>
      <c r="G771" s="20"/>
      <c r="H771" s="20">
        <v>1</v>
      </c>
      <c r="I771" s="126">
        <f t="shared" si="57"/>
        <v>0</v>
      </c>
      <c r="J771" s="38">
        <f t="shared" si="58"/>
        <v>0</v>
      </c>
      <c r="K771" s="80"/>
      <c r="L771" s="82"/>
    </row>
    <row r="772" spans="2:12" s="1" customFormat="1" ht="12.95" customHeight="1" x14ac:dyDescent="0.15">
      <c r="B772" s="16">
        <v>10</v>
      </c>
      <c r="C772" s="17"/>
      <c r="D772" s="24"/>
      <c r="E772" s="18"/>
      <c r="F772" s="129"/>
      <c r="G772" s="20"/>
      <c r="H772" s="20">
        <v>1</v>
      </c>
      <c r="I772" s="126">
        <f t="shared" si="57"/>
        <v>0</v>
      </c>
      <c r="J772" s="38">
        <f t="shared" si="58"/>
        <v>0</v>
      </c>
      <c r="K772" s="80"/>
      <c r="L772" s="82"/>
    </row>
    <row r="773" spans="2:12" s="1" customFormat="1" ht="12.95" customHeight="1" x14ac:dyDescent="0.15">
      <c r="B773" s="16">
        <v>11</v>
      </c>
      <c r="C773" s="17"/>
      <c r="D773" s="24"/>
      <c r="E773" s="18"/>
      <c r="F773" s="129"/>
      <c r="G773" s="20"/>
      <c r="H773" s="20">
        <v>1</v>
      </c>
      <c r="I773" s="126">
        <f t="shared" si="57"/>
        <v>0</v>
      </c>
      <c r="J773" s="38">
        <f t="shared" si="58"/>
        <v>0</v>
      </c>
      <c r="K773" s="80"/>
      <c r="L773" s="82"/>
    </row>
    <row r="774" spans="2:12" s="1" customFormat="1" ht="12.95" customHeight="1" x14ac:dyDescent="0.15">
      <c r="B774" s="16">
        <v>12</v>
      </c>
      <c r="C774" s="17"/>
      <c r="D774" s="24"/>
      <c r="E774" s="18"/>
      <c r="F774" s="129"/>
      <c r="G774" s="20"/>
      <c r="H774" s="20">
        <v>1</v>
      </c>
      <c r="I774" s="126">
        <f t="shared" si="57"/>
        <v>0</v>
      </c>
      <c r="J774" s="38">
        <f t="shared" si="58"/>
        <v>0</v>
      </c>
      <c r="K774" s="80"/>
      <c r="L774" s="82"/>
    </row>
    <row r="775" spans="2:12" s="1" customFormat="1" ht="12.95" customHeight="1" x14ac:dyDescent="0.15">
      <c r="B775" s="16">
        <v>13</v>
      </c>
      <c r="C775" s="17"/>
      <c r="D775" s="24"/>
      <c r="E775" s="24"/>
      <c r="F775" s="129"/>
      <c r="G775" s="20"/>
      <c r="H775" s="20">
        <v>1</v>
      </c>
      <c r="I775" s="126">
        <f t="shared" si="57"/>
        <v>0</v>
      </c>
      <c r="J775" s="38">
        <f t="shared" si="58"/>
        <v>0</v>
      </c>
      <c r="K775" s="80"/>
      <c r="L775" s="82"/>
    </row>
    <row r="776" spans="2:12" s="1" customFormat="1" ht="12.95" customHeight="1" x14ac:dyDescent="0.15">
      <c r="B776" s="16">
        <v>14</v>
      </c>
      <c r="C776" s="17"/>
      <c r="D776" s="24"/>
      <c r="E776" s="24"/>
      <c r="F776" s="129"/>
      <c r="G776" s="20"/>
      <c r="H776" s="20">
        <v>1</v>
      </c>
      <c r="I776" s="126">
        <f t="shared" si="57"/>
        <v>0</v>
      </c>
      <c r="J776" s="38">
        <f t="shared" si="58"/>
        <v>0</v>
      </c>
      <c r="K776" s="80"/>
      <c r="L776" s="82"/>
    </row>
    <row r="777" spans="2:12" s="1" customFormat="1" ht="12.95" customHeight="1" x14ac:dyDescent="0.15">
      <c r="B777" s="16">
        <v>15</v>
      </c>
      <c r="C777" s="17"/>
      <c r="D777" s="24"/>
      <c r="E777" s="24"/>
      <c r="F777" s="129"/>
      <c r="G777" s="20"/>
      <c r="H777" s="20">
        <v>1</v>
      </c>
      <c r="I777" s="126">
        <f t="shared" si="57"/>
        <v>0</v>
      </c>
      <c r="J777" s="38">
        <f t="shared" si="58"/>
        <v>0</v>
      </c>
      <c r="K777" s="80"/>
      <c r="L777" s="82"/>
    </row>
    <row r="778" spans="2:12" s="1" customFormat="1" ht="12.95" customHeight="1" x14ac:dyDescent="0.15">
      <c r="B778" s="16">
        <v>16</v>
      </c>
      <c r="C778" s="17"/>
      <c r="D778" s="24"/>
      <c r="E778" s="24"/>
      <c r="F778" s="129"/>
      <c r="G778" s="20"/>
      <c r="H778" s="20">
        <v>1</v>
      </c>
      <c r="I778" s="126">
        <f t="shared" si="57"/>
        <v>0</v>
      </c>
      <c r="J778" s="38">
        <f t="shared" si="58"/>
        <v>0</v>
      </c>
      <c r="K778" s="80"/>
      <c r="L778" s="82"/>
    </row>
    <row r="779" spans="2:12" s="1" customFormat="1" ht="12.95" customHeight="1" x14ac:dyDescent="0.15">
      <c r="B779" s="16">
        <v>17</v>
      </c>
      <c r="C779" s="17"/>
      <c r="D779" s="24"/>
      <c r="E779" s="24"/>
      <c r="F779" s="129"/>
      <c r="G779" s="20"/>
      <c r="H779" s="20">
        <v>1</v>
      </c>
      <c r="I779" s="126">
        <f t="shared" si="57"/>
        <v>0</v>
      </c>
      <c r="J779" s="38">
        <f t="shared" si="58"/>
        <v>0</v>
      </c>
      <c r="K779" s="80"/>
      <c r="L779" s="82"/>
    </row>
    <row r="780" spans="2:12" s="1" customFormat="1" ht="12.95" customHeight="1" x14ac:dyDescent="0.15">
      <c r="B780" s="16">
        <v>18</v>
      </c>
      <c r="C780" s="17"/>
      <c r="D780" s="24"/>
      <c r="E780" s="24"/>
      <c r="F780" s="129"/>
      <c r="G780" s="20"/>
      <c r="H780" s="20">
        <v>1</v>
      </c>
      <c r="I780" s="126">
        <f t="shared" si="57"/>
        <v>0</v>
      </c>
      <c r="J780" s="38">
        <f t="shared" si="58"/>
        <v>0</v>
      </c>
      <c r="K780" s="80"/>
      <c r="L780" s="82"/>
    </row>
    <row r="781" spans="2:12" s="1" customFormat="1" ht="12.95" customHeight="1" x14ac:dyDescent="0.15">
      <c r="B781" s="16">
        <v>19</v>
      </c>
      <c r="C781" s="17"/>
      <c r="D781" s="24"/>
      <c r="E781" s="24"/>
      <c r="F781" s="129"/>
      <c r="G781" s="20"/>
      <c r="H781" s="20">
        <v>1</v>
      </c>
      <c r="I781" s="126">
        <f t="shared" si="57"/>
        <v>0</v>
      </c>
      <c r="J781" s="38">
        <f t="shared" si="58"/>
        <v>0</v>
      </c>
      <c r="K781" s="80"/>
      <c r="L781" s="82"/>
    </row>
    <row r="782" spans="2:12" s="1" customFormat="1" ht="12.95" customHeight="1" x14ac:dyDescent="0.15">
      <c r="B782" s="16">
        <v>20</v>
      </c>
      <c r="C782" s="17"/>
      <c r="D782" s="24"/>
      <c r="E782" s="24"/>
      <c r="F782" s="129"/>
      <c r="G782" s="20"/>
      <c r="H782" s="20">
        <v>1</v>
      </c>
      <c r="I782" s="126">
        <f t="shared" si="57"/>
        <v>0</v>
      </c>
      <c r="J782" s="38">
        <f t="shared" si="58"/>
        <v>0</v>
      </c>
      <c r="K782" s="80"/>
      <c r="L782" s="82"/>
    </row>
    <row r="783" spans="2:12" s="1" customFormat="1" ht="12.95" customHeight="1" x14ac:dyDescent="0.15">
      <c r="B783" s="16"/>
      <c r="C783" s="17"/>
      <c r="D783" s="24"/>
      <c r="E783" s="24"/>
      <c r="F783" s="129"/>
      <c r="G783" s="20"/>
      <c r="H783" s="20"/>
      <c r="I783" s="126"/>
      <c r="J783" s="38"/>
      <c r="K783" s="80"/>
      <c r="L783" s="82"/>
    </row>
    <row r="784" spans="2:12" s="1" customFormat="1" ht="12.95" customHeight="1" x14ac:dyDescent="0.15">
      <c r="B784" s="16"/>
      <c r="C784" s="17"/>
      <c r="D784" s="24"/>
      <c r="E784" s="24"/>
      <c r="F784" s="129"/>
      <c r="G784" s="20"/>
      <c r="H784" s="20"/>
      <c r="I784" s="126"/>
      <c r="J784" s="38"/>
      <c r="K784" s="80"/>
      <c r="L784" s="82"/>
    </row>
    <row r="785" spans="2:20" s="1" customFormat="1" ht="12.95" customHeight="1" x14ac:dyDescent="0.15">
      <c r="B785" s="16"/>
      <c r="C785" s="22" t="s">
        <v>132</v>
      </c>
      <c r="D785" s="24"/>
      <c r="E785" s="24"/>
      <c r="F785" s="129"/>
      <c r="G785" s="20"/>
      <c r="H785" s="20"/>
      <c r="I785" s="126"/>
      <c r="J785" s="38"/>
      <c r="K785" s="80"/>
      <c r="L785" s="82"/>
    </row>
    <row r="786" spans="2:20" s="1" customFormat="1" ht="12.95" customHeight="1" x14ac:dyDescent="0.15">
      <c r="B786" s="16">
        <v>1</v>
      </c>
      <c r="C786" s="17"/>
      <c r="D786" s="24"/>
      <c r="E786" s="24"/>
      <c r="F786" s="129"/>
      <c r="G786" s="20"/>
      <c r="H786" s="20">
        <v>1</v>
      </c>
      <c r="I786" s="126">
        <f t="shared" ref="I786:I798" si="59">J786*$C$32</f>
        <v>0</v>
      </c>
      <c r="J786" s="38">
        <f t="shared" ref="J786:J798" si="60">(F786*G786*H786)/$C$32</f>
        <v>0</v>
      </c>
      <c r="K786" s="80"/>
      <c r="L786" s="82"/>
    </row>
    <row r="787" spans="2:20" s="1" customFormat="1" ht="12.95" customHeight="1" x14ac:dyDescent="0.15">
      <c r="B787" s="16">
        <v>2</v>
      </c>
      <c r="C787" s="17"/>
      <c r="D787" s="24"/>
      <c r="E787" s="24"/>
      <c r="F787" s="129"/>
      <c r="G787" s="20"/>
      <c r="H787" s="20">
        <v>1</v>
      </c>
      <c r="I787" s="126">
        <f t="shared" si="59"/>
        <v>0</v>
      </c>
      <c r="J787" s="38">
        <f t="shared" si="60"/>
        <v>0</v>
      </c>
      <c r="K787" s="80"/>
      <c r="L787" s="82"/>
    </row>
    <row r="788" spans="2:20" s="1" customFormat="1" ht="12.95" customHeight="1" x14ac:dyDescent="0.15">
      <c r="B788" s="16">
        <v>3</v>
      </c>
      <c r="C788" s="17"/>
      <c r="D788" s="24"/>
      <c r="E788" s="24"/>
      <c r="F788" s="129"/>
      <c r="G788" s="20"/>
      <c r="H788" s="20">
        <v>1</v>
      </c>
      <c r="I788" s="126">
        <f t="shared" si="59"/>
        <v>0</v>
      </c>
      <c r="J788" s="38">
        <f t="shared" si="60"/>
        <v>0</v>
      </c>
      <c r="K788" s="80"/>
      <c r="L788" s="82"/>
    </row>
    <row r="789" spans="2:20" s="1" customFormat="1" ht="12.95" customHeight="1" x14ac:dyDescent="0.15">
      <c r="B789" s="16">
        <v>4</v>
      </c>
      <c r="C789" s="17"/>
      <c r="D789" s="24"/>
      <c r="E789" s="24"/>
      <c r="F789" s="129"/>
      <c r="G789" s="20"/>
      <c r="H789" s="20">
        <v>1</v>
      </c>
      <c r="I789" s="126">
        <f t="shared" si="59"/>
        <v>0</v>
      </c>
      <c r="J789" s="38">
        <f t="shared" si="60"/>
        <v>0</v>
      </c>
      <c r="K789" s="80"/>
      <c r="L789" s="82"/>
    </row>
    <row r="790" spans="2:20" s="1" customFormat="1" ht="12.95" customHeight="1" x14ac:dyDescent="0.15">
      <c r="B790" s="16">
        <v>5</v>
      </c>
      <c r="C790" s="17"/>
      <c r="D790" s="24"/>
      <c r="E790" s="24"/>
      <c r="F790" s="129"/>
      <c r="G790" s="20"/>
      <c r="H790" s="20">
        <v>1</v>
      </c>
      <c r="I790" s="126">
        <f t="shared" si="59"/>
        <v>0</v>
      </c>
      <c r="J790" s="38">
        <f t="shared" si="60"/>
        <v>0</v>
      </c>
      <c r="K790" s="80"/>
      <c r="L790" s="82"/>
    </row>
    <row r="791" spans="2:20" s="1" customFormat="1" ht="12.95" customHeight="1" x14ac:dyDescent="0.15">
      <c r="B791" s="16">
        <v>6</v>
      </c>
      <c r="C791" s="17"/>
      <c r="D791" s="24"/>
      <c r="E791" s="24"/>
      <c r="F791" s="129"/>
      <c r="G791" s="20"/>
      <c r="H791" s="20">
        <v>1</v>
      </c>
      <c r="I791" s="126">
        <f t="shared" si="59"/>
        <v>0</v>
      </c>
      <c r="J791" s="38">
        <f t="shared" si="60"/>
        <v>0</v>
      </c>
      <c r="K791" s="80"/>
      <c r="L791" s="82"/>
    </row>
    <row r="792" spans="2:20" s="1" customFormat="1" ht="12.95" customHeight="1" x14ac:dyDescent="0.15">
      <c r="B792" s="16">
        <v>7</v>
      </c>
      <c r="C792" s="17"/>
      <c r="D792" s="24"/>
      <c r="E792" s="24"/>
      <c r="F792" s="129"/>
      <c r="G792" s="20"/>
      <c r="H792" s="20">
        <v>1</v>
      </c>
      <c r="I792" s="126">
        <f t="shared" si="59"/>
        <v>0</v>
      </c>
      <c r="J792" s="38">
        <f t="shared" si="60"/>
        <v>0</v>
      </c>
      <c r="K792" s="80"/>
      <c r="L792" s="82"/>
    </row>
    <row r="793" spans="2:20" s="1" customFormat="1" ht="12.95" customHeight="1" x14ac:dyDescent="0.15">
      <c r="B793" s="16">
        <v>8</v>
      </c>
      <c r="C793" s="17"/>
      <c r="D793" s="24"/>
      <c r="E793" s="24"/>
      <c r="F793" s="129"/>
      <c r="G793" s="20"/>
      <c r="H793" s="20">
        <v>1</v>
      </c>
      <c r="I793" s="126">
        <f t="shared" si="59"/>
        <v>0</v>
      </c>
      <c r="J793" s="38">
        <f t="shared" si="60"/>
        <v>0</v>
      </c>
      <c r="K793" s="80"/>
      <c r="L793" s="82"/>
    </row>
    <row r="794" spans="2:20" s="1" customFormat="1" ht="12.95" customHeight="1" x14ac:dyDescent="0.15">
      <c r="B794" s="16">
        <v>9</v>
      </c>
      <c r="C794" s="17"/>
      <c r="D794" s="24"/>
      <c r="E794" s="24"/>
      <c r="F794" s="129"/>
      <c r="G794" s="20"/>
      <c r="H794" s="20">
        <v>1</v>
      </c>
      <c r="I794" s="126">
        <f t="shared" si="59"/>
        <v>0</v>
      </c>
      <c r="J794" s="38">
        <f t="shared" si="60"/>
        <v>0</v>
      </c>
      <c r="K794" s="80"/>
      <c r="L794" s="82"/>
    </row>
    <row r="795" spans="2:20" s="1" customFormat="1" ht="12.95" customHeight="1" x14ac:dyDescent="0.15">
      <c r="B795" s="16">
        <v>10</v>
      </c>
      <c r="C795" s="17"/>
      <c r="D795" s="24"/>
      <c r="E795" s="24"/>
      <c r="F795" s="129"/>
      <c r="G795" s="20"/>
      <c r="H795" s="20">
        <v>1</v>
      </c>
      <c r="I795" s="126">
        <f t="shared" si="59"/>
        <v>0</v>
      </c>
      <c r="J795" s="38">
        <f t="shared" si="60"/>
        <v>0</v>
      </c>
      <c r="K795" s="80"/>
      <c r="L795" s="82"/>
    </row>
    <row r="796" spans="2:20" s="1" customFormat="1" ht="12.95" customHeight="1" x14ac:dyDescent="0.15">
      <c r="B796" s="16">
        <v>11</v>
      </c>
      <c r="C796" s="44"/>
      <c r="D796" s="18"/>
      <c r="E796" s="18"/>
      <c r="F796" s="129"/>
      <c r="G796" s="20"/>
      <c r="H796" s="20">
        <v>1</v>
      </c>
      <c r="I796" s="126">
        <f t="shared" si="59"/>
        <v>0</v>
      </c>
      <c r="J796" s="21">
        <f t="shared" si="60"/>
        <v>0</v>
      </c>
      <c r="K796" s="80"/>
      <c r="L796" s="82"/>
      <c r="M796" s="10"/>
      <c r="N796" s="10"/>
      <c r="O796" s="10"/>
      <c r="P796" s="10"/>
      <c r="Q796" s="43"/>
      <c r="R796" s="10"/>
      <c r="T796" s="10" t="s">
        <v>169</v>
      </c>
    </row>
    <row r="797" spans="2:20" s="1" customFormat="1" ht="12.95" customHeight="1" x14ac:dyDescent="0.15">
      <c r="B797" s="16">
        <v>12</v>
      </c>
      <c r="C797" s="45"/>
      <c r="D797" s="18"/>
      <c r="E797" s="18"/>
      <c r="F797" s="130"/>
      <c r="G797" s="20"/>
      <c r="H797" s="20">
        <v>1</v>
      </c>
      <c r="I797" s="126">
        <f t="shared" si="59"/>
        <v>0</v>
      </c>
      <c r="J797" s="21">
        <f t="shared" si="60"/>
        <v>0</v>
      </c>
      <c r="K797" s="80"/>
      <c r="L797" s="82"/>
      <c r="M797" s="10"/>
      <c r="N797" s="10"/>
      <c r="O797" s="10"/>
      <c r="P797" s="10"/>
      <c r="Q797" s="43"/>
      <c r="R797" s="10"/>
      <c r="T797" s="10" t="s">
        <v>170</v>
      </c>
    </row>
    <row r="798" spans="2:20" s="1" customFormat="1" ht="12.95" customHeight="1" x14ac:dyDescent="0.15">
      <c r="B798" s="16">
        <v>13</v>
      </c>
      <c r="C798" s="44"/>
      <c r="D798" s="18"/>
      <c r="E798" s="18"/>
      <c r="F798" s="129"/>
      <c r="G798" s="20"/>
      <c r="H798" s="20">
        <v>1</v>
      </c>
      <c r="I798" s="126">
        <f t="shared" si="59"/>
        <v>0</v>
      </c>
      <c r="J798" s="21">
        <f t="shared" si="60"/>
        <v>0</v>
      </c>
      <c r="K798" s="80"/>
      <c r="L798" s="82"/>
      <c r="M798" s="10"/>
      <c r="N798" s="10"/>
      <c r="O798" s="10"/>
      <c r="P798" s="10"/>
      <c r="Q798" s="43"/>
      <c r="R798" s="10"/>
      <c r="T798" s="10" t="s">
        <v>171</v>
      </c>
    </row>
    <row r="799" spans="2:20" s="1" customFormat="1" ht="12.95" customHeight="1" x14ac:dyDescent="0.15">
      <c r="B799" s="16">
        <v>14</v>
      </c>
      <c r="C799" s="44"/>
      <c r="D799" s="18"/>
      <c r="E799" s="18"/>
      <c r="F799" s="129"/>
      <c r="G799" s="20"/>
      <c r="H799" s="20">
        <v>1</v>
      </c>
      <c r="I799" s="126">
        <f t="shared" ref="I799:I805" si="61">J799*$C$32</f>
        <v>0</v>
      </c>
      <c r="J799" s="21">
        <f t="shared" ref="J799:J805" si="62">(F799*G799*H799)/$C$32</f>
        <v>0</v>
      </c>
      <c r="K799" s="80"/>
      <c r="L799" s="82"/>
      <c r="M799" s="10"/>
      <c r="N799" s="10"/>
      <c r="O799" s="10"/>
      <c r="P799" s="10"/>
      <c r="Q799" s="43"/>
      <c r="R799" s="10"/>
      <c r="T799" s="10"/>
    </row>
    <row r="800" spans="2:20" s="1" customFormat="1" ht="12.95" customHeight="1" x14ac:dyDescent="0.15">
      <c r="B800" s="16">
        <v>15</v>
      </c>
      <c r="C800" s="44"/>
      <c r="D800" s="18"/>
      <c r="E800" s="18"/>
      <c r="F800" s="129"/>
      <c r="G800" s="20"/>
      <c r="H800" s="20">
        <v>1</v>
      </c>
      <c r="I800" s="126">
        <f t="shared" si="61"/>
        <v>0</v>
      </c>
      <c r="J800" s="21">
        <f t="shared" si="62"/>
        <v>0</v>
      </c>
      <c r="K800" s="80"/>
      <c r="L800" s="82"/>
      <c r="M800" s="10"/>
      <c r="N800" s="10"/>
      <c r="O800" s="10"/>
      <c r="P800" s="10"/>
      <c r="Q800" s="43"/>
      <c r="R800" s="10"/>
      <c r="T800" s="10"/>
    </row>
    <row r="801" spans="2:20" s="1" customFormat="1" ht="12.95" customHeight="1" x14ac:dyDescent="0.15">
      <c r="B801" s="16">
        <v>16</v>
      </c>
      <c r="C801" s="44"/>
      <c r="D801" s="18"/>
      <c r="E801" s="18"/>
      <c r="F801" s="129"/>
      <c r="G801" s="20"/>
      <c r="H801" s="20">
        <v>1</v>
      </c>
      <c r="I801" s="126">
        <f t="shared" si="61"/>
        <v>0</v>
      </c>
      <c r="J801" s="21">
        <f t="shared" si="62"/>
        <v>0</v>
      </c>
      <c r="K801" s="80"/>
      <c r="L801" s="82"/>
      <c r="M801" s="10"/>
      <c r="N801" s="10"/>
      <c r="O801" s="10"/>
      <c r="P801" s="10"/>
      <c r="Q801" s="43"/>
      <c r="R801" s="10"/>
      <c r="T801" s="10"/>
    </row>
    <row r="802" spans="2:20" s="1" customFormat="1" ht="12.95" customHeight="1" x14ac:dyDescent="0.15">
      <c r="B802" s="16">
        <v>17</v>
      </c>
      <c r="C802" s="44"/>
      <c r="D802" s="18"/>
      <c r="E802" s="18"/>
      <c r="F802" s="129"/>
      <c r="G802" s="20"/>
      <c r="H802" s="20">
        <v>1</v>
      </c>
      <c r="I802" s="126">
        <f t="shared" si="61"/>
        <v>0</v>
      </c>
      <c r="J802" s="21">
        <f t="shared" si="62"/>
        <v>0</v>
      </c>
      <c r="K802" s="80"/>
      <c r="L802" s="82"/>
      <c r="M802" s="10"/>
      <c r="N802" s="10"/>
      <c r="O802" s="10"/>
      <c r="P802" s="10"/>
      <c r="Q802" s="43"/>
      <c r="R802" s="10"/>
      <c r="T802" s="10"/>
    </row>
    <row r="803" spans="2:20" s="1" customFormat="1" ht="12.95" customHeight="1" x14ac:dyDescent="0.15">
      <c r="B803" s="16">
        <v>18</v>
      </c>
      <c r="C803" s="44"/>
      <c r="D803" s="18"/>
      <c r="E803" s="18"/>
      <c r="F803" s="129"/>
      <c r="G803" s="20"/>
      <c r="H803" s="20">
        <v>1</v>
      </c>
      <c r="I803" s="126">
        <f t="shared" si="61"/>
        <v>0</v>
      </c>
      <c r="J803" s="78">
        <f t="shared" si="62"/>
        <v>0</v>
      </c>
      <c r="K803" s="111"/>
      <c r="L803" s="119"/>
      <c r="M803" s="10"/>
      <c r="N803" s="10"/>
      <c r="O803" s="10"/>
      <c r="P803" s="10"/>
      <c r="Q803" s="43"/>
      <c r="R803" s="10"/>
      <c r="T803" s="10"/>
    </row>
    <row r="804" spans="2:20" s="1" customFormat="1" ht="12.95" customHeight="1" x14ac:dyDescent="0.15">
      <c r="B804" s="16">
        <v>19</v>
      </c>
      <c r="C804" s="44"/>
      <c r="D804" s="18"/>
      <c r="E804" s="18"/>
      <c r="F804" s="129"/>
      <c r="G804" s="20"/>
      <c r="H804" s="20">
        <v>1</v>
      </c>
      <c r="I804" s="254">
        <f t="shared" si="61"/>
        <v>0</v>
      </c>
      <c r="J804" s="94">
        <f t="shared" si="62"/>
        <v>0</v>
      </c>
      <c r="K804" s="82"/>
      <c r="L804" s="82"/>
      <c r="M804" s="10"/>
      <c r="N804" s="10"/>
      <c r="O804" s="10"/>
      <c r="P804" s="10"/>
      <c r="Q804" s="43"/>
      <c r="R804" s="10"/>
      <c r="T804" s="10"/>
    </row>
    <row r="805" spans="2:20" s="1" customFormat="1" ht="12.95" customHeight="1" x14ac:dyDescent="0.15">
      <c r="B805" s="16">
        <v>20</v>
      </c>
      <c r="C805" s="44"/>
      <c r="D805" s="18"/>
      <c r="E805" s="18"/>
      <c r="F805" s="129"/>
      <c r="G805" s="20"/>
      <c r="H805" s="20">
        <v>1</v>
      </c>
      <c r="I805" s="254">
        <f t="shared" si="61"/>
        <v>0</v>
      </c>
      <c r="J805" s="94">
        <f t="shared" si="62"/>
        <v>0</v>
      </c>
      <c r="K805" s="82"/>
      <c r="L805" s="82"/>
      <c r="M805" s="10"/>
      <c r="N805" s="10"/>
      <c r="O805" s="10"/>
      <c r="P805" s="10"/>
      <c r="Q805" s="43"/>
      <c r="R805" s="10"/>
      <c r="T805" s="10"/>
    </row>
    <row r="806" spans="2:20" s="1" customFormat="1" ht="12.95" customHeight="1" x14ac:dyDescent="0.15">
      <c r="B806" s="16"/>
      <c r="C806" s="11"/>
      <c r="D806" s="18"/>
      <c r="E806" s="18"/>
      <c r="F806" s="129"/>
      <c r="G806" s="20"/>
      <c r="H806" s="20"/>
      <c r="I806" s="255"/>
      <c r="J806" s="94"/>
      <c r="K806" s="82"/>
      <c r="L806" s="82"/>
      <c r="M806" s="10"/>
      <c r="N806" s="10"/>
      <c r="O806" s="10"/>
      <c r="P806" s="10"/>
      <c r="Q806" s="43"/>
      <c r="R806" s="10"/>
      <c r="T806" s="10"/>
    </row>
    <row r="807" spans="2:20" s="1" customFormat="1" ht="12.75" x14ac:dyDescent="0.15">
      <c r="B807" s="83"/>
      <c r="C807" s="98"/>
      <c r="D807" s="99"/>
      <c r="E807" s="98"/>
      <c r="F807" s="127">
        <f>SUM(F748:F806)</f>
        <v>0</v>
      </c>
      <c r="G807" s="100"/>
      <c r="H807" s="252"/>
      <c r="I807" s="256">
        <f>SUM(I749:I806)</f>
        <v>0</v>
      </c>
      <c r="J807" s="257">
        <f>SUM(J749:J806)</f>
        <v>0</v>
      </c>
    </row>
    <row r="808" spans="2:20" s="1" customFormat="1" ht="12.75" x14ac:dyDescent="0.15">
      <c r="B808" s="82"/>
      <c r="C808" s="102"/>
      <c r="D808" s="103"/>
      <c r="E808" s="102" t="s">
        <v>147</v>
      </c>
      <c r="F808" s="128">
        <f>100/115*F807</f>
        <v>0</v>
      </c>
      <c r="G808" s="104"/>
      <c r="H808" s="253" t="s">
        <v>147</v>
      </c>
      <c r="I808" s="128">
        <f>100/115*I807</f>
        <v>0</v>
      </c>
      <c r="J808" s="106"/>
    </row>
    <row r="809" spans="2:20" s="1" customFormat="1" ht="12.75" x14ac:dyDescent="0.15"/>
    <row r="810" spans="2:20" s="1" customFormat="1" ht="12.75" x14ac:dyDescent="0.15"/>
    <row r="811" spans="2:20" s="1" customFormat="1" ht="12.75" x14ac:dyDescent="0.15"/>
    <row r="812" spans="2:20" s="1" customFormat="1" ht="12.75" x14ac:dyDescent="0.15"/>
    <row r="813" spans="2:20" s="1" customFormat="1" ht="12.75" x14ac:dyDescent="0.15"/>
    <row r="814" spans="2:20" s="1" customFormat="1" ht="12.75" x14ac:dyDescent="0.15"/>
    <row r="815" spans="2:20" s="1" customFormat="1" ht="12.75" x14ac:dyDescent="0.15"/>
    <row r="816" spans="2:20" s="1" customFormat="1" ht="12.75" x14ac:dyDescent="0.15"/>
    <row r="817" s="1" customFormat="1" ht="12.75" x14ac:dyDescent="0.15"/>
    <row r="818" s="1" customFormat="1" ht="12.75" x14ac:dyDescent="0.15"/>
    <row r="819" s="1" customFormat="1" ht="12.75" x14ac:dyDescent="0.15"/>
    <row r="820" s="1" customFormat="1" ht="12.75" x14ac:dyDescent="0.15"/>
    <row r="821" s="1" customFormat="1" ht="12.75" x14ac:dyDescent="0.15"/>
    <row r="822" s="1" customFormat="1" ht="12.75" x14ac:dyDescent="0.15"/>
    <row r="823" s="1" customFormat="1" ht="12.75" x14ac:dyDescent="0.15"/>
    <row r="824" s="1" customFormat="1" ht="12.75" x14ac:dyDescent="0.15"/>
    <row r="825" s="1" customFormat="1" ht="12.75" x14ac:dyDescent="0.15"/>
    <row r="826" s="1" customFormat="1" ht="12.75" x14ac:dyDescent="0.15"/>
    <row r="827" s="1" customFormat="1" ht="12.75" x14ac:dyDescent="0.15"/>
    <row r="828" s="1" customFormat="1" ht="12.75" x14ac:dyDescent="0.15"/>
    <row r="829" s="1" customFormat="1" ht="12.75" x14ac:dyDescent="0.15"/>
    <row r="830" s="1" customFormat="1" ht="12.75" x14ac:dyDescent="0.15"/>
    <row r="831" s="1" customFormat="1" ht="12.75" x14ac:dyDescent="0.15"/>
    <row r="832" s="1" customFormat="1" ht="12.75" x14ac:dyDescent="0.15"/>
    <row r="833" s="1" customFormat="1" ht="12.75" x14ac:dyDescent="0.15"/>
    <row r="834" s="1" customFormat="1" ht="12.75" x14ac:dyDescent="0.15"/>
    <row r="835" s="1" customFormat="1" ht="12.75" x14ac:dyDescent="0.15"/>
    <row r="836" s="1" customFormat="1" ht="12.75" x14ac:dyDescent="0.15"/>
    <row r="837" s="1" customFormat="1" ht="12.75" x14ac:dyDescent="0.15"/>
    <row r="838" s="1" customFormat="1" ht="12.75" x14ac:dyDescent="0.15"/>
    <row r="839" s="1" customFormat="1" ht="12.75" x14ac:dyDescent="0.15"/>
    <row r="840" s="1" customFormat="1" ht="12.75" x14ac:dyDescent="0.15"/>
    <row r="841" s="1" customFormat="1" ht="12.75" x14ac:dyDescent="0.15"/>
    <row r="842" s="1" customFormat="1" ht="12.75" x14ac:dyDescent="0.15"/>
    <row r="843" s="1" customFormat="1" ht="12.75" x14ac:dyDescent="0.15"/>
    <row r="844" s="1" customFormat="1" ht="12.75" x14ac:dyDescent="0.15"/>
    <row r="845" s="1" customFormat="1" ht="12.75" x14ac:dyDescent="0.15"/>
    <row r="846" s="1" customFormat="1" ht="12.75" x14ac:dyDescent="0.15"/>
    <row r="847" s="1" customFormat="1" ht="12.75" x14ac:dyDescent="0.15"/>
    <row r="848" s="1" customFormat="1" ht="12.75" x14ac:dyDescent="0.15"/>
    <row r="849" s="1" customFormat="1" ht="12.75" x14ac:dyDescent="0.15"/>
    <row r="850" s="1" customFormat="1" ht="12.75" x14ac:dyDescent="0.15"/>
    <row r="851" s="1" customFormat="1" ht="12.75" x14ac:dyDescent="0.15"/>
    <row r="852" s="1" customFormat="1" ht="12.75" x14ac:dyDescent="0.15"/>
    <row r="853" s="1" customFormat="1" ht="12.75" x14ac:dyDescent="0.15"/>
    <row r="854" s="1" customFormat="1" ht="12.75" x14ac:dyDescent="0.15"/>
    <row r="855" s="1" customFormat="1" ht="12.75" x14ac:dyDescent="0.15"/>
    <row r="856" s="1" customFormat="1" ht="12.75" x14ac:dyDescent="0.15"/>
    <row r="857" s="1" customFormat="1" ht="12.75" x14ac:dyDescent="0.15"/>
    <row r="858" s="1" customFormat="1" ht="12.75" x14ac:dyDescent="0.15"/>
    <row r="859" s="1" customFormat="1" ht="12.75" x14ac:dyDescent="0.15"/>
    <row r="860" s="1" customFormat="1" ht="12.75" x14ac:dyDescent="0.15"/>
    <row r="861" s="1" customFormat="1" ht="12.75" x14ac:dyDescent="0.15"/>
    <row r="862" s="1" customFormat="1" ht="12.75" x14ac:dyDescent="0.15"/>
    <row r="863" s="1" customFormat="1" ht="12.75" x14ac:dyDescent="0.15"/>
    <row r="864" s="1" customFormat="1" ht="12.75" x14ac:dyDescent="0.15"/>
    <row r="865" spans="12:12" s="1" customFormat="1" ht="12.75" x14ac:dyDescent="0.15"/>
    <row r="866" spans="12:12" s="1" customFormat="1" ht="12.75" x14ac:dyDescent="0.15"/>
    <row r="867" spans="12:12" s="1" customFormat="1" ht="12.75" x14ac:dyDescent="0.15"/>
    <row r="868" spans="12:12" s="1" customFormat="1" ht="12.75" x14ac:dyDescent="0.15"/>
    <row r="869" spans="12:12" s="1" customFormat="1" ht="12.75" x14ac:dyDescent="0.15"/>
    <row r="870" spans="12:12" s="1" customFormat="1" ht="12.75" x14ac:dyDescent="0.15"/>
    <row r="871" spans="12:12" x14ac:dyDescent="0.2">
      <c r="L871"/>
    </row>
    <row r="872" spans="12:12" x14ac:dyDescent="0.2">
      <c r="L872"/>
    </row>
    <row r="873" spans="12:12" x14ac:dyDescent="0.2">
      <c r="L873"/>
    </row>
    <row r="874" spans="12:12" x14ac:dyDescent="0.2">
      <c r="L874"/>
    </row>
    <row r="875" spans="12:12" x14ac:dyDescent="0.2">
      <c r="L875"/>
    </row>
    <row r="876" spans="12:12" x14ac:dyDescent="0.2">
      <c r="L876"/>
    </row>
    <row r="877" spans="12:12" x14ac:dyDescent="0.2">
      <c r="L877"/>
    </row>
    <row r="878" spans="12:12" x14ac:dyDescent="0.2">
      <c r="L878"/>
    </row>
    <row r="879" spans="12:12" x14ac:dyDescent="0.2">
      <c r="L879"/>
    </row>
    <row r="880" spans="12:12" x14ac:dyDescent="0.2">
      <c r="L880"/>
    </row>
    <row r="881" spans="12:12" x14ac:dyDescent="0.2">
      <c r="L881"/>
    </row>
    <row r="882" spans="12:12" x14ac:dyDescent="0.2">
      <c r="L882"/>
    </row>
    <row r="883" spans="12:12" x14ac:dyDescent="0.2">
      <c r="L883"/>
    </row>
    <row r="884" spans="12:12" x14ac:dyDescent="0.2">
      <c r="L884"/>
    </row>
    <row r="885" spans="12:12" x14ac:dyDescent="0.2">
      <c r="L885"/>
    </row>
    <row r="886" spans="12:12" x14ac:dyDescent="0.2">
      <c r="L886"/>
    </row>
    <row r="887" spans="12:12" x14ac:dyDescent="0.2">
      <c r="L887"/>
    </row>
    <row r="888" spans="12:12" x14ac:dyDescent="0.2">
      <c r="L888"/>
    </row>
    <row r="889" spans="12:12" x14ac:dyDescent="0.2">
      <c r="L889"/>
    </row>
    <row r="890" spans="12:12" x14ac:dyDescent="0.2">
      <c r="L890"/>
    </row>
    <row r="891" spans="12:12" x14ac:dyDescent="0.2">
      <c r="L891"/>
    </row>
    <row r="892" spans="12:12" x14ac:dyDescent="0.2">
      <c r="L892"/>
    </row>
    <row r="893" spans="12:12" x14ac:dyDescent="0.2">
      <c r="L893"/>
    </row>
    <row r="894" spans="12:12" x14ac:dyDescent="0.2">
      <c r="L894"/>
    </row>
    <row r="895" spans="12:12" x14ac:dyDescent="0.2">
      <c r="L895"/>
    </row>
    <row r="896" spans="12:12" x14ac:dyDescent="0.2">
      <c r="L896"/>
    </row>
    <row r="897" spans="12:12" x14ac:dyDescent="0.2">
      <c r="L897"/>
    </row>
    <row r="898" spans="12:12" x14ac:dyDescent="0.2">
      <c r="L898"/>
    </row>
    <row r="899" spans="12:12" x14ac:dyDescent="0.2">
      <c r="L899"/>
    </row>
    <row r="900" spans="12:12" x14ac:dyDescent="0.2">
      <c r="L900"/>
    </row>
    <row r="901" spans="12:12" x14ac:dyDescent="0.2">
      <c r="L901"/>
    </row>
    <row r="902" spans="12:12" x14ac:dyDescent="0.2">
      <c r="L902"/>
    </row>
    <row r="903" spans="12:12" x14ac:dyDescent="0.2">
      <c r="L903"/>
    </row>
    <row r="904" spans="12:12" x14ac:dyDescent="0.2">
      <c r="L904"/>
    </row>
    <row r="905" spans="12:12" x14ac:dyDescent="0.2">
      <c r="L905"/>
    </row>
    <row r="906" spans="12:12" x14ac:dyDescent="0.2">
      <c r="L906"/>
    </row>
    <row r="907" spans="12:12" x14ac:dyDescent="0.2">
      <c r="L907"/>
    </row>
    <row r="908" spans="12:12" x14ac:dyDescent="0.2">
      <c r="L908"/>
    </row>
    <row r="909" spans="12:12" x14ac:dyDescent="0.2">
      <c r="L909"/>
    </row>
    <row r="910" spans="12:12" x14ac:dyDescent="0.2">
      <c r="L910"/>
    </row>
    <row r="911" spans="12:12" x14ac:dyDescent="0.2">
      <c r="L911"/>
    </row>
    <row r="912" spans="12:12" x14ac:dyDescent="0.2">
      <c r="L912"/>
    </row>
    <row r="913" spans="12:12" x14ac:dyDescent="0.2">
      <c r="L913"/>
    </row>
    <row r="914" spans="12:12" x14ac:dyDescent="0.2">
      <c r="L914"/>
    </row>
    <row r="915" spans="12:12" x14ac:dyDescent="0.2">
      <c r="L915"/>
    </row>
    <row r="916" spans="12:12" x14ac:dyDescent="0.2">
      <c r="L916"/>
    </row>
    <row r="917" spans="12:12" x14ac:dyDescent="0.2">
      <c r="L917"/>
    </row>
    <row r="918" spans="12:12" x14ac:dyDescent="0.2">
      <c r="L918"/>
    </row>
    <row r="919" spans="12:12" x14ac:dyDescent="0.2">
      <c r="L919"/>
    </row>
    <row r="920" spans="12:12" x14ac:dyDescent="0.2">
      <c r="L920"/>
    </row>
    <row r="921" spans="12:12" x14ac:dyDescent="0.2">
      <c r="L921"/>
    </row>
    <row r="922" spans="12:12" x14ac:dyDescent="0.2">
      <c r="L922"/>
    </row>
    <row r="923" spans="12:12" x14ac:dyDescent="0.2">
      <c r="L923"/>
    </row>
    <row r="924" spans="12:12" x14ac:dyDescent="0.2">
      <c r="L924"/>
    </row>
    <row r="925" spans="12:12" x14ac:dyDescent="0.2">
      <c r="L925"/>
    </row>
    <row r="926" spans="12:12" x14ac:dyDescent="0.2">
      <c r="L926"/>
    </row>
    <row r="927" spans="12:12" x14ac:dyDescent="0.2">
      <c r="L927"/>
    </row>
    <row r="928" spans="12:12" x14ac:dyDescent="0.2">
      <c r="L928"/>
    </row>
    <row r="929" spans="12:12" x14ac:dyDescent="0.2">
      <c r="L929"/>
    </row>
    <row r="930" spans="12:12" x14ac:dyDescent="0.2">
      <c r="L930"/>
    </row>
    <row r="931" spans="12:12" x14ac:dyDescent="0.2">
      <c r="L931"/>
    </row>
    <row r="932" spans="12:12" x14ac:dyDescent="0.2">
      <c r="L932"/>
    </row>
    <row r="933" spans="12:12" x14ac:dyDescent="0.2">
      <c r="L933"/>
    </row>
    <row r="934" spans="12:12" x14ac:dyDescent="0.2">
      <c r="L934"/>
    </row>
    <row r="935" spans="12:12" x14ac:dyDescent="0.2">
      <c r="L935"/>
    </row>
    <row r="936" spans="12:12" x14ac:dyDescent="0.2">
      <c r="L936"/>
    </row>
    <row r="937" spans="12:12" x14ac:dyDescent="0.2">
      <c r="L937"/>
    </row>
    <row r="938" spans="12:12" x14ac:dyDescent="0.2">
      <c r="L938"/>
    </row>
    <row r="939" spans="12:12" x14ac:dyDescent="0.2">
      <c r="L939"/>
    </row>
    <row r="940" spans="12:12" x14ac:dyDescent="0.2">
      <c r="L940"/>
    </row>
    <row r="941" spans="12:12" x14ac:dyDescent="0.2">
      <c r="L941"/>
    </row>
    <row r="942" spans="12:12" x14ac:dyDescent="0.2">
      <c r="L942"/>
    </row>
    <row r="943" spans="12:12" x14ac:dyDescent="0.2">
      <c r="L943"/>
    </row>
    <row r="944" spans="12:12" x14ac:dyDescent="0.2">
      <c r="L944"/>
    </row>
    <row r="945" spans="12:12" x14ac:dyDescent="0.2">
      <c r="L945"/>
    </row>
    <row r="946" spans="12:12" x14ac:dyDescent="0.2">
      <c r="L946"/>
    </row>
    <row r="947" spans="12:12" x14ac:dyDescent="0.2">
      <c r="L947"/>
    </row>
    <row r="948" spans="12:12" x14ac:dyDescent="0.2">
      <c r="L948"/>
    </row>
    <row r="949" spans="12:12" x14ac:dyDescent="0.2">
      <c r="L949"/>
    </row>
    <row r="950" spans="12:12" x14ac:dyDescent="0.2">
      <c r="L950"/>
    </row>
    <row r="951" spans="12:12" x14ac:dyDescent="0.2">
      <c r="L951"/>
    </row>
    <row r="952" spans="12:12" x14ac:dyDescent="0.2">
      <c r="L952"/>
    </row>
    <row r="953" spans="12:12" x14ac:dyDescent="0.2">
      <c r="L953"/>
    </row>
    <row r="954" spans="12:12" x14ac:dyDescent="0.2">
      <c r="L954"/>
    </row>
    <row r="955" spans="12:12" x14ac:dyDescent="0.2">
      <c r="L955"/>
    </row>
    <row r="956" spans="12:12" x14ac:dyDescent="0.2">
      <c r="L956"/>
    </row>
    <row r="957" spans="12:12" x14ac:dyDescent="0.2">
      <c r="L957"/>
    </row>
    <row r="958" spans="12:12" x14ac:dyDescent="0.2">
      <c r="L958"/>
    </row>
    <row r="959" spans="12:12" x14ac:dyDescent="0.2">
      <c r="L959"/>
    </row>
    <row r="960" spans="12:12" x14ac:dyDescent="0.2">
      <c r="L960"/>
    </row>
    <row r="961" spans="12:12" x14ac:dyDescent="0.2">
      <c r="L961"/>
    </row>
    <row r="962" spans="12:12" x14ac:dyDescent="0.2">
      <c r="L962"/>
    </row>
    <row r="963" spans="12:12" x14ac:dyDescent="0.2">
      <c r="L963"/>
    </row>
    <row r="964" spans="12:12" x14ac:dyDescent="0.2">
      <c r="L964"/>
    </row>
    <row r="965" spans="12:12" x14ac:dyDescent="0.2">
      <c r="L965"/>
    </row>
    <row r="966" spans="12:12" x14ac:dyDescent="0.2">
      <c r="L966"/>
    </row>
    <row r="967" spans="12:12" x14ac:dyDescent="0.2">
      <c r="L967"/>
    </row>
    <row r="968" spans="12:12" x14ac:dyDescent="0.2">
      <c r="L968"/>
    </row>
    <row r="969" spans="12:12" x14ac:dyDescent="0.2">
      <c r="L969"/>
    </row>
    <row r="970" spans="12:12" x14ac:dyDescent="0.2">
      <c r="L970"/>
    </row>
    <row r="971" spans="12:12" x14ac:dyDescent="0.2">
      <c r="L971"/>
    </row>
    <row r="972" spans="12:12" x14ac:dyDescent="0.2">
      <c r="L972"/>
    </row>
    <row r="973" spans="12:12" x14ac:dyDescent="0.2">
      <c r="L973"/>
    </row>
    <row r="974" spans="12:12" x14ac:dyDescent="0.2">
      <c r="L974"/>
    </row>
    <row r="975" spans="12:12" x14ac:dyDescent="0.2">
      <c r="L975"/>
    </row>
    <row r="976" spans="12:12" x14ac:dyDescent="0.2">
      <c r="L976"/>
    </row>
    <row r="977" spans="12:12" x14ac:dyDescent="0.2">
      <c r="L977"/>
    </row>
    <row r="978" spans="12:12" x14ac:dyDescent="0.2">
      <c r="L978"/>
    </row>
    <row r="979" spans="12:12" x14ac:dyDescent="0.2">
      <c r="L979"/>
    </row>
    <row r="980" spans="12:12" x14ac:dyDescent="0.2">
      <c r="L980"/>
    </row>
    <row r="981" spans="12:12" x14ac:dyDescent="0.2">
      <c r="L981"/>
    </row>
    <row r="982" spans="12:12" x14ac:dyDescent="0.2">
      <c r="L982"/>
    </row>
    <row r="983" spans="12:12" x14ac:dyDescent="0.2">
      <c r="L983"/>
    </row>
    <row r="984" spans="12:12" x14ac:dyDescent="0.2">
      <c r="L984"/>
    </row>
    <row r="985" spans="12:12" x14ac:dyDescent="0.2">
      <c r="L985"/>
    </row>
    <row r="986" spans="12:12" x14ac:dyDescent="0.2">
      <c r="L986"/>
    </row>
    <row r="987" spans="12:12" x14ac:dyDescent="0.2">
      <c r="L987"/>
    </row>
    <row r="988" spans="12:12" x14ac:dyDescent="0.2">
      <c r="L988"/>
    </row>
    <row r="989" spans="12:12" x14ac:dyDescent="0.2">
      <c r="L989"/>
    </row>
    <row r="990" spans="12:12" x14ac:dyDescent="0.2">
      <c r="L990"/>
    </row>
    <row r="991" spans="12:12" x14ac:dyDescent="0.2">
      <c r="L991"/>
    </row>
    <row r="992" spans="12:12" x14ac:dyDescent="0.2">
      <c r="L992"/>
    </row>
    <row r="993" spans="12:12" x14ac:dyDescent="0.2">
      <c r="L993"/>
    </row>
    <row r="994" spans="12:12" x14ac:dyDescent="0.2">
      <c r="L994"/>
    </row>
    <row r="995" spans="12:12" x14ac:dyDescent="0.2">
      <c r="L995"/>
    </row>
    <row r="996" spans="12:12" x14ac:dyDescent="0.2">
      <c r="L996"/>
    </row>
    <row r="997" spans="12:12" x14ac:dyDescent="0.2">
      <c r="L997"/>
    </row>
    <row r="998" spans="12:12" x14ac:dyDescent="0.2">
      <c r="L998"/>
    </row>
    <row r="999" spans="12:12" x14ac:dyDescent="0.2">
      <c r="L999"/>
    </row>
    <row r="1000" spans="12:12" x14ac:dyDescent="0.2">
      <c r="L1000"/>
    </row>
    <row r="1001" spans="12:12" x14ac:dyDescent="0.2">
      <c r="L1001"/>
    </row>
    <row r="1002" spans="12:12" x14ac:dyDescent="0.2">
      <c r="L1002"/>
    </row>
    <row r="1003" spans="12:12" x14ac:dyDescent="0.2">
      <c r="L1003"/>
    </row>
    <row r="1004" spans="12:12" x14ac:dyDescent="0.2">
      <c r="L1004"/>
    </row>
    <row r="1005" spans="12:12" x14ac:dyDescent="0.2">
      <c r="L1005"/>
    </row>
    <row r="1006" spans="12:12" x14ac:dyDescent="0.2">
      <c r="L1006"/>
    </row>
    <row r="1007" spans="12:12" x14ac:dyDescent="0.2">
      <c r="L1007"/>
    </row>
    <row r="1008" spans="12:12" x14ac:dyDescent="0.2">
      <c r="L1008"/>
    </row>
    <row r="1009" spans="12:12" x14ac:dyDescent="0.2">
      <c r="L1009"/>
    </row>
    <row r="1010" spans="12:12" x14ac:dyDescent="0.2">
      <c r="L1010"/>
    </row>
    <row r="1011" spans="12:12" x14ac:dyDescent="0.2">
      <c r="L1011"/>
    </row>
    <row r="1012" spans="12:12" x14ac:dyDescent="0.2">
      <c r="L1012"/>
    </row>
    <row r="1013" spans="12:12" x14ac:dyDescent="0.2">
      <c r="L1013"/>
    </row>
    <row r="1014" spans="12:12" x14ac:dyDescent="0.2">
      <c r="L1014"/>
    </row>
    <row r="1015" spans="12:12" x14ac:dyDescent="0.2">
      <c r="L1015"/>
    </row>
    <row r="1016" spans="12:12" x14ac:dyDescent="0.2">
      <c r="L1016"/>
    </row>
    <row r="1017" spans="12:12" x14ac:dyDescent="0.2">
      <c r="L1017"/>
    </row>
    <row r="1018" spans="12:12" x14ac:dyDescent="0.2">
      <c r="L1018"/>
    </row>
    <row r="1019" spans="12:12" x14ac:dyDescent="0.2">
      <c r="L1019"/>
    </row>
    <row r="1020" spans="12:12" x14ac:dyDescent="0.2">
      <c r="L1020"/>
    </row>
    <row r="1021" spans="12:12" x14ac:dyDescent="0.2">
      <c r="L1021"/>
    </row>
    <row r="1022" spans="12:12" x14ac:dyDescent="0.2">
      <c r="L1022"/>
    </row>
    <row r="1023" spans="12:12" x14ac:dyDescent="0.2">
      <c r="L1023"/>
    </row>
    <row r="1024" spans="12:12" x14ac:dyDescent="0.2">
      <c r="L1024"/>
    </row>
    <row r="1025" spans="12:12" x14ac:dyDescent="0.2">
      <c r="L1025"/>
    </row>
    <row r="1026" spans="12:12" x14ac:dyDescent="0.2">
      <c r="L1026"/>
    </row>
    <row r="1027" spans="12:12" x14ac:dyDescent="0.2">
      <c r="L1027"/>
    </row>
    <row r="1028" spans="12:12" x14ac:dyDescent="0.2">
      <c r="L1028"/>
    </row>
    <row r="1029" spans="12:12" x14ac:dyDescent="0.2">
      <c r="L1029"/>
    </row>
    <row r="1030" spans="12:12" x14ac:dyDescent="0.2">
      <c r="L1030"/>
    </row>
    <row r="1031" spans="12:12" x14ac:dyDescent="0.2">
      <c r="L1031"/>
    </row>
    <row r="1032" spans="12:12" x14ac:dyDescent="0.2">
      <c r="L1032"/>
    </row>
    <row r="1033" spans="12:12" x14ac:dyDescent="0.2">
      <c r="L1033"/>
    </row>
    <row r="1034" spans="12:12" x14ac:dyDescent="0.2">
      <c r="L1034"/>
    </row>
    <row r="1035" spans="12:12" x14ac:dyDescent="0.2">
      <c r="L1035"/>
    </row>
    <row r="1036" spans="12:12" x14ac:dyDescent="0.2">
      <c r="L1036"/>
    </row>
    <row r="1037" spans="12:12" x14ac:dyDescent="0.2">
      <c r="L1037"/>
    </row>
    <row r="1038" spans="12:12" x14ac:dyDescent="0.2">
      <c r="L1038"/>
    </row>
    <row r="1039" spans="12:12" x14ac:dyDescent="0.2">
      <c r="L1039"/>
    </row>
    <row r="1040" spans="12:12" x14ac:dyDescent="0.2">
      <c r="L1040"/>
    </row>
    <row r="1041" spans="12:12" x14ac:dyDescent="0.2">
      <c r="L1041"/>
    </row>
    <row r="1042" spans="12:12" x14ac:dyDescent="0.2">
      <c r="L1042"/>
    </row>
    <row r="1043" spans="12:12" x14ac:dyDescent="0.2">
      <c r="L1043"/>
    </row>
    <row r="1044" spans="12:12" x14ac:dyDescent="0.2">
      <c r="L1044"/>
    </row>
    <row r="1045" spans="12:12" x14ac:dyDescent="0.2">
      <c r="L1045"/>
    </row>
    <row r="1046" spans="12:12" x14ac:dyDescent="0.2">
      <c r="L1046"/>
    </row>
    <row r="1047" spans="12:12" x14ac:dyDescent="0.2">
      <c r="L1047"/>
    </row>
    <row r="1048" spans="12:12" x14ac:dyDescent="0.2">
      <c r="L1048"/>
    </row>
    <row r="1049" spans="12:12" x14ac:dyDescent="0.2">
      <c r="L1049"/>
    </row>
    <row r="1050" spans="12:12" x14ac:dyDescent="0.2">
      <c r="L1050"/>
    </row>
    <row r="1051" spans="12:12" x14ac:dyDescent="0.2">
      <c r="L1051"/>
    </row>
    <row r="1052" spans="12:12" x14ac:dyDescent="0.2">
      <c r="L1052"/>
    </row>
    <row r="1053" spans="12:12" x14ac:dyDescent="0.2">
      <c r="L1053"/>
    </row>
    <row r="1054" spans="12:12" x14ac:dyDescent="0.2">
      <c r="L1054"/>
    </row>
    <row r="1055" spans="12:12" x14ac:dyDescent="0.2">
      <c r="L1055"/>
    </row>
    <row r="1056" spans="12:12" x14ac:dyDescent="0.2">
      <c r="L1056"/>
    </row>
    <row r="1057" spans="12:12" x14ac:dyDescent="0.2">
      <c r="L1057"/>
    </row>
    <row r="1058" spans="12:12" x14ac:dyDescent="0.2">
      <c r="L1058"/>
    </row>
    <row r="1059" spans="12:12" x14ac:dyDescent="0.2">
      <c r="L1059"/>
    </row>
    <row r="1060" spans="12:12" x14ac:dyDescent="0.2">
      <c r="L1060"/>
    </row>
    <row r="1061" spans="12:12" x14ac:dyDescent="0.2">
      <c r="L1061"/>
    </row>
    <row r="1062" spans="12:12" x14ac:dyDescent="0.2">
      <c r="L1062"/>
    </row>
    <row r="1063" spans="12:12" x14ac:dyDescent="0.2">
      <c r="L1063"/>
    </row>
    <row r="1064" spans="12:12" x14ac:dyDescent="0.2">
      <c r="L1064"/>
    </row>
    <row r="1065" spans="12:12" x14ac:dyDescent="0.2">
      <c r="L1065"/>
    </row>
    <row r="1066" spans="12:12" x14ac:dyDescent="0.2">
      <c r="L1066"/>
    </row>
    <row r="1067" spans="12:12" x14ac:dyDescent="0.2">
      <c r="L1067"/>
    </row>
    <row r="1068" spans="12:12" x14ac:dyDescent="0.2">
      <c r="L1068"/>
    </row>
    <row r="1069" spans="12:12" x14ac:dyDescent="0.2">
      <c r="L1069"/>
    </row>
    <row r="1070" spans="12:12" x14ac:dyDescent="0.2">
      <c r="L1070"/>
    </row>
    <row r="1071" spans="12:12" x14ac:dyDescent="0.2">
      <c r="L1071"/>
    </row>
    <row r="1072" spans="12:12" x14ac:dyDescent="0.2">
      <c r="L1072"/>
    </row>
    <row r="1073" spans="12:12" x14ac:dyDescent="0.2">
      <c r="L1073"/>
    </row>
    <row r="1074" spans="12:12" x14ac:dyDescent="0.2">
      <c r="L1074"/>
    </row>
    <row r="1075" spans="12:12" x14ac:dyDescent="0.2">
      <c r="L1075"/>
    </row>
    <row r="1076" spans="12:12" x14ac:dyDescent="0.2">
      <c r="L1076"/>
    </row>
    <row r="1077" spans="12:12" x14ac:dyDescent="0.2">
      <c r="L1077"/>
    </row>
    <row r="1078" spans="12:12" x14ac:dyDescent="0.2">
      <c r="L1078"/>
    </row>
    <row r="1079" spans="12:12" x14ac:dyDescent="0.2">
      <c r="L1079"/>
    </row>
    <row r="1080" spans="12:12" x14ac:dyDescent="0.2">
      <c r="L1080"/>
    </row>
    <row r="1081" spans="12:12" x14ac:dyDescent="0.2">
      <c r="L1081"/>
    </row>
    <row r="1082" spans="12:12" x14ac:dyDescent="0.2">
      <c r="L1082"/>
    </row>
    <row r="1083" spans="12:12" x14ac:dyDescent="0.2">
      <c r="L1083"/>
    </row>
    <row r="1084" spans="12:12" x14ac:dyDescent="0.2">
      <c r="L1084"/>
    </row>
    <row r="1085" spans="12:12" x14ac:dyDescent="0.2">
      <c r="L1085"/>
    </row>
    <row r="1086" spans="12:12" x14ac:dyDescent="0.2">
      <c r="L1086"/>
    </row>
    <row r="1087" spans="12:12" x14ac:dyDescent="0.2">
      <c r="L1087"/>
    </row>
    <row r="1088" spans="12:12" x14ac:dyDescent="0.2">
      <c r="L1088"/>
    </row>
    <row r="1089" spans="12:12" x14ac:dyDescent="0.2">
      <c r="L1089"/>
    </row>
    <row r="1090" spans="12:12" x14ac:dyDescent="0.2">
      <c r="L1090"/>
    </row>
    <row r="1091" spans="12:12" x14ac:dyDescent="0.2">
      <c r="L1091"/>
    </row>
    <row r="1092" spans="12:12" x14ac:dyDescent="0.2">
      <c r="L1092"/>
    </row>
    <row r="1093" spans="12:12" x14ac:dyDescent="0.2">
      <c r="L1093"/>
    </row>
    <row r="1094" spans="12:12" x14ac:dyDescent="0.2">
      <c r="L1094"/>
    </row>
    <row r="1095" spans="12:12" x14ac:dyDescent="0.2">
      <c r="L1095"/>
    </row>
    <row r="1096" spans="12:12" x14ac:dyDescent="0.2">
      <c r="L1096"/>
    </row>
    <row r="1097" spans="12:12" x14ac:dyDescent="0.2">
      <c r="L1097"/>
    </row>
    <row r="1098" spans="12:12" x14ac:dyDescent="0.2">
      <c r="L1098"/>
    </row>
    <row r="1099" spans="12:12" x14ac:dyDescent="0.2">
      <c r="L1099"/>
    </row>
    <row r="1100" spans="12:12" x14ac:dyDescent="0.2">
      <c r="L1100"/>
    </row>
    <row r="1101" spans="12:12" x14ac:dyDescent="0.2">
      <c r="L1101"/>
    </row>
    <row r="1102" spans="12:12" x14ac:dyDescent="0.2">
      <c r="L1102"/>
    </row>
    <row r="1103" spans="12:12" x14ac:dyDescent="0.2">
      <c r="L1103"/>
    </row>
    <row r="1104" spans="12:12" x14ac:dyDescent="0.2">
      <c r="L1104"/>
    </row>
    <row r="1105" spans="12:12" x14ac:dyDescent="0.2">
      <c r="L1105"/>
    </row>
    <row r="1106" spans="12:12" x14ac:dyDescent="0.2">
      <c r="L1106"/>
    </row>
    <row r="1107" spans="12:12" x14ac:dyDescent="0.2">
      <c r="L1107"/>
    </row>
    <row r="1108" spans="12:12" x14ac:dyDescent="0.2">
      <c r="L1108"/>
    </row>
    <row r="1109" spans="12:12" x14ac:dyDescent="0.2">
      <c r="L1109"/>
    </row>
    <row r="1110" spans="12:12" x14ac:dyDescent="0.2">
      <c r="L1110"/>
    </row>
    <row r="1111" spans="12:12" x14ac:dyDescent="0.2">
      <c r="L1111"/>
    </row>
    <row r="1112" spans="12:12" x14ac:dyDescent="0.2">
      <c r="L1112"/>
    </row>
    <row r="1113" spans="12:12" x14ac:dyDescent="0.2">
      <c r="L1113"/>
    </row>
    <row r="1114" spans="12:12" x14ac:dyDescent="0.2">
      <c r="L1114"/>
    </row>
    <row r="1115" spans="12:12" x14ac:dyDescent="0.2">
      <c r="L1115"/>
    </row>
    <row r="1116" spans="12:12" x14ac:dyDescent="0.2">
      <c r="L1116"/>
    </row>
    <row r="1117" spans="12:12" x14ac:dyDescent="0.2">
      <c r="L1117"/>
    </row>
    <row r="1118" spans="12:12" x14ac:dyDescent="0.2">
      <c r="L1118"/>
    </row>
    <row r="1119" spans="12:12" x14ac:dyDescent="0.2">
      <c r="L1119"/>
    </row>
    <row r="1120" spans="12:12" x14ac:dyDescent="0.2">
      <c r="L1120"/>
    </row>
    <row r="1121" spans="12:12" x14ac:dyDescent="0.2">
      <c r="L1121"/>
    </row>
    <row r="1122" spans="12:12" x14ac:dyDescent="0.2">
      <c r="L1122"/>
    </row>
    <row r="1123" spans="12:12" x14ac:dyDescent="0.2">
      <c r="L1123"/>
    </row>
    <row r="1124" spans="12:12" x14ac:dyDescent="0.2">
      <c r="L1124"/>
    </row>
    <row r="1125" spans="12:12" x14ac:dyDescent="0.2">
      <c r="L1125"/>
    </row>
    <row r="1126" spans="12:12" x14ac:dyDescent="0.2">
      <c r="L1126"/>
    </row>
    <row r="1127" spans="12:12" x14ac:dyDescent="0.2">
      <c r="L1127"/>
    </row>
    <row r="1128" spans="12:12" x14ac:dyDescent="0.2">
      <c r="L1128"/>
    </row>
    <row r="1129" spans="12:12" x14ac:dyDescent="0.2">
      <c r="L1129"/>
    </row>
    <row r="1130" spans="12:12" x14ac:dyDescent="0.2">
      <c r="L1130"/>
    </row>
    <row r="1131" spans="12:12" x14ac:dyDescent="0.2">
      <c r="L1131"/>
    </row>
    <row r="1132" spans="12:12" x14ac:dyDescent="0.2">
      <c r="L1132"/>
    </row>
    <row r="1133" spans="12:12" x14ac:dyDescent="0.2">
      <c r="L1133"/>
    </row>
    <row r="1134" spans="12:12" x14ac:dyDescent="0.2">
      <c r="L1134"/>
    </row>
    <row r="1135" spans="12:12" x14ac:dyDescent="0.2">
      <c r="L1135"/>
    </row>
    <row r="1136" spans="12:12" x14ac:dyDescent="0.2">
      <c r="L1136"/>
    </row>
    <row r="1137" spans="12:12" x14ac:dyDescent="0.2">
      <c r="L1137"/>
    </row>
    <row r="1138" spans="12:12" x14ac:dyDescent="0.2">
      <c r="L1138"/>
    </row>
    <row r="1139" spans="12:12" x14ac:dyDescent="0.2">
      <c r="L1139"/>
    </row>
    <row r="1140" spans="12:12" x14ac:dyDescent="0.2">
      <c r="L1140"/>
    </row>
    <row r="1141" spans="12:12" x14ac:dyDescent="0.2">
      <c r="L1141"/>
    </row>
    <row r="1142" spans="12:12" x14ac:dyDescent="0.2">
      <c r="L1142"/>
    </row>
    <row r="1143" spans="12:12" x14ac:dyDescent="0.2">
      <c r="L1143"/>
    </row>
    <row r="1144" spans="12:12" x14ac:dyDescent="0.2">
      <c r="L1144"/>
    </row>
    <row r="1145" spans="12:12" x14ac:dyDescent="0.2">
      <c r="L1145"/>
    </row>
    <row r="1146" spans="12:12" x14ac:dyDescent="0.2">
      <c r="L1146"/>
    </row>
    <row r="1147" spans="12:12" x14ac:dyDescent="0.2">
      <c r="L1147"/>
    </row>
    <row r="1148" spans="12:12" x14ac:dyDescent="0.2">
      <c r="L1148"/>
    </row>
    <row r="1149" spans="12:12" x14ac:dyDescent="0.2">
      <c r="L1149"/>
    </row>
    <row r="1150" spans="12:12" x14ac:dyDescent="0.2">
      <c r="L1150"/>
    </row>
    <row r="1151" spans="12:12" x14ac:dyDescent="0.2">
      <c r="L1151"/>
    </row>
    <row r="1152" spans="12:12" x14ac:dyDescent="0.2">
      <c r="L1152"/>
    </row>
    <row r="1153" spans="12:12" x14ac:dyDescent="0.2">
      <c r="L1153"/>
    </row>
    <row r="1154" spans="12:12" x14ac:dyDescent="0.2">
      <c r="L1154"/>
    </row>
    <row r="1155" spans="12:12" x14ac:dyDescent="0.2">
      <c r="L1155"/>
    </row>
    <row r="1156" spans="12:12" x14ac:dyDescent="0.2">
      <c r="L1156"/>
    </row>
    <row r="1157" spans="12:12" x14ac:dyDescent="0.2">
      <c r="L1157"/>
    </row>
    <row r="1158" spans="12:12" x14ac:dyDescent="0.2">
      <c r="L1158"/>
    </row>
    <row r="1159" spans="12:12" x14ac:dyDescent="0.2">
      <c r="L1159"/>
    </row>
    <row r="1160" spans="12:12" x14ac:dyDescent="0.2">
      <c r="L1160"/>
    </row>
    <row r="1161" spans="12:12" x14ac:dyDescent="0.2">
      <c r="L1161"/>
    </row>
    <row r="1162" spans="12:12" x14ac:dyDescent="0.2">
      <c r="L1162"/>
    </row>
    <row r="1163" spans="12:12" x14ac:dyDescent="0.2">
      <c r="L1163"/>
    </row>
    <row r="1164" spans="12:12" x14ac:dyDescent="0.2">
      <c r="L1164"/>
    </row>
    <row r="1165" spans="12:12" x14ac:dyDescent="0.2">
      <c r="L1165"/>
    </row>
    <row r="1166" spans="12:12" x14ac:dyDescent="0.2">
      <c r="L1166"/>
    </row>
    <row r="1167" spans="12:12" x14ac:dyDescent="0.2">
      <c r="L1167"/>
    </row>
    <row r="1168" spans="12:12" x14ac:dyDescent="0.2">
      <c r="L1168"/>
    </row>
    <row r="1169" spans="12:12" x14ac:dyDescent="0.2">
      <c r="L1169"/>
    </row>
    <row r="1170" spans="12:12" x14ac:dyDescent="0.2">
      <c r="L1170"/>
    </row>
    <row r="1171" spans="12:12" x14ac:dyDescent="0.2">
      <c r="L1171"/>
    </row>
    <row r="1172" spans="12:12" x14ac:dyDescent="0.2">
      <c r="L1172"/>
    </row>
    <row r="1173" spans="12:12" x14ac:dyDescent="0.2">
      <c r="L1173"/>
    </row>
    <row r="1174" spans="12:12" x14ac:dyDescent="0.2">
      <c r="L1174"/>
    </row>
    <row r="1175" spans="12:12" x14ac:dyDescent="0.2">
      <c r="L1175"/>
    </row>
    <row r="1176" spans="12:12" x14ac:dyDescent="0.2">
      <c r="L1176"/>
    </row>
    <row r="1177" spans="12:12" x14ac:dyDescent="0.2">
      <c r="L1177"/>
    </row>
    <row r="1178" spans="12:12" x14ac:dyDescent="0.2">
      <c r="L1178"/>
    </row>
    <row r="1179" spans="12:12" x14ac:dyDescent="0.2">
      <c r="L1179"/>
    </row>
    <row r="1180" spans="12:12" x14ac:dyDescent="0.2">
      <c r="L1180"/>
    </row>
    <row r="1181" spans="12:12" x14ac:dyDescent="0.2">
      <c r="L1181"/>
    </row>
    <row r="1182" spans="12:12" x14ac:dyDescent="0.2">
      <c r="L1182"/>
    </row>
    <row r="1183" spans="12:12" x14ac:dyDescent="0.2">
      <c r="L1183"/>
    </row>
    <row r="1184" spans="12:12" x14ac:dyDescent="0.2">
      <c r="L1184"/>
    </row>
    <row r="1185" spans="12:12" x14ac:dyDescent="0.2">
      <c r="L1185"/>
    </row>
    <row r="1186" spans="12:12" x14ac:dyDescent="0.2">
      <c r="L1186"/>
    </row>
    <row r="1187" spans="12:12" x14ac:dyDescent="0.2">
      <c r="L1187"/>
    </row>
    <row r="1188" spans="12:12" x14ac:dyDescent="0.2">
      <c r="L1188"/>
    </row>
    <row r="1189" spans="12:12" x14ac:dyDescent="0.2">
      <c r="L1189"/>
    </row>
    <row r="1190" spans="12:12" x14ac:dyDescent="0.2">
      <c r="L1190"/>
    </row>
    <row r="1191" spans="12:12" x14ac:dyDescent="0.2">
      <c r="L1191"/>
    </row>
    <row r="1192" spans="12:12" x14ac:dyDescent="0.2">
      <c r="L1192"/>
    </row>
    <row r="1193" spans="12:12" x14ac:dyDescent="0.2">
      <c r="L1193"/>
    </row>
    <row r="1194" spans="12:12" x14ac:dyDescent="0.2">
      <c r="L1194"/>
    </row>
    <row r="1195" spans="12:12" x14ac:dyDescent="0.2">
      <c r="L1195"/>
    </row>
    <row r="1196" spans="12:12" x14ac:dyDescent="0.2">
      <c r="L1196"/>
    </row>
    <row r="1197" spans="12:12" x14ac:dyDescent="0.2">
      <c r="L1197"/>
    </row>
    <row r="1198" spans="12:12" x14ac:dyDescent="0.2">
      <c r="L1198"/>
    </row>
    <row r="1199" spans="12:12" x14ac:dyDescent="0.2">
      <c r="L1199"/>
    </row>
    <row r="1200" spans="12:12" x14ac:dyDescent="0.2">
      <c r="L1200"/>
    </row>
    <row r="1201" spans="12:12" x14ac:dyDescent="0.2">
      <c r="L1201"/>
    </row>
    <row r="1202" spans="12:12" x14ac:dyDescent="0.2">
      <c r="L1202"/>
    </row>
    <row r="1203" spans="12:12" x14ac:dyDescent="0.2">
      <c r="L1203"/>
    </row>
    <row r="1204" spans="12:12" x14ac:dyDescent="0.2">
      <c r="L1204"/>
    </row>
    <row r="1205" spans="12:12" x14ac:dyDescent="0.2">
      <c r="L1205"/>
    </row>
    <row r="1206" spans="12:12" x14ac:dyDescent="0.2">
      <c r="L1206"/>
    </row>
    <row r="1207" spans="12:12" x14ac:dyDescent="0.2">
      <c r="L1207"/>
    </row>
    <row r="1208" spans="12:12" x14ac:dyDescent="0.2">
      <c r="L1208"/>
    </row>
    <row r="1209" spans="12:12" x14ac:dyDescent="0.2">
      <c r="L1209"/>
    </row>
    <row r="1210" spans="12:12" x14ac:dyDescent="0.2">
      <c r="L1210"/>
    </row>
    <row r="1211" spans="12:12" x14ac:dyDescent="0.2">
      <c r="L1211"/>
    </row>
    <row r="1212" spans="12:12" x14ac:dyDescent="0.2">
      <c r="L1212"/>
    </row>
    <row r="1213" spans="12:12" x14ac:dyDescent="0.2">
      <c r="L1213"/>
    </row>
    <row r="1214" spans="12:12" x14ac:dyDescent="0.2">
      <c r="L1214"/>
    </row>
    <row r="1215" spans="12:12" x14ac:dyDescent="0.2">
      <c r="L1215"/>
    </row>
    <row r="1216" spans="12:12" x14ac:dyDescent="0.2">
      <c r="L1216"/>
    </row>
    <row r="1217" spans="12:12" x14ac:dyDescent="0.2">
      <c r="L1217"/>
    </row>
    <row r="1218" spans="12:12" x14ac:dyDescent="0.2">
      <c r="L1218"/>
    </row>
    <row r="1219" spans="12:12" x14ac:dyDescent="0.2">
      <c r="L1219"/>
    </row>
    <row r="1220" spans="12:12" x14ac:dyDescent="0.2">
      <c r="L1220"/>
    </row>
    <row r="1221" spans="12:12" x14ac:dyDescent="0.2">
      <c r="L1221"/>
    </row>
    <row r="1222" spans="12:12" x14ac:dyDescent="0.2">
      <c r="L1222"/>
    </row>
    <row r="1223" spans="12:12" x14ac:dyDescent="0.2">
      <c r="L1223"/>
    </row>
    <row r="1224" spans="12:12" x14ac:dyDescent="0.2">
      <c r="L1224"/>
    </row>
    <row r="1225" spans="12:12" x14ac:dyDescent="0.2">
      <c r="L1225"/>
    </row>
    <row r="1226" spans="12:12" x14ac:dyDescent="0.2">
      <c r="L1226"/>
    </row>
    <row r="1227" spans="12:12" x14ac:dyDescent="0.2">
      <c r="L1227"/>
    </row>
    <row r="1228" spans="12:12" x14ac:dyDescent="0.2">
      <c r="L1228"/>
    </row>
    <row r="1229" spans="12:12" x14ac:dyDescent="0.2">
      <c r="L1229"/>
    </row>
    <row r="1230" spans="12:12" x14ac:dyDescent="0.2">
      <c r="L1230"/>
    </row>
    <row r="1231" spans="12:12" x14ac:dyDescent="0.2">
      <c r="L1231"/>
    </row>
    <row r="1232" spans="12:12" x14ac:dyDescent="0.2">
      <c r="L1232"/>
    </row>
    <row r="1233" spans="12:12" x14ac:dyDescent="0.2">
      <c r="L1233"/>
    </row>
    <row r="1234" spans="12:12" x14ac:dyDescent="0.2">
      <c r="L1234"/>
    </row>
    <row r="1235" spans="12:12" x14ac:dyDescent="0.2">
      <c r="L1235"/>
    </row>
    <row r="1236" spans="12:12" x14ac:dyDescent="0.2">
      <c r="L1236"/>
    </row>
    <row r="1237" spans="12:12" x14ac:dyDescent="0.2">
      <c r="L1237"/>
    </row>
    <row r="1238" spans="12:12" x14ac:dyDescent="0.2">
      <c r="L1238"/>
    </row>
    <row r="1239" spans="12:12" x14ac:dyDescent="0.2">
      <c r="L1239"/>
    </row>
    <row r="1240" spans="12:12" x14ac:dyDescent="0.2">
      <c r="L1240"/>
    </row>
    <row r="1241" spans="12:12" x14ac:dyDescent="0.2">
      <c r="L1241"/>
    </row>
    <row r="1242" spans="12:12" x14ac:dyDescent="0.2">
      <c r="L1242"/>
    </row>
    <row r="1243" spans="12:12" x14ac:dyDescent="0.2">
      <c r="L1243"/>
    </row>
    <row r="1244" spans="12:12" x14ac:dyDescent="0.2">
      <c r="L1244"/>
    </row>
    <row r="1245" spans="12:12" x14ac:dyDescent="0.2">
      <c r="L1245"/>
    </row>
    <row r="1246" spans="12:12" x14ac:dyDescent="0.2">
      <c r="L1246"/>
    </row>
    <row r="1247" spans="12:12" x14ac:dyDescent="0.2">
      <c r="L1247"/>
    </row>
    <row r="1248" spans="12:12" x14ac:dyDescent="0.2">
      <c r="L1248"/>
    </row>
    <row r="1249" spans="12:12" x14ac:dyDescent="0.2">
      <c r="L1249"/>
    </row>
    <row r="1250" spans="12:12" x14ac:dyDescent="0.2">
      <c r="L1250"/>
    </row>
    <row r="1251" spans="12:12" x14ac:dyDescent="0.2">
      <c r="L1251"/>
    </row>
    <row r="1252" spans="12:12" x14ac:dyDescent="0.2">
      <c r="L1252"/>
    </row>
    <row r="1253" spans="12:12" x14ac:dyDescent="0.2">
      <c r="L1253"/>
    </row>
    <row r="1254" spans="12:12" x14ac:dyDescent="0.2">
      <c r="L1254"/>
    </row>
    <row r="1255" spans="12:12" x14ac:dyDescent="0.2">
      <c r="L1255"/>
    </row>
    <row r="1256" spans="12:12" x14ac:dyDescent="0.2">
      <c r="L1256"/>
    </row>
    <row r="1257" spans="12:12" x14ac:dyDescent="0.2">
      <c r="L1257"/>
    </row>
    <row r="1258" spans="12:12" x14ac:dyDescent="0.2">
      <c r="L1258"/>
    </row>
    <row r="1259" spans="12:12" x14ac:dyDescent="0.2">
      <c r="L1259"/>
    </row>
    <row r="1260" spans="12:12" x14ac:dyDescent="0.2">
      <c r="L1260"/>
    </row>
    <row r="1261" spans="12:12" x14ac:dyDescent="0.2">
      <c r="L1261"/>
    </row>
    <row r="1262" spans="12:12" x14ac:dyDescent="0.2">
      <c r="L1262"/>
    </row>
    <row r="1263" spans="12:12" x14ac:dyDescent="0.2">
      <c r="L1263"/>
    </row>
    <row r="1264" spans="12:12" x14ac:dyDescent="0.2">
      <c r="L1264"/>
    </row>
    <row r="1265" spans="12:12" x14ac:dyDescent="0.2">
      <c r="L1265"/>
    </row>
    <row r="1266" spans="12:12" x14ac:dyDescent="0.2">
      <c r="L1266"/>
    </row>
    <row r="1267" spans="12:12" x14ac:dyDescent="0.2">
      <c r="L1267"/>
    </row>
    <row r="1268" spans="12:12" x14ac:dyDescent="0.2">
      <c r="L1268"/>
    </row>
    <row r="1269" spans="12:12" x14ac:dyDescent="0.2">
      <c r="L1269"/>
    </row>
    <row r="1270" spans="12:12" x14ac:dyDescent="0.2">
      <c r="L1270"/>
    </row>
    <row r="1271" spans="12:12" x14ac:dyDescent="0.2">
      <c r="L1271"/>
    </row>
    <row r="1272" spans="12:12" x14ac:dyDescent="0.2">
      <c r="L1272"/>
    </row>
    <row r="1273" spans="12:12" x14ac:dyDescent="0.2">
      <c r="L1273"/>
    </row>
    <row r="1274" spans="12:12" x14ac:dyDescent="0.2">
      <c r="L1274"/>
    </row>
    <row r="1275" spans="12:12" x14ac:dyDescent="0.2">
      <c r="L1275"/>
    </row>
    <row r="1276" spans="12:12" x14ac:dyDescent="0.2">
      <c r="L1276"/>
    </row>
    <row r="1277" spans="12:12" x14ac:dyDescent="0.2">
      <c r="L1277"/>
    </row>
    <row r="1278" spans="12:12" x14ac:dyDescent="0.2">
      <c r="L1278"/>
    </row>
    <row r="1279" spans="12:12" x14ac:dyDescent="0.2">
      <c r="L1279"/>
    </row>
    <row r="1280" spans="12:12" x14ac:dyDescent="0.2">
      <c r="L1280"/>
    </row>
    <row r="1281" spans="12:12" x14ac:dyDescent="0.2">
      <c r="L1281"/>
    </row>
    <row r="1282" spans="12:12" x14ac:dyDescent="0.2">
      <c r="L1282"/>
    </row>
    <row r="1283" spans="12:12" x14ac:dyDescent="0.2">
      <c r="L1283"/>
    </row>
    <row r="1284" spans="12:12" x14ac:dyDescent="0.2">
      <c r="L1284"/>
    </row>
    <row r="1285" spans="12:12" x14ac:dyDescent="0.2">
      <c r="L1285"/>
    </row>
    <row r="1286" spans="12:12" x14ac:dyDescent="0.2">
      <c r="L1286"/>
    </row>
    <row r="1287" spans="12:12" x14ac:dyDescent="0.2">
      <c r="L1287"/>
    </row>
    <row r="1288" spans="12:12" x14ac:dyDescent="0.2">
      <c r="L1288"/>
    </row>
    <row r="1289" spans="12:12" x14ac:dyDescent="0.2">
      <c r="L1289"/>
    </row>
    <row r="1290" spans="12:12" x14ac:dyDescent="0.2">
      <c r="L1290"/>
    </row>
    <row r="1291" spans="12:12" x14ac:dyDescent="0.2">
      <c r="L1291"/>
    </row>
    <row r="1292" spans="12:12" x14ac:dyDescent="0.2">
      <c r="L1292"/>
    </row>
    <row r="1293" spans="12:12" x14ac:dyDescent="0.2">
      <c r="L1293"/>
    </row>
    <row r="1294" spans="12:12" x14ac:dyDescent="0.2">
      <c r="L1294"/>
    </row>
    <row r="1295" spans="12:12" x14ac:dyDescent="0.2">
      <c r="L1295"/>
    </row>
    <row r="1296" spans="12:12" x14ac:dyDescent="0.2">
      <c r="L1296"/>
    </row>
    <row r="1297" spans="12:12" x14ac:dyDescent="0.2">
      <c r="L1297"/>
    </row>
    <row r="1298" spans="12:12" x14ac:dyDescent="0.2">
      <c r="L1298"/>
    </row>
    <row r="1299" spans="12:12" x14ac:dyDescent="0.2">
      <c r="L1299"/>
    </row>
    <row r="1300" spans="12:12" x14ac:dyDescent="0.2">
      <c r="L1300"/>
    </row>
    <row r="1301" spans="12:12" x14ac:dyDescent="0.2">
      <c r="L1301"/>
    </row>
    <row r="1302" spans="12:12" x14ac:dyDescent="0.2">
      <c r="L1302"/>
    </row>
    <row r="1303" spans="12:12" x14ac:dyDescent="0.2">
      <c r="L1303"/>
    </row>
    <row r="1304" spans="12:12" x14ac:dyDescent="0.2">
      <c r="L1304"/>
    </row>
    <row r="1305" spans="12:12" x14ac:dyDescent="0.2">
      <c r="L1305"/>
    </row>
    <row r="1306" spans="12:12" x14ac:dyDescent="0.2">
      <c r="L1306"/>
    </row>
    <row r="1307" spans="12:12" x14ac:dyDescent="0.2">
      <c r="L1307"/>
    </row>
    <row r="1308" spans="12:12" x14ac:dyDescent="0.2">
      <c r="L1308"/>
    </row>
    <row r="1309" spans="12:12" x14ac:dyDescent="0.2">
      <c r="L1309"/>
    </row>
    <row r="1310" spans="12:12" x14ac:dyDescent="0.2">
      <c r="L1310"/>
    </row>
    <row r="1311" spans="12:12" x14ac:dyDescent="0.2">
      <c r="L1311"/>
    </row>
    <row r="1312" spans="12:12" x14ac:dyDescent="0.2">
      <c r="L1312"/>
    </row>
    <row r="1313" spans="12:12" x14ac:dyDescent="0.2">
      <c r="L1313"/>
    </row>
    <row r="1314" spans="12:12" x14ac:dyDescent="0.2">
      <c r="L1314"/>
    </row>
    <row r="1315" spans="12:12" x14ac:dyDescent="0.2">
      <c r="L1315"/>
    </row>
    <row r="1316" spans="12:12" x14ac:dyDescent="0.2">
      <c r="L1316"/>
    </row>
    <row r="1317" spans="12:12" x14ac:dyDescent="0.2">
      <c r="L1317"/>
    </row>
    <row r="1318" spans="12:12" x14ac:dyDescent="0.2">
      <c r="L1318"/>
    </row>
    <row r="1319" spans="12:12" x14ac:dyDescent="0.2">
      <c r="L1319"/>
    </row>
    <row r="1320" spans="12:12" x14ac:dyDescent="0.2">
      <c r="L1320"/>
    </row>
    <row r="1321" spans="12:12" x14ac:dyDescent="0.2">
      <c r="L1321"/>
    </row>
    <row r="1322" spans="12:12" x14ac:dyDescent="0.2">
      <c r="L1322"/>
    </row>
    <row r="1323" spans="12:12" x14ac:dyDescent="0.2">
      <c r="L1323"/>
    </row>
    <row r="1324" spans="12:12" x14ac:dyDescent="0.2">
      <c r="L1324"/>
    </row>
    <row r="1325" spans="12:12" x14ac:dyDescent="0.2">
      <c r="L1325"/>
    </row>
    <row r="1326" spans="12:12" x14ac:dyDescent="0.2">
      <c r="L1326"/>
    </row>
    <row r="1327" spans="12:12" x14ac:dyDescent="0.2">
      <c r="L1327"/>
    </row>
    <row r="1328" spans="12:12" x14ac:dyDescent="0.2">
      <c r="L1328"/>
    </row>
    <row r="1329" spans="12:12" x14ac:dyDescent="0.2">
      <c r="L1329"/>
    </row>
    <row r="1330" spans="12:12" x14ac:dyDescent="0.2">
      <c r="L1330"/>
    </row>
    <row r="1331" spans="12:12" x14ac:dyDescent="0.2">
      <c r="L1331"/>
    </row>
    <row r="1332" spans="12:12" x14ac:dyDescent="0.2">
      <c r="L1332"/>
    </row>
    <row r="1333" spans="12:12" x14ac:dyDescent="0.2">
      <c r="L1333"/>
    </row>
    <row r="1334" spans="12:12" x14ac:dyDescent="0.2">
      <c r="L1334"/>
    </row>
    <row r="1335" spans="12:12" x14ac:dyDescent="0.2">
      <c r="L1335"/>
    </row>
    <row r="1336" spans="12:12" x14ac:dyDescent="0.2">
      <c r="L1336"/>
    </row>
    <row r="1337" spans="12:12" x14ac:dyDescent="0.2">
      <c r="L1337"/>
    </row>
    <row r="1338" spans="12:12" x14ac:dyDescent="0.2">
      <c r="L1338"/>
    </row>
    <row r="1339" spans="12:12" x14ac:dyDescent="0.2">
      <c r="L1339"/>
    </row>
    <row r="1340" spans="12:12" x14ac:dyDescent="0.2">
      <c r="L1340"/>
    </row>
    <row r="1341" spans="12:12" x14ac:dyDescent="0.2">
      <c r="L1341"/>
    </row>
    <row r="1342" spans="12:12" x14ac:dyDescent="0.2">
      <c r="L1342"/>
    </row>
    <row r="1343" spans="12:12" x14ac:dyDescent="0.2">
      <c r="L1343"/>
    </row>
    <row r="1344" spans="12:12" x14ac:dyDescent="0.2">
      <c r="L1344"/>
    </row>
    <row r="1345" spans="12:12" x14ac:dyDescent="0.2">
      <c r="L1345"/>
    </row>
    <row r="1346" spans="12:12" x14ac:dyDescent="0.2">
      <c r="L1346"/>
    </row>
    <row r="1347" spans="12:12" x14ac:dyDescent="0.2">
      <c r="L1347"/>
    </row>
    <row r="1348" spans="12:12" x14ac:dyDescent="0.2">
      <c r="L1348"/>
    </row>
    <row r="1349" spans="12:12" x14ac:dyDescent="0.2">
      <c r="L1349"/>
    </row>
    <row r="1350" spans="12:12" x14ac:dyDescent="0.2">
      <c r="L1350"/>
    </row>
    <row r="1351" spans="12:12" x14ac:dyDescent="0.2">
      <c r="L1351"/>
    </row>
    <row r="1352" spans="12:12" x14ac:dyDescent="0.2">
      <c r="L1352"/>
    </row>
    <row r="1353" spans="12:12" x14ac:dyDescent="0.2">
      <c r="L1353"/>
    </row>
    <row r="1354" spans="12:12" x14ac:dyDescent="0.2">
      <c r="L1354"/>
    </row>
    <row r="1355" spans="12:12" x14ac:dyDescent="0.2">
      <c r="L1355"/>
    </row>
    <row r="1356" spans="12:12" x14ac:dyDescent="0.2">
      <c r="L1356"/>
    </row>
    <row r="1357" spans="12:12" x14ac:dyDescent="0.2">
      <c r="L1357"/>
    </row>
    <row r="1358" spans="12:12" x14ac:dyDescent="0.2">
      <c r="L1358"/>
    </row>
    <row r="1359" spans="12:12" x14ac:dyDescent="0.2">
      <c r="L1359"/>
    </row>
    <row r="1360" spans="12:12" x14ac:dyDescent="0.2">
      <c r="L1360"/>
    </row>
    <row r="1361" spans="12:12" x14ac:dyDescent="0.2">
      <c r="L1361"/>
    </row>
    <row r="1362" spans="12:12" x14ac:dyDescent="0.2">
      <c r="L1362"/>
    </row>
    <row r="1363" spans="12:12" x14ac:dyDescent="0.2">
      <c r="L1363"/>
    </row>
    <row r="1364" spans="12:12" x14ac:dyDescent="0.2">
      <c r="L1364"/>
    </row>
    <row r="1365" spans="12:12" x14ac:dyDescent="0.2">
      <c r="L1365"/>
    </row>
    <row r="1366" spans="12:12" x14ac:dyDescent="0.2">
      <c r="L1366"/>
    </row>
    <row r="1367" spans="12:12" x14ac:dyDescent="0.2">
      <c r="L1367"/>
    </row>
    <row r="1368" spans="12:12" x14ac:dyDescent="0.2">
      <c r="L1368"/>
    </row>
    <row r="1369" spans="12:12" x14ac:dyDescent="0.2">
      <c r="L1369"/>
    </row>
    <row r="1370" spans="12:12" x14ac:dyDescent="0.2">
      <c r="L1370"/>
    </row>
    <row r="1371" spans="12:12" x14ac:dyDescent="0.2">
      <c r="L1371"/>
    </row>
    <row r="1372" spans="12:12" x14ac:dyDescent="0.2">
      <c r="L1372"/>
    </row>
    <row r="1373" spans="12:12" x14ac:dyDescent="0.2">
      <c r="L1373"/>
    </row>
    <row r="1374" spans="12:12" x14ac:dyDescent="0.2">
      <c r="L1374"/>
    </row>
    <row r="1375" spans="12:12" x14ac:dyDescent="0.2">
      <c r="L1375"/>
    </row>
    <row r="1376" spans="12:12" x14ac:dyDescent="0.2">
      <c r="L1376"/>
    </row>
    <row r="1377" spans="12:12" x14ac:dyDescent="0.2">
      <c r="L1377"/>
    </row>
    <row r="1378" spans="12:12" x14ac:dyDescent="0.2">
      <c r="L1378"/>
    </row>
    <row r="1379" spans="12:12" x14ac:dyDescent="0.2">
      <c r="L1379"/>
    </row>
    <row r="1380" spans="12:12" x14ac:dyDescent="0.2">
      <c r="L1380"/>
    </row>
    <row r="1381" spans="12:12" x14ac:dyDescent="0.2">
      <c r="L1381"/>
    </row>
    <row r="1382" spans="12:12" x14ac:dyDescent="0.2">
      <c r="L1382"/>
    </row>
    <row r="1383" spans="12:12" x14ac:dyDescent="0.2">
      <c r="L1383"/>
    </row>
    <row r="1384" spans="12:12" x14ac:dyDescent="0.2">
      <c r="L1384"/>
    </row>
    <row r="1385" spans="12:12" x14ac:dyDescent="0.2">
      <c r="L1385"/>
    </row>
    <row r="1386" spans="12:12" x14ac:dyDescent="0.2">
      <c r="L1386"/>
    </row>
    <row r="1387" spans="12:12" x14ac:dyDescent="0.2">
      <c r="L1387"/>
    </row>
    <row r="1388" spans="12:12" x14ac:dyDescent="0.2">
      <c r="L1388"/>
    </row>
    <row r="1389" spans="12:12" x14ac:dyDescent="0.2">
      <c r="L1389"/>
    </row>
    <row r="1390" spans="12:12" x14ac:dyDescent="0.2">
      <c r="L1390"/>
    </row>
    <row r="1391" spans="12:12" x14ac:dyDescent="0.2">
      <c r="L1391"/>
    </row>
    <row r="1392" spans="12:12" x14ac:dyDescent="0.2">
      <c r="L1392"/>
    </row>
    <row r="1393" spans="12:12" x14ac:dyDescent="0.2">
      <c r="L1393"/>
    </row>
    <row r="1394" spans="12:12" x14ac:dyDescent="0.2">
      <c r="L1394"/>
    </row>
    <row r="1395" spans="12:12" x14ac:dyDescent="0.2">
      <c r="L1395"/>
    </row>
    <row r="1396" spans="12:12" x14ac:dyDescent="0.2">
      <c r="L1396"/>
    </row>
    <row r="1397" spans="12:12" x14ac:dyDescent="0.2">
      <c r="L1397"/>
    </row>
    <row r="1398" spans="12:12" x14ac:dyDescent="0.2">
      <c r="L1398"/>
    </row>
    <row r="1399" spans="12:12" x14ac:dyDescent="0.2">
      <c r="L1399"/>
    </row>
    <row r="1400" spans="12:12" x14ac:dyDescent="0.2">
      <c r="L1400"/>
    </row>
    <row r="1401" spans="12:12" x14ac:dyDescent="0.2">
      <c r="L1401"/>
    </row>
    <row r="1402" spans="12:12" x14ac:dyDescent="0.2">
      <c r="L1402"/>
    </row>
    <row r="1403" spans="12:12" x14ac:dyDescent="0.2">
      <c r="L1403"/>
    </row>
    <row r="1404" spans="12:12" x14ac:dyDescent="0.2">
      <c r="L1404"/>
    </row>
    <row r="1405" spans="12:12" x14ac:dyDescent="0.2">
      <c r="L1405"/>
    </row>
    <row r="1406" spans="12:12" x14ac:dyDescent="0.2">
      <c r="L1406"/>
    </row>
    <row r="1407" spans="12:12" x14ac:dyDescent="0.2">
      <c r="L1407"/>
    </row>
    <row r="1408" spans="12:12" x14ac:dyDescent="0.2">
      <c r="L1408"/>
    </row>
    <row r="1409" spans="12:12" x14ac:dyDescent="0.2">
      <c r="L1409"/>
    </row>
    <row r="1410" spans="12:12" x14ac:dyDescent="0.2">
      <c r="L1410"/>
    </row>
    <row r="1411" spans="12:12" x14ac:dyDescent="0.2">
      <c r="L1411"/>
    </row>
    <row r="1412" spans="12:12" x14ac:dyDescent="0.2">
      <c r="L1412"/>
    </row>
    <row r="1413" spans="12:12" x14ac:dyDescent="0.2">
      <c r="L1413"/>
    </row>
    <row r="1414" spans="12:12" x14ac:dyDescent="0.2">
      <c r="L1414"/>
    </row>
    <row r="1415" spans="12:12" x14ac:dyDescent="0.2">
      <c r="L1415"/>
    </row>
    <row r="1416" spans="12:12" x14ac:dyDescent="0.2">
      <c r="L1416"/>
    </row>
    <row r="1417" spans="12:12" x14ac:dyDescent="0.2">
      <c r="L1417"/>
    </row>
    <row r="1418" spans="12:12" x14ac:dyDescent="0.2">
      <c r="L1418"/>
    </row>
    <row r="1419" spans="12:12" x14ac:dyDescent="0.2">
      <c r="L1419"/>
    </row>
    <row r="1420" spans="12:12" x14ac:dyDescent="0.2">
      <c r="L1420"/>
    </row>
    <row r="1421" spans="12:12" x14ac:dyDescent="0.2">
      <c r="L1421"/>
    </row>
    <row r="1422" spans="12:12" x14ac:dyDescent="0.2">
      <c r="L1422"/>
    </row>
    <row r="1423" spans="12:12" x14ac:dyDescent="0.2">
      <c r="L1423"/>
    </row>
    <row r="1424" spans="12:12" x14ac:dyDescent="0.2">
      <c r="L1424"/>
    </row>
    <row r="1425" spans="12:12" x14ac:dyDescent="0.2">
      <c r="L1425"/>
    </row>
    <row r="1426" spans="12:12" x14ac:dyDescent="0.2">
      <c r="L1426"/>
    </row>
    <row r="1427" spans="12:12" x14ac:dyDescent="0.2">
      <c r="L1427"/>
    </row>
    <row r="1428" spans="12:12" x14ac:dyDescent="0.2">
      <c r="L1428"/>
    </row>
    <row r="1429" spans="12:12" x14ac:dyDescent="0.2">
      <c r="L1429"/>
    </row>
    <row r="1430" spans="12:12" x14ac:dyDescent="0.2">
      <c r="L1430"/>
    </row>
    <row r="1431" spans="12:12" x14ac:dyDescent="0.2">
      <c r="L1431"/>
    </row>
    <row r="1432" spans="12:12" x14ac:dyDescent="0.2">
      <c r="L1432"/>
    </row>
    <row r="1433" spans="12:12" x14ac:dyDescent="0.2">
      <c r="L1433"/>
    </row>
    <row r="1434" spans="12:12" x14ac:dyDescent="0.2">
      <c r="L1434"/>
    </row>
    <row r="1435" spans="12:12" x14ac:dyDescent="0.2">
      <c r="L1435"/>
    </row>
    <row r="1436" spans="12:12" x14ac:dyDescent="0.2">
      <c r="L1436"/>
    </row>
    <row r="1437" spans="12:12" x14ac:dyDescent="0.2">
      <c r="L1437"/>
    </row>
    <row r="1438" spans="12:12" x14ac:dyDescent="0.2">
      <c r="L1438"/>
    </row>
    <row r="1439" spans="12:12" x14ac:dyDescent="0.2">
      <c r="L1439"/>
    </row>
    <row r="1440" spans="12:12" x14ac:dyDescent="0.2">
      <c r="L1440"/>
    </row>
    <row r="1441" spans="12:12" x14ac:dyDescent="0.2">
      <c r="L1441"/>
    </row>
    <row r="1442" spans="12:12" x14ac:dyDescent="0.2">
      <c r="L1442"/>
    </row>
    <row r="1443" spans="12:12" x14ac:dyDescent="0.2">
      <c r="L1443"/>
    </row>
    <row r="1444" spans="12:12" x14ac:dyDescent="0.2">
      <c r="L1444"/>
    </row>
    <row r="1445" spans="12:12" x14ac:dyDescent="0.2">
      <c r="L1445"/>
    </row>
    <row r="1446" spans="12:12" x14ac:dyDescent="0.2">
      <c r="L1446"/>
    </row>
    <row r="1447" spans="12:12" x14ac:dyDescent="0.2">
      <c r="L1447"/>
    </row>
    <row r="1448" spans="12:12" x14ac:dyDescent="0.2">
      <c r="L1448"/>
    </row>
    <row r="1449" spans="12:12" x14ac:dyDescent="0.2">
      <c r="L1449"/>
    </row>
    <row r="1450" spans="12:12" x14ac:dyDescent="0.2">
      <c r="L1450"/>
    </row>
    <row r="1451" spans="12:12" x14ac:dyDescent="0.2">
      <c r="L1451"/>
    </row>
    <row r="1452" spans="12:12" x14ac:dyDescent="0.2">
      <c r="L1452"/>
    </row>
    <row r="1453" spans="12:12" x14ac:dyDescent="0.2">
      <c r="L1453"/>
    </row>
    <row r="1454" spans="12:12" x14ac:dyDescent="0.2">
      <c r="L1454"/>
    </row>
    <row r="1455" spans="12:12" x14ac:dyDescent="0.2">
      <c r="L1455"/>
    </row>
    <row r="1456" spans="12:12" x14ac:dyDescent="0.2">
      <c r="L1456"/>
    </row>
    <row r="1457" spans="12:12" x14ac:dyDescent="0.2">
      <c r="L1457"/>
    </row>
    <row r="1458" spans="12:12" x14ac:dyDescent="0.2">
      <c r="L1458"/>
    </row>
    <row r="1459" spans="12:12" x14ac:dyDescent="0.2">
      <c r="L1459"/>
    </row>
    <row r="1460" spans="12:12" x14ac:dyDescent="0.2">
      <c r="L1460"/>
    </row>
    <row r="1461" spans="12:12" x14ac:dyDescent="0.2">
      <c r="L1461"/>
    </row>
    <row r="1462" spans="12:12" x14ac:dyDescent="0.2">
      <c r="L1462"/>
    </row>
    <row r="1463" spans="12:12" x14ac:dyDescent="0.2">
      <c r="L1463"/>
    </row>
    <row r="1464" spans="12:12" x14ac:dyDescent="0.2">
      <c r="L1464"/>
    </row>
  </sheetData>
  <mergeCells count="143">
    <mergeCell ref="J743:L743"/>
    <mergeCell ref="D744:E744"/>
    <mergeCell ref="D745:E745"/>
    <mergeCell ref="D746:E746"/>
    <mergeCell ref="D674:E674"/>
    <mergeCell ref="D675:E675"/>
    <mergeCell ref="D676:E676"/>
    <mergeCell ref="D677:E677"/>
    <mergeCell ref="C743:D743"/>
    <mergeCell ref="E743:I743"/>
    <mergeCell ref="D604:E604"/>
    <mergeCell ref="D605:E605"/>
    <mergeCell ref="D606:E606"/>
    <mergeCell ref="C673:D673"/>
    <mergeCell ref="E673:I673"/>
    <mergeCell ref="J673:L673"/>
    <mergeCell ref="J533:L533"/>
    <mergeCell ref="D534:E534"/>
    <mergeCell ref="D535:E535"/>
    <mergeCell ref="D536:E536"/>
    <mergeCell ref="C603:D603"/>
    <mergeCell ref="E603:I603"/>
    <mergeCell ref="J603:L603"/>
    <mergeCell ref="D464:E464"/>
    <mergeCell ref="D465:E465"/>
    <mergeCell ref="D466:E466"/>
    <mergeCell ref="C468:E468"/>
    <mergeCell ref="C533:D533"/>
    <mergeCell ref="E533:I533"/>
    <mergeCell ref="D396:E396"/>
    <mergeCell ref="D397:E397"/>
    <mergeCell ref="C398:E398"/>
    <mergeCell ref="C463:D463"/>
    <mergeCell ref="E463:I463"/>
    <mergeCell ref="J463:L463"/>
    <mergeCell ref="C359:E359"/>
    <mergeCell ref="C393:D393"/>
    <mergeCell ref="E393:I393"/>
    <mergeCell ref="J393:L393"/>
    <mergeCell ref="D394:E394"/>
    <mergeCell ref="D395:E395"/>
    <mergeCell ref="J323:L323"/>
    <mergeCell ref="D324:E324"/>
    <mergeCell ref="D325:E325"/>
    <mergeCell ref="D326:E326"/>
    <mergeCell ref="D327:E327"/>
    <mergeCell ref="C328:E328"/>
    <mergeCell ref="D255:E255"/>
    <mergeCell ref="D256:E256"/>
    <mergeCell ref="D257:E257"/>
    <mergeCell ref="D276:E276"/>
    <mergeCell ref="C323:D323"/>
    <mergeCell ref="E323:I323"/>
    <mergeCell ref="D187:E187"/>
    <mergeCell ref="C188:E188"/>
    <mergeCell ref="C253:D253"/>
    <mergeCell ref="E253:I253"/>
    <mergeCell ref="J253:L253"/>
    <mergeCell ref="D254:E254"/>
    <mergeCell ref="C183:D183"/>
    <mergeCell ref="E183:I183"/>
    <mergeCell ref="J183:L183"/>
    <mergeCell ref="D184:E184"/>
    <mergeCell ref="D185:E185"/>
    <mergeCell ref="D186:E186"/>
    <mergeCell ref="C157:E157"/>
    <mergeCell ref="D160:E160"/>
    <mergeCell ref="C161:E161"/>
    <mergeCell ref="D162:E162"/>
    <mergeCell ref="D163:E163"/>
    <mergeCell ref="D164:E164"/>
    <mergeCell ref="D121:E121"/>
    <mergeCell ref="D122:E122"/>
    <mergeCell ref="D132:E132"/>
    <mergeCell ref="D133:E133"/>
    <mergeCell ref="D155:E155"/>
    <mergeCell ref="D156:E156"/>
    <mergeCell ref="J114:L114"/>
    <mergeCell ref="D115:E115"/>
    <mergeCell ref="D116:E116"/>
    <mergeCell ref="D117:E117"/>
    <mergeCell ref="D118:E118"/>
    <mergeCell ref="C119:E119"/>
    <mergeCell ref="D75:E75"/>
    <mergeCell ref="C76:E76"/>
    <mergeCell ref="D90:E90"/>
    <mergeCell ref="D91:E91"/>
    <mergeCell ref="C114:D114"/>
    <mergeCell ref="E114:I114"/>
    <mergeCell ref="C71:D71"/>
    <mergeCell ref="E71:I71"/>
    <mergeCell ref="J71:L71"/>
    <mergeCell ref="D72:E72"/>
    <mergeCell ref="D73:E73"/>
    <mergeCell ref="D74:E74"/>
    <mergeCell ref="D31:E31"/>
    <mergeCell ref="D32:E32"/>
    <mergeCell ref="D33:E33"/>
    <mergeCell ref="D34:E34"/>
    <mergeCell ref="C35:E35"/>
    <mergeCell ref="B22:C22"/>
    <mergeCell ref="B23:C23"/>
    <mergeCell ref="B24:C24"/>
    <mergeCell ref="B25:F25"/>
    <mergeCell ref="G25:L25"/>
    <mergeCell ref="C30:D30"/>
    <mergeCell ref="E30:I30"/>
    <mergeCell ref="J30:L30"/>
    <mergeCell ref="C18:D18"/>
    <mergeCell ref="E18:F18"/>
    <mergeCell ref="G18:J18"/>
    <mergeCell ref="K18:L18"/>
    <mergeCell ref="B20:L20"/>
    <mergeCell ref="B21:C21"/>
    <mergeCell ref="C16:D16"/>
    <mergeCell ref="E16:F16"/>
    <mergeCell ref="G16:J16"/>
    <mergeCell ref="K16:L16"/>
    <mergeCell ref="C17:D17"/>
    <mergeCell ref="E17:F17"/>
    <mergeCell ref="G17:J17"/>
    <mergeCell ref="K17:L17"/>
    <mergeCell ref="B14:C14"/>
    <mergeCell ref="D14:F14"/>
    <mergeCell ref="G14:I14"/>
    <mergeCell ref="J14:L14"/>
    <mergeCell ref="C15:D15"/>
    <mergeCell ref="E15:F15"/>
    <mergeCell ref="G15:J15"/>
    <mergeCell ref="K15:L15"/>
    <mergeCell ref="B8:L8"/>
    <mergeCell ref="C9:L9"/>
    <mergeCell ref="C10:L10"/>
    <mergeCell ref="B11:F11"/>
    <mergeCell ref="G11:L11"/>
    <mergeCell ref="B12:F12"/>
    <mergeCell ref="G12:L12"/>
    <mergeCell ref="B3:E3"/>
    <mergeCell ref="F3:L7"/>
    <mergeCell ref="B4:E4"/>
    <mergeCell ref="B5:E5"/>
    <mergeCell ref="B6:E6"/>
    <mergeCell ref="B7:E7"/>
  </mergeCells>
  <dataValidations count="13">
    <dataValidation allowBlank="1" showInputMessage="1" showErrorMessage="1" promptTitle="Annual Fees Budget" prompt="Enter the team members annual fees budget. Get this from your Capacity Planner (Wize Step 7.)" sqref="E16" xr:uid="{FA59D244-402C-4AEF-BE72-16C893C68DB8}"/>
    <dataValidation allowBlank="1" showInputMessage="1" showErrorMessage="1" promptTitle="Notes" prompt="Make any notes about this job. For example if training is needed for the Team Member or the level of quality of the bookkeeping." sqref="D162:E176 D160:E160 D796:E806 D34:E34 D118:E118 D187:E187 D327:E327 D397:E397 D677:E698 D75:E75 D467:E467 D488:E488 D191:E220 D399:E421 D257:E269 D329:E349 D565:E568 D576:E591 D702:E736 D495:E526 D360:E386 D477:E486 D469:E473 D475:E475 D596:E596 D539:E543 D558:E558 D547:E556 D545:E545 D634:E638 D610:E613 D627:E627 D617:E625 D615:E615 D121:E156 D222:E246 D273:E316 D431:E456 D645:E666 D749:E774 D78:E90 D37:E63" xr:uid="{74B63236-D2FB-4CEE-BE2B-BA97C6D3C25C}"/>
    <dataValidation allowBlank="1" showInputMessage="1" showErrorMessage="1" promptTitle="Pricing or Efficiency Override" prompt="Some jobs are priced high &amp; others the bookkeeping maybe done by your firm and be well prepared. So to complete them based on a charge out rate would allow far too many hours. To reduce hours drop below100%. Training on the job,would increase above 100%." sqref="H491:H526 H257:H316 H467:H489 H539:H559 H610:H628 H749:H806 H118:H176 H187:H246 H327:H386 H397:H456 H561:H596 H630:H666 H677:H736 H75:H107 H34:H63" xr:uid="{A4EB0F83-8C06-414F-9493-7DAE45BD5825}"/>
    <dataValidation allowBlank="1" showInputMessage="1" showErrorMessage="1" promptTitle="Team Member Completion %" prompt="This will be 100% if the team member can complete all the job without help. 80% if most of it. This will depend on the job complexity, the team member's ability and experience, whether or not they have done it before and the quality of the bookkeeping. " sqref="H490 G327:G386 H560 G596 H629 G749:G806 G118:G176 G187:G246 G257:G316 G397:G456 G467:G526 G539:G591 G610:G666 G677:G736 G75:G107 G34:G63" xr:uid="{E046ECDA-B42A-40B2-8879-3EFF62EE571E}"/>
    <dataValidation allowBlank="1" showInputMessage="1" showErrorMessage="1" promptTitle="Job Price or Fees Charged" prompt="Enter the job price or Fees charged to the client." sqref="F92:F94 F798:F806 F475 F275 F426:F446 F354:F386 F327:F352 F397:F424 F477:F504 F467:F473 F539:F543 F545 F596 F615 F610:F613 F34:F36 F749:F796 F118:F176 F187:F246 F257:F273 F277:F316 F508:F526 F547:F591 F617:F666 F677:F702 F704:F736 F44:F63 F75:F90" xr:uid="{D52E56CC-5D8C-4585-A7C0-E21304A26607}"/>
    <dataValidation allowBlank="1" showInputMessage="1" showErrorMessage="1" promptTitle="Entity Group or Client Name" prompt="Enter the Entity Group name or the Client Name or Job name." sqref="C59 C162:C176 C160 C265:C269 C140 C34 C118 C187 C257 C327 C397 C666 C677 C75 C405:C421 C495:C504 C203:C220 C596 C684:C698 C97:C100 C102:C106 C227 C565:C568 C198 C231:C246 C431:C446 C335:C349 C547:C556 C509:C526 C316 C477:C486 C475 C545 C634:C638 C617:C625 C615 C121:C132 C142:C156 C222:C225 C755:C774 C78:C88 C37:C57" xr:uid="{810D14EB-1E9A-45F2-8236-EDA7131FE927}"/>
    <dataValidation allowBlank="1" showInputMessage="1" showErrorMessage="1" promptTitle="Month" prompt="Enter the first month of your financial year" sqref="E30 E71 E114 E183 E253 E323 E393 E463 E533 E603 E673 E743" xr:uid="{6B8AB266-7DB5-4B8C-90CB-874D43CCAE5E}"/>
    <dataValidation allowBlank="1" showInputMessage="1" showErrorMessage="1" promptTitle="Hours Per Day" prompt="Please enter the hours per day this team member works" sqref="G32 G73 G116 G185 G255 G325 G395 G465 G535 G605 G675 G745" xr:uid="{5AB79560-9499-4641-AE32-7CE4EB1B0880}"/>
    <dataValidation allowBlank="1" showInputMessage="1" showErrorMessage="1" promptTitle="Productivity %" prompt="Please enter this team members productivity %." sqref="F32 F73 F116 F185 F255 F325 F395 F465 F535 F605 F675 F745" xr:uid="{5404D957-6997-4497-B865-A4AE30F05CA1}"/>
    <dataValidation allowBlank="1" showInputMessage="1" showErrorMessage="1" promptTitle="Working Days In Month" prompt="Please enter the working days for this month, taking into account any annual leave, public holidays or training days away from working days." sqref="D32:E32 D73:E73 D116:E116 D185:E185 D255:E255 D325:E325 D395:E395 D465:E465 D535:E535 D605:E605 D675:E675 D745:E745" xr:uid="{BBEBF04C-B6E6-4E43-9AE1-B13347848B4F}"/>
    <dataValidation allowBlank="1" showInputMessage="1" showErrorMessage="1" promptTitle="Charge Out Rate" prompt="Please enter the charge out rate for this team member, per your capacity plan." sqref="C32 C73 C116 C185 C255 C325 C395 C465 C535 C605 C675 C745" xr:uid="{684F9FCB-39DC-4413-9B28-4983E87FE874}"/>
    <dataValidation allowBlank="1" showInputMessage="1" showErrorMessage="1" promptTitle="Name" prompt="Please enter the team members name._x000a_" sqref="D14" xr:uid="{0927222B-41A2-4477-9B1C-AE356764C108}"/>
    <dataValidation allowBlank="1" showInputMessage="1" showErrorMessage="1" promptTitle="Input The Team Name" prompt="Some Firms have team names for fun and identification. If you have a team name please enter it here." sqref="E13" xr:uid="{728316BC-43B2-4648-B8B4-53B2B6DF1FB6}"/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295F-58B6-431A-9ADC-11EB8C453F76}">
  <sheetPr>
    <tabColor theme="5" tint="0.59999389629810485"/>
  </sheetPr>
  <dimension ref="A1:T1466"/>
  <sheetViews>
    <sheetView tabSelected="1" topLeftCell="E245" workbookViewId="0">
      <selection activeCell="J190" sqref="J190:J248"/>
    </sheetView>
  </sheetViews>
  <sheetFormatPr defaultRowHeight="15" x14ac:dyDescent="0.2"/>
  <cols>
    <col min="2" max="2" width="3.765625" bestFit="1" customWidth="1"/>
    <col min="3" max="3" width="19.234375" customWidth="1"/>
    <col min="4" max="4" width="11.97265625" customWidth="1"/>
    <col min="5" max="5" width="13.1796875" customWidth="1"/>
    <col min="6" max="6" width="17.62109375" bestFit="1" customWidth="1"/>
    <col min="7" max="7" width="12.375" customWidth="1"/>
    <col min="8" max="8" width="13.5859375" customWidth="1"/>
    <col min="9" max="9" width="15.87109375" customWidth="1"/>
    <col min="10" max="10" width="11.97265625" customWidth="1"/>
    <col min="11" max="11" width="14.125" customWidth="1"/>
    <col min="12" max="12" width="19.50390625" style="118" customWidth="1"/>
  </cols>
  <sheetData>
    <row r="1" spans="2:12" x14ac:dyDescent="0.2">
      <c r="L1"/>
    </row>
    <row r="2" spans="2:12" s="1" customFormat="1" ht="12.75" x14ac:dyDescent="0.15"/>
    <row r="3" spans="2:12" s="1" customFormat="1" ht="22.5" customHeight="1" x14ac:dyDescent="0.15">
      <c r="B3" s="347"/>
      <c r="C3" s="347"/>
      <c r="D3" s="347"/>
      <c r="E3" s="347"/>
      <c r="F3" s="348" t="s">
        <v>79</v>
      </c>
      <c r="G3" s="349"/>
      <c r="H3" s="349"/>
      <c r="I3" s="349"/>
      <c r="J3" s="349"/>
      <c r="K3" s="349"/>
      <c r="L3" s="350"/>
    </row>
    <row r="4" spans="2:12" s="1" customFormat="1" ht="13.35" customHeight="1" x14ac:dyDescent="0.15">
      <c r="B4" s="357"/>
      <c r="C4" s="358"/>
      <c r="D4" s="358"/>
      <c r="E4" s="359"/>
      <c r="F4" s="351"/>
      <c r="G4" s="352"/>
      <c r="H4" s="352"/>
      <c r="I4" s="352"/>
      <c r="J4" s="352"/>
      <c r="K4" s="352"/>
      <c r="L4" s="353"/>
    </row>
    <row r="5" spans="2:12" s="1" customFormat="1" ht="13.35" customHeight="1" x14ac:dyDescent="0.15">
      <c r="B5" s="357"/>
      <c r="C5" s="358"/>
      <c r="D5" s="358"/>
      <c r="E5" s="359"/>
      <c r="F5" s="351"/>
      <c r="G5" s="352"/>
      <c r="H5" s="352"/>
      <c r="I5" s="352"/>
      <c r="J5" s="352"/>
      <c r="K5" s="352"/>
      <c r="L5" s="353"/>
    </row>
    <row r="6" spans="2:12" s="1" customFormat="1" ht="13.35" customHeight="1" x14ac:dyDescent="0.15">
      <c r="B6" s="357"/>
      <c r="C6" s="358"/>
      <c r="D6" s="358"/>
      <c r="E6" s="359"/>
      <c r="F6" s="351"/>
      <c r="G6" s="352"/>
      <c r="H6" s="352"/>
      <c r="I6" s="352"/>
      <c r="J6" s="352"/>
      <c r="K6" s="352"/>
      <c r="L6" s="353"/>
    </row>
    <row r="7" spans="2:12" s="1" customFormat="1" ht="27.75" customHeight="1" x14ac:dyDescent="0.15">
      <c r="B7" s="360"/>
      <c r="C7" s="361"/>
      <c r="D7" s="361"/>
      <c r="E7" s="362"/>
      <c r="F7" s="354"/>
      <c r="G7" s="355"/>
      <c r="H7" s="355"/>
      <c r="I7" s="355"/>
      <c r="J7" s="355"/>
      <c r="K7" s="355"/>
      <c r="L7" s="356"/>
    </row>
    <row r="8" spans="2:12" s="1" customFormat="1" ht="25.5" x14ac:dyDescent="0.15">
      <c r="B8" s="331" t="s">
        <v>80</v>
      </c>
      <c r="C8" s="332"/>
      <c r="D8" s="332"/>
      <c r="E8" s="332"/>
      <c r="F8" s="332"/>
      <c r="G8" s="332"/>
      <c r="H8" s="332"/>
      <c r="I8" s="332"/>
      <c r="J8" s="332"/>
      <c r="K8" s="332"/>
      <c r="L8" s="333"/>
    </row>
    <row r="9" spans="2:12" s="1" customFormat="1" ht="25.5" x14ac:dyDescent="0.15">
      <c r="B9" s="3"/>
      <c r="C9" s="334"/>
      <c r="D9" s="334"/>
      <c r="E9" s="334"/>
      <c r="F9" s="334"/>
      <c r="G9" s="334"/>
      <c r="H9" s="334"/>
      <c r="I9" s="334"/>
      <c r="J9" s="334"/>
      <c r="K9" s="334"/>
      <c r="L9" s="335"/>
    </row>
    <row r="10" spans="2:12" s="4" customFormat="1" ht="25.5" x14ac:dyDescent="0.15">
      <c r="B10" s="3"/>
      <c r="C10" s="336" t="s">
        <v>81</v>
      </c>
      <c r="D10" s="336"/>
      <c r="E10" s="336"/>
      <c r="F10" s="336"/>
      <c r="G10" s="336"/>
      <c r="H10" s="336"/>
      <c r="I10" s="336"/>
      <c r="J10" s="336"/>
      <c r="K10" s="337"/>
      <c r="L10" s="338"/>
    </row>
    <row r="11" spans="2:12" s="5" customFormat="1" ht="16.350000000000001" customHeight="1" x14ac:dyDescent="0.2">
      <c r="B11" s="339" t="s">
        <v>82</v>
      </c>
      <c r="C11" s="340"/>
      <c r="D11" s="340"/>
      <c r="E11" s="340"/>
      <c r="F11" s="341"/>
      <c r="G11" s="342" t="s">
        <v>172</v>
      </c>
      <c r="H11" s="343"/>
      <c r="I11" s="343"/>
      <c r="J11" s="343"/>
      <c r="K11" s="343"/>
      <c r="L11" s="344"/>
    </row>
    <row r="12" spans="2:12" s="5" customFormat="1" ht="16.350000000000001" customHeight="1" x14ac:dyDescent="0.2">
      <c r="B12" s="345" t="s">
        <v>84</v>
      </c>
      <c r="C12" s="345"/>
      <c r="D12" s="345"/>
      <c r="E12" s="345"/>
      <c r="F12" s="345"/>
      <c r="G12" s="346" t="s">
        <v>225</v>
      </c>
      <c r="H12" s="346"/>
      <c r="I12" s="346"/>
      <c r="J12" s="346"/>
      <c r="K12" s="346"/>
      <c r="L12" s="346"/>
    </row>
    <row r="13" spans="2:12" s="5" customFormat="1" ht="16.350000000000001" customHeight="1" x14ac:dyDescent="0.2">
      <c r="B13" s="240"/>
      <c r="C13" s="237"/>
      <c r="D13" s="237"/>
      <c r="E13" s="238"/>
      <c r="F13" s="238"/>
      <c r="G13" s="238"/>
      <c r="H13" s="238"/>
      <c r="I13" s="238"/>
      <c r="J13" s="238"/>
      <c r="L13" s="241"/>
    </row>
    <row r="14" spans="2:12" s="5" customFormat="1" ht="15.4" customHeight="1" x14ac:dyDescent="0.2">
      <c r="B14" s="373" t="s">
        <v>86</v>
      </c>
      <c r="C14" s="373"/>
      <c r="D14" s="374" t="s">
        <v>225</v>
      </c>
      <c r="E14" s="374"/>
      <c r="F14" s="374"/>
      <c r="G14" s="373" t="s">
        <v>88</v>
      </c>
      <c r="H14" s="373"/>
      <c r="I14" s="373"/>
      <c r="J14" s="374" t="s">
        <v>240</v>
      </c>
      <c r="K14" s="374"/>
      <c r="L14" s="374"/>
    </row>
    <row r="15" spans="2:12" s="1" customFormat="1" ht="14.25" customHeight="1" x14ac:dyDescent="0.15">
      <c r="B15" s="236"/>
      <c r="C15" s="375" t="s">
        <v>90</v>
      </c>
      <c r="D15" s="375"/>
      <c r="E15" s="376" t="s">
        <v>91</v>
      </c>
      <c r="F15" s="376"/>
      <c r="G15" s="377" t="s">
        <v>90</v>
      </c>
      <c r="H15" s="377"/>
      <c r="I15" s="377"/>
      <c r="J15" s="377"/>
      <c r="K15" s="378" t="s">
        <v>92</v>
      </c>
      <c r="L15" s="378"/>
    </row>
    <row r="16" spans="2:12" s="1" customFormat="1" ht="13.5" customHeight="1" x14ac:dyDescent="0.15">
      <c r="B16" s="82"/>
      <c r="C16" s="363" t="s">
        <v>93</v>
      </c>
      <c r="D16" s="364"/>
      <c r="E16" s="365">
        <v>408000</v>
      </c>
      <c r="F16" s="366"/>
      <c r="G16" s="363" t="s">
        <v>94</v>
      </c>
      <c r="H16" s="367"/>
      <c r="I16" s="367"/>
      <c r="J16" s="364"/>
      <c r="K16" s="368">
        <f>E16/C32</f>
        <v>1165.7142857142858</v>
      </c>
      <c r="L16" s="369"/>
    </row>
    <row r="17" spans="2:12" s="1" customFormat="1" ht="13.5" customHeight="1" x14ac:dyDescent="0.15">
      <c r="B17" s="82"/>
      <c r="C17" s="370" t="s">
        <v>95</v>
      </c>
      <c r="D17" s="370"/>
      <c r="E17" s="371">
        <f>+I64+I110+I179+I249+I319+I389+I459+I529+I599+I669+I739+I809</f>
        <v>5239.8489124705047</v>
      </c>
      <c r="F17" s="371"/>
      <c r="G17" s="370" t="s">
        <v>96</v>
      </c>
      <c r="H17" s="370"/>
      <c r="I17" s="370"/>
      <c r="J17" s="370"/>
      <c r="K17" s="372">
        <f>+J64+J110+J179+J249+J319+J389+J459+J529+J599+J669+J739+J809</f>
        <v>14.97099689277287</v>
      </c>
      <c r="L17" s="372"/>
    </row>
    <row r="18" spans="2:12" s="1" customFormat="1" ht="12.75" customHeight="1" x14ac:dyDescent="0.15">
      <c r="B18" s="82"/>
      <c r="C18" s="370" t="s">
        <v>97</v>
      </c>
      <c r="D18" s="370"/>
      <c r="E18" s="383">
        <f>E17-E16</f>
        <v>-402760.15108752949</v>
      </c>
      <c r="F18" s="383"/>
      <c r="G18" s="370" t="s">
        <v>97</v>
      </c>
      <c r="H18" s="370"/>
      <c r="I18" s="370"/>
      <c r="J18" s="370"/>
      <c r="K18" s="384">
        <f>K17-K16</f>
        <v>-1150.7432888215128</v>
      </c>
      <c r="L18" s="384"/>
    </row>
    <row r="19" spans="2:12" s="1" customFormat="1" ht="12.75" x14ac:dyDescent="0.15">
      <c r="B19" s="244"/>
      <c r="C19" s="225"/>
      <c r="D19" s="243"/>
      <c r="G19" s="225"/>
      <c r="H19" s="225"/>
      <c r="I19" s="225"/>
      <c r="J19" s="228"/>
      <c r="L19" s="246"/>
    </row>
    <row r="20" spans="2:12" s="1" customFormat="1" ht="14.25" customHeight="1" x14ac:dyDescent="0.15">
      <c r="B20" s="385" t="s">
        <v>98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</row>
    <row r="21" spans="2:12" s="1" customFormat="1" ht="12.75" x14ac:dyDescent="0.15">
      <c r="B21" s="386"/>
      <c r="C21" s="387"/>
      <c r="D21" s="245" t="s">
        <v>99</v>
      </c>
      <c r="E21" s="6">
        <f>J32</f>
        <v>142.79999999999998</v>
      </c>
      <c r="F21" s="234" t="s">
        <v>100</v>
      </c>
      <c r="G21" s="6">
        <f>+J187</f>
        <v>129.19999999999999</v>
      </c>
      <c r="H21" s="234" t="s">
        <v>101</v>
      </c>
      <c r="I21" s="6">
        <f>+J397</f>
        <v>142.79999999999998</v>
      </c>
      <c r="J21" s="234" t="s">
        <v>102</v>
      </c>
      <c r="K21" s="6">
        <f>+J607</f>
        <v>156.4</v>
      </c>
      <c r="L21" s="82"/>
    </row>
    <row r="22" spans="2:12" s="1" customFormat="1" ht="12.75" x14ac:dyDescent="0.15">
      <c r="B22" s="386"/>
      <c r="C22" s="387"/>
      <c r="D22" s="235" t="s">
        <v>103</v>
      </c>
      <c r="E22" s="6">
        <f>+J73</f>
        <v>121.02900310722713</v>
      </c>
      <c r="F22" s="234" t="s">
        <v>104</v>
      </c>
      <c r="G22" s="6">
        <f>+J257</f>
        <v>149.6</v>
      </c>
      <c r="H22" s="234" t="s">
        <v>105</v>
      </c>
      <c r="I22" s="6">
        <f>J467</f>
        <v>142.79999999999998</v>
      </c>
      <c r="J22" s="234" t="s">
        <v>106</v>
      </c>
      <c r="K22" s="6">
        <f>+J677</f>
        <v>136</v>
      </c>
      <c r="L22" s="82"/>
    </row>
    <row r="23" spans="2:12" s="1" customFormat="1" ht="12.75" x14ac:dyDescent="0.15">
      <c r="B23" s="386"/>
      <c r="C23" s="387"/>
      <c r="D23" s="235" t="s">
        <v>107</v>
      </c>
      <c r="E23" s="6">
        <f>+J118</f>
        <v>142.79999999999998</v>
      </c>
      <c r="F23" s="234" t="s">
        <v>108</v>
      </c>
      <c r="G23" s="6">
        <f>+J327</f>
        <v>136</v>
      </c>
      <c r="H23" s="234" t="s">
        <v>109</v>
      </c>
      <c r="I23" s="6">
        <f>+J537</f>
        <v>142.79999999999998</v>
      </c>
      <c r="J23" s="234" t="s">
        <v>110</v>
      </c>
      <c r="K23" s="6">
        <f>+J747</f>
        <v>136</v>
      </c>
      <c r="L23" s="82"/>
    </row>
    <row r="24" spans="2:12" s="1" customFormat="1" ht="12.75" x14ac:dyDescent="0.15">
      <c r="B24" s="386"/>
      <c r="C24" s="387"/>
      <c r="D24" s="235"/>
      <c r="E24" s="6"/>
      <c r="F24" s="234"/>
      <c r="G24" s="6"/>
      <c r="H24" s="234"/>
      <c r="I24" s="6"/>
      <c r="J24" s="234"/>
      <c r="K24" s="6"/>
      <c r="L24" s="82"/>
    </row>
    <row r="25" spans="2:12" s="1" customFormat="1" ht="13.5" customHeight="1" x14ac:dyDescent="0.15">
      <c r="B25" s="385" t="s">
        <v>111</v>
      </c>
      <c r="C25" s="385"/>
      <c r="D25" s="385"/>
      <c r="E25" s="385"/>
      <c r="F25" s="385"/>
      <c r="G25" s="379">
        <f>SUM(E21:E23)+SUM(G21:G23)+SUM(I21:I23)+SUM(K21:K23)</f>
        <v>1678.2290031072271</v>
      </c>
      <c r="H25" s="379"/>
      <c r="I25" s="379"/>
      <c r="J25" s="379"/>
      <c r="K25" s="379"/>
      <c r="L25" s="379"/>
    </row>
    <row r="26" spans="2:12" s="1" customFormat="1" ht="13.5" customHeight="1" x14ac:dyDescent="0.15">
      <c r="C26" s="225"/>
      <c r="D26" s="226"/>
      <c r="G26" s="227"/>
      <c r="H26" s="227"/>
      <c r="I26" s="227"/>
      <c r="J26" s="228"/>
    </row>
    <row r="27" spans="2:12" s="1" customFormat="1" ht="13.5" customHeight="1" x14ac:dyDescent="0.15">
      <c r="C27" s="225"/>
      <c r="D27" s="226"/>
      <c r="G27" s="227"/>
      <c r="H27" s="227"/>
      <c r="I27" s="227"/>
      <c r="J27" s="228"/>
    </row>
    <row r="28" spans="2:12" s="1" customFormat="1" ht="13.5" customHeight="1" x14ac:dyDescent="0.15">
      <c r="C28" s="225"/>
      <c r="D28" s="226"/>
      <c r="G28" s="227"/>
      <c r="H28" s="227"/>
      <c r="I28" s="227"/>
      <c r="J28" s="228"/>
    </row>
    <row r="29" spans="2:12" s="1" customFormat="1" ht="13.5" customHeight="1" x14ac:dyDescent="0.15">
      <c r="C29" s="225"/>
      <c r="D29" s="226"/>
      <c r="G29" s="227"/>
      <c r="H29" s="227"/>
      <c r="I29" s="227"/>
      <c r="J29" s="228"/>
    </row>
    <row r="30" spans="2:12" s="247" customFormat="1" ht="32.25" x14ac:dyDescent="0.4">
      <c r="B30" s="248"/>
      <c r="C30" s="380" t="s">
        <v>112</v>
      </c>
      <c r="D30" s="380"/>
      <c r="E30" s="381" t="s">
        <v>113</v>
      </c>
      <c r="F30" s="381"/>
      <c r="G30" s="381"/>
      <c r="H30" s="381"/>
      <c r="I30" s="381"/>
      <c r="J30" s="382">
        <v>2026</v>
      </c>
      <c r="K30" s="382"/>
      <c r="L30" s="382"/>
    </row>
    <row r="31" spans="2:12" s="1" customFormat="1" ht="22.5" x14ac:dyDescent="0.15">
      <c r="B31" s="82"/>
      <c r="C31" s="102" t="s">
        <v>114</v>
      </c>
      <c r="D31" s="388" t="s">
        <v>115</v>
      </c>
      <c r="E31" s="388"/>
      <c r="F31" s="102" t="s">
        <v>116</v>
      </c>
      <c r="G31" s="102" t="s">
        <v>117</v>
      </c>
      <c r="H31" s="102" t="s">
        <v>118</v>
      </c>
      <c r="I31" s="102" t="s">
        <v>119</v>
      </c>
      <c r="J31" s="102" t="s">
        <v>120</v>
      </c>
      <c r="K31" s="82"/>
      <c r="L31" s="82"/>
    </row>
    <row r="32" spans="2:12" s="1" customFormat="1" ht="12.75" x14ac:dyDescent="0.15">
      <c r="B32" s="82"/>
      <c r="C32" s="229">
        <v>350</v>
      </c>
      <c r="D32" s="389">
        <v>21</v>
      </c>
      <c r="E32" s="389"/>
      <c r="F32" s="7">
        <v>0.85</v>
      </c>
      <c r="G32" s="8">
        <v>8</v>
      </c>
      <c r="H32" s="142">
        <f>D32*G32*F32</f>
        <v>142.79999999999998</v>
      </c>
      <c r="I32" s="66">
        <f>I64</f>
        <v>0</v>
      </c>
      <c r="J32" s="143">
        <f>H32-J64</f>
        <v>142.79999999999998</v>
      </c>
      <c r="K32" s="82"/>
      <c r="L32" s="82"/>
    </row>
    <row r="33" spans="1:12" s="1" customFormat="1" ht="33.75" x14ac:dyDescent="0.15">
      <c r="B33" s="120"/>
      <c r="C33" s="230" t="s">
        <v>121</v>
      </c>
      <c r="D33" s="390" t="s">
        <v>122</v>
      </c>
      <c r="E33" s="390"/>
      <c r="F33" s="231" t="s">
        <v>123</v>
      </c>
      <c r="G33" s="232" t="s">
        <v>124</v>
      </c>
      <c r="H33" s="233" t="s">
        <v>125</v>
      </c>
      <c r="I33" s="233" t="s">
        <v>126</v>
      </c>
      <c r="J33" s="232" t="s">
        <v>127</v>
      </c>
      <c r="K33" s="123" t="s">
        <v>128</v>
      </c>
      <c r="L33" s="114" t="s">
        <v>129</v>
      </c>
    </row>
    <row r="34" spans="1:12" s="1" customFormat="1" ht="12.75" x14ac:dyDescent="0.15">
      <c r="B34" s="82"/>
      <c r="C34" s="89"/>
      <c r="D34" s="391"/>
      <c r="E34" s="391"/>
      <c r="F34" s="184"/>
      <c r="G34" s="92"/>
      <c r="H34" s="92"/>
      <c r="I34" s="93"/>
      <c r="J34" s="94"/>
      <c r="K34" s="82"/>
      <c r="L34" s="82"/>
    </row>
    <row r="35" spans="1:12" s="1" customFormat="1" ht="12.75" x14ac:dyDescent="0.15">
      <c r="B35" s="82"/>
      <c r="C35" s="392" t="s">
        <v>130</v>
      </c>
      <c r="D35" s="392"/>
      <c r="E35" s="392"/>
      <c r="F35" s="184"/>
      <c r="G35" s="92"/>
      <c r="H35" s="92"/>
      <c r="I35" s="93"/>
      <c r="J35" s="94"/>
      <c r="K35" s="82"/>
      <c r="L35" s="82"/>
    </row>
    <row r="36" spans="1:12" s="1" customFormat="1" ht="12.75" x14ac:dyDescent="0.15">
      <c r="B36" s="82"/>
      <c r="C36" s="167" t="s">
        <v>131</v>
      </c>
      <c r="D36" s="167"/>
      <c r="E36" s="167"/>
      <c r="F36" s="184"/>
      <c r="G36" s="92"/>
      <c r="H36" s="92"/>
      <c r="I36" s="93"/>
      <c r="J36" s="94"/>
      <c r="K36" s="82"/>
      <c r="L36" s="82"/>
    </row>
    <row r="37" spans="1:12" s="1" customFormat="1" ht="12.75" customHeight="1" x14ac:dyDescent="0.15">
      <c r="B37" s="82"/>
      <c r="C37" s="203"/>
      <c r="D37" s="90"/>
      <c r="E37" s="90"/>
      <c r="F37" s="65"/>
      <c r="G37" s="92"/>
      <c r="H37" s="92"/>
      <c r="I37" s="218"/>
      <c r="J37" s="271"/>
      <c r="K37" s="82"/>
      <c r="L37" s="82"/>
    </row>
    <row r="38" spans="1:12" s="1" customFormat="1" ht="12.75" customHeight="1" x14ac:dyDescent="0.15">
      <c r="A38" s="314"/>
      <c r="B38" s="82"/>
      <c r="C38" s="203"/>
      <c r="D38" s="90"/>
      <c r="E38" s="90"/>
      <c r="F38" s="65"/>
      <c r="G38" s="92"/>
      <c r="H38" s="92"/>
      <c r="I38" s="218"/>
      <c r="J38" s="271"/>
      <c r="K38" s="82"/>
      <c r="L38" s="82"/>
    </row>
    <row r="39" spans="1:12" s="1" customFormat="1" ht="12.75" customHeight="1" x14ac:dyDescent="0.15">
      <c r="A39" s="314"/>
      <c r="B39" s="82"/>
      <c r="C39" s="203"/>
      <c r="D39" s="90"/>
      <c r="E39" s="90"/>
      <c r="F39" s="65"/>
      <c r="G39" s="92"/>
      <c r="H39" s="92"/>
      <c r="I39" s="218"/>
      <c r="J39" s="271"/>
      <c r="K39" s="82"/>
      <c r="L39" s="82"/>
    </row>
    <row r="40" spans="1:12" s="1" customFormat="1" ht="12.75" customHeight="1" x14ac:dyDescent="0.15">
      <c r="B40" s="82"/>
      <c r="C40" s="203"/>
      <c r="D40" s="90"/>
      <c r="E40" s="90"/>
      <c r="F40" s="65"/>
      <c r="G40" s="92"/>
      <c r="H40" s="92"/>
      <c r="I40" s="218"/>
      <c r="J40" s="271"/>
      <c r="K40" s="82"/>
      <c r="L40" s="82"/>
    </row>
    <row r="41" spans="1:12" s="1" customFormat="1" ht="12.75" customHeight="1" x14ac:dyDescent="0.15">
      <c r="B41" s="82"/>
      <c r="C41" s="203"/>
      <c r="D41" s="90"/>
      <c r="E41" s="90"/>
      <c r="F41" s="65"/>
      <c r="G41" s="92"/>
      <c r="H41" s="92"/>
      <c r="I41" s="218"/>
      <c r="J41" s="271"/>
      <c r="K41" s="82"/>
      <c r="L41" s="82"/>
    </row>
    <row r="42" spans="1:12" s="1" customFormat="1" ht="12.75" customHeight="1" x14ac:dyDescent="0.15">
      <c r="B42" s="82"/>
      <c r="C42" s="203"/>
      <c r="D42" s="90"/>
      <c r="E42" s="90"/>
      <c r="F42" s="65"/>
      <c r="G42" s="92"/>
      <c r="H42" s="92"/>
      <c r="I42" s="218"/>
      <c r="J42" s="271"/>
      <c r="K42" s="82"/>
      <c r="L42" s="82"/>
    </row>
    <row r="43" spans="1:12" s="1" customFormat="1" ht="14.25" x14ac:dyDescent="0.15">
      <c r="B43" s="82"/>
      <c r="C43" s="89"/>
      <c r="D43" s="391"/>
      <c r="E43" s="391"/>
      <c r="F43" s="223"/>
      <c r="G43" s="92"/>
      <c r="H43" s="92"/>
      <c r="I43" s="168"/>
      <c r="J43" s="271"/>
      <c r="K43" s="82"/>
      <c r="L43" s="115"/>
    </row>
    <row r="44" spans="1:12" s="1" customFormat="1" ht="14.25" x14ac:dyDescent="0.15">
      <c r="B44" s="82"/>
      <c r="C44" s="89"/>
      <c r="D44" s="90"/>
      <c r="E44" s="90"/>
      <c r="F44" s="223"/>
      <c r="G44" s="92"/>
      <c r="H44" s="92"/>
      <c r="I44" s="168"/>
      <c r="J44" s="271"/>
      <c r="K44" s="82"/>
      <c r="L44" s="115"/>
    </row>
    <row r="45" spans="1:12" s="1" customFormat="1" ht="14.25" x14ac:dyDescent="0.15">
      <c r="B45" s="82"/>
      <c r="C45" s="167" t="s">
        <v>159</v>
      </c>
      <c r="D45" s="90"/>
      <c r="E45" s="90"/>
      <c r="F45" s="223"/>
      <c r="G45" s="92"/>
      <c r="H45" s="92"/>
      <c r="I45" s="168"/>
      <c r="J45" s="271"/>
      <c r="K45" s="82"/>
      <c r="L45" s="115"/>
    </row>
    <row r="46" spans="1:12" s="1" customFormat="1" ht="14.25" x14ac:dyDescent="0.15">
      <c r="B46" s="82">
        <v>1</v>
      </c>
      <c r="C46" s="89"/>
      <c r="D46" s="90"/>
      <c r="E46" s="90"/>
      <c r="F46" s="223"/>
      <c r="G46" s="92"/>
      <c r="H46" s="92">
        <v>1</v>
      </c>
      <c r="I46" s="168">
        <f t="shared" ref="I46:I62" si="0">J46*$C$32</f>
        <v>0</v>
      </c>
      <c r="J46" s="271">
        <f t="shared" ref="J46:J62" si="1">(F46*G46*H46)/$C$32</f>
        <v>0</v>
      </c>
      <c r="K46" s="82"/>
      <c r="L46" s="115"/>
    </row>
    <row r="47" spans="1:12" s="1" customFormat="1" ht="14.25" x14ac:dyDescent="0.15">
      <c r="B47" s="82">
        <v>2</v>
      </c>
      <c r="C47" s="89"/>
      <c r="D47" s="90"/>
      <c r="E47" s="90"/>
      <c r="F47" s="223"/>
      <c r="G47" s="92"/>
      <c r="H47" s="92">
        <v>1</v>
      </c>
      <c r="I47" s="168">
        <f t="shared" si="0"/>
        <v>0</v>
      </c>
      <c r="J47" s="271">
        <f t="shared" si="1"/>
        <v>0</v>
      </c>
      <c r="K47" s="82"/>
      <c r="L47" s="115"/>
    </row>
    <row r="48" spans="1:12" s="1" customFormat="1" ht="14.25" x14ac:dyDescent="0.15">
      <c r="B48" s="82">
        <v>4</v>
      </c>
      <c r="C48" s="89"/>
      <c r="D48" s="90"/>
      <c r="E48" s="90"/>
      <c r="F48" s="223"/>
      <c r="G48" s="92"/>
      <c r="H48" s="92">
        <v>1</v>
      </c>
      <c r="I48" s="168">
        <f t="shared" si="0"/>
        <v>0</v>
      </c>
      <c r="J48" s="271">
        <f t="shared" si="1"/>
        <v>0</v>
      </c>
      <c r="K48" s="82"/>
      <c r="L48" s="115"/>
    </row>
    <row r="49" spans="2:12" s="1" customFormat="1" ht="14.25" x14ac:dyDescent="0.15">
      <c r="B49" s="82">
        <v>5</v>
      </c>
      <c r="C49" s="89"/>
      <c r="D49" s="90"/>
      <c r="E49" s="90"/>
      <c r="F49" s="223"/>
      <c r="G49" s="92"/>
      <c r="H49" s="92">
        <v>1</v>
      </c>
      <c r="I49" s="168">
        <f t="shared" si="0"/>
        <v>0</v>
      </c>
      <c r="J49" s="271">
        <f t="shared" si="1"/>
        <v>0</v>
      </c>
      <c r="K49" s="82"/>
      <c r="L49" s="115"/>
    </row>
    <row r="50" spans="2:12" s="1" customFormat="1" ht="14.25" x14ac:dyDescent="0.15">
      <c r="B50" s="82">
        <v>6</v>
      </c>
      <c r="C50" s="89"/>
      <c r="D50" s="90"/>
      <c r="E50" s="90"/>
      <c r="F50" s="223"/>
      <c r="G50" s="92"/>
      <c r="H50" s="92">
        <v>1</v>
      </c>
      <c r="I50" s="168">
        <f t="shared" si="0"/>
        <v>0</v>
      </c>
      <c r="J50" s="271">
        <f t="shared" si="1"/>
        <v>0</v>
      </c>
      <c r="K50" s="82"/>
      <c r="L50" s="115"/>
    </row>
    <row r="51" spans="2:12" s="1" customFormat="1" ht="14.25" x14ac:dyDescent="0.15">
      <c r="B51" s="82">
        <v>7</v>
      </c>
      <c r="C51" s="89"/>
      <c r="D51" s="90"/>
      <c r="E51" s="90"/>
      <c r="F51" s="223"/>
      <c r="G51" s="92"/>
      <c r="H51" s="92">
        <v>1</v>
      </c>
      <c r="I51" s="168">
        <f t="shared" si="0"/>
        <v>0</v>
      </c>
      <c r="J51" s="271">
        <f t="shared" si="1"/>
        <v>0</v>
      </c>
      <c r="K51" s="82"/>
      <c r="L51" s="115"/>
    </row>
    <row r="52" spans="2:12" s="1" customFormat="1" ht="14.25" x14ac:dyDescent="0.15">
      <c r="B52" s="82">
        <v>8</v>
      </c>
      <c r="C52" s="89"/>
      <c r="D52" s="90"/>
      <c r="E52" s="90"/>
      <c r="F52" s="223"/>
      <c r="G52" s="92"/>
      <c r="H52" s="92">
        <v>1</v>
      </c>
      <c r="I52" s="168">
        <f t="shared" si="0"/>
        <v>0</v>
      </c>
      <c r="J52" s="271">
        <f t="shared" si="1"/>
        <v>0</v>
      </c>
      <c r="K52" s="82"/>
      <c r="L52" s="115"/>
    </row>
    <row r="53" spans="2:12" s="1" customFormat="1" ht="14.25" x14ac:dyDescent="0.15">
      <c r="B53" s="82">
        <v>9</v>
      </c>
      <c r="C53" s="89"/>
      <c r="D53" s="90"/>
      <c r="E53" s="90"/>
      <c r="F53" s="223"/>
      <c r="G53" s="92"/>
      <c r="H53" s="92">
        <v>1</v>
      </c>
      <c r="I53" s="168">
        <f t="shared" si="0"/>
        <v>0</v>
      </c>
      <c r="J53" s="271">
        <f t="shared" si="1"/>
        <v>0</v>
      </c>
      <c r="K53" s="82"/>
      <c r="L53" s="115"/>
    </row>
    <row r="54" spans="2:12" s="1" customFormat="1" ht="14.25" x14ac:dyDescent="0.15">
      <c r="B54" s="82">
        <v>10</v>
      </c>
      <c r="C54" s="89"/>
      <c r="D54" s="90"/>
      <c r="E54" s="90"/>
      <c r="F54" s="223"/>
      <c r="G54" s="92"/>
      <c r="H54" s="92">
        <v>1</v>
      </c>
      <c r="I54" s="168">
        <f t="shared" si="0"/>
        <v>0</v>
      </c>
      <c r="J54" s="271">
        <f t="shared" si="1"/>
        <v>0</v>
      </c>
      <c r="K54" s="82"/>
      <c r="L54" s="115"/>
    </row>
    <row r="55" spans="2:12" s="1" customFormat="1" ht="14.25" x14ac:dyDescent="0.15">
      <c r="B55" s="82">
        <v>11</v>
      </c>
      <c r="C55" s="89"/>
      <c r="D55" s="90"/>
      <c r="E55" s="90"/>
      <c r="F55" s="223"/>
      <c r="G55" s="92"/>
      <c r="H55" s="92">
        <v>1</v>
      </c>
      <c r="I55" s="168">
        <f t="shared" si="0"/>
        <v>0</v>
      </c>
      <c r="J55" s="271">
        <f t="shared" si="1"/>
        <v>0</v>
      </c>
      <c r="K55" s="82"/>
      <c r="L55" s="115"/>
    </row>
    <row r="56" spans="2:12" s="1" customFormat="1" ht="14.25" x14ac:dyDescent="0.15">
      <c r="B56" s="82">
        <v>12</v>
      </c>
      <c r="C56" s="89"/>
      <c r="D56" s="169"/>
      <c r="E56" s="169"/>
      <c r="F56" s="223"/>
      <c r="G56" s="214"/>
      <c r="H56" s="92">
        <v>1</v>
      </c>
      <c r="I56" s="218">
        <f t="shared" si="0"/>
        <v>0</v>
      </c>
      <c r="J56" s="271">
        <f t="shared" si="1"/>
        <v>0</v>
      </c>
      <c r="K56" s="82"/>
      <c r="L56" s="82"/>
    </row>
    <row r="57" spans="2:12" s="1" customFormat="1" ht="14.25" x14ac:dyDescent="0.15">
      <c r="B57" s="82">
        <v>13</v>
      </c>
      <c r="C57" s="89"/>
      <c r="D57" s="90"/>
      <c r="E57" s="90"/>
      <c r="F57" s="223"/>
      <c r="G57" s="214"/>
      <c r="H57" s="92">
        <v>1</v>
      </c>
      <c r="I57" s="218">
        <f t="shared" si="0"/>
        <v>0</v>
      </c>
      <c r="J57" s="271">
        <f t="shared" si="1"/>
        <v>0</v>
      </c>
      <c r="K57" s="82"/>
      <c r="L57" s="115"/>
    </row>
    <row r="58" spans="2:12" s="1" customFormat="1" ht="14.25" x14ac:dyDescent="0.15">
      <c r="B58" s="82">
        <v>14</v>
      </c>
      <c r="C58" s="203"/>
      <c r="D58" s="90"/>
      <c r="E58" s="90"/>
      <c r="F58" s="223"/>
      <c r="G58" s="214"/>
      <c r="H58" s="92">
        <v>1</v>
      </c>
      <c r="I58" s="218">
        <f t="shared" si="0"/>
        <v>0</v>
      </c>
      <c r="J58" s="271">
        <f t="shared" si="1"/>
        <v>0</v>
      </c>
      <c r="K58" s="82"/>
      <c r="L58" s="115"/>
    </row>
    <row r="59" spans="2:12" s="1" customFormat="1" ht="14.25" x14ac:dyDescent="0.15">
      <c r="B59" s="82">
        <v>16</v>
      </c>
      <c r="C59" s="203"/>
      <c r="D59" s="90"/>
      <c r="E59" s="90"/>
      <c r="F59" s="223"/>
      <c r="G59" s="214"/>
      <c r="H59" s="92">
        <v>1</v>
      </c>
      <c r="I59" s="218">
        <f t="shared" si="0"/>
        <v>0</v>
      </c>
      <c r="J59" s="271">
        <f t="shared" si="1"/>
        <v>0</v>
      </c>
      <c r="K59" s="82"/>
      <c r="L59" s="115"/>
    </row>
    <row r="60" spans="2:12" s="1" customFormat="1" ht="14.25" x14ac:dyDescent="0.15">
      <c r="B60" s="82">
        <v>17</v>
      </c>
      <c r="C60" s="203"/>
      <c r="D60" s="90"/>
      <c r="E60" s="90"/>
      <c r="F60" s="223"/>
      <c r="G60" s="214"/>
      <c r="H60" s="92">
        <v>1</v>
      </c>
      <c r="I60" s="218">
        <f t="shared" si="0"/>
        <v>0</v>
      </c>
      <c r="J60" s="271">
        <f t="shared" si="1"/>
        <v>0</v>
      </c>
      <c r="K60" s="82"/>
      <c r="L60" s="115"/>
    </row>
    <row r="61" spans="2:12" s="1" customFormat="1" ht="14.25" x14ac:dyDescent="0.15">
      <c r="B61" s="82">
        <v>19</v>
      </c>
      <c r="C61" s="203"/>
      <c r="D61" s="90"/>
      <c r="E61" s="90"/>
      <c r="F61" s="223"/>
      <c r="G61" s="214"/>
      <c r="H61" s="92">
        <v>1</v>
      </c>
      <c r="I61" s="218">
        <f t="shared" si="0"/>
        <v>0</v>
      </c>
      <c r="J61" s="271">
        <f t="shared" si="1"/>
        <v>0</v>
      </c>
      <c r="K61" s="82"/>
      <c r="L61" s="115"/>
    </row>
    <row r="62" spans="2:12" s="1" customFormat="1" ht="14.25" x14ac:dyDescent="0.15">
      <c r="B62" s="82">
        <v>20</v>
      </c>
      <c r="C62" s="203"/>
      <c r="D62" s="90"/>
      <c r="E62" s="90"/>
      <c r="F62" s="223"/>
      <c r="G62" s="214"/>
      <c r="H62" s="92">
        <v>1</v>
      </c>
      <c r="I62" s="218">
        <f t="shared" si="0"/>
        <v>0</v>
      </c>
      <c r="J62" s="271">
        <f t="shared" si="1"/>
        <v>0</v>
      </c>
      <c r="K62" s="82"/>
      <c r="L62" s="115"/>
    </row>
    <row r="63" spans="2:12" s="1" customFormat="1" ht="14.25" x14ac:dyDescent="0.15">
      <c r="B63" s="82"/>
      <c r="C63" s="203"/>
      <c r="D63" s="90"/>
      <c r="E63" s="90"/>
      <c r="F63" s="223"/>
      <c r="G63" s="92"/>
      <c r="H63" s="92"/>
      <c r="I63" s="168"/>
      <c r="J63" s="271"/>
      <c r="K63" s="82"/>
      <c r="L63" s="115"/>
    </row>
    <row r="64" spans="2:12" s="1" customFormat="1" ht="14.25" x14ac:dyDescent="0.15">
      <c r="B64" s="82"/>
      <c r="C64" s="102"/>
      <c r="D64" s="103"/>
      <c r="E64" s="102"/>
      <c r="F64" s="224">
        <f>SUM(F37:F63)</f>
        <v>0</v>
      </c>
      <c r="G64" s="104"/>
      <c r="H64" s="105"/>
      <c r="I64" s="128">
        <f>SUM(I35:I63)</f>
        <v>0</v>
      </c>
      <c r="J64" s="106">
        <f>SUM(J34:J63)</f>
        <v>0</v>
      </c>
      <c r="K64" s="82"/>
      <c r="L64" s="115"/>
    </row>
    <row r="65" spans="2:12" s="1" customFormat="1" ht="14.25" x14ac:dyDescent="0.15">
      <c r="B65" s="82"/>
      <c r="C65" s="102"/>
      <c r="D65" s="103"/>
      <c r="E65" s="102" t="s">
        <v>147</v>
      </c>
      <c r="F65" s="224">
        <f>100/115*F64</f>
        <v>0</v>
      </c>
      <c r="G65" s="104"/>
      <c r="H65" s="105" t="s">
        <v>147</v>
      </c>
      <c r="I65" s="128">
        <f>100/115*I64</f>
        <v>0</v>
      </c>
      <c r="J65" s="257"/>
      <c r="L65" s="222"/>
    </row>
    <row r="66" spans="2:12" s="1" customFormat="1" ht="14.25" x14ac:dyDescent="0.15">
      <c r="B66" s="82"/>
      <c r="C66" s="102"/>
      <c r="D66" s="103"/>
      <c r="E66" s="102"/>
      <c r="F66" s="224"/>
      <c r="G66" s="104"/>
      <c r="H66" s="105"/>
      <c r="I66" s="128"/>
      <c r="J66" s="106"/>
      <c r="L66" s="222"/>
    </row>
    <row r="67" spans="2:12" s="1" customFormat="1" ht="14.25" x14ac:dyDescent="0.15">
      <c r="L67" s="222"/>
    </row>
    <row r="68" spans="2:12" s="1" customFormat="1" ht="14.25" x14ac:dyDescent="0.15">
      <c r="L68" s="222"/>
    </row>
    <row r="69" spans="2:12" s="1" customFormat="1" ht="14.25" x14ac:dyDescent="0.15">
      <c r="L69" s="222"/>
    </row>
    <row r="70" spans="2:12" s="1" customFormat="1" ht="14.25" x14ac:dyDescent="0.15">
      <c r="L70" s="222"/>
    </row>
    <row r="71" spans="2:12" s="247" customFormat="1" ht="32.25" x14ac:dyDescent="0.4">
      <c r="B71" s="248"/>
      <c r="C71" s="380" t="s">
        <v>112</v>
      </c>
      <c r="D71" s="380"/>
      <c r="E71" s="381" t="s">
        <v>148</v>
      </c>
      <c r="F71" s="381"/>
      <c r="G71" s="381"/>
      <c r="H71" s="381"/>
      <c r="I71" s="381"/>
      <c r="J71" s="382">
        <v>2026</v>
      </c>
      <c r="K71" s="382"/>
      <c r="L71" s="382"/>
    </row>
    <row r="72" spans="2:12" s="1" customFormat="1" ht="22.5" x14ac:dyDescent="0.15">
      <c r="B72" s="82"/>
      <c r="C72" s="102" t="s">
        <v>114</v>
      </c>
      <c r="D72" s="388" t="s">
        <v>115</v>
      </c>
      <c r="E72" s="388"/>
      <c r="F72" s="102" t="s">
        <v>116</v>
      </c>
      <c r="G72" s="102" t="s">
        <v>117</v>
      </c>
      <c r="H72" s="102" t="s">
        <v>118</v>
      </c>
      <c r="I72" s="102" t="s">
        <v>119</v>
      </c>
      <c r="J72" s="102" t="s">
        <v>120</v>
      </c>
      <c r="K72" s="82"/>
      <c r="L72" s="82"/>
    </row>
    <row r="73" spans="2:12" s="1" customFormat="1" ht="12.75" x14ac:dyDescent="0.15">
      <c r="B73" s="82"/>
      <c r="C73" s="66">
        <f>C32</f>
        <v>350</v>
      </c>
      <c r="D73" s="389">
        <v>20</v>
      </c>
      <c r="E73" s="389"/>
      <c r="F73" s="13">
        <f>F32</f>
        <v>0.85</v>
      </c>
      <c r="G73" s="14">
        <f>G32</f>
        <v>8</v>
      </c>
      <c r="H73" s="142">
        <f>D73*G73*F73</f>
        <v>136</v>
      </c>
      <c r="I73" s="66">
        <f>I110</f>
        <v>5239.8489124705047</v>
      </c>
      <c r="J73" s="143">
        <f>H73-J110</f>
        <v>121.02900310722713</v>
      </c>
      <c r="K73" s="82"/>
      <c r="L73" s="82"/>
    </row>
    <row r="74" spans="2:12" s="1" customFormat="1" ht="33.75" x14ac:dyDescent="0.15">
      <c r="B74" s="82"/>
      <c r="C74" s="167" t="s">
        <v>121</v>
      </c>
      <c r="D74" s="395" t="s">
        <v>122</v>
      </c>
      <c r="E74" s="395"/>
      <c r="F74" s="177" t="s">
        <v>123</v>
      </c>
      <c r="G74" s="178" t="s">
        <v>124</v>
      </c>
      <c r="H74" s="179" t="s">
        <v>125</v>
      </c>
      <c r="I74" s="180" t="s">
        <v>126</v>
      </c>
      <c r="J74" s="178" t="s">
        <v>127</v>
      </c>
      <c r="K74" s="114" t="s">
        <v>128</v>
      </c>
      <c r="L74" s="114" t="s">
        <v>129</v>
      </c>
    </row>
    <row r="75" spans="2:12" s="1" customFormat="1" ht="12.75" x14ac:dyDescent="0.15">
      <c r="B75" s="82"/>
      <c r="C75" s="89"/>
      <c r="D75" s="391"/>
      <c r="E75" s="391"/>
      <c r="F75" s="184"/>
      <c r="G75" s="92"/>
      <c r="H75" s="92"/>
      <c r="I75" s="168"/>
      <c r="J75" s="185"/>
      <c r="K75" s="82"/>
      <c r="L75" s="82"/>
    </row>
    <row r="76" spans="2:12" s="1" customFormat="1" ht="12.75" x14ac:dyDescent="0.15">
      <c r="B76" s="82"/>
      <c r="C76" s="392" t="s">
        <v>130</v>
      </c>
      <c r="D76" s="392"/>
      <c r="E76" s="392"/>
      <c r="F76" s="184"/>
      <c r="G76" s="92"/>
      <c r="H76" s="92"/>
      <c r="I76" s="168"/>
      <c r="J76" s="185"/>
      <c r="K76" s="82"/>
      <c r="L76" s="82"/>
    </row>
    <row r="77" spans="2:12" s="1" customFormat="1" ht="12.75" x14ac:dyDescent="0.15">
      <c r="B77" s="82"/>
      <c r="C77" s="167" t="s">
        <v>149</v>
      </c>
      <c r="D77" s="167"/>
      <c r="E77" s="167"/>
      <c r="F77" s="168"/>
      <c r="G77" s="92"/>
      <c r="H77" s="92"/>
      <c r="I77" s="168"/>
      <c r="J77" s="438"/>
      <c r="K77" s="82"/>
      <c r="L77" s="82"/>
    </row>
    <row r="78" spans="2:12" s="1" customFormat="1" ht="12.75" customHeight="1" x14ac:dyDescent="0.15">
      <c r="B78" s="82">
        <v>1</v>
      </c>
      <c r="C78" s="203" t="s">
        <v>226</v>
      </c>
      <c r="D78" s="90"/>
      <c r="E78" s="90"/>
      <c r="F78" s="168">
        <v>3947.8260173913045</v>
      </c>
      <c r="G78" s="92">
        <f>'Work Component  Split'!K31</f>
        <v>8.8146259117352466E-2</v>
      </c>
      <c r="H78" s="92">
        <v>1</v>
      </c>
      <c r="I78" s="218">
        <f>J78*$C$32</f>
        <v>347.98609507919957</v>
      </c>
      <c r="J78" s="271">
        <f t="shared" ref="J78:J87" si="2">(F78*G78*H78)/$C$32</f>
        <v>0.99424598594057023</v>
      </c>
      <c r="K78" s="82"/>
      <c r="L78" s="82"/>
    </row>
    <row r="79" spans="2:12" s="1" customFormat="1" ht="12.75" customHeight="1" x14ac:dyDescent="0.15">
      <c r="B79" s="82">
        <v>2</v>
      </c>
      <c r="C79" s="203" t="s">
        <v>227</v>
      </c>
      <c r="D79" s="90"/>
      <c r="E79" s="90"/>
      <c r="F79" s="168">
        <v>3549.91</v>
      </c>
      <c r="G79" s="92">
        <f>'Work Component  Split'!K35</f>
        <v>0.10000008573395555</v>
      </c>
      <c r="H79" s="92">
        <v>1</v>
      </c>
      <c r="I79" s="218">
        <f>J79*$C$32</f>
        <v>354.99130434782614</v>
      </c>
      <c r="J79" s="271">
        <f t="shared" si="2"/>
        <v>1.0142608695652175</v>
      </c>
      <c r="K79" s="82"/>
      <c r="L79" s="82"/>
    </row>
    <row r="80" spans="2:12" s="1" customFormat="1" ht="12.75" customHeight="1" x14ac:dyDescent="0.15">
      <c r="B80" s="82">
        <v>3</v>
      </c>
      <c r="C80" s="203" t="s">
        <v>228</v>
      </c>
      <c r="D80" s="90"/>
      <c r="E80" s="90"/>
      <c r="F80" s="168">
        <v>2430</v>
      </c>
      <c r="G80" s="92">
        <v>0.4</v>
      </c>
      <c r="H80" s="92">
        <v>1</v>
      </c>
      <c r="I80" s="218">
        <f t="shared" ref="I80:I87" si="3">J80*$C$32</f>
        <v>972</v>
      </c>
      <c r="J80" s="271">
        <f t="shared" si="2"/>
        <v>2.7771428571428571</v>
      </c>
      <c r="K80" s="82"/>
      <c r="L80" s="82"/>
    </row>
    <row r="81" spans="2:12" s="1" customFormat="1" ht="12.75" customHeight="1" x14ac:dyDescent="0.15">
      <c r="B81" s="82">
        <v>4</v>
      </c>
      <c r="C81" s="203" t="s">
        <v>229</v>
      </c>
      <c r="D81" s="90"/>
      <c r="E81" s="90"/>
      <c r="F81" s="168">
        <v>2596.5100000000002</v>
      </c>
      <c r="G81" s="92">
        <v>0.39999966510230373</v>
      </c>
      <c r="H81" s="92">
        <v>1</v>
      </c>
      <c r="I81" s="218">
        <f t="shared" si="3"/>
        <v>1038.6031304347828</v>
      </c>
      <c r="J81" s="271">
        <f t="shared" si="2"/>
        <v>2.9674375155279509</v>
      </c>
      <c r="K81" s="82"/>
      <c r="L81" s="82"/>
    </row>
    <row r="82" spans="2:12" s="1" customFormat="1" ht="12.75" customHeight="1" x14ac:dyDescent="0.15">
      <c r="B82" s="82">
        <v>5</v>
      </c>
      <c r="C82" s="203" t="s">
        <v>230</v>
      </c>
      <c r="D82" s="90"/>
      <c r="E82" s="90"/>
      <c r="F82" s="168">
        <v>4180</v>
      </c>
      <c r="G82" s="92">
        <v>0.36172248803827756</v>
      </c>
      <c r="H82" s="92">
        <v>1</v>
      </c>
      <c r="I82" s="218">
        <f t="shared" si="3"/>
        <v>1512</v>
      </c>
      <c r="J82" s="271">
        <f t="shared" si="2"/>
        <v>4.32</v>
      </c>
      <c r="K82" s="82"/>
      <c r="L82" s="82"/>
    </row>
    <row r="83" spans="2:12" s="1" customFormat="1" ht="12.75" customHeight="1" x14ac:dyDescent="0.15">
      <c r="B83" s="82">
        <v>6</v>
      </c>
      <c r="C83" s="203" t="s">
        <v>231</v>
      </c>
      <c r="D83" s="90"/>
      <c r="E83" s="90"/>
      <c r="F83" s="168">
        <v>2535.67</v>
      </c>
      <c r="G83" s="92">
        <v>0.40000015089057162</v>
      </c>
      <c r="H83" s="92">
        <v>1</v>
      </c>
      <c r="I83" s="218">
        <f t="shared" si="3"/>
        <v>1014.2683826086959</v>
      </c>
      <c r="J83" s="271">
        <f t="shared" si="2"/>
        <v>2.8979096645962739</v>
      </c>
      <c r="K83" s="82"/>
      <c r="L83" s="82"/>
    </row>
    <row r="84" spans="2:12" s="1" customFormat="1" ht="12.75" customHeight="1" x14ac:dyDescent="0.15">
      <c r="B84" s="82">
        <v>7</v>
      </c>
      <c r="C84" s="203"/>
      <c r="D84" s="90"/>
      <c r="E84" s="90"/>
      <c r="F84" s="168"/>
      <c r="G84" s="92"/>
      <c r="H84" s="92">
        <v>1</v>
      </c>
      <c r="I84" s="218">
        <f t="shared" si="3"/>
        <v>0</v>
      </c>
      <c r="J84" s="271">
        <f t="shared" si="2"/>
        <v>0</v>
      </c>
      <c r="K84" s="82"/>
      <c r="L84" s="82"/>
    </row>
    <row r="85" spans="2:12" s="1" customFormat="1" ht="12.75" customHeight="1" x14ac:dyDescent="0.15">
      <c r="B85" s="82">
        <v>8</v>
      </c>
      <c r="C85" s="203"/>
      <c r="D85" s="90"/>
      <c r="E85" s="90"/>
      <c r="F85" s="168"/>
      <c r="G85" s="92"/>
      <c r="H85" s="92">
        <v>1</v>
      </c>
      <c r="I85" s="218">
        <f t="shared" si="3"/>
        <v>0</v>
      </c>
      <c r="J85" s="271">
        <f t="shared" si="2"/>
        <v>0</v>
      </c>
      <c r="K85" s="82"/>
      <c r="L85" s="82"/>
    </row>
    <row r="86" spans="2:12" s="1" customFormat="1" ht="12.75" customHeight="1" x14ac:dyDescent="0.15">
      <c r="B86" s="82">
        <v>9</v>
      </c>
      <c r="C86" s="203"/>
      <c r="D86" s="90"/>
      <c r="E86" s="90"/>
      <c r="F86" s="168"/>
      <c r="G86" s="92"/>
      <c r="H86" s="92">
        <v>1</v>
      </c>
      <c r="I86" s="218">
        <f t="shared" si="3"/>
        <v>0</v>
      </c>
      <c r="J86" s="94">
        <f t="shared" si="2"/>
        <v>0</v>
      </c>
      <c r="K86" s="82"/>
      <c r="L86" s="82"/>
    </row>
    <row r="87" spans="2:12" s="1" customFormat="1" ht="12.75" customHeight="1" x14ac:dyDescent="0.15">
      <c r="B87" s="82">
        <v>10</v>
      </c>
      <c r="C87" s="203"/>
      <c r="D87" s="90"/>
      <c r="E87" s="90"/>
      <c r="F87" s="168"/>
      <c r="G87" s="92"/>
      <c r="H87" s="92">
        <v>1</v>
      </c>
      <c r="I87" s="218">
        <f t="shared" si="3"/>
        <v>0</v>
      </c>
      <c r="J87" s="94">
        <f t="shared" si="2"/>
        <v>0</v>
      </c>
      <c r="K87" s="82"/>
      <c r="L87" s="82"/>
    </row>
    <row r="88" spans="2:12" s="1" customFormat="1" ht="12.75" customHeight="1" x14ac:dyDescent="0.15">
      <c r="B88" s="82"/>
      <c r="C88" s="203"/>
      <c r="D88" s="90"/>
      <c r="E88" s="90"/>
      <c r="F88" s="168"/>
      <c r="G88" s="92"/>
      <c r="H88" s="92"/>
      <c r="I88" s="218"/>
      <c r="J88" s="94"/>
      <c r="K88" s="82"/>
      <c r="L88" s="82"/>
    </row>
    <row r="89" spans="2:12" s="1" customFormat="1" ht="12.75" customHeight="1" x14ac:dyDescent="0.15">
      <c r="B89" s="82"/>
      <c r="C89" s="203"/>
      <c r="D89" s="90"/>
      <c r="E89" s="90"/>
      <c r="F89" s="168"/>
      <c r="G89" s="92"/>
      <c r="H89" s="92"/>
      <c r="I89" s="218"/>
      <c r="J89" s="94"/>
      <c r="K89" s="82"/>
      <c r="L89" s="82"/>
    </row>
    <row r="90" spans="2:12" s="1" customFormat="1" ht="14.25" x14ac:dyDescent="0.15">
      <c r="B90" s="82"/>
      <c r="C90" s="167" t="s">
        <v>150</v>
      </c>
      <c r="D90" s="90"/>
      <c r="E90" s="90"/>
      <c r="F90" s="168"/>
      <c r="G90" s="92"/>
      <c r="H90" s="92"/>
      <c r="I90" s="168"/>
      <c r="J90" s="94"/>
      <c r="K90" s="82"/>
      <c r="L90" s="115"/>
    </row>
    <row r="91" spans="2:12" s="1" customFormat="1" ht="14.25" x14ac:dyDescent="0.15">
      <c r="B91" s="82">
        <v>1</v>
      </c>
      <c r="C91" s="189"/>
      <c r="D91" s="206"/>
      <c r="E91" s="206"/>
      <c r="F91" s="168"/>
      <c r="G91" s="214"/>
      <c r="H91" s="92">
        <v>1</v>
      </c>
      <c r="I91" s="218">
        <f t="shared" ref="I91:I99" si="4">J91*$C$32</f>
        <v>0</v>
      </c>
      <c r="J91" s="94">
        <f>(F91*G91*H91)/$C$32</f>
        <v>0</v>
      </c>
      <c r="K91" s="82"/>
      <c r="L91" s="115"/>
    </row>
    <row r="92" spans="2:12" s="1" customFormat="1" ht="12.75" x14ac:dyDescent="0.15">
      <c r="B92" s="82">
        <v>2</v>
      </c>
      <c r="C92" s="189"/>
      <c r="D92" s="393"/>
      <c r="E92" s="393"/>
      <c r="F92" s="168"/>
      <c r="G92" s="92"/>
      <c r="H92" s="92">
        <v>1</v>
      </c>
      <c r="I92" s="168">
        <f t="shared" si="4"/>
        <v>0</v>
      </c>
      <c r="J92" s="185">
        <f t="shared" ref="J92:J99" si="5">(F92*G92*H92)/$C$32</f>
        <v>0</v>
      </c>
      <c r="K92" s="82"/>
      <c r="L92" s="82"/>
    </row>
    <row r="93" spans="2:12" s="1" customFormat="1" ht="12.75" x14ac:dyDescent="0.15">
      <c r="B93" s="82">
        <v>3</v>
      </c>
      <c r="C93" s="189"/>
      <c r="D93" s="394"/>
      <c r="E93" s="394"/>
      <c r="F93" s="168"/>
      <c r="G93" s="92"/>
      <c r="H93" s="92">
        <v>1</v>
      </c>
      <c r="I93" s="168">
        <f t="shared" si="4"/>
        <v>0</v>
      </c>
      <c r="J93" s="185">
        <f t="shared" si="5"/>
        <v>0</v>
      </c>
      <c r="K93" s="82"/>
      <c r="L93" s="82"/>
    </row>
    <row r="94" spans="2:12" s="1" customFormat="1" ht="12.75" x14ac:dyDescent="0.15">
      <c r="B94" s="82">
        <v>4</v>
      </c>
      <c r="C94" s="189"/>
      <c r="D94" s="206"/>
      <c r="E94" s="206"/>
      <c r="F94" s="168"/>
      <c r="G94" s="92"/>
      <c r="H94" s="92">
        <v>1</v>
      </c>
      <c r="I94" s="168">
        <f t="shared" si="4"/>
        <v>0</v>
      </c>
      <c r="J94" s="185">
        <f t="shared" si="5"/>
        <v>0</v>
      </c>
      <c r="K94" s="82"/>
      <c r="L94" s="82"/>
    </row>
    <row r="95" spans="2:12" s="1" customFormat="1" ht="12.75" x14ac:dyDescent="0.15">
      <c r="B95" s="82">
        <v>5</v>
      </c>
      <c r="C95" s="189"/>
      <c r="D95" s="206"/>
      <c r="E95" s="206"/>
      <c r="F95" s="168"/>
      <c r="G95" s="92"/>
      <c r="H95" s="92">
        <v>1</v>
      </c>
      <c r="I95" s="168">
        <f t="shared" si="4"/>
        <v>0</v>
      </c>
      <c r="J95" s="185">
        <f t="shared" si="5"/>
        <v>0</v>
      </c>
      <c r="K95" s="82"/>
      <c r="L95" s="82"/>
    </row>
    <row r="96" spans="2:12" s="1" customFormat="1" ht="12.75" x14ac:dyDescent="0.15">
      <c r="B96" s="82">
        <v>7</v>
      </c>
      <c r="C96" s="189"/>
      <c r="D96" s="206"/>
      <c r="E96" s="206"/>
      <c r="F96" s="168"/>
      <c r="G96" s="92"/>
      <c r="H96" s="92">
        <v>1</v>
      </c>
      <c r="I96" s="168">
        <f t="shared" si="4"/>
        <v>0</v>
      </c>
      <c r="J96" s="185">
        <f t="shared" si="5"/>
        <v>0</v>
      </c>
      <c r="K96" s="82"/>
      <c r="L96" s="82"/>
    </row>
    <row r="97" spans="2:12" s="1" customFormat="1" ht="12.75" x14ac:dyDescent="0.15">
      <c r="B97" s="82">
        <v>8</v>
      </c>
      <c r="C97" s="189"/>
      <c r="D97" s="206"/>
      <c r="E97" s="206"/>
      <c r="F97" s="168"/>
      <c r="G97" s="92"/>
      <c r="H97" s="92">
        <v>1</v>
      </c>
      <c r="I97" s="168">
        <f t="shared" si="4"/>
        <v>0</v>
      </c>
      <c r="J97" s="185">
        <f t="shared" si="5"/>
        <v>0</v>
      </c>
      <c r="K97" s="82"/>
      <c r="L97" s="82"/>
    </row>
    <row r="98" spans="2:12" s="1" customFormat="1" ht="12.75" x14ac:dyDescent="0.15">
      <c r="B98" s="82">
        <v>9</v>
      </c>
      <c r="C98" s="189"/>
      <c r="D98" s="206"/>
      <c r="E98" s="206"/>
      <c r="F98" s="168"/>
      <c r="G98" s="92"/>
      <c r="H98" s="92">
        <v>1</v>
      </c>
      <c r="I98" s="168">
        <f t="shared" si="4"/>
        <v>0</v>
      </c>
      <c r="J98" s="185">
        <f t="shared" si="5"/>
        <v>0</v>
      </c>
      <c r="K98" s="82"/>
      <c r="L98" s="82"/>
    </row>
    <row r="99" spans="2:12" s="1" customFormat="1" ht="12.75" x14ac:dyDescent="0.15">
      <c r="B99" s="82">
        <v>10</v>
      </c>
      <c r="C99" s="189"/>
      <c r="D99" s="206"/>
      <c r="E99" s="206"/>
      <c r="F99" s="168"/>
      <c r="G99" s="92"/>
      <c r="H99" s="92">
        <v>1</v>
      </c>
      <c r="I99" s="168">
        <f t="shared" si="4"/>
        <v>0</v>
      </c>
      <c r="J99" s="185">
        <f t="shared" si="5"/>
        <v>0</v>
      </c>
      <c r="K99" s="82"/>
      <c r="L99" s="82"/>
    </row>
    <row r="100" spans="2:12" s="1" customFormat="1" ht="12.75" x14ac:dyDescent="0.15">
      <c r="B100" s="82">
        <v>11</v>
      </c>
      <c r="C100" s="189"/>
      <c r="D100" s="206"/>
      <c r="E100" s="206"/>
      <c r="F100" s="168"/>
      <c r="G100" s="92"/>
      <c r="H100" s="92">
        <v>1</v>
      </c>
      <c r="I100" s="168"/>
      <c r="J100" s="185"/>
      <c r="K100" s="82"/>
      <c r="L100" s="82"/>
    </row>
    <row r="101" spans="2:12" s="1" customFormat="1" ht="12.75" x14ac:dyDescent="0.15">
      <c r="B101" s="82">
        <v>12</v>
      </c>
      <c r="C101" s="189"/>
      <c r="D101" s="206"/>
      <c r="E101" s="206"/>
      <c r="F101" s="168"/>
      <c r="G101" s="92"/>
      <c r="H101" s="92">
        <v>1</v>
      </c>
      <c r="I101" s="168"/>
      <c r="J101" s="185"/>
      <c r="K101" s="82"/>
      <c r="L101" s="82"/>
    </row>
    <row r="102" spans="2:12" s="1" customFormat="1" ht="12.75" x14ac:dyDescent="0.15">
      <c r="B102" s="82">
        <v>14</v>
      </c>
      <c r="C102" s="189"/>
      <c r="D102" s="206"/>
      <c r="E102" s="206"/>
      <c r="F102" s="168"/>
      <c r="G102" s="92"/>
      <c r="H102" s="92">
        <v>1</v>
      </c>
      <c r="I102" s="168">
        <f t="shared" ref="I102:I108" si="6">J102*$C$32</f>
        <v>0</v>
      </c>
      <c r="J102" s="185">
        <f t="shared" ref="J102:J103" si="7">(F102*G102*H102)/$C$32</f>
        <v>0</v>
      </c>
      <c r="K102" s="82"/>
      <c r="L102" s="82"/>
    </row>
    <row r="103" spans="2:12" s="1" customFormat="1" ht="12.75" x14ac:dyDescent="0.15">
      <c r="B103" s="82">
        <v>15</v>
      </c>
      <c r="C103" s="189"/>
      <c r="D103" s="206"/>
      <c r="E103" s="206"/>
      <c r="F103" s="168"/>
      <c r="G103" s="92"/>
      <c r="H103" s="92">
        <v>1</v>
      </c>
      <c r="I103" s="168">
        <f t="shared" si="6"/>
        <v>0</v>
      </c>
      <c r="J103" s="185">
        <f t="shared" si="7"/>
        <v>0</v>
      </c>
      <c r="K103" s="82"/>
      <c r="L103" s="82"/>
    </row>
    <row r="104" spans="2:12" s="1" customFormat="1" ht="12.75" x14ac:dyDescent="0.15">
      <c r="B104" s="82">
        <v>16</v>
      </c>
      <c r="C104" s="189"/>
      <c r="D104" s="206"/>
      <c r="E104" s="206"/>
      <c r="F104" s="168"/>
      <c r="G104" s="92"/>
      <c r="H104" s="92">
        <v>1</v>
      </c>
      <c r="I104" s="168">
        <f t="shared" si="6"/>
        <v>0</v>
      </c>
      <c r="J104" s="185">
        <f>(F104*G104*H104)/$C$32</f>
        <v>0</v>
      </c>
      <c r="K104" s="82"/>
      <c r="L104" s="82"/>
    </row>
    <row r="105" spans="2:12" s="1" customFormat="1" ht="12.75" x14ac:dyDescent="0.15">
      <c r="B105" s="82">
        <v>17</v>
      </c>
      <c r="C105" s="189"/>
      <c r="D105" s="206"/>
      <c r="E105" s="206"/>
      <c r="F105" s="168"/>
      <c r="G105" s="92"/>
      <c r="H105" s="92">
        <v>1</v>
      </c>
      <c r="I105" s="168">
        <f t="shared" si="6"/>
        <v>0</v>
      </c>
      <c r="J105" s="185">
        <f>(F105*G105*H105)/$C$32</f>
        <v>0</v>
      </c>
      <c r="K105" s="82"/>
      <c r="L105" s="82"/>
    </row>
    <row r="106" spans="2:12" s="1" customFormat="1" ht="12.75" x14ac:dyDescent="0.15">
      <c r="B106" s="82">
        <v>18</v>
      </c>
      <c r="C106" s="189"/>
      <c r="D106" s="206"/>
      <c r="E106" s="206"/>
      <c r="F106" s="168"/>
      <c r="G106" s="92"/>
      <c r="H106" s="92">
        <v>1</v>
      </c>
      <c r="I106" s="168">
        <f t="shared" si="6"/>
        <v>0</v>
      </c>
      <c r="J106" s="185">
        <f>(F106*G106*H106)/$C$32</f>
        <v>0</v>
      </c>
      <c r="K106" s="242"/>
      <c r="L106" s="82"/>
    </row>
    <row r="107" spans="2:12" s="1" customFormat="1" ht="12.75" x14ac:dyDescent="0.15">
      <c r="B107" s="82">
        <v>19</v>
      </c>
      <c r="C107" s="189"/>
      <c r="D107" s="206"/>
      <c r="E107" s="206"/>
      <c r="F107" s="168"/>
      <c r="G107" s="92"/>
      <c r="H107" s="92">
        <v>1</v>
      </c>
      <c r="I107" s="168">
        <f t="shared" si="6"/>
        <v>0</v>
      </c>
      <c r="J107" s="185">
        <f>(F107*G107*H107)/$C$32</f>
        <v>0</v>
      </c>
      <c r="K107" s="215"/>
      <c r="L107" s="82"/>
    </row>
    <row r="108" spans="2:12" s="1" customFormat="1" ht="12.75" x14ac:dyDescent="0.15">
      <c r="B108" s="82">
        <v>20</v>
      </c>
      <c r="C108" s="189"/>
      <c r="D108" s="206"/>
      <c r="E108" s="206"/>
      <c r="F108" s="168"/>
      <c r="G108" s="92"/>
      <c r="H108" s="92">
        <v>1</v>
      </c>
      <c r="I108" s="168">
        <f t="shared" si="6"/>
        <v>0</v>
      </c>
      <c r="J108" s="185">
        <f>(F108*G108*H108)/$C$32</f>
        <v>0</v>
      </c>
      <c r="K108" s="82"/>
      <c r="L108" s="82"/>
    </row>
    <row r="109" spans="2:12" s="1" customFormat="1" ht="12.75" x14ac:dyDescent="0.15">
      <c r="B109" s="82"/>
      <c r="C109" s="189"/>
      <c r="D109" s="206"/>
      <c r="E109" s="206"/>
      <c r="F109" s="168"/>
      <c r="G109" s="92"/>
      <c r="H109" s="92"/>
      <c r="I109" s="168"/>
      <c r="J109" s="185"/>
      <c r="K109" s="82"/>
      <c r="L109" s="82"/>
    </row>
    <row r="110" spans="2:12" s="1" customFormat="1" ht="12.75" x14ac:dyDescent="0.15">
      <c r="B110" s="82"/>
      <c r="C110" s="102"/>
      <c r="D110" s="103"/>
      <c r="E110" s="102"/>
      <c r="F110" s="128">
        <f>SUM(F76:F109)</f>
        <v>19239.916017391304</v>
      </c>
      <c r="G110" s="104"/>
      <c r="H110" s="105"/>
      <c r="I110" s="128">
        <f>SUM(I78:I109)</f>
        <v>5239.8489124705047</v>
      </c>
      <c r="J110" s="257">
        <f>SUM(J75:J109)</f>
        <v>14.97099689277287</v>
      </c>
    </row>
    <row r="111" spans="2:12" s="1" customFormat="1" ht="12.75" x14ac:dyDescent="0.15">
      <c r="B111" s="82"/>
      <c r="C111" s="102"/>
      <c r="D111" s="103"/>
      <c r="E111" s="102" t="s">
        <v>147</v>
      </c>
      <c r="F111" s="128">
        <f>100/115*F110</f>
        <v>16730.361754253307</v>
      </c>
      <c r="G111" s="104"/>
      <c r="H111" s="105" t="s">
        <v>147</v>
      </c>
      <c r="I111" s="128">
        <f>100/115*I110</f>
        <v>4556.3903586700044</v>
      </c>
      <c r="J111" s="106"/>
    </row>
    <row r="112" spans="2:12" s="1" customFormat="1" ht="12.75" x14ac:dyDescent="0.15"/>
    <row r="113" spans="2:12" s="1" customFormat="1" ht="12.75" x14ac:dyDescent="0.15"/>
    <row r="114" spans="2:12" s="1" customFormat="1" ht="12.75" x14ac:dyDescent="0.15"/>
    <row r="115" spans="2:12" s="1" customFormat="1" ht="12.75" x14ac:dyDescent="0.15"/>
    <row r="116" spans="2:12" s="247" customFormat="1" ht="32.25" x14ac:dyDescent="0.4">
      <c r="B116" s="248"/>
      <c r="C116" s="380" t="s">
        <v>112</v>
      </c>
      <c r="D116" s="380"/>
      <c r="E116" s="428" t="s">
        <v>151</v>
      </c>
      <c r="F116" s="428"/>
      <c r="G116" s="428"/>
      <c r="H116" s="428"/>
      <c r="I116" s="428"/>
      <c r="J116" s="382">
        <v>2026</v>
      </c>
      <c r="K116" s="382"/>
      <c r="L116" s="382"/>
    </row>
    <row r="117" spans="2:12" s="1" customFormat="1" ht="22.5" x14ac:dyDescent="0.15">
      <c r="B117" s="82"/>
      <c r="C117" s="102" t="s">
        <v>114</v>
      </c>
      <c r="D117" s="388" t="s">
        <v>115</v>
      </c>
      <c r="E117" s="388"/>
      <c r="F117" s="102" t="s">
        <v>116</v>
      </c>
      <c r="G117" s="102" t="s">
        <v>117</v>
      </c>
      <c r="H117" s="102" t="s">
        <v>118</v>
      </c>
      <c r="I117" s="102" t="s">
        <v>119</v>
      </c>
      <c r="J117" s="102" t="s">
        <v>120</v>
      </c>
      <c r="K117" s="82"/>
      <c r="L117" s="82"/>
    </row>
    <row r="118" spans="2:12" s="1" customFormat="1" ht="12.75" x14ac:dyDescent="0.15">
      <c r="B118" s="2"/>
      <c r="C118" s="220">
        <f>C73</f>
        <v>350</v>
      </c>
      <c r="D118" s="399">
        <v>21</v>
      </c>
      <c r="E118" s="399"/>
      <c r="F118" s="208">
        <f>F73</f>
        <v>0.85</v>
      </c>
      <c r="G118" s="209">
        <f>G73</f>
        <v>8</v>
      </c>
      <c r="H118" s="210">
        <f>D118*G118*F118</f>
        <v>142.79999999999998</v>
      </c>
      <c r="I118" s="216">
        <f>I179</f>
        <v>0</v>
      </c>
      <c r="J118" s="211">
        <f>H118-J179</f>
        <v>142.79999999999998</v>
      </c>
      <c r="K118" s="120"/>
      <c r="L118" s="120"/>
    </row>
    <row r="119" spans="2:12" s="1" customFormat="1" ht="33.75" x14ac:dyDescent="0.15">
      <c r="B119" s="2"/>
      <c r="C119" s="167" t="s">
        <v>121</v>
      </c>
      <c r="D119" s="395" t="s">
        <v>122</v>
      </c>
      <c r="E119" s="395"/>
      <c r="F119" s="177" t="s">
        <v>123</v>
      </c>
      <c r="G119" s="198" t="s">
        <v>124</v>
      </c>
      <c r="H119" s="15" t="s">
        <v>125</v>
      </c>
      <c r="I119" s="217" t="s">
        <v>126</v>
      </c>
      <c r="J119" s="178" t="s">
        <v>127</v>
      </c>
      <c r="K119" s="114" t="s">
        <v>128</v>
      </c>
      <c r="L119" s="114" t="s">
        <v>129</v>
      </c>
    </row>
    <row r="120" spans="2:12" s="1" customFormat="1" ht="12.75" x14ac:dyDescent="0.15">
      <c r="B120" s="2"/>
      <c r="C120" s="89"/>
      <c r="D120" s="391"/>
      <c r="E120" s="391"/>
      <c r="F120" s="91"/>
      <c r="G120" s="199"/>
      <c r="H120" s="9"/>
      <c r="I120" s="218"/>
      <c r="J120" s="94"/>
      <c r="K120" s="82"/>
      <c r="L120" s="82"/>
    </row>
    <row r="121" spans="2:12" s="1" customFormat="1" ht="13.35" customHeight="1" x14ac:dyDescent="0.15">
      <c r="B121" s="2"/>
      <c r="C121" s="392" t="s">
        <v>130</v>
      </c>
      <c r="D121" s="392"/>
      <c r="E121" s="392"/>
      <c r="F121" s="184"/>
      <c r="G121" s="200"/>
      <c r="H121" s="9"/>
      <c r="I121" s="218"/>
      <c r="J121" s="323"/>
      <c r="K121" s="82"/>
      <c r="L121" s="82"/>
    </row>
    <row r="122" spans="2:12" s="1" customFormat="1" ht="13.35" customHeight="1" x14ac:dyDescent="0.15">
      <c r="B122" s="2"/>
      <c r="C122" s="167" t="s">
        <v>152</v>
      </c>
      <c r="D122" s="167"/>
      <c r="E122" s="167"/>
      <c r="F122" s="168"/>
      <c r="G122" s="200"/>
      <c r="H122" s="9"/>
      <c r="I122" s="218"/>
      <c r="J122" s="323"/>
      <c r="K122" s="82"/>
      <c r="L122" s="82"/>
    </row>
    <row r="123" spans="2:12" s="1" customFormat="1" ht="12.75" customHeight="1" x14ac:dyDescent="0.15">
      <c r="B123" s="2">
        <v>1</v>
      </c>
      <c r="C123" s="203"/>
      <c r="D123" s="391"/>
      <c r="E123" s="391"/>
      <c r="F123" s="168"/>
      <c r="G123" s="200"/>
      <c r="H123" s="9">
        <v>1</v>
      </c>
      <c r="I123" s="218">
        <f>J123*$C$32</f>
        <v>0</v>
      </c>
      <c r="J123" s="323">
        <f t="shared" ref="J123:J177" si="8">(F123*G123*H123)/$C$32</f>
        <v>0</v>
      </c>
      <c r="K123" s="82"/>
      <c r="L123" s="82"/>
    </row>
    <row r="124" spans="2:12" s="1" customFormat="1" ht="12.75" customHeight="1" x14ac:dyDescent="0.15">
      <c r="B124" s="2">
        <v>2</v>
      </c>
      <c r="C124" s="203"/>
      <c r="D124" s="391"/>
      <c r="E124" s="391"/>
      <c r="F124" s="168"/>
      <c r="G124" s="200"/>
      <c r="H124" s="9">
        <v>1</v>
      </c>
      <c r="I124" s="218">
        <f>J124*$C$32</f>
        <v>0</v>
      </c>
      <c r="J124" s="323">
        <f t="shared" si="8"/>
        <v>0</v>
      </c>
      <c r="K124" s="82"/>
      <c r="L124" s="82"/>
    </row>
    <row r="125" spans="2:12" s="1" customFormat="1" ht="12.75" customHeight="1" x14ac:dyDescent="0.15">
      <c r="B125" s="2">
        <v>3</v>
      </c>
      <c r="C125" s="203"/>
      <c r="D125" s="90"/>
      <c r="E125" s="90"/>
      <c r="F125" s="168"/>
      <c r="G125" s="200"/>
      <c r="H125" s="9">
        <v>1</v>
      </c>
      <c r="I125" s="218">
        <f t="shared" ref="I125:I177" si="9">J125*$C$32</f>
        <v>0</v>
      </c>
      <c r="J125" s="323">
        <f t="shared" si="8"/>
        <v>0</v>
      </c>
      <c r="K125" s="82"/>
      <c r="L125" s="82"/>
    </row>
    <row r="126" spans="2:12" s="1" customFormat="1" ht="12.75" customHeight="1" x14ac:dyDescent="0.15">
      <c r="B126" s="2">
        <v>4</v>
      </c>
      <c r="C126" s="203"/>
      <c r="D126" s="90"/>
      <c r="E126" s="90"/>
      <c r="F126" s="168"/>
      <c r="G126" s="200"/>
      <c r="H126" s="9">
        <v>1</v>
      </c>
      <c r="I126" s="218">
        <f t="shared" si="9"/>
        <v>0</v>
      </c>
      <c r="J126" s="323">
        <f t="shared" si="8"/>
        <v>0</v>
      </c>
      <c r="K126" s="82"/>
      <c r="L126" s="82"/>
    </row>
    <row r="127" spans="2:12" s="1" customFormat="1" ht="12.75" customHeight="1" x14ac:dyDescent="0.15">
      <c r="B127" s="2">
        <v>5</v>
      </c>
      <c r="C127" s="203"/>
      <c r="D127" s="90"/>
      <c r="E127" s="90"/>
      <c r="F127" s="168"/>
      <c r="G127" s="200"/>
      <c r="H127" s="9">
        <v>1</v>
      </c>
      <c r="I127" s="218">
        <f t="shared" si="9"/>
        <v>0</v>
      </c>
      <c r="J127" s="323">
        <f t="shared" si="8"/>
        <v>0</v>
      </c>
      <c r="K127" s="82"/>
      <c r="L127" s="82"/>
    </row>
    <row r="128" spans="2:12" s="1" customFormat="1" ht="12.75" customHeight="1" x14ac:dyDescent="0.15">
      <c r="B128" s="2">
        <v>6</v>
      </c>
      <c r="C128" s="203"/>
      <c r="D128" s="90"/>
      <c r="E128" s="90"/>
      <c r="F128" s="168"/>
      <c r="G128" s="200"/>
      <c r="H128" s="9">
        <v>1</v>
      </c>
      <c r="I128" s="218">
        <f t="shared" si="9"/>
        <v>0</v>
      </c>
      <c r="J128" s="323">
        <f t="shared" si="8"/>
        <v>0</v>
      </c>
      <c r="K128" s="82"/>
      <c r="L128" s="82"/>
    </row>
    <row r="129" spans="2:12" s="1" customFormat="1" ht="12.75" customHeight="1" x14ac:dyDescent="0.15">
      <c r="B129" s="2">
        <v>7</v>
      </c>
      <c r="C129" s="203"/>
      <c r="D129" s="90"/>
      <c r="E129" s="90"/>
      <c r="F129" s="168"/>
      <c r="G129" s="200"/>
      <c r="H129" s="9">
        <v>1</v>
      </c>
      <c r="I129" s="218">
        <f t="shared" si="9"/>
        <v>0</v>
      </c>
      <c r="J129" s="323">
        <f t="shared" si="8"/>
        <v>0</v>
      </c>
      <c r="K129" s="82"/>
      <c r="L129" s="82"/>
    </row>
    <row r="130" spans="2:12" s="1" customFormat="1" ht="12.75" customHeight="1" x14ac:dyDescent="0.15">
      <c r="B130" s="2">
        <v>8</v>
      </c>
      <c r="C130" s="203"/>
      <c r="D130" s="90"/>
      <c r="E130" s="90"/>
      <c r="F130" s="168"/>
      <c r="G130" s="200"/>
      <c r="H130" s="9">
        <v>1</v>
      </c>
      <c r="I130" s="218">
        <f t="shared" si="9"/>
        <v>0</v>
      </c>
      <c r="J130" s="323">
        <f t="shared" si="8"/>
        <v>0</v>
      </c>
      <c r="K130" s="82"/>
      <c r="L130" s="82"/>
    </row>
    <row r="131" spans="2:12" s="1" customFormat="1" ht="12.75" customHeight="1" x14ac:dyDescent="0.15">
      <c r="B131" s="2">
        <v>9</v>
      </c>
      <c r="C131" s="203"/>
      <c r="D131" s="90"/>
      <c r="E131" s="90"/>
      <c r="F131" s="168"/>
      <c r="G131" s="200"/>
      <c r="H131" s="9">
        <v>1</v>
      </c>
      <c r="I131" s="218">
        <f t="shared" si="9"/>
        <v>0</v>
      </c>
      <c r="J131" s="323">
        <f t="shared" si="8"/>
        <v>0</v>
      </c>
      <c r="K131" s="82"/>
      <c r="L131" s="82"/>
    </row>
    <row r="132" spans="2:12" s="1" customFormat="1" ht="12.75" customHeight="1" x14ac:dyDescent="0.15">
      <c r="B132" s="2">
        <v>10</v>
      </c>
      <c r="C132" s="203"/>
      <c r="D132" s="90"/>
      <c r="E132" s="90"/>
      <c r="F132" s="168"/>
      <c r="G132" s="200"/>
      <c r="H132" s="9">
        <v>1</v>
      </c>
      <c r="I132" s="218">
        <f t="shared" si="9"/>
        <v>0</v>
      </c>
      <c r="J132" s="323">
        <f t="shared" si="8"/>
        <v>0</v>
      </c>
      <c r="K132" s="82"/>
      <c r="L132" s="82"/>
    </row>
    <row r="133" spans="2:12" s="1" customFormat="1" ht="12.75" customHeight="1" x14ac:dyDescent="0.15">
      <c r="B133" s="2"/>
      <c r="C133" s="203"/>
      <c r="D133" s="90"/>
      <c r="E133" s="90"/>
      <c r="F133" s="168"/>
      <c r="G133" s="200"/>
      <c r="H133" s="9">
        <v>1</v>
      </c>
      <c r="I133" s="218">
        <f t="shared" si="9"/>
        <v>0</v>
      </c>
      <c r="J133" s="323">
        <f t="shared" si="8"/>
        <v>0</v>
      </c>
      <c r="K133" s="82"/>
      <c r="L133" s="82"/>
    </row>
    <row r="134" spans="2:12" s="1" customFormat="1" ht="12.75" customHeight="1" x14ac:dyDescent="0.15">
      <c r="B134" s="2"/>
      <c r="C134" s="203"/>
      <c r="D134" s="391"/>
      <c r="E134" s="391"/>
      <c r="F134" s="168"/>
      <c r="G134" s="200"/>
      <c r="H134" s="9"/>
      <c r="I134" s="218"/>
      <c r="J134" s="323"/>
      <c r="K134" s="82"/>
      <c r="L134" s="82"/>
    </row>
    <row r="135" spans="2:12" s="1" customFormat="1" ht="12.75" customHeight="1" x14ac:dyDescent="0.15">
      <c r="B135" s="2"/>
      <c r="C135" s="187" t="s">
        <v>153</v>
      </c>
      <c r="D135" s="391"/>
      <c r="E135" s="391"/>
      <c r="F135" s="168"/>
      <c r="G135" s="200"/>
      <c r="H135" s="9"/>
      <c r="I135" s="218"/>
      <c r="J135" s="323"/>
      <c r="K135" s="82"/>
      <c r="L135" s="82"/>
    </row>
    <row r="136" spans="2:12" s="1" customFormat="1" ht="15" customHeight="1" x14ac:dyDescent="0.15">
      <c r="B136" s="2">
        <v>1</v>
      </c>
      <c r="C136" s="188"/>
      <c r="D136" s="204"/>
      <c r="E136" s="204"/>
      <c r="F136" s="168"/>
      <c r="G136" s="200"/>
      <c r="H136" s="9">
        <v>1</v>
      </c>
      <c r="I136" s="218">
        <f t="shared" si="9"/>
        <v>0</v>
      </c>
      <c r="J136" s="323">
        <f t="shared" si="8"/>
        <v>0</v>
      </c>
      <c r="K136" s="82"/>
      <c r="L136" s="82"/>
    </row>
    <row r="137" spans="2:12" s="1" customFormat="1" ht="13.35" customHeight="1" x14ac:dyDescent="0.15">
      <c r="B137" s="2">
        <v>2</v>
      </c>
      <c r="C137" s="188"/>
      <c r="D137" s="204"/>
      <c r="E137" s="204"/>
      <c r="F137" s="168"/>
      <c r="G137" s="200"/>
      <c r="H137" s="9">
        <v>1</v>
      </c>
      <c r="I137" s="218">
        <f t="shared" si="9"/>
        <v>0</v>
      </c>
      <c r="J137" s="323">
        <f t="shared" si="8"/>
        <v>0</v>
      </c>
      <c r="K137" s="82"/>
      <c r="L137" s="82"/>
    </row>
    <row r="138" spans="2:12" s="1" customFormat="1" ht="13.35" customHeight="1" x14ac:dyDescent="0.15">
      <c r="B138" s="2">
        <v>3</v>
      </c>
      <c r="C138" s="189"/>
      <c r="D138" s="204"/>
      <c r="E138" s="204"/>
      <c r="F138" s="168"/>
      <c r="G138" s="200"/>
      <c r="H138" s="9">
        <v>1</v>
      </c>
      <c r="I138" s="218">
        <f t="shared" si="9"/>
        <v>0</v>
      </c>
      <c r="J138" s="323">
        <f t="shared" si="8"/>
        <v>0</v>
      </c>
      <c r="K138" s="82"/>
      <c r="L138" s="82"/>
    </row>
    <row r="139" spans="2:12" s="1" customFormat="1" ht="13.35" customHeight="1" x14ac:dyDescent="0.15">
      <c r="B139" s="2">
        <v>5</v>
      </c>
      <c r="C139" s="188"/>
      <c r="D139" s="205"/>
      <c r="E139" s="205"/>
      <c r="F139" s="168"/>
      <c r="G139" s="200"/>
      <c r="H139" s="9">
        <v>1</v>
      </c>
      <c r="I139" s="218">
        <f t="shared" si="9"/>
        <v>0</v>
      </c>
      <c r="J139" s="323">
        <f t="shared" si="8"/>
        <v>0</v>
      </c>
      <c r="K139" s="82"/>
      <c r="L139" s="82"/>
    </row>
    <row r="140" spans="2:12" s="1" customFormat="1" ht="13.35" customHeight="1" x14ac:dyDescent="0.15">
      <c r="B140" s="2">
        <v>6</v>
      </c>
      <c r="C140" s="188"/>
      <c r="D140" s="204"/>
      <c r="E140" s="204"/>
      <c r="F140" s="168"/>
      <c r="G140" s="200"/>
      <c r="H140" s="9">
        <v>1</v>
      </c>
      <c r="I140" s="218">
        <f t="shared" si="9"/>
        <v>0</v>
      </c>
      <c r="J140" s="323">
        <f t="shared" si="8"/>
        <v>0</v>
      </c>
      <c r="K140" s="82"/>
      <c r="L140" s="82"/>
    </row>
    <row r="141" spans="2:12" s="1" customFormat="1" ht="13.35" customHeight="1" x14ac:dyDescent="0.15">
      <c r="B141" s="2">
        <v>7</v>
      </c>
      <c r="C141" s="188"/>
      <c r="D141" s="204"/>
      <c r="E141" s="204"/>
      <c r="F141" s="168"/>
      <c r="G141" s="200"/>
      <c r="H141" s="9">
        <v>1</v>
      </c>
      <c r="I141" s="168">
        <f t="shared" si="9"/>
        <v>0</v>
      </c>
      <c r="J141" s="323">
        <f t="shared" si="8"/>
        <v>0</v>
      </c>
      <c r="K141" s="82"/>
      <c r="L141" s="82"/>
    </row>
    <row r="142" spans="2:12" s="1" customFormat="1" ht="13.35" customHeight="1" x14ac:dyDescent="0.15">
      <c r="B142" s="2">
        <v>8</v>
      </c>
      <c r="C142" s="188"/>
      <c r="D142" s="206"/>
      <c r="E142" s="206"/>
      <c r="F142" s="168"/>
      <c r="G142" s="200"/>
      <c r="H142" s="9">
        <v>1</v>
      </c>
      <c r="I142" s="168">
        <f t="shared" si="9"/>
        <v>0</v>
      </c>
      <c r="J142" s="323">
        <f t="shared" si="8"/>
        <v>0</v>
      </c>
      <c r="K142" s="82"/>
      <c r="L142" s="82"/>
    </row>
    <row r="143" spans="2:12" s="1" customFormat="1" ht="13.35" customHeight="1" x14ac:dyDescent="0.15">
      <c r="B143" s="2">
        <v>9</v>
      </c>
      <c r="C143" s="113"/>
      <c r="D143" s="206"/>
      <c r="E143" s="206"/>
      <c r="F143" s="168"/>
      <c r="G143" s="200"/>
      <c r="H143" s="9">
        <v>1</v>
      </c>
      <c r="I143" s="168">
        <f>J143*$C$32</f>
        <v>0</v>
      </c>
      <c r="J143" s="323">
        <f t="shared" si="8"/>
        <v>0</v>
      </c>
      <c r="K143" s="82"/>
      <c r="L143" s="82"/>
    </row>
    <row r="144" spans="2:12" s="1" customFormat="1" ht="13.35" customHeight="1" x14ac:dyDescent="0.15">
      <c r="B144" s="2">
        <v>10</v>
      </c>
      <c r="C144" s="188"/>
      <c r="D144" s="204"/>
      <c r="E144" s="204"/>
      <c r="F144" s="168"/>
      <c r="G144" s="200"/>
      <c r="H144" s="9">
        <v>1</v>
      </c>
      <c r="I144" s="168">
        <f t="shared" si="9"/>
        <v>0</v>
      </c>
      <c r="J144" s="323">
        <f t="shared" si="8"/>
        <v>0</v>
      </c>
      <c r="K144" s="82"/>
      <c r="L144" s="82"/>
    </row>
    <row r="145" spans="2:12" s="1" customFormat="1" ht="13.35" customHeight="1" x14ac:dyDescent="0.15">
      <c r="B145" s="2">
        <v>11</v>
      </c>
      <c r="C145" s="188"/>
      <c r="D145" s="204"/>
      <c r="E145" s="204"/>
      <c r="F145" s="168"/>
      <c r="G145" s="200"/>
      <c r="H145" s="9">
        <v>1</v>
      </c>
      <c r="I145" s="168">
        <f t="shared" si="9"/>
        <v>0</v>
      </c>
      <c r="J145" s="323">
        <f t="shared" si="8"/>
        <v>0</v>
      </c>
      <c r="K145" s="82"/>
      <c r="L145" s="82"/>
    </row>
    <row r="146" spans="2:12" s="1" customFormat="1" ht="13.35" customHeight="1" x14ac:dyDescent="0.15">
      <c r="B146" s="2">
        <v>12</v>
      </c>
      <c r="C146" s="188"/>
      <c r="D146" s="204"/>
      <c r="E146" s="204"/>
      <c r="F146" s="168"/>
      <c r="G146" s="200"/>
      <c r="H146" s="9">
        <v>1</v>
      </c>
      <c r="I146" s="168">
        <f t="shared" si="9"/>
        <v>0</v>
      </c>
      <c r="J146" s="323">
        <f t="shared" si="8"/>
        <v>0</v>
      </c>
      <c r="K146" s="82"/>
      <c r="L146" s="82"/>
    </row>
    <row r="147" spans="2:12" s="1" customFormat="1" ht="13.35" customHeight="1" x14ac:dyDescent="0.15">
      <c r="B147" s="2">
        <v>13</v>
      </c>
      <c r="C147" s="188"/>
      <c r="D147" s="204"/>
      <c r="E147" s="204"/>
      <c r="F147" s="168"/>
      <c r="G147" s="200"/>
      <c r="H147" s="9">
        <v>1</v>
      </c>
      <c r="I147" s="168">
        <f t="shared" si="9"/>
        <v>0</v>
      </c>
      <c r="J147" s="323">
        <f t="shared" si="8"/>
        <v>0</v>
      </c>
      <c r="K147" s="82"/>
      <c r="L147" s="82"/>
    </row>
    <row r="148" spans="2:12" s="1" customFormat="1" ht="13.35" customHeight="1" x14ac:dyDescent="0.15">
      <c r="B148" s="2">
        <v>14</v>
      </c>
      <c r="C148" s="188"/>
      <c r="D148" s="204"/>
      <c r="E148" s="204"/>
      <c r="F148" s="168"/>
      <c r="G148" s="200"/>
      <c r="H148" s="9">
        <v>1</v>
      </c>
      <c r="I148" s="168">
        <f t="shared" si="9"/>
        <v>0</v>
      </c>
      <c r="J148" s="323">
        <f t="shared" si="8"/>
        <v>0</v>
      </c>
      <c r="K148" s="82"/>
      <c r="L148" s="82"/>
    </row>
    <row r="149" spans="2:12" s="1" customFormat="1" ht="13.35" customHeight="1" x14ac:dyDescent="0.15">
      <c r="B149" s="2">
        <v>15</v>
      </c>
      <c r="C149" s="189"/>
      <c r="D149" s="204"/>
      <c r="E149" s="206"/>
      <c r="F149" s="168"/>
      <c r="G149" s="200"/>
      <c r="H149" s="9">
        <v>1</v>
      </c>
      <c r="I149" s="168">
        <f t="shared" si="9"/>
        <v>0</v>
      </c>
      <c r="J149" s="323">
        <f t="shared" si="8"/>
        <v>0</v>
      </c>
      <c r="K149" s="82"/>
      <c r="L149" s="82"/>
    </row>
    <row r="150" spans="2:12" s="1" customFormat="1" ht="13.35" customHeight="1" x14ac:dyDescent="0.15">
      <c r="B150" s="2">
        <v>16</v>
      </c>
      <c r="C150" s="189"/>
      <c r="D150" s="206"/>
      <c r="E150" s="206"/>
      <c r="F150" s="168"/>
      <c r="G150" s="200"/>
      <c r="H150" s="9">
        <v>1</v>
      </c>
      <c r="I150" s="168">
        <f t="shared" si="9"/>
        <v>0</v>
      </c>
      <c r="J150" s="323">
        <f t="shared" si="8"/>
        <v>0</v>
      </c>
      <c r="K150" s="82"/>
      <c r="L150" s="82"/>
    </row>
    <row r="151" spans="2:12" s="1" customFormat="1" ht="14.45" customHeight="1" x14ac:dyDescent="0.15">
      <c r="B151" s="2">
        <v>17</v>
      </c>
      <c r="C151" s="189"/>
      <c r="D151" s="206"/>
      <c r="E151" s="206"/>
      <c r="F151" s="219"/>
      <c r="G151" s="200"/>
      <c r="H151" s="9">
        <v>1</v>
      </c>
      <c r="I151" s="168">
        <f t="shared" si="9"/>
        <v>0</v>
      </c>
      <c r="J151" s="323">
        <f t="shared" si="8"/>
        <v>0</v>
      </c>
      <c r="K151" s="82"/>
      <c r="L151" s="82"/>
    </row>
    <row r="152" spans="2:12" s="1" customFormat="1" ht="13.35" customHeight="1" x14ac:dyDescent="0.15">
      <c r="B152" s="2">
        <v>18</v>
      </c>
      <c r="C152" s="189"/>
      <c r="D152" s="206"/>
      <c r="E152" s="206"/>
      <c r="F152" s="168"/>
      <c r="G152" s="200"/>
      <c r="H152" s="9">
        <v>1</v>
      </c>
      <c r="I152" s="168">
        <f t="shared" si="9"/>
        <v>0</v>
      </c>
      <c r="J152" s="323">
        <f t="shared" si="8"/>
        <v>0</v>
      </c>
      <c r="K152" s="82"/>
      <c r="L152" s="82"/>
    </row>
    <row r="153" spans="2:12" s="1" customFormat="1" ht="13.35" customHeight="1" x14ac:dyDescent="0.15">
      <c r="B153" s="2">
        <v>19</v>
      </c>
      <c r="C153" s="189"/>
      <c r="D153" s="206"/>
      <c r="E153" s="206"/>
      <c r="F153" s="168"/>
      <c r="G153" s="200"/>
      <c r="H153" s="9">
        <v>1</v>
      </c>
      <c r="I153" s="168">
        <f t="shared" si="9"/>
        <v>0</v>
      </c>
      <c r="J153" s="323">
        <f t="shared" si="8"/>
        <v>0</v>
      </c>
      <c r="K153" s="82"/>
      <c r="L153" s="82"/>
    </row>
    <row r="154" spans="2:12" s="1" customFormat="1" ht="13.35" customHeight="1" x14ac:dyDescent="0.15">
      <c r="B154" s="2">
        <v>20</v>
      </c>
      <c r="C154" s="189"/>
      <c r="D154" s="206"/>
      <c r="E154" s="206"/>
      <c r="F154" s="168"/>
      <c r="G154" s="200"/>
      <c r="H154" s="9">
        <v>1</v>
      </c>
      <c r="I154" s="168">
        <f t="shared" si="9"/>
        <v>0</v>
      </c>
      <c r="J154" s="323">
        <f t="shared" si="8"/>
        <v>0</v>
      </c>
      <c r="K154" s="82"/>
      <c r="L154" s="82"/>
    </row>
    <row r="155" spans="2:12" s="1" customFormat="1" ht="12.75" x14ac:dyDescent="0.15">
      <c r="B155" s="2"/>
      <c r="C155" s="89"/>
      <c r="D155" s="90"/>
      <c r="E155" s="90"/>
      <c r="F155" s="168"/>
      <c r="G155" s="200"/>
      <c r="H155" s="9"/>
      <c r="I155" s="168"/>
      <c r="J155" s="323"/>
      <c r="K155" s="82"/>
      <c r="L155" s="82"/>
    </row>
    <row r="156" spans="2:12" s="1" customFormat="1" ht="12.75" x14ac:dyDescent="0.15">
      <c r="B156" s="2"/>
      <c r="C156" s="203"/>
      <c r="D156" s="169"/>
      <c r="E156" s="169"/>
      <c r="F156" s="168"/>
      <c r="G156" s="200"/>
      <c r="H156" s="9"/>
      <c r="I156" s="168"/>
      <c r="J156" s="323"/>
      <c r="K156" s="82"/>
      <c r="L156" s="82"/>
    </row>
    <row r="157" spans="2:12" s="1" customFormat="1" ht="12.75" x14ac:dyDescent="0.15">
      <c r="B157" s="2"/>
      <c r="C157" s="167" t="s">
        <v>154</v>
      </c>
      <c r="D157" s="391"/>
      <c r="E157" s="391"/>
      <c r="F157" s="168"/>
      <c r="G157" s="200"/>
      <c r="H157" s="9"/>
      <c r="I157" s="168"/>
      <c r="J157" s="323"/>
      <c r="K157" s="82"/>
      <c r="L157" s="82"/>
    </row>
    <row r="158" spans="2:12" s="1" customFormat="1" ht="12.75" x14ac:dyDescent="0.15">
      <c r="B158" s="2">
        <v>1</v>
      </c>
      <c r="C158" s="207"/>
      <c r="D158" s="391"/>
      <c r="E158" s="391"/>
      <c r="F158" s="168"/>
      <c r="G158" s="200"/>
      <c r="H158" s="9">
        <v>1</v>
      </c>
      <c r="I158" s="168">
        <f t="shared" si="9"/>
        <v>0</v>
      </c>
      <c r="J158" s="323">
        <f t="shared" si="8"/>
        <v>0</v>
      </c>
      <c r="K158" s="82"/>
      <c r="L158" s="82"/>
    </row>
    <row r="159" spans="2:12" s="1" customFormat="1" ht="12.75" x14ac:dyDescent="0.15">
      <c r="B159" s="2">
        <v>2</v>
      </c>
      <c r="C159" s="403"/>
      <c r="D159" s="403"/>
      <c r="E159" s="403"/>
      <c r="F159" s="168"/>
      <c r="G159" s="200"/>
      <c r="H159" s="9">
        <v>1</v>
      </c>
      <c r="I159" s="168">
        <f t="shared" si="9"/>
        <v>0</v>
      </c>
      <c r="J159" s="323">
        <f t="shared" si="8"/>
        <v>0</v>
      </c>
      <c r="K159" s="82"/>
      <c r="L159" s="82"/>
    </row>
    <row r="160" spans="2:12" s="1" customFormat="1" ht="12.75" x14ac:dyDescent="0.15">
      <c r="B160" s="2">
        <f>B159+1</f>
        <v>3</v>
      </c>
      <c r="C160" s="183"/>
      <c r="D160" s="89"/>
      <c r="E160" s="89"/>
      <c r="F160" s="168"/>
      <c r="G160" s="200"/>
      <c r="H160" s="9">
        <v>1</v>
      </c>
      <c r="I160" s="168">
        <f t="shared" si="9"/>
        <v>0</v>
      </c>
      <c r="J160" s="323">
        <f t="shared" si="8"/>
        <v>0</v>
      </c>
      <c r="K160" s="82"/>
      <c r="L160" s="82"/>
    </row>
    <row r="161" spans="2:12" s="1" customFormat="1" ht="12.75" x14ac:dyDescent="0.15">
      <c r="B161" s="2">
        <f>B160+1</f>
        <v>4</v>
      </c>
      <c r="C161" s="89"/>
      <c r="D161" s="89"/>
      <c r="E161" s="89"/>
      <c r="F161" s="168"/>
      <c r="G161" s="200"/>
      <c r="H161" s="9">
        <v>1</v>
      </c>
      <c r="I161" s="168">
        <f t="shared" si="9"/>
        <v>0</v>
      </c>
      <c r="J161" s="323">
        <f t="shared" si="8"/>
        <v>0</v>
      </c>
      <c r="K161" s="82"/>
      <c r="L161" s="82"/>
    </row>
    <row r="162" spans="2:12" s="1" customFormat="1" ht="12.75" x14ac:dyDescent="0.15">
      <c r="B162" s="2">
        <f>B161+1</f>
        <v>5</v>
      </c>
      <c r="C162" s="89"/>
      <c r="D162" s="391"/>
      <c r="E162" s="391"/>
      <c r="F162" s="168"/>
      <c r="G162" s="200"/>
      <c r="H162" s="9">
        <v>1</v>
      </c>
      <c r="I162" s="168">
        <f t="shared" si="9"/>
        <v>0</v>
      </c>
      <c r="J162" s="323">
        <f t="shared" si="8"/>
        <v>0</v>
      </c>
      <c r="K162" s="82"/>
      <c r="L162" s="82"/>
    </row>
    <row r="163" spans="2:12" s="1" customFormat="1" ht="12.75" x14ac:dyDescent="0.15">
      <c r="B163" s="2">
        <f>B162+1</f>
        <v>6</v>
      </c>
      <c r="C163" s="392"/>
      <c r="D163" s="392"/>
      <c r="E163" s="392"/>
      <c r="F163" s="168"/>
      <c r="G163" s="200"/>
      <c r="H163" s="9">
        <v>1</v>
      </c>
      <c r="I163" s="168">
        <f t="shared" si="9"/>
        <v>0</v>
      </c>
      <c r="J163" s="323">
        <f t="shared" si="8"/>
        <v>0</v>
      </c>
      <c r="K163" s="82"/>
      <c r="L163" s="82"/>
    </row>
    <row r="164" spans="2:12" s="1" customFormat="1" ht="12.75" x14ac:dyDescent="0.15">
      <c r="B164" s="2">
        <f t="shared" ref="B164:B166" si="10">B163+1</f>
        <v>7</v>
      </c>
      <c r="C164" s="183"/>
      <c r="D164" s="391"/>
      <c r="E164" s="391"/>
      <c r="F164" s="168"/>
      <c r="G164" s="200"/>
      <c r="H164" s="9">
        <v>1</v>
      </c>
      <c r="I164" s="168">
        <f t="shared" si="9"/>
        <v>0</v>
      </c>
      <c r="J164" s="323">
        <f t="shared" si="8"/>
        <v>0</v>
      </c>
      <c r="K164" s="82"/>
      <c r="L164" s="82"/>
    </row>
    <row r="165" spans="2:12" s="1" customFormat="1" ht="12.75" x14ac:dyDescent="0.15">
      <c r="B165" s="2">
        <f t="shared" si="10"/>
        <v>8</v>
      </c>
      <c r="C165" s="183"/>
      <c r="D165" s="391"/>
      <c r="E165" s="391"/>
      <c r="F165" s="168"/>
      <c r="G165" s="200"/>
      <c r="H165" s="9">
        <v>1</v>
      </c>
      <c r="I165" s="168">
        <f t="shared" si="9"/>
        <v>0</v>
      </c>
      <c r="J165" s="323">
        <f t="shared" si="8"/>
        <v>0</v>
      </c>
      <c r="K165" s="82"/>
      <c r="L165" s="82"/>
    </row>
    <row r="166" spans="2:12" s="1" customFormat="1" ht="12.75" x14ac:dyDescent="0.15">
      <c r="B166" s="2">
        <f t="shared" si="10"/>
        <v>9</v>
      </c>
      <c r="C166" s="183"/>
      <c r="D166" s="391"/>
      <c r="E166" s="391"/>
      <c r="F166" s="168"/>
      <c r="G166" s="200"/>
      <c r="H166" s="9">
        <v>1</v>
      </c>
      <c r="I166" s="168">
        <f t="shared" si="9"/>
        <v>0</v>
      </c>
      <c r="J166" s="323">
        <f t="shared" si="8"/>
        <v>0</v>
      </c>
      <c r="K166" s="82"/>
      <c r="L166" s="82"/>
    </row>
    <row r="167" spans="2:12" s="1" customFormat="1" ht="12.75" x14ac:dyDescent="0.15">
      <c r="B167" s="2">
        <v>10</v>
      </c>
      <c r="C167" s="183"/>
      <c r="D167" s="90"/>
      <c r="E167" s="90"/>
      <c r="F167" s="168"/>
      <c r="G167" s="200"/>
      <c r="H167" s="9">
        <v>1</v>
      </c>
      <c r="I167" s="168">
        <f t="shared" si="9"/>
        <v>0</v>
      </c>
      <c r="J167" s="323">
        <f t="shared" si="8"/>
        <v>0</v>
      </c>
      <c r="K167" s="82"/>
      <c r="L167" s="82"/>
    </row>
    <row r="168" spans="2:12" s="1" customFormat="1" ht="12.75" x14ac:dyDescent="0.15">
      <c r="B168" s="2">
        <v>11</v>
      </c>
      <c r="C168" s="183"/>
      <c r="D168" s="90"/>
      <c r="E168" s="90"/>
      <c r="F168" s="168"/>
      <c r="G168" s="200"/>
      <c r="H168" s="9">
        <v>1</v>
      </c>
      <c r="I168" s="168">
        <f t="shared" si="9"/>
        <v>0</v>
      </c>
      <c r="J168" s="323">
        <f t="shared" si="8"/>
        <v>0</v>
      </c>
      <c r="K168" s="82"/>
      <c r="L168" s="82"/>
    </row>
    <row r="169" spans="2:12" s="1" customFormat="1" ht="12.75" x14ac:dyDescent="0.15">
      <c r="B169" s="2">
        <v>12</v>
      </c>
      <c r="C169" s="183"/>
      <c r="D169" s="90"/>
      <c r="E169" s="90"/>
      <c r="F169" s="168"/>
      <c r="G169" s="200"/>
      <c r="H169" s="9">
        <v>1</v>
      </c>
      <c r="I169" s="168">
        <f t="shared" si="9"/>
        <v>0</v>
      </c>
      <c r="J169" s="323">
        <f t="shared" si="8"/>
        <v>0</v>
      </c>
      <c r="K169" s="82"/>
      <c r="L169" s="82"/>
    </row>
    <row r="170" spans="2:12" s="1" customFormat="1" ht="12.75" x14ac:dyDescent="0.15">
      <c r="B170" s="2">
        <v>13</v>
      </c>
      <c r="C170" s="183"/>
      <c r="D170" s="90"/>
      <c r="E170" s="90"/>
      <c r="F170" s="168"/>
      <c r="G170" s="200"/>
      <c r="H170" s="9">
        <v>1</v>
      </c>
      <c r="I170" s="168">
        <f t="shared" si="9"/>
        <v>0</v>
      </c>
      <c r="J170" s="323">
        <f t="shared" si="8"/>
        <v>0</v>
      </c>
      <c r="K170" s="82"/>
      <c r="L170" s="82"/>
    </row>
    <row r="171" spans="2:12" s="1" customFormat="1" ht="12.75" x14ac:dyDescent="0.15">
      <c r="B171" s="2">
        <v>14</v>
      </c>
      <c r="C171" s="183"/>
      <c r="D171" s="90"/>
      <c r="E171" s="90"/>
      <c r="F171" s="168"/>
      <c r="G171" s="200"/>
      <c r="H171" s="9">
        <v>1</v>
      </c>
      <c r="I171" s="168">
        <f t="shared" si="9"/>
        <v>0</v>
      </c>
      <c r="J171" s="323">
        <f t="shared" si="8"/>
        <v>0</v>
      </c>
      <c r="K171" s="82"/>
      <c r="L171" s="82"/>
    </row>
    <row r="172" spans="2:12" s="1" customFormat="1" ht="12.75" x14ac:dyDescent="0.15">
      <c r="B172" s="2">
        <v>15</v>
      </c>
      <c r="C172" s="183"/>
      <c r="D172" s="90"/>
      <c r="E172" s="90"/>
      <c r="F172" s="168"/>
      <c r="G172" s="200"/>
      <c r="H172" s="9">
        <v>1</v>
      </c>
      <c r="I172" s="168">
        <f t="shared" si="9"/>
        <v>0</v>
      </c>
      <c r="J172" s="323">
        <f t="shared" si="8"/>
        <v>0</v>
      </c>
      <c r="K172" s="82"/>
      <c r="L172" s="82"/>
    </row>
    <row r="173" spans="2:12" s="1" customFormat="1" ht="12.75" x14ac:dyDescent="0.15">
      <c r="B173" s="2">
        <v>16</v>
      </c>
      <c r="C173" s="183"/>
      <c r="D173" s="90"/>
      <c r="E173" s="90"/>
      <c r="F173" s="168"/>
      <c r="G173" s="200"/>
      <c r="H173" s="9">
        <v>1</v>
      </c>
      <c r="I173" s="168">
        <f t="shared" si="9"/>
        <v>0</v>
      </c>
      <c r="J173" s="323">
        <f t="shared" si="8"/>
        <v>0</v>
      </c>
      <c r="K173" s="82"/>
      <c r="L173" s="82"/>
    </row>
    <row r="174" spans="2:12" s="1" customFormat="1" ht="12.75" x14ac:dyDescent="0.15">
      <c r="B174" s="2">
        <v>17</v>
      </c>
      <c r="C174" s="183"/>
      <c r="D174" s="90"/>
      <c r="E174" s="90"/>
      <c r="F174" s="168"/>
      <c r="G174" s="200"/>
      <c r="H174" s="9">
        <v>1</v>
      </c>
      <c r="I174" s="168">
        <f t="shared" si="9"/>
        <v>0</v>
      </c>
      <c r="J174" s="323">
        <f t="shared" si="8"/>
        <v>0</v>
      </c>
      <c r="K174" s="82"/>
      <c r="L174" s="82"/>
    </row>
    <row r="175" spans="2:12" s="1" customFormat="1" ht="12.75" x14ac:dyDescent="0.15">
      <c r="B175" s="2">
        <v>18</v>
      </c>
      <c r="C175" s="183"/>
      <c r="D175" s="90"/>
      <c r="E175" s="90"/>
      <c r="F175" s="168"/>
      <c r="G175" s="200"/>
      <c r="H175" s="9">
        <v>1</v>
      </c>
      <c r="I175" s="168">
        <f t="shared" si="9"/>
        <v>0</v>
      </c>
      <c r="J175" s="323">
        <f t="shared" si="8"/>
        <v>0</v>
      </c>
      <c r="K175" s="82"/>
      <c r="L175" s="82"/>
    </row>
    <row r="176" spans="2:12" s="1" customFormat="1" ht="12.75" x14ac:dyDescent="0.15">
      <c r="B176" s="2">
        <v>19</v>
      </c>
      <c r="C176" s="183"/>
      <c r="D176" s="90"/>
      <c r="E176" s="90"/>
      <c r="F176" s="168"/>
      <c r="G176" s="201"/>
      <c r="H176" s="197">
        <v>1</v>
      </c>
      <c r="I176" s="168">
        <f t="shared" si="9"/>
        <v>0</v>
      </c>
      <c r="J176" s="323">
        <f t="shared" si="8"/>
        <v>0</v>
      </c>
      <c r="K176" s="82"/>
      <c r="L176" s="82"/>
    </row>
    <row r="177" spans="2:12" s="1" customFormat="1" ht="12.75" x14ac:dyDescent="0.15">
      <c r="B177" s="112">
        <v>20</v>
      </c>
      <c r="C177" s="183"/>
      <c r="D177" s="90"/>
      <c r="E177" s="90"/>
      <c r="F177" s="168"/>
      <c r="G177" s="202"/>
      <c r="H177" s="92">
        <v>1</v>
      </c>
      <c r="I177" s="168">
        <f t="shared" si="9"/>
        <v>0</v>
      </c>
      <c r="J177" s="323">
        <f t="shared" si="8"/>
        <v>0</v>
      </c>
      <c r="K177" s="82"/>
      <c r="L177" s="82"/>
    </row>
    <row r="178" spans="2:12" s="1" customFormat="1" ht="12.75" x14ac:dyDescent="0.15">
      <c r="B178" s="82"/>
      <c r="C178" s="183"/>
      <c r="D178" s="90"/>
      <c r="E178" s="90"/>
      <c r="F178" s="168"/>
      <c r="G178" s="92"/>
      <c r="H178" s="92"/>
      <c r="I178" s="168"/>
      <c r="J178" s="94"/>
      <c r="K178" s="82"/>
      <c r="L178" s="82"/>
    </row>
    <row r="179" spans="2:12" s="1" customFormat="1" ht="12.75" x14ac:dyDescent="0.15">
      <c r="B179" s="82"/>
      <c r="C179" s="102"/>
      <c r="D179" s="103"/>
      <c r="E179" s="102"/>
      <c r="F179" s="128">
        <f>SUM(F120:F178)</f>
        <v>0</v>
      </c>
      <c r="G179" s="104"/>
      <c r="H179" s="105"/>
      <c r="I179" s="128">
        <f>SUM(I121:I178)</f>
        <v>0</v>
      </c>
      <c r="J179" s="257">
        <f>SUM(J120:J178)</f>
        <v>0</v>
      </c>
    </row>
    <row r="180" spans="2:12" s="1" customFormat="1" ht="12.75" x14ac:dyDescent="0.15">
      <c r="B180" s="82"/>
      <c r="C180" s="102"/>
      <c r="D180" s="103"/>
      <c r="E180" s="102" t="s">
        <v>147</v>
      </c>
      <c r="F180" s="128">
        <f>100/115*F179</f>
        <v>0</v>
      </c>
      <c r="G180" s="104"/>
      <c r="H180" s="105" t="s">
        <v>147</v>
      </c>
      <c r="I180" s="128">
        <f>100/115*I179</f>
        <v>0</v>
      </c>
      <c r="J180" s="106"/>
    </row>
    <row r="181" spans="2:12" s="1" customFormat="1" ht="12.75" x14ac:dyDescent="0.15"/>
    <row r="182" spans="2:12" s="1" customFormat="1" ht="12.75" x14ac:dyDescent="0.15"/>
    <row r="183" spans="2:12" s="1" customFormat="1" ht="12.75" x14ac:dyDescent="0.15"/>
    <row r="184" spans="2:12" s="1" customFormat="1" ht="12.75" x14ac:dyDescent="0.15"/>
    <row r="185" spans="2:12" s="247" customFormat="1" ht="32.25" x14ac:dyDescent="0.4">
      <c r="B185" s="248"/>
      <c r="C185" s="380" t="s">
        <v>112</v>
      </c>
      <c r="D185" s="380"/>
      <c r="E185" s="428" t="s">
        <v>155</v>
      </c>
      <c r="F185" s="428"/>
      <c r="G185" s="428"/>
      <c r="H185" s="428"/>
      <c r="I185" s="428"/>
      <c r="J185" s="382">
        <v>2026</v>
      </c>
      <c r="K185" s="382"/>
      <c r="L185" s="382"/>
    </row>
    <row r="186" spans="2:12" s="1" customFormat="1" ht="22.5" x14ac:dyDescent="0.15">
      <c r="B186" s="82"/>
      <c r="C186" s="102" t="s">
        <v>114</v>
      </c>
      <c r="D186" s="388" t="s">
        <v>115</v>
      </c>
      <c r="E186" s="388"/>
      <c r="F186" s="102" t="s">
        <v>116</v>
      </c>
      <c r="G186" s="102" t="s">
        <v>117</v>
      </c>
      <c r="H186" s="102" t="s">
        <v>118</v>
      </c>
      <c r="I186" s="102" t="s">
        <v>119</v>
      </c>
      <c r="J186" s="102" t="s">
        <v>120</v>
      </c>
      <c r="K186" s="82"/>
      <c r="L186" s="82"/>
    </row>
    <row r="187" spans="2:12" s="1" customFormat="1" ht="12.75" x14ac:dyDescent="0.15">
      <c r="B187" s="82"/>
      <c r="C187" s="66">
        <f>C118</f>
        <v>350</v>
      </c>
      <c r="D187" s="389">
        <v>19</v>
      </c>
      <c r="E187" s="389"/>
      <c r="F187" s="13">
        <f>F118</f>
        <v>0.85</v>
      </c>
      <c r="G187" s="14">
        <f>G118</f>
        <v>8</v>
      </c>
      <c r="H187" s="142">
        <f>D187*G187*F187</f>
        <v>129.19999999999999</v>
      </c>
      <c r="I187" s="66">
        <f>I249</f>
        <v>0</v>
      </c>
      <c r="J187" s="143">
        <f>H187-J249</f>
        <v>129.19999999999999</v>
      </c>
      <c r="K187" s="82"/>
      <c r="L187" s="82"/>
    </row>
    <row r="188" spans="2:12" s="1" customFormat="1" ht="33.75" x14ac:dyDescent="0.15">
      <c r="B188" s="82"/>
      <c r="C188" s="167" t="s">
        <v>121</v>
      </c>
      <c r="D188" s="395" t="s">
        <v>122</v>
      </c>
      <c r="E188" s="395"/>
      <c r="F188" s="177" t="s">
        <v>123</v>
      </c>
      <c r="G188" s="178" t="s">
        <v>124</v>
      </c>
      <c r="H188" s="179" t="s">
        <v>125</v>
      </c>
      <c r="I188" s="180" t="s">
        <v>126</v>
      </c>
      <c r="J188" s="178" t="s">
        <v>127</v>
      </c>
      <c r="K188" s="114" t="s">
        <v>128</v>
      </c>
      <c r="L188" s="114" t="s">
        <v>129</v>
      </c>
    </row>
    <row r="189" spans="2:12" s="1" customFormat="1" ht="12.75" x14ac:dyDescent="0.15">
      <c r="B189" s="79"/>
      <c r="C189" s="193"/>
      <c r="D189" s="406"/>
      <c r="E189" s="406"/>
      <c r="F189" s="194"/>
      <c r="G189" s="195"/>
      <c r="H189" s="196"/>
      <c r="I189" s="176"/>
      <c r="J189" s="88"/>
      <c r="K189" s="79"/>
      <c r="L189" s="120"/>
    </row>
    <row r="190" spans="2:12" s="1" customFormat="1" ht="12.75" x14ac:dyDescent="0.15">
      <c r="B190" s="80"/>
      <c r="C190" s="392" t="s">
        <v>130</v>
      </c>
      <c r="D190" s="392"/>
      <c r="E190" s="392"/>
      <c r="F190" s="184"/>
      <c r="G190" s="92"/>
      <c r="H190" s="163"/>
      <c r="I190" s="126"/>
      <c r="J190" s="38"/>
      <c r="K190" s="80"/>
      <c r="L190" s="82"/>
    </row>
    <row r="191" spans="2:12" s="1" customFormat="1" ht="12.75" x14ac:dyDescent="0.15">
      <c r="B191" s="80"/>
      <c r="C191" s="167" t="s">
        <v>149</v>
      </c>
      <c r="D191" s="167"/>
      <c r="E191" s="167"/>
      <c r="F191" s="168"/>
      <c r="G191" s="92"/>
      <c r="H191" s="163"/>
      <c r="I191" s="126"/>
      <c r="J191" s="38"/>
      <c r="K191" s="80"/>
      <c r="L191" s="82"/>
    </row>
    <row r="192" spans="2:12" s="1" customFormat="1" ht="12.75" x14ac:dyDescent="0.15">
      <c r="B192" s="80">
        <v>1</v>
      </c>
      <c r="C192" s="89"/>
      <c r="D192" s="167"/>
      <c r="E192" s="167"/>
      <c r="F192" s="168"/>
      <c r="G192" s="92"/>
      <c r="H192" s="163">
        <v>1</v>
      </c>
      <c r="I192" s="126">
        <f>J192*$C$32</f>
        <v>0</v>
      </c>
      <c r="J192" s="38">
        <f>(F192*G192*H192)/$C$32</f>
        <v>0</v>
      </c>
      <c r="K192" s="80"/>
      <c r="L192" s="82"/>
    </row>
    <row r="193" spans="2:12" s="1" customFormat="1" ht="12.75" customHeight="1" x14ac:dyDescent="0.15">
      <c r="B193" s="80">
        <v>2</v>
      </c>
      <c r="C193" s="187"/>
      <c r="D193" s="90"/>
      <c r="E193" s="90"/>
      <c r="F193" s="168"/>
      <c r="G193" s="92"/>
      <c r="H193" s="163">
        <v>1</v>
      </c>
      <c r="I193" s="126">
        <f>J193*$C$32</f>
        <v>0</v>
      </c>
      <c r="J193" s="38">
        <f>(F193*G193*H193)/$C$32</f>
        <v>0</v>
      </c>
      <c r="K193" s="80"/>
      <c r="L193" s="82"/>
    </row>
    <row r="194" spans="2:12" s="1" customFormat="1" ht="12.75" customHeight="1" x14ac:dyDescent="0.15">
      <c r="B194" s="80">
        <v>3</v>
      </c>
      <c r="C194" s="188"/>
      <c r="D194" s="169"/>
      <c r="E194" s="169"/>
      <c r="F194" s="168"/>
      <c r="G194" s="92"/>
      <c r="H194" s="163">
        <v>1</v>
      </c>
      <c r="I194" s="126">
        <f t="shared" ref="I194:I224" si="11">J194*$C$32</f>
        <v>0</v>
      </c>
      <c r="J194" s="38">
        <f t="shared" ref="J194:J224" si="12">(F194*G194*H194)/$C$32</f>
        <v>0</v>
      </c>
      <c r="K194" s="80"/>
      <c r="L194" s="82"/>
    </row>
    <row r="195" spans="2:12" s="1" customFormat="1" ht="12.75" customHeight="1" x14ac:dyDescent="0.15">
      <c r="B195" s="80">
        <v>4</v>
      </c>
      <c r="C195" s="188"/>
      <c r="D195" s="169"/>
      <c r="E195" s="169"/>
      <c r="F195" s="168"/>
      <c r="G195" s="92"/>
      <c r="H195" s="163">
        <v>1</v>
      </c>
      <c r="I195" s="126">
        <f t="shared" si="11"/>
        <v>0</v>
      </c>
      <c r="J195" s="38">
        <f t="shared" si="12"/>
        <v>0</v>
      </c>
      <c r="K195" s="80"/>
      <c r="L195" s="82"/>
    </row>
    <row r="196" spans="2:12" s="1" customFormat="1" ht="12.75" customHeight="1" x14ac:dyDescent="0.15">
      <c r="B196" s="80">
        <v>5</v>
      </c>
      <c r="C196" s="189"/>
      <c r="D196" s="169"/>
      <c r="E196" s="169"/>
      <c r="F196" s="168"/>
      <c r="G196" s="92"/>
      <c r="H196" s="163">
        <v>1</v>
      </c>
      <c r="I196" s="126">
        <f t="shared" si="11"/>
        <v>0</v>
      </c>
      <c r="J196" s="38">
        <f t="shared" si="12"/>
        <v>0</v>
      </c>
      <c r="K196" s="80"/>
      <c r="L196" s="82"/>
    </row>
    <row r="197" spans="2:12" s="1" customFormat="1" ht="12.75" customHeight="1" x14ac:dyDescent="0.15">
      <c r="B197" s="80">
        <v>6</v>
      </c>
      <c r="C197" s="188"/>
      <c r="D197" s="190"/>
      <c r="E197" s="190"/>
      <c r="F197" s="168"/>
      <c r="G197" s="92"/>
      <c r="H197" s="163">
        <v>1</v>
      </c>
      <c r="I197" s="126">
        <f t="shared" si="11"/>
        <v>0</v>
      </c>
      <c r="J197" s="38">
        <f t="shared" si="12"/>
        <v>0</v>
      </c>
      <c r="K197" s="80"/>
      <c r="L197" s="82"/>
    </row>
    <row r="198" spans="2:12" s="1" customFormat="1" ht="12.75" customHeight="1" x14ac:dyDescent="0.15">
      <c r="B198" s="80">
        <v>7</v>
      </c>
      <c r="C198" s="188"/>
      <c r="D198" s="169"/>
      <c r="E198" s="169"/>
      <c r="F198" s="168"/>
      <c r="G198" s="92"/>
      <c r="H198" s="163">
        <v>1</v>
      </c>
      <c r="I198" s="126">
        <f t="shared" si="11"/>
        <v>0</v>
      </c>
      <c r="J198" s="38">
        <f t="shared" si="12"/>
        <v>0</v>
      </c>
      <c r="K198" s="80"/>
      <c r="L198" s="82"/>
    </row>
    <row r="199" spans="2:12" s="1" customFormat="1" ht="12.75" customHeight="1" x14ac:dyDescent="0.15">
      <c r="B199" s="80">
        <v>8</v>
      </c>
      <c r="C199" s="188"/>
      <c r="D199" s="169"/>
      <c r="E199" s="169"/>
      <c r="F199" s="168"/>
      <c r="G199" s="92"/>
      <c r="H199" s="163">
        <v>1</v>
      </c>
      <c r="I199" s="192">
        <f t="shared" si="11"/>
        <v>0</v>
      </c>
      <c r="J199" s="38">
        <f t="shared" si="12"/>
        <v>0</v>
      </c>
      <c r="K199" s="80"/>
      <c r="L199" s="82"/>
    </row>
    <row r="200" spans="2:12" s="1" customFormat="1" ht="12.75" customHeight="1" x14ac:dyDescent="0.15">
      <c r="B200" s="80">
        <v>9</v>
      </c>
      <c r="C200" s="188"/>
      <c r="D200" s="90"/>
      <c r="E200" s="90"/>
      <c r="F200" s="168"/>
      <c r="G200" s="92"/>
      <c r="H200" s="163">
        <v>1</v>
      </c>
      <c r="I200" s="192">
        <f t="shared" si="11"/>
        <v>0</v>
      </c>
      <c r="J200" s="38">
        <f t="shared" si="12"/>
        <v>0</v>
      </c>
      <c r="K200" s="80"/>
      <c r="L200" s="82"/>
    </row>
    <row r="201" spans="2:12" s="1" customFormat="1" ht="12.75" x14ac:dyDescent="0.15">
      <c r="B201" s="80">
        <v>10</v>
      </c>
      <c r="C201" s="113"/>
      <c r="D201" s="90"/>
      <c r="E201" s="90"/>
      <c r="F201" s="168"/>
      <c r="G201" s="92"/>
      <c r="H201" s="163">
        <v>1</v>
      </c>
      <c r="I201" s="192">
        <f t="shared" si="11"/>
        <v>0</v>
      </c>
      <c r="J201" s="38">
        <f t="shared" si="12"/>
        <v>0</v>
      </c>
      <c r="K201" s="80"/>
      <c r="L201" s="82"/>
    </row>
    <row r="202" spans="2:12" s="1" customFormat="1" ht="12.75" x14ac:dyDescent="0.15">
      <c r="B202" s="80"/>
      <c r="C202" s="113"/>
      <c r="D202" s="90"/>
      <c r="E202" s="90"/>
      <c r="F202" s="168"/>
      <c r="G202" s="92"/>
      <c r="H202" s="163"/>
      <c r="I202" s="192"/>
      <c r="J202" s="38"/>
      <c r="K202" s="80"/>
      <c r="L202" s="82"/>
    </row>
    <row r="203" spans="2:12" s="1" customFormat="1" ht="12.75" x14ac:dyDescent="0.15">
      <c r="B203" s="80"/>
      <c r="C203" s="113"/>
      <c r="D203" s="90"/>
      <c r="E203" s="90"/>
      <c r="F203" s="168"/>
      <c r="G203" s="92"/>
      <c r="H203" s="163"/>
      <c r="I203" s="192"/>
      <c r="J203" s="38"/>
      <c r="K203" s="80"/>
      <c r="L203" s="82"/>
    </row>
    <row r="204" spans="2:12" s="1" customFormat="1" ht="12.75" x14ac:dyDescent="0.15">
      <c r="B204" s="80"/>
      <c r="C204" s="117" t="s">
        <v>156</v>
      </c>
      <c r="D204" s="90"/>
      <c r="E204" s="90"/>
      <c r="F204" s="168"/>
      <c r="G204" s="92"/>
      <c r="H204" s="163"/>
      <c r="I204" s="192"/>
      <c r="J204" s="38"/>
      <c r="K204" s="80"/>
      <c r="L204" s="82"/>
    </row>
    <row r="205" spans="2:12" s="1" customFormat="1" ht="12.75" x14ac:dyDescent="0.15">
      <c r="B205" s="80">
        <v>1</v>
      </c>
      <c r="C205" s="188"/>
      <c r="D205" s="169"/>
      <c r="E205" s="169"/>
      <c r="F205" s="168"/>
      <c r="G205" s="92"/>
      <c r="H205" s="163">
        <v>1</v>
      </c>
      <c r="I205" s="192">
        <f t="shared" si="11"/>
        <v>0</v>
      </c>
      <c r="J205" s="38">
        <f t="shared" si="12"/>
        <v>0</v>
      </c>
      <c r="K205" s="80"/>
      <c r="L205" s="82"/>
    </row>
    <row r="206" spans="2:12" s="1" customFormat="1" ht="12.75" x14ac:dyDescent="0.15">
      <c r="B206" s="80">
        <v>2</v>
      </c>
      <c r="C206" s="188"/>
      <c r="D206" s="169"/>
      <c r="E206" s="169"/>
      <c r="F206" s="168"/>
      <c r="G206" s="92"/>
      <c r="H206" s="163">
        <v>1</v>
      </c>
      <c r="I206" s="192">
        <f t="shared" si="11"/>
        <v>0</v>
      </c>
      <c r="J206" s="38">
        <f t="shared" si="12"/>
        <v>0</v>
      </c>
      <c r="K206" s="80"/>
      <c r="L206" s="82"/>
    </row>
    <row r="207" spans="2:12" s="1" customFormat="1" ht="12.75" x14ac:dyDescent="0.15">
      <c r="B207" s="80">
        <v>3</v>
      </c>
      <c r="C207" s="188"/>
      <c r="D207" s="169"/>
      <c r="E207" s="169"/>
      <c r="F207" s="168"/>
      <c r="G207" s="92"/>
      <c r="H207" s="163">
        <v>1</v>
      </c>
      <c r="I207" s="192">
        <f t="shared" si="11"/>
        <v>0</v>
      </c>
      <c r="J207" s="38">
        <f t="shared" si="12"/>
        <v>0</v>
      </c>
      <c r="K207" s="80"/>
      <c r="L207" s="82"/>
    </row>
    <row r="208" spans="2:12" s="1" customFormat="1" ht="13.5" customHeight="1" x14ac:dyDescent="0.15">
      <c r="B208" s="80">
        <v>4</v>
      </c>
      <c r="C208" s="188"/>
      <c r="D208" s="169"/>
      <c r="E208" s="169"/>
      <c r="F208" s="168"/>
      <c r="G208" s="92"/>
      <c r="H208" s="163">
        <v>1</v>
      </c>
      <c r="I208" s="192">
        <f t="shared" si="11"/>
        <v>0</v>
      </c>
      <c r="J208" s="38">
        <f t="shared" si="12"/>
        <v>0</v>
      </c>
      <c r="K208" s="80"/>
      <c r="L208" s="82"/>
    </row>
    <row r="209" spans="2:12" s="1" customFormat="1" ht="13.5" customHeight="1" x14ac:dyDescent="0.15">
      <c r="B209" s="80">
        <v>5</v>
      </c>
      <c r="C209" s="188"/>
      <c r="D209" s="169"/>
      <c r="E209" s="169"/>
      <c r="F209" s="168"/>
      <c r="G209" s="92"/>
      <c r="H209" s="163">
        <v>1</v>
      </c>
      <c r="I209" s="129">
        <f t="shared" si="11"/>
        <v>0</v>
      </c>
      <c r="J209" s="38">
        <f t="shared" si="12"/>
        <v>0</v>
      </c>
      <c r="K209" s="80"/>
      <c r="L209" s="82"/>
    </row>
    <row r="210" spans="2:12" s="1" customFormat="1" ht="13.5" customHeight="1" x14ac:dyDescent="0.15">
      <c r="B210" s="80">
        <v>6</v>
      </c>
      <c r="C210" s="189"/>
      <c r="D210" s="169"/>
      <c r="E210" s="90"/>
      <c r="F210" s="168"/>
      <c r="G210" s="92"/>
      <c r="H210" s="163">
        <v>1</v>
      </c>
      <c r="I210" s="129">
        <f t="shared" si="11"/>
        <v>0</v>
      </c>
      <c r="J210" s="38">
        <f t="shared" si="12"/>
        <v>0</v>
      </c>
      <c r="K210" s="80"/>
      <c r="L210" s="82"/>
    </row>
    <row r="211" spans="2:12" s="1" customFormat="1" ht="13.5" customHeight="1" x14ac:dyDescent="0.15">
      <c r="B211" s="80">
        <v>7</v>
      </c>
      <c r="C211" s="189"/>
      <c r="D211" s="90"/>
      <c r="E211" s="90"/>
      <c r="F211" s="168"/>
      <c r="G211" s="92"/>
      <c r="H211" s="163">
        <v>1</v>
      </c>
      <c r="I211" s="129">
        <f t="shared" si="11"/>
        <v>0</v>
      </c>
      <c r="J211" s="38">
        <f t="shared" si="12"/>
        <v>0</v>
      </c>
      <c r="K211" s="80"/>
      <c r="L211" s="82"/>
    </row>
    <row r="212" spans="2:12" s="1" customFormat="1" ht="13.5" customHeight="1" x14ac:dyDescent="0.15">
      <c r="B212" s="80">
        <v>8</v>
      </c>
      <c r="C212" s="189"/>
      <c r="D212" s="90"/>
      <c r="E212" s="90"/>
      <c r="F212" s="191"/>
      <c r="G212" s="92"/>
      <c r="H212" s="163">
        <v>1</v>
      </c>
      <c r="I212" s="129">
        <f t="shared" si="11"/>
        <v>0</v>
      </c>
      <c r="J212" s="38">
        <f t="shared" si="12"/>
        <v>0</v>
      </c>
      <c r="K212" s="80"/>
      <c r="L212" s="82"/>
    </row>
    <row r="213" spans="2:12" s="1" customFormat="1" ht="13.5" customHeight="1" x14ac:dyDescent="0.15">
      <c r="B213" s="80">
        <v>9</v>
      </c>
      <c r="C213" s="189"/>
      <c r="D213" s="90"/>
      <c r="E213" s="90"/>
      <c r="F213" s="168"/>
      <c r="G213" s="92"/>
      <c r="H213" s="163">
        <v>1</v>
      </c>
      <c r="I213" s="129">
        <f t="shared" si="11"/>
        <v>0</v>
      </c>
      <c r="J213" s="38">
        <f t="shared" si="12"/>
        <v>0</v>
      </c>
      <c r="K213" s="80"/>
      <c r="L213" s="82"/>
    </row>
    <row r="214" spans="2:12" s="1" customFormat="1" ht="13.5" customHeight="1" x14ac:dyDescent="0.15">
      <c r="B214" s="80">
        <v>10</v>
      </c>
      <c r="C214" s="189"/>
      <c r="D214" s="90"/>
      <c r="E214" s="90"/>
      <c r="F214" s="168"/>
      <c r="G214" s="92"/>
      <c r="H214" s="163">
        <v>1</v>
      </c>
      <c r="I214" s="129">
        <f t="shared" si="11"/>
        <v>0</v>
      </c>
      <c r="J214" s="38">
        <f t="shared" si="12"/>
        <v>0</v>
      </c>
      <c r="K214" s="80"/>
      <c r="L214" s="82"/>
    </row>
    <row r="215" spans="2:12" s="1" customFormat="1" ht="12.75" x14ac:dyDescent="0.15">
      <c r="B215" s="80">
        <v>11</v>
      </c>
      <c r="C215" s="189"/>
      <c r="D215" s="90"/>
      <c r="E215" s="90"/>
      <c r="F215" s="168"/>
      <c r="G215" s="92"/>
      <c r="H215" s="163">
        <v>1</v>
      </c>
      <c r="I215" s="129">
        <f t="shared" si="11"/>
        <v>0</v>
      </c>
      <c r="J215" s="38">
        <f t="shared" si="12"/>
        <v>0</v>
      </c>
      <c r="K215" s="80"/>
      <c r="L215" s="82"/>
    </row>
    <row r="216" spans="2:12" s="1" customFormat="1" ht="12.75" x14ac:dyDescent="0.15">
      <c r="B216" s="80">
        <v>12</v>
      </c>
      <c r="C216" s="189"/>
      <c r="D216" s="90"/>
      <c r="E216" s="90"/>
      <c r="F216" s="168"/>
      <c r="G216" s="92"/>
      <c r="H216" s="163">
        <v>1</v>
      </c>
      <c r="I216" s="129">
        <f t="shared" si="11"/>
        <v>0</v>
      </c>
      <c r="J216" s="38">
        <f t="shared" si="12"/>
        <v>0</v>
      </c>
      <c r="K216" s="80"/>
      <c r="L216" s="82"/>
    </row>
    <row r="217" spans="2:12" s="1" customFormat="1" ht="12.75" x14ac:dyDescent="0.15">
      <c r="B217" s="80">
        <v>13</v>
      </c>
      <c r="C217" s="189"/>
      <c r="D217" s="90"/>
      <c r="E217" s="90"/>
      <c r="F217" s="168"/>
      <c r="G217" s="92"/>
      <c r="H217" s="163">
        <v>1</v>
      </c>
      <c r="I217" s="129">
        <f t="shared" si="11"/>
        <v>0</v>
      </c>
      <c r="J217" s="38">
        <f t="shared" si="12"/>
        <v>0</v>
      </c>
      <c r="K217" s="80"/>
      <c r="L217" s="82"/>
    </row>
    <row r="218" spans="2:12" s="1" customFormat="1" ht="12.75" x14ac:dyDescent="0.15">
      <c r="B218" s="80">
        <v>14</v>
      </c>
      <c r="C218" s="189"/>
      <c r="D218" s="90"/>
      <c r="E218" s="90"/>
      <c r="F218" s="168"/>
      <c r="G218" s="92"/>
      <c r="H218" s="163">
        <v>1</v>
      </c>
      <c r="I218" s="129">
        <f t="shared" si="11"/>
        <v>0</v>
      </c>
      <c r="J218" s="38">
        <f t="shared" si="12"/>
        <v>0</v>
      </c>
      <c r="K218" s="80"/>
      <c r="L218" s="82"/>
    </row>
    <row r="219" spans="2:12" s="1" customFormat="1" ht="12.75" x14ac:dyDescent="0.15">
      <c r="B219" s="80">
        <v>15</v>
      </c>
      <c r="C219" s="189"/>
      <c r="D219" s="90"/>
      <c r="E219" s="90"/>
      <c r="F219" s="168"/>
      <c r="G219" s="92"/>
      <c r="H219" s="163">
        <v>1</v>
      </c>
      <c r="I219" s="129">
        <f t="shared" si="11"/>
        <v>0</v>
      </c>
      <c r="J219" s="38">
        <f t="shared" si="12"/>
        <v>0</v>
      </c>
      <c r="K219" s="80"/>
      <c r="L219" s="82"/>
    </row>
    <row r="220" spans="2:12" s="1" customFormat="1" ht="12.75" x14ac:dyDescent="0.15">
      <c r="B220" s="80">
        <v>16</v>
      </c>
      <c r="C220" s="189"/>
      <c r="D220" s="90"/>
      <c r="E220" s="90"/>
      <c r="F220" s="168"/>
      <c r="G220" s="92"/>
      <c r="H220" s="163">
        <v>1</v>
      </c>
      <c r="I220" s="129">
        <f t="shared" si="11"/>
        <v>0</v>
      </c>
      <c r="J220" s="38">
        <f t="shared" si="12"/>
        <v>0</v>
      </c>
      <c r="K220" s="80"/>
      <c r="L220" s="82"/>
    </row>
    <row r="221" spans="2:12" s="1" customFormat="1" ht="12.75" x14ac:dyDescent="0.15">
      <c r="B221" s="80">
        <v>17</v>
      </c>
      <c r="C221" s="189"/>
      <c r="D221" s="90"/>
      <c r="E221" s="90"/>
      <c r="F221" s="168"/>
      <c r="G221" s="92"/>
      <c r="H221" s="163">
        <v>1</v>
      </c>
      <c r="I221" s="129">
        <f t="shared" si="11"/>
        <v>0</v>
      </c>
      <c r="J221" s="38">
        <f t="shared" si="12"/>
        <v>0</v>
      </c>
      <c r="K221" s="80"/>
      <c r="L221" s="82"/>
    </row>
    <row r="222" spans="2:12" s="1" customFormat="1" ht="12.75" x14ac:dyDescent="0.15">
      <c r="B222" s="80">
        <v>18</v>
      </c>
      <c r="C222" s="189"/>
      <c r="D222" s="90"/>
      <c r="E222" s="90"/>
      <c r="F222" s="168"/>
      <c r="G222" s="92"/>
      <c r="H222" s="163">
        <v>1</v>
      </c>
      <c r="I222" s="129">
        <f t="shared" si="11"/>
        <v>0</v>
      </c>
      <c r="J222" s="38">
        <f t="shared" si="12"/>
        <v>0</v>
      </c>
      <c r="K222" s="80"/>
      <c r="L222" s="82"/>
    </row>
    <row r="223" spans="2:12" s="1" customFormat="1" ht="12.75" x14ac:dyDescent="0.15">
      <c r="B223" s="80">
        <v>19</v>
      </c>
      <c r="C223" s="188"/>
      <c r="D223" s="89"/>
      <c r="E223" s="89"/>
      <c r="F223" s="168"/>
      <c r="G223" s="92"/>
      <c r="H223" s="163">
        <v>1</v>
      </c>
      <c r="I223" s="129">
        <f t="shared" si="11"/>
        <v>0</v>
      </c>
      <c r="J223" s="38">
        <f t="shared" si="12"/>
        <v>0</v>
      </c>
      <c r="K223" s="80"/>
      <c r="L223" s="82"/>
    </row>
    <row r="224" spans="2:12" s="1" customFormat="1" ht="12.75" x14ac:dyDescent="0.15">
      <c r="B224" s="80">
        <v>20</v>
      </c>
      <c r="C224" s="188"/>
      <c r="D224" s="90"/>
      <c r="E224" s="90"/>
      <c r="F224" s="168"/>
      <c r="G224" s="92"/>
      <c r="H224" s="163">
        <v>1</v>
      </c>
      <c r="I224" s="129">
        <f t="shared" si="11"/>
        <v>0</v>
      </c>
      <c r="J224" s="38">
        <f t="shared" si="12"/>
        <v>0</v>
      </c>
      <c r="K224" s="80"/>
      <c r="L224" s="82"/>
    </row>
    <row r="225" spans="2:12" s="1" customFormat="1" ht="12.75" x14ac:dyDescent="0.15">
      <c r="B225" s="80"/>
      <c r="C225" s="188"/>
      <c r="D225" s="90"/>
      <c r="E225" s="90"/>
      <c r="F225" s="168"/>
      <c r="G225" s="92"/>
      <c r="H225" s="163"/>
      <c r="I225" s="129"/>
      <c r="J225" s="38"/>
      <c r="K225" s="80"/>
      <c r="L225" s="82"/>
    </row>
    <row r="226" spans="2:12" s="1" customFormat="1" ht="12.75" x14ac:dyDescent="0.15">
      <c r="B226" s="80"/>
      <c r="C226" s="188"/>
      <c r="D226" s="90"/>
      <c r="E226" s="90"/>
      <c r="F226" s="168"/>
      <c r="G226" s="92"/>
      <c r="H226" s="163"/>
      <c r="I226" s="129"/>
      <c r="J226" s="38"/>
      <c r="K226" s="80"/>
      <c r="L226" s="82"/>
    </row>
    <row r="227" spans="2:12" s="1" customFormat="1" ht="12.75" x14ac:dyDescent="0.15">
      <c r="B227" s="80"/>
      <c r="C227" s="167" t="s">
        <v>157</v>
      </c>
      <c r="D227" s="90"/>
      <c r="E227" s="90"/>
      <c r="F227" s="168"/>
      <c r="G227" s="92"/>
      <c r="H227" s="163"/>
      <c r="I227" s="129"/>
      <c r="J227" s="52"/>
      <c r="K227" s="80"/>
      <c r="L227" s="82"/>
    </row>
    <row r="228" spans="2:12" s="1" customFormat="1" ht="12.75" x14ac:dyDescent="0.15">
      <c r="B228" s="80">
        <v>1</v>
      </c>
      <c r="C228" s="89"/>
      <c r="D228" s="90"/>
      <c r="E228" s="90"/>
      <c r="F228" s="168"/>
      <c r="G228" s="92"/>
      <c r="H228" s="163">
        <v>1</v>
      </c>
      <c r="I228" s="129">
        <f t="shared" ref="I228:I247" si="13">J228*$C$32</f>
        <v>0</v>
      </c>
      <c r="J228" s="52">
        <f t="shared" ref="J228:J247" si="14">(F228*G228*H228)/$C$32</f>
        <v>0</v>
      </c>
      <c r="K228" s="80"/>
      <c r="L228" s="82"/>
    </row>
    <row r="229" spans="2:12" s="1" customFormat="1" ht="12.75" x14ac:dyDescent="0.15">
      <c r="B229" s="80">
        <v>2</v>
      </c>
      <c r="C229" s="183"/>
      <c r="D229" s="90"/>
      <c r="E229" s="90"/>
      <c r="F229" s="168"/>
      <c r="G229" s="92"/>
      <c r="H229" s="163">
        <v>1</v>
      </c>
      <c r="I229" s="129">
        <f t="shared" si="13"/>
        <v>0</v>
      </c>
      <c r="J229" s="52">
        <f t="shared" si="14"/>
        <v>0</v>
      </c>
      <c r="K229" s="80"/>
      <c r="L229" s="82"/>
    </row>
    <row r="230" spans="2:12" s="1" customFormat="1" ht="12.75" x14ac:dyDescent="0.15">
      <c r="B230" s="80">
        <v>3</v>
      </c>
      <c r="C230" s="89"/>
      <c r="D230" s="90"/>
      <c r="E230" s="90"/>
      <c r="F230" s="168"/>
      <c r="G230" s="92"/>
      <c r="H230" s="163">
        <v>1</v>
      </c>
      <c r="I230" s="129">
        <f t="shared" si="13"/>
        <v>0</v>
      </c>
      <c r="J230" s="52">
        <f t="shared" si="14"/>
        <v>0</v>
      </c>
      <c r="K230" s="80"/>
      <c r="L230" s="82"/>
    </row>
    <row r="231" spans="2:12" s="1" customFormat="1" ht="12.75" x14ac:dyDescent="0.15">
      <c r="B231" s="80">
        <v>4</v>
      </c>
      <c r="C231" s="169"/>
      <c r="D231" s="90"/>
      <c r="E231" s="90"/>
      <c r="F231" s="168"/>
      <c r="G231" s="92"/>
      <c r="H231" s="163">
        <v>1</v>
      </c>
      <c r="I231" s="129">
        <f t="shared" si="13"/>
        <v>0</v>
      </c>
      <c r="J231" s="52">
        <f t="shared" si="14"/>
        <v>0</v>
      </c>
      <c r="K231" s="80"/>
      <c r="L231" s="82"/>
    </row>
    <row r="232" spans="2:12" s="1" customFormat="1" ht="12.75" x14ac:dyDescent="0.15">
      <c r="B232" s="80">
        <v>5</v>
      </c>
      <c r="C232" s="183"/>
      <c r="D232" s="90"/>
      <c r="E232" s="90"/>
      <c r="F232" s="168"/>
      <c r="G232" s="92"/>
      <c r="H232" s="163">
        <v>1</v>
      </c>
      <c r="I232" s="129">
        <f t="shared" si="13"/>
        <v>0</v>
      </c>
      <c r="J232" s="52">
        <f t="shared" si="14"/>
        <v>0</v>
      </c>
      <c r="K232" s="80"/>
      <c r="L232" s="82"/>
    </row>
    <row r="233" spans="2:12" s="1" customFormat="1" ht="12.75" x14ac:dyDescent="0.15">
      <c r="B233" s="80">
        <v>6</v>
      </c>
      <c r="C233" s="89"/>
      <c r="D233" s="90"/>
      <c r="E233" s="90"/>
      <c r="F233" s="168"/>
      <c r="G233" s="92"/>
      <c r="H233" s="163">
        <v>1</v>
      </c>
      <c r="I233" s="129">
        <f t="shared" si="13"/>
        <v>0</v>
      </c>
      <c r="J233" s="52">
        <f t="shared" si="14"/>
        <v>0</v>
      </c>
      <c r="K233" s="80"/>
      <c r="L233" s="82"/>
    </row>
    <row r="234" spans="2:12" s="1" customFormat="1" ht="12.75" x14ac:dyDescent="0.15">
      <c r="B234" s="80">
        <v>7</v>
      </c>
      <c r="C234" s="183"/>
      <c r="D234" s="90"/>
      <c r="E234" s="90"/>
      <c r="F234" s="168"/>
      <c r="G234" s="92"/>
      <c r="H234" s="163">
        <v>1</v>
      </c>
      <c r="I234" s="129">
        <f t="shared" si="13"/>
        <v>0</v>
      </c>
      <c r="J234" s="52">
        <f t="shared" si="14"/>
        <v>0</v>
      </c>
      <c r="K234" s="80"/>
      <c r="L234" s="82"/>
    </row>
    <row r="235" spans="2:12" s="1" customFormat="1" ht="12.75" x14ac:dyDescent="0.15">
      <c r="B235" s="80">
        <v>8</v>
      </c>
      <c r="C235" s="183"/>
      <c r="D235" s="90"/>
      <c r="E235" s="90"/>
      <c r="F235" s="168"/>
      <c r="G235" s="92"/>
      <c r="H235" s="163">
        <v>1</v>
      </c>
      <c r="I235" s="129">
        <f t="shared" si="13"/>
        <v>0</v>
      </c>
      <c r="J235" s="52">
        <f t="shared" si="14"/>
        <v>0</v>
      </c>
      <c r="K235" s="80"/>
      <c r="L235" s="82"/>
    </row>
    <row r="236" spans="2:12" s="1" customFormat="1" ht="12.75" x14ac:dyDescent="0.15">
      <c r="B236" s="80">
        <v>9</v>
      </c>
      <c r="C236" s="183"/>
      <c r="D236" s="90"/>
      <c r="E236" s="90"/>
      <c r="F236" s="168"/>
      <c r="G236" s="92"/>
      <c r="H236" s="163">
        <v>1</v>
      </c>
      <c r="I236" s="129">
        <f t="shared" si="13"/>
        <v>0</v>
      </c>
      <c r="J236" s="52">
        <f t="shared" si="14"/>
        <v>0</v>
      </c>
      <c r="K236" s="80"/>
      <c r="L236" s="82"/>
    </row>
    <row r="237" spans="2:12" s="1" customFormat="1" ht="12.75" x14ac:dyDescent="0.15">
      <c r="B237" s="80">
        <v>10</v>
      </c>
      <c r="C237" s="183"/>
      <c r="D237" s="90"/>
      <c r="E237" s="90"/>
      <c r="F237" s="168"/>
      <c r="G237" s="92"/>
      <c r="H237" s="163">
        <v>1</v>
      </c>
      <c r="I237" s="129">
        <f t="shared" si="13"/>
        <v>0</v>
      </c>
      <c r="J237" s="52">
        <f t="shared" si="14"/>
        <v>0</v>
      </c>
      <c r="K237" s="80"/>
      <c r="L237" s="82"/>
    </row>
    <row r="238" spans="2:12" s="1" customFormat="1" ht="12.75" x14ac:dyDescent="0.15">
      <c r="B238" s="80">
        <v>11</v>
      </c>
      <c r="C238" s="183"/>
      <c r="D238" s="90"/>
      <c r="E238" s="90"/>
      <c r="F238" s="168"/>
      <c r="G238" s="92"/>
      <c r="H238" s="163">
        <v>1</v>
      </c>
      <c r="I238" s="129">
        <f t="shared" si="13"/>
        <v>0</v>
      </c>
      <c r="J238" s="52">
        <f t="shared" si="14"/>
        <v>0</v>
      </c>
      <c r="K238" s="80"/>
      <c r="L238" s="82"/>
    </row>
    <row r="239" spans="2:12" s="1" customFormat="1" ht="12.75" x14ac:dyDescent="0.15">
      <c r="B239" s="80">
        <v>12</v>
      </c>
      <c r="C239" s="183"/>
      <c r="D239" s="90"/>
      <c r="E239" s="90"/>
      <c r="F239" s="168"/>
      <c r="G239" s="92"/>
      <c r="H239" s="163">
        <v>1</v>
      </c>
      <c r="I239" s="129">
        <f t="shared" si="13"/>
        <v>0</v>
      </c>
      <c r="J239" s="52">
        <f t="shared" si="14"/>
        <v>0</v>
      </c>
      <c r="K239" s="80"/>
      <c r="L239" s="82"/>
    </row>
    <row r="240" spans="2:12" s="1" customFormat="1" ht="12.75" x14ac:dyDescent="0.15">
      <c r="B240" s="80">
        <v>13</v>
      </c>
      <c r="C240" s="183"/>
      <c r="D240" s="90"/>
      <c r="E240" s="90"/>
      <c r="F240" s="168"/>
      <c r="G240" s="92"/>
      <c r="H240" s="163">
        <v>1</v>
      </c>
      <c r="I240" s="129">
        <f t="shared" si="13"/>
        <v>0</v>
      </c>
      <c r="J240" s="52">
        <f t="shared" si="14"/>
        <v>0</v>
      </c>
      <c r="K240" s="80"/>
      <c r="L240" s="82"/>
    </row>
    <row r="241" spans="2:12" s="1" customFormat="1" ht="12.75" x14ac:dyDescent="0.15">
      <c r="B241" s="80">
        <v>14</v>
      </c>
      <c r="C241" s="183"/>
      <c r="D241" s="90"/>
      <c r="E241" s="90"/>
      <c r="F241" s="168"/>
      <c r="G241" s="92"/>
      <c r="H241" s="163">
        <v>1</v>
      </c>
      <c r="I241" s="129">
        <f t="shared" si="13"/>
        <v>0</v>
      </c>
      <c r="J241" s="52">
        <f t="shared" si="14"/>
        <v>0</v>
      </c>
      <c r="K241" s="80"/>
      <c r="L241" s="82"/>
    </row>
    <row r="242" spans="2:12" s="1" customFormat="1" ht="12.75" x14ac:dyDescent="0.15">
      <c r="B242" s="80">
        <v>15</v>
      </c>
      <c r="C242" s="183"/>
      <c r="D242" s="90"/>
      <c r="E242" s="90"/>
      <c r="F242" s="168"/>
      <c r="G242" s="92"/>
      <c r="H242" s="163">
        <v>1</v>
      </c>
      <c r="I242" s="129">
        <f t="shared" si="13"/>
        <v>0</v>
      </c>
      <c r="J242" s="52">
        <f t="shared" si="14"/>
        <v>0</v>
      </c>
      <c r="K242" s="80"/>
      <c r="L242" s="82"/>
    </row>
    <row r="243" spans="2:12" s="1" customFormat="1" ht="12.75" x14ac:dyDescent="0.15">
      <c r="B243" s="80">
        <v>16</v>
      </c>
      <c r="C243" s="183"/>
      <c r="D243" s="90"/>
      <c r="E243" s="90"/>
      <c r="F243" s="168"/>
      <c r="G243" s="92"/>
      <c r="H243" s="163">
        <v>1</v>
      </c>
      <c r="I243" s="129">
        <f t="shared" si="13"/>
        <v>0</v>
      </c>
      <c r="J243" s="52">
        <f t="shared" si="14"/>
        <v>0</v>
      </c>
      <c r="K243" s="80"/>
      <c r="L243" s="82"/>
    </row>
    <row r="244" spans="2:12" s="1" customFormat="1" ht="12.75" x14ac:dyDescent="0.15">
      <c r="B244" s="80">
        <v>17</v>
      </c>
      <c r="C244" s="183"/>
      <c r="D244" s="90"/>
      <c r="E244" s="90"/>
      <c r="F244" s="168"/>
      <c r="G244" s="92"/>
      <c r="H244" s="163">
        <v>1</v>
      </c>
      <c r="I244" s="129">
        <f t="shared" si="13"/>
        <v>0</v>
      </c>
      <c r="J244" s="52">
        <f t="shared" si="14"/>
        <v>0</v>
      </c>
      <c r="K244" s="80"/>
      <c r="L244" s="82"/>
    </row>
    <row r="245" spans="2:12" s="1" customFormat="1" ht="12.75" x14ac:dyDescent="0.15">
      <c r="B245" s="80">
        <v>18</v>
      </c>
      <c r="C245" s="183"/>
      <c r="D245" s="90"/>
      <c r="E245" s="90"/>
      <c r="F245" s="168"/>
      <c r="G245" s="92"/>
      <c r="H245" s="163">
        <v>1</v>
      </c>
      <c r="I245" s="132">
        <f t="shared" si="13"/>
        <v>0</v>
      </c>
      <c r="J245" s="265">
        <f t="shared" si="14"/>
        <v>0</v>
      </c>
      <c r="K245" s="111"/>
      <c r="L245" s="119"/>
    </row>
    <row r="246" spans="2:12" s="1" customFormat="1" ht="12.75" x14ac:dyDescent="0.15">
      <c r="B246" s="16">
        <v>19</v>
      </c>
      <c r="C246" s="186"/>
      <c r="D246" s="85"/>
      <c r="E246" s="85"/>
      <c r="F246" s="166"/>
      <c r="G246" s="87"/>
      <c r="H246" s="267">
        <v>1</v>
      </c>
      <c r="I246" s="168">
        <f t="shared" si="13"/>
        <v>0</v>
      </c>
      <c r="J246" s="266">
        <f t="shared" si="14"/>
        <v>0</v>
      </c>
      <c r="K246" s="82"/>
      <c r="L246" s="82"/>
    </row>
    <row r="247" spans="2:12" s="1" customFormat="1" ht="12.75" x14ac:dyDescent="0.15">
      <c r="B247" s="83">
        <v>20</v>
      </c>
      <c r="C247" s="181"/>
      <c r="D247" s="75"/>
      <c r="E247" s="75"/>
      <c r="F247" s="132"/>
      <c r="G247" s="77"/>
      <c r="H247" s="268">
        <v>1</v>
      </c>
      <c r="I247" s="168">
        <f t="shared" si="13"/>
        <v>0</v>
      </c>
      <c r="J247" s="266">
        <f t="shared" si="14"/>
        <v>0</v>
      </c>
      <c r="K247" s="82"/>
      <c r="L247" s="82"/>
    </row>
    <row r="248" spans="2:12" s="1" customFormat="1" ht="12.75" x14ac:dyDescent="0.15">
      <c r="B248" s="82"/>
      <c r="C248" s="183"/>
      <c r="D248" s="90"/>
      <c r="E248" s="90"/>
      <c r="F248" s="168"/>
      <c r="G248" s="92"/>
      <c r="H248" s="269"/>
      <c r="I248" s="168"/>
      <c r="J248" s="266"/>
      <c r="K248" s="82"/>
      <c r="L248" s="82"/>
    </row>
    <row r="249" spans="2:12" s="1" customFormat="1" ht="12.75" x14ac:dyDescent="0.15">
      <c r="B249" s="82"/>
      <c r="C249" s="102"/>
      <c r="D249" s="103"/>
      <c r="E249" s="102"/>
      <c r="F249" s="128">
        <f>SUM(F189:F248)</f>
        <v>0</v>
      </c>
      <c r="G249" s="104"/>
      <c r="H249" s="253"/>
      <c r="I249" s="128">
        <f>SUM(I190:I248)</f>
        <v>0</v>
      </c>
      <c r="J249" s="257">
        <f>SUM(J193:J234)</f>
        <v>0</v>
      </c>
    </row>
    <row r="250" spans="2:12" s="67" customFormat="1" ht="12.75" x14ac:dyDescent="0.15">
      <c r="B250" s="116"/>
      <c r="C250" s="114"/>
      <c r="D250" s="114"/>
      <c r="E250" s="114" t="s">
        <v>147</v>
      </c>
      <c r="F250" s="162">
        <f>100/115*F249</f>
        <v>0</v>
      </c>
      <c r="G250" s="161"/>
      <c r="H250" s="270" t="s">
        <v>147</v>
      </c>
      <c r="I250" s="162">
        <f>100/115*I249</f>
        <v>0</v>
      </c>
      <c r="J250" s="114"/>
    </row>
    <row r="251" spans="2:12" s="1" customFormat="1" ht="12.75" x14ac:dyDescent="0.15"/>
    <row r="252" spans="2:12" s="1" customFormat="1" ht="12.75" x14ac:dyDescent="0.15"/>
    <row r="253" spans="2:12" s="1" customFormat="1" ht="12.75" x14ac:dyDescent="0.15"/>
    <row r="254" spans="2:12" s="1" customFormat="1" ht="12.75" x14ac:dyDescent="0.15"/>
    <row r="255" spans="2:12" s="247" customFormat="1" ht="32.25" x14ac:dyDescent="0.4">
      <c r="B255" s="248"/>
      <c r="C255" s="380" t="s">
        <v>112</v>
      </c>
      <c r="D255" s="380"/>
      <c r="E255" s="428" t="s">
        <v>104</v>
      </c>
      <c r="F255" s="428"/>
      <c r="G255" s="428"/>
      <c r="H255" s="428"/>
      <c r="I255" s="428"/>
      <c r="J255" s="382">
        <v>2026</v>
      </c>
      <c r="K255" s="382"/>
      <c r="L255" s="382"/>
    </row>
    <row r="256" spans="2:12" s="1" customFormat="1" ht="22.5" x14ac:dyDescent="0.15">
      <c r="B256" s="82"/>
      <c r="C256" s="102" t="s">
        <v>114</v>
      </c>
      <c r="D256" s="388" t="s">
        <v>115</v>
      </c>
      <c r="E256" s="388"/>
      <c r="F256" s="102" t="s">
        <v>116</v>
      </c>
      <c r="G256" s="102" t="s">
        <v>117</v>
      </c>
      <c r="H256" s="102" t="s">
        <v>118</v>
      </c>
      <c r="I256" s="102" t="s">
        <v>119</v>
      </c>
      <c r="J256" s="102" t="s">
        <v>120</v>
      </c>
      <c r="K256" s="82"/>
      <c r="L256" s="82"/>
    </row>
    <row r="257" spans="2:14" s="1" customFormat="1" ht="12.75" x14ac:dyDescent="0.15">
      <c r="B257" s="82"/>
      <c r="C257" s="66">
        <f>C187</f>
        <v>350</v>
      </c>
      <c r="D257" s="389">
        <v>22</v>
      </c>
      <c r="E257" s="389"/>
      <c r="F257" s="13">
        <f>F187</f>
        <v>0.85</v>
      </c>
      <c r="G257" s="14">
        <f>G187</f>
        <v>8</v>
      </c>
      <c r="H257" s="142">
        <f>D257*G257*F257</f>
        <v>149.6</v>
      </c>
      <c r="I257" s="66">
        <f>I319</f>
        <v>0</v>
      </c>
      <c r="J257" s="143">
        <f>H257-J319</f>
        <v>149.6</v>
      </c>
      <c r="K257" s="82"/>
      <c r="L257" s="82"/>
    </row>
    <row r="258" spans="2:14" s="1" customFormat="1" ht="33.75" x14ac:dyDescent="0.15">
      <c r="B258" s="82"/>
      <c r="C258" s="167" t="s">
        <v>121</v>
      </c>
      <c r="D258" s="395" t="s">
        <v>122</v>
      </c>
      <c r="E258" s="395"/>
      <c r="F258" s="177" t="s">
        <v>123</v>
      </c>
      <c r="G258" s="178" t="s">
        <v>124</v>
      </c>
      <c r="H258" s="179" t="s">
        <v>125</v>
      </c>
      <c r="I258" s="180" t="s">
        <v>126</v>
      </c>
      <c r="J258" s="178" t="s">
        <v>127</v>
      </c>
      <c r="K258" s="114" t="s">
        <v>128</v>
      </c>
      <c r="L258" s="114" t="s">
        <v>129</v>
      </c>
    </row>
    <row r="259" spans="2:14" s="1" customFormat="1" ht="12.75" x14ac:dyDescent="0.15">
      <c r="B259" s="84"/>
      <c r="C259" s="81"/>
      <c r="D259" s="404"/>
      <c r="E259" s="404"/>
      <c r="F259" s="86"/>
      <c r="G259" s="87"/>
      <c r="H259" s="87"/>
      <c r="I259" s="176"/>
      <c r="J259" s="88"/>
      <c r="K259" s="79"/>
      <c r="L259" s="120"/>
    </row>
    <row r="260" spans="2:14" s="1" customFormat="1" ht="13.35" customHeight="1" x14ac:dyDescent="0.15">
      <c r="B260" s="16"/>
      <c r="C260" s="37" t="s">
        <v>158</v>
      </c>
      <c r="D260" s="24"/>
      <c r="E260" s="24"/>
      <c r="F260" s="129"/>
      <c r="G260" s="20"/>
      <c r="H260" s="20"/>
      <c r="I260" s="126"/>
      <c r="J260" s="38"/>
      <c r="K260" s="80"/>
      <c r="L260" s="82"/>
    </row>
    <row r="261" spans="2:14" s="1" customFormat="1" ht="13.35" customHeight="1" x14ac:dyDescent="0.15">
      <c r="B261" s="16"/>
      <c r="C261" s="37" t="s">
        <v>149</v>
      </c>
      <c r="D261" s="24"/>
      <c r="E261" s="24"/>
      <c r="F261" s="129"/>
      <c r="G261" s="20"/>
      <c r="H261" s="20"/>
      <c r="I261" s="126"/>
      <c r="J261" s="38"/>
      <c r="K261" s="80"/>
      <c r="L261" s="82"/>
    </row>
    <row r="262" spans="2:14" s="1" customFormat="1" ht="13.35" customHeight="1" x14ac:dyDescent="0.15">
      <c r="B262" s="16">
        <v>1</v>
      </c>
      <c r="C262" s="23"/>
      <c r="D262" s="24"/>
      <c r="E262" s="24"/>
      <c r="F262" s="129"/>
      <c r="G262" s="20"/>
      <c r="H262" s="20">
        <v>1</v>
      </c>
      <c r="I262" s="126">
        <f t="shared" ref="I262:I317" si="15">J262*$C$32</f>
        <v>0</v>
      </c>
      <c r="J262" s="38">
        <f t="shared" ref="J262:J277" si="16">(F262*G262*H262)/$C$32</f>
        <v>0</v>
      </c>
      <c r="K262" s="80"/>
      <c r="L262" s="82"/>
    </row>
    <row r="263" spans="2:14" s="1" customFormat="1" ht="13.35" customHeight="1" x14ac:dyDescent="0.15">
      <c r="B263" s="16">
        <v>2</v>
      </c>
      <c r="C263" s="23"/>
      <c r="D263" s="24"/>
      <c r="E263" s="24"/>
      <c r="F263" s="126"/>
      <c r="G263" s="20"/>
      <c r="H263" s="20">
        <v>1</v>
      </c>
      <c r="I263" s="126">
        <f t="shared" si="15"/>
        <v>0</v>
      </c>
      <c r="J263" s="38">
        <f t="shared" si="16"/>
        <v>0</v>
      </c>
      <c r="K263" s="80"/>
      <c r="L263" s="82"/>
    </row>
    <row r="264" spans="2:14" s="1" customFormat="1" ht="13.35" customHeight="1" x14ac:dyDescent="0.15">
      <c r="B264" s="16">
        <v>3</v>
      </c>
      <c r="C264" s="23"/>
      <c r="D264" s="25"/>
      <c r="E264" s="25"/>
      <c r="F264" s="129"/>
      <c r="G264" s="20"/>
      <c r="H264" s="20">
        <v>1</v>
      </c>
      <c r="I264" s="126">
        <f t="shared" si="15"/>
        <v>0</v>
      </c>
      <c r="J264" s="38">
        <f t="shared" si="16"/>
        <v>0</v>
      </c>
      <c r="K264" s="80"/>
      <c r="L264" s="82"/>
    </row>
    <row r="265" spans="2:14" s="1" customFormat="1" ht="13.35" customHeight="1" x14ac:dyDescent="0.15">
      <c r="B265" s="16">
        <v>4</v>
      </c>
      <c r="C265" s="23"/>
      <c r="D265" s="24"/>
      <c r="E265" s="24"/>
      <c r="F265" s="129"/>
      <c r="G265" s="20"/>
      <c r="H265" s="20">
        <v>1</v>
      </c>
      <c r="I265" s="126">
        <f t="shared" si="15"/>
        <v>0</v>
      </c>
      <c r="J265" s="38">
        <f t="shared" si="16"/>
        <v>0</v>
      </c>
      <c r="K265" s="80"/>
      <c r="L265" s="82"/>
    </row>
    <row r="266" spans="2:14" s="1" customFormat="1" ht="13.35" customHeight="1" x14ac:dyDescent="0.15">
      <c r="B266" s="16">
        <v>5</v>
      </c>
      <c r="C266" s="16"/>
      <c r="D266" s="18"/>
      <c r="E266" s="18"/>
      <c r="F266" s="129"/>
      <c r="G266" s="20"/>
      <c r="H266" s="20">
        <v>1</v>
      </c>
      <c r="I266" s="126">
        <f t="shared" si="15"/>
        <v>0</v>
      </c>
      <c r="J266" s="38">
        <f t="shared" si="16"/>
        <v>0</v>
      </c>
      <c r="K266" s="80"/>
      <c r="L266" s="82"/>
    </row>
    <row r="267" spans="2:14" s="1" customFormat="1" ht="13.35" customHeight="1" x14ac:dyDescent="0.15">
      <c r="B267" s="16">
        <v>6</v>
      </c>
      <c r="C267" s="17"/>
      <c r="D267" s="24"/>
      <c r="E267" s="24"/>
      <c r="F267" s="129"/>
      <c r="G267" s="20"/>
      <c r="H267" s="20">
        <v>1</v>
      </c>
      <c r="I267" s="126">
        <f t="shared" si="15"/>
        <v>0</v>
      </c>
      <c r="J267" s="38">
        <f t="shared" si="16"/>
        <v>0</v>
      </c>
      <c r="K267" s="80"/>
      <c r="L267" s="82"/>
    </row>
    <row r="268" spans="2:14" s="1" customFormat="1" ht="13.35" customHeight="1" x14ac:dyDescent="0.15">
      <c r="B268" s="16">
        <v>7</v>
      </c>
      <c r="C268" s="17"/>
      <c r="D268" s="24"/>
      <c r="E268" s="24"/>
      <c r="F268" s="129"/>
      <c r="G268" s="20"/>
      <c r="H268" s="20">
        <v>1</v>
      </c>
      <c r="I268" s="126">
        <f t="shared" si="15"/>
        <v>0</v>
      </c>
      <c r="J268" s="38">
        <f t="shared" si="16"/>
        <v>0</v>
      </c>
      <c r="K268" s="80"/>
      <c r="L268" s="82"/>
    </row>
    <row r="269" spans="2:14" s="1" customFormat="1" ht="13.35" customHeight="1" x14ac:dyDescent="0.15">
      <c r="B269" s="16">
        <v>8</v>
      </c>
      <c r="C269" s="17"/>
      <c r="D269" s="24"/>
      <c r="E269" s="24"/>
      <c r="F269" s="129"/>
      <c r="G269" s="20"/>
      <c r="H269" s="20">
        <v>1</v>
      </c>
      <c r="I269" s="126">
        <f t="shared" si="15"/>
        <v>0</v>
      </c>
      <c r="J269" s="38">
        <f t="shared" si="16"/>
        <v>0</v>
      </c>
      <c r="K269" s="80"/>
      <c r="L269" s="82"/>
    </row>
    <row r="270" spans="2:14" s="1" customFormat="1" ht="13.35" customHeight="1" x14ac:dyDescent="0.15">
      <c r="B270" s="16">
        <v>9</v>
      </c>
      <c r="C270" s="17"/>
      <c r="D270" s="24"/>
      <c r="E270" s="24"/>
      <c r="F270" s="129"/>
      <c r="G270" s="20"/>
      <c r="H270" s="20">
        <v>1</v>
      </c>
      <c r="I270" s="126">
        <f t="shared" si="15"/>
        <v>0</v>
      </c>
      <c r="J270" s="38">
        <f t="shared" si="16"/>
        <v>0</v>
      </c>
      <c r="K270" s="80"/>
      <c r="L270" s="82"/>
    </row>
    <row r="271" spans="2:14" s="1" customFormat="1" ht="13.35" customHeight="1" x14ac:dyDescent="0.15">
      <c r="B271" s="16">
        <v>10</v>
      </c>
      <c r="C271" s="17"/>
      <c r="D271" s="24"/>
      <c r="E271" s="24"/>
      <c r="F271" s="129"/>
      <c r="G271" s="20"/>
      <c r="H271" s="20">
        <v>1</v>
      </c>
      <c r="I271" s="126">
        <f t="shared" si="15"/>
        <v>0</v>
      </c>
      <c r="J271" s="38">
        <f t="shared" si="16"/>
        <v>0</v>
      </c>
      <c r="K271" s="80"/>
      <c r="L271" s="82"/>
    </row>
    <row r="272" spans="2:14" s="1" customFormat="1" ht="13.35" customHeight="1" x14ac:dyDescent="0.15">
      <c r="B272" s="16"/>
      <c r="C272" s="17"/>
      <c r="D272" s="24"/>
      <c r="E272" s="24"/>
      <c r="F272" s="129"/>
      <c r="G272" s="20"/>
      <c r="H272" s="20"/>
      <c r="I272" s="126"/>
      <c r="J272" s="38"/>
      <c r="K272" s="80"/>
      <c r="L272" s="82"/>
      <c r="N272" s="41"/>
    </row>
    <row r="273" spans="2:20" s="1" customFormat="1" ht="13.35" customHeight="1" x14ac:dyDescent="0.15">
      <c r="B273" s="16"/>
      <c r="C273" s="17"/>
      <c r="D273" s="24"/>
      <c r="E273" s="24"/>
      <c r="F273" s="129"/>
      <c r="G273" s="20"/>
      <c r="H273" s="20"/>
      <c r="I273" s="126"/>
      <c r="J273" s="21"/>
      <c r="K273" s="80"/>
      <c r="L273" s="82"/>
    </row>
    <row r="274" spans="2:20" s="1" customFormat="1" ht="13.35" customHeight="1" x14ac:dyDescent="0.15">
      <c r="B274" s="16"/>
      <c r="C274" s="22" t="s">
        <v>156</v>
      </c>
      <c r="D274" s="24"/>
      <c r="E274" s="24"/>
      <c r="F274" s="129"/>
      <c r="G274" s="20"/>
      <c r="H274" s="20"/>
      <c r="I274" s="126"/>
      <c r="J274" s="21"/>
      <c r="K274" s="80"/>
      <c r="L274" s="82"/>
    </row>
    <row r="275" spans="2:20" s="1" customFormat="1" ht="16.5" x14ac:dyDescent="0.15">
      <c r="B275" s="16">
        <v>1</v>
      </c>
      <c r="C275" s="44"/>
      <c r="D275" s="18"/>
      <c r="E275" s="18"/>
      <c r="F275" s="129"/>
      <c r="G275" s="20"/>
      <c r="H275" s="20">
        <v>1</v>
      </c>
      <c r="I275" s="126">
        <f t="shared" si="15"/>
        <v>0</v>
      </c>
      <c r="J275" s="38">
        <f t="shared" si="16"/>
        <v>0</v>
      </c>
      <c r="K275" s="80"/>
      <c r="L275" s="82"/>
      <c r="M275" s="10"/>
      <c r="N275" s="42"/>
      <c r="O275" s="10"/>
      <c r="P275" s="10"/>
      <c r="Q275" s="43"/>
      <c r="R275" s="10"/>
      <c r="T275" s="10"/>
    </row>
    <row r="276" spans="2:20" s="1" customFormat="1" ht="16.5" x14ac:dyDescent="0.15">
      <c r="B276" s="16">
        <v>2</v>
      </c>
      <c r="C276" s="45"/>
      <c r="D276" s="18"/>
      <c r="E276" s="18"/>
      <c r="F276" s="129"/>
      <c r="G276" s="20"/>
      <c r="H276" s="20">
        <v>1</v>
      </c>
      <c r="I276" s="126">
        <f>J276*$C$32</f>
        <v>0</v>
      </c>
      <c r="J276" s="38">
        <f t="shared" si="16"/>
        <v>0</v>
      </c>
      <c r="K276" s="80"/>
      <c r="L276" s="82"/>
      <c r="M276" s="10"/>
      <c r="N276" s="42"/>
      <c r="O276" s="10"/>
      <c r="P276" s="10"/>
      <c r="Q276" s="43"/>
      <c r="R276" s="10"/>
      <c r="T276" s="10"/>
    </row>
    <row r="277" spans="2:20" s="1" customFormat="1" ht="12.95" customHeight="1" x14ac:dyDescent="0.15">
      <c r="B277" s="16">
        <v>3</v>
      </c>
      <c r="C277" s="44"/>
      <c r="D277" s="18"/>
      <c r="E277" s="18"/>
      <c r="F277" s="129"/>
      <c r="G277" s="20"/>
      <c r="H277" s="20">
        <v>1</v>
      </c>
      <c r="I277" s="126">
        <f t="shared" si="15"/>
        <v>0</v>
      </c>
      <c r="J277" s="21">
        <f t="shared" si="16"/>
        <v>0</v>
      </c>
      <c r="K277" s="80"/>
      <c r="L277" s="82"/>
      <c r="M277" s="10"/>
      <c r="N277" s="42"/>
      <c r="O277" s="10"/>
      <c r="P277" s="10"/>
      <c r="Q277" s="43"/>
      <c r="R277" s="10"/>
      <c r="T277" s="10"/>
    </row>
    <row r="278" spans="2:20" s="1" customFormat="1" ht="14.25" x14ac:dyDescent="0.15">
      <c r="B278" s="16">
        <v>4</v>
      </c>
      <c r="C278" s="46"/>
      <c r="D278" s="405"/>
      <c r="E278" s="405"/>
      <c r="F278" s="129"/>
      <c r="G278" s="20"/>
      <c r="H278" s="20">
        <v>1</v>
      </c>
      <c r="I278" s="126">
        <f t="shared" si="15"/>
        <v>0</v>
      </c>
      <c r="J278" s="38">
        <f>(F279*G278*H278)/$C$32</f>
        <v>0</v>
      </c>
      <c r="K278" s="80"/>
      <c r="L278" s="82"/>
      <c r="M278" s="10"/>
      <c r="N278" s="42"/>
      <c r="O278" s="10"/>
      <c r="P278" s="10"/>
      <c r="Q278" s="43"/>
      <c r="R278" s="10"/>
      <c r="T278" s="10"/>
    </row>
    <row r="279" spans="2:20" s="1" customFormat="1" ht="14.25" x14ac:dyDescent="0.15">
      <c r="B279" s="16">
        <v>5</v>
      </c>
      <c r="C279" s="11"/>
      <c r="D279" s="18"/>
      <c r="E279" s="18"/>
      <c r="F279" s="129"/>
      <c r="G279" s="20"/>
      <c r="H279" s="20">
        <v>1</v>
      </c>
      <c r="I279" s="126">
        <f t="shared" si="15"/>
        <v>0</v>
      </c>
      <c r="J279" s="38">
        <f>(F281*G279*H279)/$C$32</f>
        <v>0</v>
      </c>
      <c r="K279" s="80"/>
      <c r="L279" s="82"/>
      <c r="M279" s="10"/>
      <c r="N279" s="42"/>
      <c r="O279" s="10"/>
      <c r="P279" s="10"/>
      <c r="Q279" s="43"/>
      <c r="R279" s="10"/>
      <c r="T279" s="10"/>
    </row>
    <row r="280" spans="2:20" s="1" customFormat="1" ht="14.25" x14ac:dyDescent="0.15">
      <c r="B280" s="16">
        <v>6</v>
      </c>
      <c r="C280" s="11"/>
      <c r="D280" s="18"/>
      <c r="E280" s="18"/>
      <c r="F280" s="129"/>
      <c r="G280" s="20"/>
      <c r="H280" s="20">
        <v>1</v>
      </c>
      <c r="I280" s="126">
        <f t="shared" si="15"/>
        <v>0</v>
      </c>
      <c r="J280" s="38">
        <f>(F282*G280*H280)/$C$32</f>
        <v>0</v>
      </c>
      <c r="K280" s="80"/>
      <c r="L280" s="82"/>
      <c r="M280" s="10"/>
      <c r="N280" s="42"/>
      <c r="O280" s="10"/>
      <c r="P280" s="10"/>
      <c r="Q280" s="43"/>
      <c r="R280" s="10"/>
      <c r="T280" s="10"/>
    </row>
    <row r="281" spans="2:20" s="1" customFormat="1" ht="16.5" x14ac:dyDescent="0.2">
      <c r="B281" s="16">
        <v>7</v>
      </c>
      <c r="C281" s="47"/>
      <c r="D281" s="18"/>
      <c r="E281" s="18"/>
      <c r="F281" s="129"/>
      <c r="G281" s="20"/>
      <c r="H281" s="20">
        <v>1</v>
      </c>
      <c r="I281" s="126">
        <f t="shared" si="15"/>
        <v>0</v>
      </c>
      <c r="J281" s="38">
        <f>(F283*G281*H281)/$C$32</f>
        <v>0</v>
      </c>
      <c r="K281" s="80"/>
      <c r="L281" s="82"/>
      <c r="M281" s="10"/>
      <c r="N281" s="42"/>
      <c r="O281" s="10"/>
      <c r="P281" s="10"/>
      <c r="Q281" s="43"/>
      <c r="R281" s="10"/>
      <c r="T281" s="10"/>
    </row>
    <row r="282" spans="2:20" s="1" customFormat="1" ht="14.25" x14ac:dyDescent="0.15">
      <c r="B282" s="16">
        <v>8</v>
      </c>
      <c r="C282" s="11"/>
      <c r="D282" s="18"/>
      <c r="E282" s="18"/>
      <c r="F282" s="129"/>
      <c r="G282" s="20"/>
      <c r="H282" s="20">
        <v>1</v>
      </c>
      <c r="I282" s="126">
        <f t="shared" si="15"/>
        <v>0</v>
      </c>
      <c r="J282" s="21">
        <f>(F284*G282*H282)/$C$32</f>
        <v>0</v>
      </c>
      <c r="K282" s="80"/>
      <c r="L282" s="82"/>
      <c r="M282" s="10"/>
      <c r="N282" s="42"/>
      <c r="O282" s="10"/>
      <c r="P282" s="10"/>
      <c r="Q282" s="43"/>
      <c r="R282" s="10"/>
      <c r="T282" s="10"/>
    </row>
    <row r="283" spans="2:20" s="1" customFormat="1" ht="14.25" x14ac:dyDescent="0.15">
      <c r="B283" s="16">
        <v>9</v>
      </c>
      <c r="C283" s="11"/>
      <c r="D283" s="18"/>
      <c r="E283" s="18"/>
      <c r="F283" s="129"/>
      <c r="G283" s="20"/>
      <c r="H283" s="20">
        <v>1</v>
      </c>
      <c r="I283" s="126">
        <f t="shared" si="15"/>
        <v>0</v>
      </c>
      <c r="J283" s="38">
        <f t="shared" ref="J283:J284" si="17">(F285*G283*H283)/$C$32</f>
        <v>0</v>
      </c>
      <c r="K283" s="80"/>
      <c r="L283" s="82"/>
      <c r="M283" s="10"/>
      <c r="N283" s="42"/>
      <c r="O283" s="10"/>
      <c r="P283" s="10"/>
      <c r="Q283" s="43"/>
      <c r="R283" s="10"/>
      <c r="T283" s="10"/>
    </row>
    <row r="284" spans="2:20" s="1" customFormat="1" ht="14.25" x14ac:dyDescent="0.15">
      <c r="B284" s="16">
        <v>10</v>
      </c>
      <c r="C284" s="11"/>
      <c r="D284" s="18"/>
      <c r="E284" s="18"/>
      <c r="F284" s="129"/>
      <c r="G284" s="20"/>
      <c r="H284" s="20">
        <v>1</v>
      </c>
      <c r="I284" s="126">
        <f t="shared" si="15"/>
        <v>0</v>
      </c>
      <c r="J284" s="38">
        <f t="shared" si="17"/>
        <v>0</v>
      </c>
      <c r="K284" s="80"/>
      <c r="L284" s="82"/>
      <c r="M284" s="10"/>
      <c r="N284" s="42"/>
      <c r="O284" s="10"/>
      <c r="P284" s="10"/>
      <c r="Q284" s="43"/>
      <c r="R284" s="10"/>
      <c r="T284" s="10"/>
    </row>
    <row r="285" spans="2:20" s="1" customFormat="1" ht="14.25" x14ac:dyDescent="0.15">
      <c r="B285" s="16">
        <v>11</v>
      </c>
      <c r="C285" s="11"/>
      <c r="D285" s="18"/>
      <c r="E285" s="18"/>
      <c r="F285" s="129"/>
      <c r="G285" s="20"/>
      <c r="H285" s="20">
        <v>1</v>
      </c>
      <c r="I285" s="126">
        <f t="shared" si="15"/>
        <v>0</v>
      </c>
      <c r="J285" s="38">
        <f t="shared" ref="J285:J317" si="18">(F285*G285*H285)/$C$32</f>
        <v>0</v>
      </c>
      <c r="K285" s="80"/>
      <c r="L285" s="82"/>
      <c r="M285" s="10"/>
      <c r="N285" s="42"/>
      <c r="O285" s="10"/>
      <c r="P285" s="10"/>
      <c r="Q285" s="43"/>
      <c r="R285" s="10"/>
      <c r="T285" s="10"/>
    </row>
    <row r="286" spans="2:20" s="1" customFormat="1" ht="14.25" x14ac:dyDescent="0.15">
      <c r="B286" s="16">
        <v>12</v>
      </c>
      <c r="C286" s="11"/>
      <c r="D286" s="18"/>
      <c r="E286" s="18"/>
      <c r="F286" s="129"/>
      <c r="G286" s="20"/>
      <c r="H286" s="20">
        <v>1</v>
      </c>
      <c r="I286" s="126">
        <f t="shared" si="15"/>
        <v>0</v>
      </c>
      <c r="J286" s="21">
        <f t="shared" si="18"/>
        <v>0</v>
      </c>
      <c r="K286" s="80"/>
      <c r="L286" s="82"/>
      <c r="M286" s="10"/>
      <c r="N286" s="42"/>
      <c r="O286" s="10"/>
      <c r="P286" s="10"/>
      <c r="Q286" s="43"/>
      <c r="R286" s="10"/>
      <c r="T286" s="10"/>
    </row>
    <row r="287" spans="2:20" s="1" customFormat="1" ht="14.25" x14ac:dyDescent="0.15">
      <c r="B287" s="16">
        <v>13</v>
      </c>
      <c r="C287" s="11"/>
      <c r="D287" s="18"/>
      <c r="E287" s="18"/>
      <c r="F287" s="129"/>
      <c r="G287" s="20"/>
      <c r="H287" s="20">
        <v>1</v>
      </c>
      <c r="I287" s="126">
        <f t="shared" si="15"/>
        <v>0</v>
      </c>
      <c r="J287" s="38">
        <f t="shared" si="18"/>
        <v>0</v>
      </c>
      <c r="K287" s="80"/>
      <c r="L287" s="82"/>
      <c r="M287" s="10"/>
      <c r="N287" s="42"/>
      <c r="O287" s="10"/>
      <c r="P287" s="10"/>
      <c r="Q287" s="43"/>
      <c r="R287" s="10"/>
      <c r="T287" s="10"/>
    </row>
    <row r="288" spans="2:20" s="1" customFormat="1" ht="14.25" x14ac:dyDescent="0.15">
      <c r="B288" s="16">
        <v>14</v>
      </c>
      <c r="C288" s="11"/>
      <c r="D288" s="18"/>
      <c r="E288" s="18"/>
      <c r="F288" s="129"/>
      <c r="G288" s="20"/>
      <c r="H288" s="20">
        <v>1</v>
      </c>
      <c r="I288" s="126">
        <f t="shared" si="15"/>
        <v>0</v>
      </c>
      <c r="J288" s="38">
        <f t="shared" si="18"/>
        <v>0</v>
      </c>
      <c r="K288" s="80"/>
      <c r="L288" s="82"/>
      <c r="M288" s="10"/>
      <c r="N288" s="42"/>
      <c r="O288" s="10"/>
      <c r="P288" s="10"/>
      <c r="Q288" s="43"/>
      <c r="R288" s="10"/>
      <c r="T288" s="10"/>
    </row>
    <row r="289" spans="2:20" s="1" customFormat="1" ht="14.25" x14ac:dyDescent="0.15">
      <c r="B289" s="16">
        <v>15</v>
      </c>
      <c r="C289" s="11"/>
      <c r="D289" s="18"/>
      <c r="E289" s="18"/>
      <c r="F289" s="129"/>
      <c r="G289" s="20"/>
      <c r="H289" s="20">
        <v>1</v>
      </c>
      <c r="I289" s="126">
        <f t="shared" si="15"/>
        <v>0</v>
      </c>
      <c r="J289" s="38">
        <f t="shared" si="18"/>
        <v>0</v>
      </c>
      <c r="K289" s="80"/>
      <c r="L289" s="82"/>
      <c r="M289" s="10"/>
      <c r="N289" s="42"/>
      <c r="O289" s="10"/>
      <c r="P289" s="10"/>
      <c r="Q289" s="43"/>
      <c r="R289" s="10"/>
      <c r="T289" s="10"/>
    </row>
    <row r="290" spans="2:20" s="1" customFormat="1" ht="14.25" x14ac:dyDescent="0.15">
      <c r="B290" s="16">
        <v>16</v>
      </c>
      <c r="C290" s="11"/>
      <c r="D290" s="18"/>
      <c r="E290" s="18"/>
      <c r="F290" s="129"/>
      <c r="G290" s="20"/>
      <c r="H290" s="20">
        <v>1</v>
      </c>
      <c r="I290" s="126">
        <f t="shared" si="15"/>
        <v>0</v>
      </c>
      <c r="J290" s="21">
        <f t="shared" si="18"/>
        <v>0</v>
      </c>
      <c r="K290" s="80"/>
      <c r="L290" s="82"/>
      <c r="M290" s="10"/>
      <c r="N290" s="42"/>
      <c r="O290" s="10"/>
      <c r="P290" s="10"/>
      <c r="Q290" s="43"/>
      <c r="R290" s="10"/>
      <c r="T290" s="10"/>
    </row>
    <row r="291" spans="2:20" s="1" customFormat="1" ht="14.25" x14ac:dyDescent="0.15">
      <c r="B291" s="16">
        <v>17</v>
      </c>
      <c r="C291" s="11"/>
      <c r="D291" s="18"/>
      <c r="E291" s="18"/>
      <c r="F291" s="129"/>
      <c r="G291" s="20"/>
      <c r="H291" s="20">
        <v>1</v>
      </c>
      <c r="I291" s="126">
        <f t="shared" si="15"/>
        <v>0</v>
      </c>
      <c r="J291" s="38">
        <f t="shared" si="18"/>
        <v>0</v>
      </c>
      <c r="K291" s="80"/>
      <c r="L291" s="82"/>
      <c r="M291" s="10"/>
      <c r="N291" s="42"/>
      <c r="O291" s="10"/>
      <c r="P291" s="10"/>
      <c r="Q291" s="43"/>
      <c r="R291" s="10"/>
      <c r="T291" s="10"/>
    </row>
    <row r="292" spans="2:20" s="1" customFormat="1" ht="14.25" x14ac:dyDescent="0.15">
      <c r="B292" s="16">
        <v>18</v>
      </c>
      <c r="C292" s="11"/>
      <c r="D292" s="18"/>
      <c r="E292" s="18"/>
      <c r="F292" s="129"/>
      <c r="G292" s="20"/>
      <c r="H292" s="20">
        <v>1</v>
      </c>
      <c r="I292" s="126">
        <f t="shared" si="15"/>
        <v>0</v>
      </c>
      <c r="J292" s="38">
        <f t="shared" si="18"/>
        <v>0</v>
      </c>
      <c r="K292" s="80"/>
      <c r="L292" s="82"/>
      <c r="M292" s="10"/>
      <c r="N292" s="42"/>
      <c r="O292" s="10"/>
      <c r="P292" s="10"/>
      <c r="Q292" s="43"/>
      <c r="R292" s="10"/>
      <c r="T292" s="10"/>
    </row>
    <row r="293" spans="2:20" s="1" customFormat="1" ht="14.25" x14ac:dyDescent="0.15">
      <c r="B293" s="16">
        <v>19</v>
      </c>
      <c r="C293" s="11"/>
      <c r="D293" s="18"/>
      <c r="E293" s="18"/>
      <c r="F293" s="129"/>
      <c r="G293" s="20"/>
      <c r="H293" s="20">
        <v>1</v>
      </c>
      <c r="I293" s="126">
        <f t="shared" si="15"/>
        <v>0</v>
      </c>
      <c r="J293" s="38">
        <f t="shared" si="18"/>
        <v>0</v>
      </c>
      <c r="K293" s="80"/>
      <c r="L293" s="82"/>
      <c r="M293" s="10"/>
      <c r="N293" s="42"/>
      <c r="O293" s="10"/>
      <c r="P293" s="10"/>
      <c r="Q293" s="43"/>
      <c r="R293" s="10"/>
      <c r="T293" s="10"/>
    </row>
    <row r="294" spans="2:20" s="1" customFormat="1" ht="14.25" x14ac:dyDescent="0.15">
      <c r="B294" s="16">
        <v>20</v>
      </c>
      <c r="C294" s="11"/>
      <c r="D294" s="18"/>
      <c r="E294" s="18"/>
      <c r="F294" s="129"/>
      <c r="G294" s="20"/>
      <c r="H294" s="20">
        <v>1</v>
      </c>
      <c r="I294" s="126">
        <f t="shared" si="15"/>
        <v>0</v>
      </c>
      <c r="J294" s="21">
        <f t="shared" si="18"/>
        <v>0</v>
      </c>
      <c r="K294" s="80"/>
      <c r="L294" s="82"/>
      <c r="M294" s="10"/>
      <c r="N294" s="42"/>
      <c r="O294" s="10"/>
      <c r="P294" s="10"/>
      <c r="Q294" s="43"/>
      <c r="R294" s="10"/>
      <c r="T294" s="10"/>
    </row>
    <row r="295" spans="2:20" s="1" customFormat="1" ht="14.25" x14ac:dyDescent="0.15">
      <c r="B295" s="16"/>
      <c r="C295" s="11"/>
      <c r="D295" s="18"/>
      <c r="E295" s="18"/>
      <c r="F295" s="129"/>
      <c r="G295" s="20"/>
      <c r="H295" s="20"/>
      <c r="I295" s="126"/>
      <c r="J295" s="21"/>
      <c r="K295" s="80"/>
      <c r="L295" s="82"/>
      <c r="M295" s="10"/>
      <c r="N295" s="42"/>
      <c r="O295" s="10"/>
      <c r="P295" s="10"/>
      <c r="Q295" s="43"/>
      <c r="R295" s="10"/>
      <c r="T295" s="10"/>
    </row>
    <row r="296" spans="2:20" s="1" customFormat="1" ht="14.25" x14ac:dyDescent="0.15">
      <c r="B296" s="16"/>
      <c r="C296" s="11"/>
      <c r="D296" s="18"/>
      <c r="E296" s="18"/>
      <c r="F296" s="129"/>
      <c r="G296" s="20"/>
      <c r="H296" s="20"/>
      <c r="I296" s="126"/>
      <c r="J296" s="21"/>
      <c r="K296" s="80"/>
      <c r="L296" s="82"/>
      <c r="M296" s="10"/>
      <c r="N296" s="42"/>
      <c r="O296" s="10"/>
      <c r="P296" s="10"/>
      <c r="Q296" s="43"/>
      <c r="R296" s="10"/>
      <c r="T296" s="10"/>
    </row>
    <row r="297" spans="2:20" s="1" customFormat="1" ht="14.25" x14ac:dyDescent="0.15">
      <c r="B297" s="16"/>
      <c r="C297" s="46" t="s">
        <v>159</v>
      </c>
      <c r="D297" s="18"/>
      <c r="E297" s="18"/>
      <c r="F297" s="129"/>
      <c r="G297" s="20"/>
      <c r="H297" s="20"/>
      <c r="I297" s="126"/>
      <c r="J297" s="21"/>
      <c r="K297" s="80"/>
      <c r="L297" s="82"/>
      <c r="M297" s="10"/>
      <c r="N297" s="10"/>
      <c r="O297" s="10"/>
      <c r="P297" s="10"/>
      <c r="Q297" s="43"/>
      <c r="R297" s="10"/>
      <c r="T297" s="10"/>
    </row>
    <row r="298" spans="2:20" s="1" customFormat="1" ht="14.25" x14ac:dyDescent="0.15">
      <c r="B298" s="16">
        <v>1</v>
      </c>
      <c r="C298" s="11"/>
      <c r="D298" s="18"/>
      <c r="E298" s="18"/>
      <c r="F298" s="129"/>
      <c r="G298" s="20"/>
      <c r="H298" s="20">
        <v>1</v>
      </c>
      <c r="I298" s="126">
        <f t="shared" si="15"/>
        <v>0</v>
      </c>
      <c r="J298" s="21">
        <f t="shared" si="18"/>
        <v>0</v>
      </c>
      <c r="K298" s="80"/>
      <c r="L298" s="82"/>
      <c r="M298" s="10"/>
      <c r="N298" s="10"/>
      <c r="O298" s="10"/>
      <c r="P298" s="10"/>
      <c r="Q298" s="43"/>
      <c r="R298" s="10"/>
      <c r="T298" s="10"/>
    </row>
    <row r="299" spans="2:20" s="1" customFormat="1" ht="14.25" x14ac:dyDescent="0.15">
      <c r="B299" s="16">
        <v>2</v>
      </c>
      <c r="C299" s="11"/>
      <c r="D299" s="18"/>
      <c r="E299" s="18"/>
      <c r="F299" s="129"/>
      <c r="G299" s="20"/>
      <c r="H299" s="20">
        <v>1</v>
      </c>
      <c r="I299" s="126">
        <f t="shared" si="15"/>
        <v>0</v>
      </c>
      <c r="J299" s="21">
        <f t="shared" si="18"/>
        <v>0</v>
      </c>
      <c r="K299" s="80"/>
      <c r="L299" s="82"/>
      <c r="M299" s="10"/>
      <c r="N299" s="10"/>
      <c r="O299" s="10"/>
      <c r="P299" s="10"/>
      <c r="Q299" s="43"/>
      <c r="R299" s="10"/>
      <c r="T299" s="10"/>
    </row>
    <row r="300" spans="2:20" s="1" customFormat="1" ht="14.25" x14ac:dyDescent="0.15">
      <c r="B300" s="16">
        <v>3</v>
      </c>
      <c r="C300" s="11"/>
      <c r="D300" s="18"/>
      <c r="E300" s="18"/>
      <c r="F300" s="129"/>
      <c r="G300" s="20"/>
      <c r="H300" s="20">
        <v>1</v>
      </c>
      <c r="I300" s="126">
        <f t="shared" si="15"/>
        <v>0</v>
      </c>
      <c r="J300" s="21">
        <f t="shared" si="18"/>
        <v>0</v>
      </c>
      <c r="K300" s="80"/>
      <c r="L300" s="82"/>
      <c r="M300" s="10"/>
      <c r="N300" s="10"/>
      <c r="O300" s="10"/>
      <c r="P300" s="10"/>
      <c r="Q300" s="43"/>
      <c r="R300" s="10"/>
      <c r="T300" s="10"/>
    </row>
    <row r="301" spans="2:20" s="1" customFormat="1" ht="14.25" x14ac:dyDescent="0.15">
      <c r="B301" s="16">
        <v>4</v>
      </c>
      <c r="C301" s="11"/>
      <c r="D301" s="18"/>
      <c r="E301" s="18"/>
      <c r="F301" s="129"/>
      <c r="G301" s="20"/>
      <c r="H301" s="20">
        <v>1</v>
      </c>
      <c r="I301" s="126">
        <f t="shared" si="15"/>
        <v>0</v>
      </c>
      <c r="J301" s="21">
        <f t="shared" si="18"/>
        <v>0</v>
      </c>
      <c r="K301" s="80"/>
      <c r="L301" s="82"/>
      <c r="M301" s="10"/>
      <c r="N301" s="10"/>
      <c r="O301" s="10"/>
      <c r="P301" s="10"/>
      <c r="Q301" s="43"/>
      <c r="R301" s="10"/>
      <c r="T301" s="10"/>
    </row>
    <row r="302" spans="2:20" s="1" customFormat="1" ht="14.25" x14ac:dyDescent="0.15">
      <c r="B302" s="16">
        <v>5</v>
      </c>
      <c r="C302" s="11"/>
      <c r="D302" s="18"/>
      <c r="E302" s="18"/>
      <c r="F302" s="129"/>
      <c r="G302" s="20"/>
      <c r="H302" s="20">
        <v>1</v>
      </c>
      <c r="I302" s="126">
        <f t="shared" si="15"/>
        <v>0</v>
      </c>
      <c r="J302" s="21">
        <f t="shared" si="18"/>
        <v>0</v>
      </c>
      <c r="K302" s="80"/>
      <c r="L302" s="82"/>
      <c r="M302" s="10"/>
      <c r="N302" s="10"/>
      <c r="O302" s="10"/>
      <c r="P302" s="10"/>
      <c r="Q302" s="43"/>
      <c r="R302" s="10"/>
      <c r="T302" s="10"/>
    </row>
    <row r="303" spans="2:20" s="1" customFormat="1" ht="14.25" x14ac:dyDescent="0.15">
      <c r="B303" s="16">
        <v>6</v>
      </c>
      <c r="C303" s="11"/>
      <c r="D303" s="18"/>
      <c r="E303" s="18"/>
      <c r="F303" s="129"/>
      <c r="G303" s="20"/>
      <c r="H303" s="20">
        <v>1</v>
      </c>
      <c r="I303" s="126">
        <f t="shared" si="15"/>
        <v>0</v>
      </c>
      <c r="J303" s="21">
        <f t="shared" si="18"/>
        <v>0</v>
      </c>
      <c r="K303" s="80"/>
      <c r="L303" s="82"/>
      <c r="M303" s="10"/>
      <c r="N303" s="10"/>
      <c r="O303" s="10"/>
      <c r="P303" s="10"/>
      <c r="Q303" s="43"/>
      <c r="R303" s="10"/>
      <c r="T303" s="10"/>
    </row>
    <row r="304" spans="2:20" s="1" customFormat="1" ht="14.25" x14ac:dyDescent="0.15">
      <c r="B304" s="16">
        <v>7</v>
      </c>
      <c r="C304" s="11"/>
      <c r="D304" s="18"/>
      <c r="E304" s="18"/>
      <c r="F304" s="129"/>
      <c r="G304" s="20"/>
      <c r="H304" s="20">
        <v>1</v>
      </c>
      <c r="I304" s="126">
        <f t="shared" si="15"/>
        <v>0</v>
      </c>
      <c r="J304" s="21">
        <f t="shared" si="18"/>
        <v>0</v>
      </c>
      <c r="K304" s="80"/>
      <c r="L304" s="82"/>
      <c r="M304" s="10"/>
      <c r="N304" s="10"/>
      <c r="O304" s="10"/>
      <c r="P304" s="10"/>
      <c r="Q304" s="43"/>
      <c r="R304" s="10"/>
      <c r="T304" s="10"/>
    </row>
    <row r="305" spans="2:20" s="1" customFormat="1" ht="14.25" x14ac:dyDescent="0.15">
      <c r="B305" s="16">
        <v>8</v>
      </c>
      <c r="C305" s="11"/>
      <c r="D305" s="18"/>
      <c r="E305" s="18"/>
      <c r="F305" s="129"/>
      <c r="G305" s="20"/>
      <c r="H305" s="20">
        <v>1</v>
      </c>
      <c r="I305" s="126">
        <f t="shared" si="15"/>
        <v>0</v>
      </c>
      <c r="J305" s="21">
        <f t="shared" si="18"/>
        <v>0</v>
      </c>
      <c r="K305" s="80"/>
      <c r="L305" s="82"/>
      <c r="M305" s="10"/>
      <c r="N305" s="10"/>
      <c r="O305" s="10"/>
      <c r="P305" s="10"/>
      <c r="Q305" s="43"/>
      <c r="R305" s="10"/>
      <c r="T305" s="10"/>
    </row>
    <row r="306" spans="2:20" s="1" customFormat="1" ht="14.25" x14ac:dyDescent="0.15">
      <c r="B306" s="16">
        <v>9</v>
      </c>
      <c r="C306" s="11"/>
      <c r="D306" s="18"/>
      <c r="E306" s="18"/>
      <c r="F306" s="129"/>
      <c r="G306" s="20"/>
      <c r="H306" s="20">
        <v>1</v>
      </c>
      <c r="I306" s="126">
        <f t="shared" si="15"/>
        <v>0</v>
      </c>
      <c r="J306" s="21">
        <f t="shared" si="18"/>
        <v>0</v>
      </c>
      <c r="K306" s="80"/>
      <c r="L306" s="82"/>
      <c r="M306" s="10"/>
      <c r="N306" s="10"/>
      <c r="O306" s="10"/>
      <c r="P306" s="10"/>
      <c r="Q306" s="43"/>
      <c r="R306" s="10"/>
      <c r="T306" s="10"/>
    </row>
    <row r="307" spans="2:20" s="1" customFormat="1" ht="14.25" x14ac:dyDescent="0.15">
      <c r="B307" s="16">
        <v>10</v>
      </c>
      <c r="C307" s="11"/>
      <c r="D307" s="18"/>
      <c r="E307" s="18"/>
      <c r="F307" s="129"/>
      <c r="G307" s="20"/>
      <c r="H307" s="20">
        <v>1</v>
      </c>
      <c r="I307" s="126">
        <f t="shared" si="15"/>
        <v>0</v>
      </c>
      <c r="J307" s="21">
        <f t="shared" si="18"/>
        <v>0</v>
      </c>
      <c r="K307" s="80"/>
      <c r="L307" s="82"/>
      <c r="M307" s="10"/>
      <c r="N307" s="10"/>
      <c r="O307" s="10"/>
      <c r="P307" s="10"/>
      <c r="Q307" s="43"/>
      <c r="R307" s="10"/>
      <c r="T307" s="10"/>
    </row>
    <row r="308" spans="2:20" s="1" customFormat="1" ht="14.25" x14ac:dyDescent="0.15">
      <c r="B308" s="16">
        <v>11</v>
      </c>
      <c r="C308" s="11"/>
      <c r="D308" s="18"/>
      <c r="E308" s="18"/>
      <c r="F308" s="129"/>
      <c r="G308" s="20"/>
      <c r="H308" s="20">
        <v>1</v>
      </c>
      <c r="I308" s="126">
        <f t="shared" si="15"/>
        <v>0</v>
      </c>
      <c r="J308" s="21">
        <f t="shared" si="18"/>
        <v>0</v>
      </c>
      <c r="K308" s="80"/>
      <c r="L308" s="82"/>
      <c r="M308" s="10"/>
      <c r="N308" s="10"/>
      <c r="O308" s="10"/>
      <c r="P308" s="10"/>
      <c r="Q308" s="43"/>
      <c r="R308" s="10"/>
      <c r="T308" s="10"/>
    </row>
    <row r="309" spans="2:20" s="1" customFormat="1" ht="14.25" x14ac:dyDescent="0.15">
      <c r="B309" s="16">
        <v>12</v>
      </c>
      <c r="C309" s="11"/>
      <c r="D309" s="18"/>
      <c r="E309" s="18"/>
      <c r="F309" s="129"/>
      <c r="G309" s="20"/>
      <c r="H309" s="20">
        <v>1</v>
      </c>
      <c r="I309" s="126">
        <f t="shared" si="15"/>
        <v>0</v>
      </c>
      <c r="J309" s="21">
        <f t="shared" si="18"/>
        <v>0</v>
      </c>
      <c r="K309" s="80"/>
      <c r="L309" s="82"/>
      <c r="M309" s="10"/>
      <c r="N309" s="10"/>
      <c r="O309" s="10"/>
      <c r="P309" s="10"/>
      <c r="Q309" s="43"/>
      <c r="R309" s="10"/>
      <c r="T309" s="10"/>
    </row>
    <row r="310" spans="2:20" s="1" customFormat="1" ht="14.25" x14ac:dyDescent="0.15">
      <c r="B310" s="16">
        <v>13</v>
      </c>
      <c r="C310" s="11"/>
      <c r="D310" s="18"/>
      <c r="E310" s="18"/>
      <c r="F310" s="129"/>
      <c r="G310" s="20"/>
      <c r="H310" s="20">
        <v>1</v>
      </c>
      <c r="I310" s="126">
        <f t="shared" si="15"/>
        <v>0</v>
      </c>
      <c r="J310" s="21">
        <f t="shared" si="18"/>
        <v>0</v>
      </c>
      <c r="K310" s="80"/>
      <c r="L310" s="82"/>
      <c r="M310" s="10"/>
      <c r="N310" s="10"/>
      <c r="O310" s="10"/>
      <c r="P310" s="10"/>
      <c r="Q310" s="43"/>
      <c r="R310" s="10"/>
      <c r="T310" s="10"/>
    </row>
    <row r="311" spans="2:20" s="1" customFormat="1" ht="14.25" x14ac:dyDescent="0.15">
      <c r="B311" s="16">
        <v>14</v>
      </c>
      <c r="C311" s="11"/>
      <c r="D311" s="18"/>
      <c r="E311" s="18"/>
      <c r="F311" s="129"/>
      <c r="G311" s="20"/>
      <c r="H311" s="20">
        <v>1</v>
      </c>
      <c r="I311" s="126">
        <f t="shared" si="15"/>
        <v>0</v>
      </c>
      <c r="J311" s="21">
        <f t="shared" si="18"/>
        <v>0</v>
      </c>
      <c r="K311" s="80"/>
      <c r="L311" s="82"/>
      <c r="M311" s="10"/>
      <c r="N311" s="10"/>
      <c r="O311" s="10"/>
      <c r="P311" s="10"/>
      <c r="Q311" s="43"/>
      <c r="R311" s="10"/>
      <c r="T311" s="10"/>
    </row>
    <row r="312" spans="2:20" s="1" customFormat="1" ht="14.25" x14ac:dyDescent="0.15">
      <c r="B312" s="16">
        <v>15</v>
      </c>
      <c r="C312" s="11"/>
      <c r="D312" s="18"/>
      <c r="E312" s="18"/>
      <c r="F312" s="129"/>
      <c r="G312" s="20"/>
      <c r="H312" s="20">
        <v>1</v>
      </c>
      <c r="I312" s="126">
        <f t="shared" si="15"/>
        <v>0</v>
      </c>
      <c r="J312" s="21">
        <f t="shared" si="18"/>
        <v>0</v>
      </c>
      <c r="K312" s="80"/>
      <c r="L312" s="82"/>
      <c r="M312" s="10"/>
      <c r="N312" s="10"/>
      <c r="O312" s="10"/>
      <c r="P312" s="10"/>
      <c r="Q312" s="43"/>
      <c r="R312" s="10"/>
      <c r="T312" s="10"/>
    </row>
    <row r="313" spans="2:20" s="1" customFormat="1" ht="14.25" x14ac:dyDescent="0.15">
      <c r="B313" s="16">
        <v>16</v>
      </c>
      <c r="C313" s="11"/>
      <c r="D313" s="18"/>
      <c r="E313" s="18"/>
      <c r="F313" s="129"/>
      <c r="G313" s="20"/>
      <c r="H313" s="20">
        <v>1</v>
      </c>
      <c r="I313" s="126">
        <f t="shared" si="15"/>
        <v>0</v>
      </c>
      <c r="J313" s="21">
        <f t="shared" si="18"/>
        <v>0</v>
      </c>
      <c r="K313" s="80"/>
      <c r="L313" s="82"/>
      <c r="M313" s="10"/>
      <c r="N313" s="10"/>
      <c r="O313" s="10"/>
      <c r="P313" s="10"/>
      <c r="Q313" s="43"/>
      <c r="R313" s="10"/>
      <c r="T313" s="10"/>
    </row>
    <row r="314" spans="2:20" s="1" customFormat="1" ht="14.25" x14ac:dyDescent="0.15">
      <c r="B314" s="16">
        <v>17</v>
      </c>
      <c r="C314" s="11"/>
      <c r="D314" s="18"/>
      <c r="E314" s="18"/>
      <c r="F314" s="129"/>
      <c r="G314" s="20"/>
      <c r="H314" s="20">
        <v>1</v>
      </c>
      <c r="I314" s="126">
        <f t="shared" si="15"/>
        <v>0</v>
      </c>
      <c r="J314" s="21">
        <f t="shared" si="18"/>
        <v>0</v>
      </c>
      <c r="K314" s="80"/>
      <c r="L314" s="82"/>
      <c r="M314" s="10"/>
      <c r="N314" s="10"/>
      <c r="O314" s="10"/>
      <c r="P314" s="10"/>
      <c r="Q314" s="43"/>
      <c r="R314" s="10"/>
      <c r="T314" s="10"/>
    </row>
    <row r="315" spans="2:20" s="1" customFormat="1" ht="14.25" x14ac:dyDescent="0.15">
      <c r="B315" s="16">
        <v>18</v>
      </c>
      <c r="C315" s="11"/>
      <c r="D315" s="18"/>
      <c r="E315" s="18"/>
      <c r="F315" s="129"/>
      <c r="G315" s="20"/>
      <c r="H315" s="20">
        <v>1</v>
      </c>
      <c r="I315" s="126">
        <f t="shared" si="15"/>
        <v>0</v>
      </c>
      <c r="J315" s="78">
        <f t="shared" si="18"/>
        <v>0</v>
      </c>
      <c r="K315" s="111"/>
      <c r="L315" s="119"/>
      <c r="M315" s="10"/>
      <c r="N315" s="10"/>
      <c r="O315" s="10"/>
      <c r="P315" s="10"/>
      <c r="Q315" s="43"/>
      <c r="R315" s="10"/>
      <c r="T315" s="10"/>
    </row>
    <row r="316" spans="2:20" s="1" customFormat="1" ht="14.25" x14ac:dyDescent="0.15">
      <c r="B316" s="16">
        <v>19</v>
      </c>
      <c r="C316" s="11"/>
      <c r="D316" s="18"/>
      <c r="E316" s="18"/>
      <c r="F316" s="129"/>
      <c r="G316" s="20"/>
      <c r="H316" s="20">
        <v>1</v>
      </c>
      <c r="I316" s="254">
        <f t="shared" si="15"/>
        <v>0</v>
      </c>
      <c r="J316" s="94">
        <f t="shared" si="18"/>
        <v>0</v>
      </c>
      <c r="K316" s="82"/>
      <c r="L316" s="82"/>
      <c r="M316" s="10"/>
      <c r="N316" s="10"/>
      <c r="O316" s="10"/>
      <c r="P316" s="10"/>
      <c r="Q316" s="43"/>
      <c r="R316" s="10"/>
      <c r="T316" s="10"/>
    </row>
    <row r="317" spans="2:20" s="1" customFormat="1" ht="14.25" x14ac:dyDescent="0.15">
      <c r="B317" s="16">
        <v>20</v>
      </c>
      <c r="C317" s="11"/>
      <c r="D317" s="18"/>
      <c r="E317" s="18"/>
      <c r="F317" s="129"/>
      <c r="G317" s="20"/>
      <c r="H317" s="20">
        <v>1</v>
      </c>
      <c r="I317" s="254">
        <f t="shared" si="15"/>
        <v>0</v>
      </c>
      <c r="J317" s="94">
        <f t="shared" si="18"/>
        <v>0</v>
      </c>
      <c r="K317" s="82"/>
      <c r="L317" s="82"/>
      <c r="M317" s="10"/>
      <c r="N317" s="10"/>
      <c r="O317" s="10"/>
      <c r="P317" s="10"/>
      <c r="Q317" s="43"/>
      <c r="R317" s="10"/>
      <c r="T317" s="10"/>
    </row>
    <row r="318" spans="2:20" s="1" customFormat="1" ht="14.25" x14ac:dyDescent="0.15">
      <c r="B318" s="83"/>
      <c r="C318" s="160"/>
      <c r="D318" s="75"/>
      <c r="E318" s="75"/>
      <c r="F318" s="132"/>
      <c r="G318" s="77"/>
      <c r="H318" s="77"/>
      <c r="I318" s="255"/>
      <c r="J318" s="94"/>
      <c r="K318" s="82"/>
      <c r="L318" s="82"/>
      <c r="M318" s="10"/>
      <c r="N318" s="10"/>
      <c r="O318" s="10"/>
      <c r="P318" s="10"/>
      <c r="Q318" s="43"/>
      <c r="R318" s="10"/>
      <c r="T318" s="10"/>
    </row>
    <row r="319" spans="2:20" s="1" customFormat="1" ht="14.25" x14ac:dyDescent="0.15">
      <c r="B319" s="82"/>
      <c r="C319" s="102"/>
      <c r="D319" s="103"/>
      <c r="E319" s="102"/>
      <c r="F319" s="128">
        <f>SUM(F259:F318)</f>
        <v>0</v>
      </c>
      <c r="G319" s="104"/>
      <c r="H319" s="105"/>
      <c r="I319" s="256">
        <f>SUM(I260:I318)</f>
        <v>0</v>
      </c>
      <c r="J319" s="257">
        <f>SUM(J259:J278)</f>
        <v>0</v>
      </c>
      <c r="M319" s="10"/>
      <c r="N319" s="10"/>
      <c r="O319" s="10"/>
      <c r="P319" s="10"/>
      <c r="Q319" s="43"/>
      <c r="R319" s="10"/>
      <c r="T319" s="10"/>
    </row>
    <row r="320" spans="2:20" s="67" customFormat="1" ht="14.25" x14ac:dyDescent="0.15">
      <c r="B320" s="116"/>
      <c r="C320" s="114"/>
      <c r="D320" s="114"/>
      <c r="E320" s="114" t="s">
        <v>147</v>
      </c>
      <c r="F320" s="162">
        <f>100/115*F319</f>
        <v>0</v>
      </c>
      <c r="G320" s="161"/>
      <c r="H320" s="161" t="s">
        <v>147</v>
      </c>
      <c r="I320" s="264">
        <f>100/115*I319</f>
        <v>0</v>
      </c>
      <c r="J320" s="114"/>
      <c r="M320" s="68"/>
      <c r="N320" s="68"/>
      <c r="O320" s="68"/>
      <c r="P320" s="68"/>
      <c r="Q320" s="69"/>
      <c r="R320" s="68"/>
      <c r="T320" s="68"/>
    </row>
    <row r="321" spans="2:20" s="1" customFormat="1" ht="14.25" x14ac:dyDescent="0.15">
      <c r="M321" s="10"/>
      <c r="N321" s="10"/>
      <c r="O321" s="10"/>
      <c r="P321" s="10"/>
      <c r="Q321" s="43"/>
      <c r="R321" s="10"/>
      <c r="T321" s="10"/>
    </row>
    <row r="322" spans="2:20" s="1" customFormat="1" ht="14.25" x14ac:dyDescent="0.15">
      <c r="M322" s="10"/>
      <c r="N322" s="10"/>
      <c r="O322" s="10"/>
      <c r="P322" s="10"/>
      <c r="Q322" s="43"/>
      <c r="R322" s="10"/>
      <c r="T322" s="10"/>
    </row>
    <row r="323" spans="2:20" s="1" customFormat="1" ht="14.25" x14ac:dyDescent="0.15">
      <c r="M323" s="10"/>
      <c r="N323" s="10"/>
      <c r="O323" s="10"/>
      <c r="P323" s="10"/>
      <c r="Q323" s="43"/>
      <c r="R323" s="10"/>
      <c r="T323" s="10"/>
    </row>
    <row r="324" spans="2:20" s="1" customFormat="1" ht="14.25" x14ac:dyDescent="0.15">
      <c r="M324" s="10"/>
      <c r="N324" s="10"/>
      <c r="O324" s="10"/>
      <c r="P324" s="10"/>
      <c r="Q324" s="43"/>
      <c r="R324" s="10"/>
      <c r="T324" s="10"/>
    </row>
    <row r="325" spans="2:20" s="247" customFormat="1" ht="32.25" x14ac:dyDescent="0.4">
      <c r="B325" s="248"/>
      <c r="C325" s="380" t="s">
        <v>112</v>
      </c>
      <c r="D325" s="380"/>
      <c r="E325" s="428" t="s">
        <v>108</v>
      </c>
      <c r="F325" s="428"/>
      <c r="G325" s="428"/>
      <c r="H325" s="428"/>
      <c r="I325" s="428"/>
      <c r="J325" s="382">
        <v>2026</v>
      </c>
      <c r="K325" s="382"/>
      <c r="L325" s="382"/>
      <c r="M325" s="249"/>
      <c r="N325" s="249"/>
      <c r="O325" s="249"/>
      <c r="P325" s="249"/>
      <c r="Q325" s="250"/>
      <c r="R325" s="249"/>
      <c r="T325" s="249"/>
    </row>
    <row r="326" spans="2:20" s="1" customFormat="1" ht="22.5" x14ac:dyDescent="0.15">
      <c r="B326" s="82"/>
      <c r="C326" s="102" t="s">
        <v>114</v>
      </c>
      <c r="D326" s="388" t="s">
        <v>115</v>
      </c>
      <c r="E326" s="388"/>
      <c r="F326" s="102" t="s">
        <v>116</v>
      </c>
      <c r="G326" s="102" t="s">
        <v>117</v>
      </c>
      <c r="H326" s="102" t="s">
        <v>118</v>
      </c>
      <c r="I326" s="102" t="s">
        <v>119</v>
      </c>
      <c r="J326" s="102" t="s">
        <v>120</v>
      </c>
      <c r="K326" s="82"/>
      <c r="L326" s="82"/>
      <c r="M326" s="10"/>
      <c r="N326" s="10"/>
      <c r="O326" s="10"/>
      <c r="P326" s="10"/>
      <c r="Q326" s="43"/>
      <c r="R326" s="10"/>
      <c r="T326" s="10"/>
    </row>
    <row r="327" spans="2:20" s="1" customFormat="1" ht="14.25" x14ac:dyDescent="0.15">
      <c r="B327" s="82"/>
      <c r="C327" s="66">
        <f>C257</f>
        <v>350</v>
      </c>
      <c r="D327" s="389">
        <v>20</v>
      </c>
      <c r="E327" s="389"/>
      <c r="F327" s="13">
        <f>F257</f>
        <v>0.85</v>
      </c>
      <c r="G327" s="14">
        <f>G257</f>
        <v>8</v>
      </c>
      <c r="H327" s="142">
        <f>D327*G327*F327</f>
        <v>136</v>
      </c>
      <c r="I327" s="66">
        <f>I389</f>
        <v>0</v>
      </c>
      <c r="J327" s="143">
        <f>H327-J389</f>
        <v>136</v>
      </c>
      <c r="K327" s="82"/>
      <c r="L327" s="82"/>
      <c r="M327" s="10"/>
      <c r="N327" s="10"/>
      <c r="O327" s="10"/>
      <c r="P327" s="10"/>
      <c r="Q327" s="43"/>
      <c r="R327" s="10"/>
      <c r="T327" s="10"/>
    </row>
    <row r="328" spans="2:20" s="1" customFormat="1" ht="33.75" x14ac:dyDescent="0.15">
      <c r="B328" s="82"/>
      <c r="C328" s="167" t="s">
        <v>121</v>
      </c>
      <c r="D328" s="395" t="s">
        <v>122</v>
      </c>
      <c r="E328" s="395"/>
      <c r="F328" s="177" t="s">
        <v>123</v>
      </c>
      <c r="G328" s="178" t="s">
        <v>124</v>
      </c>
      <c r="H328" s="179" t="s">
        <v>125</v>
      </c>
      <c r="I328" s="180" t="s">
        <v>126</v>
      </c>
      <c r="J328" s="178" t="s">
        <v>127</v>
      </c>
      <c r="K328" s="114" t="s">
        <v>128</v>
      </c>
      <c r="L328" s="114" t="s">
        <v>129</v>
      </c>
      <c r="M328" s="10"/>
      <c r="N328" s="10"/>
      <c r="O328" s="10"/>
      <c r="P328" s="10"/>
      <c r="Q328" s="43"/>
      <c r="R328" s="10"/>
      <c r="T328" s="10"/>
    </row>
    <row r="329" spans="2:20" s="1" customFormat="1" ht="14.25" x14ac:dyDescent="0.15">
      <c r="B329" s="84"/>
      <c r="C329" s="81"/>
      <c r="D329" s="404"/>
      <c r="E329" s="404"/>
      <c r="F329" s="175"/>
      <c r="G329" s="87"/>
      <c r="H329" s="87"/>
      <c r="I329" s="176"/>
      <c r="J329" s="88"/>
      <c r="K329" s="79"/>
      <c r="L329" s="120"/>
      <c r="M329" s="10"/>
      <c r="N329" s="10"/>
      <c r="O329" s="10"/>
      <c r="P329" s="10"/>
      <c r="Q329" s="43"/>
      <c r="R329" s="10"/>
      <c r="T329" s="10"/>
    </row>
    <row r="330" spans="2:20" s="1" customFormat="1" ht="12.95" customHeight="1" x14ac:dyDescent="0.15">
      <c r="B330" s="16"/>
      <c r="C330" s="411" t="s">
        <v>130</v>
      </c>
      <c r="D330" s="411"/>
      <c r="E330" s="411"/>
      <c r="F330" s="129"/>
      <c r="G330" s="20"/>
      <c r="H330" s="20"/>
      <c r="I330" s="126"/>
      <c r="J330" s="21"/>
      <c r="K330" s="80"/>
      <c r="L330" s="82"/>
      <c r="M330" s="10"/>
      <c r="N330" s="10"/>
      <c r="O330" s="10"/>
      <c r="P330" s="10"/>
      <c r="Q330" s="43"/>
      <c r="R330" s="10"/>
      <c r="T330" s="10"/>
    </row>
    <row r="331" spans="2:20" s="1" customFormat="1" ht="12.95" customHeight="1" x14ac:dyDescent="0.15">
      <c r="B331" s="16"/>
      <c r="C331" s="37" t="s">
        <v>149</v>
      </c>
      <c r="D331" s="24"/>
      <c r="E331" s="24"/>
      <c r="F331" s="129"/>
      <c r="G331" s="20"/>
      <c r="H331" s="20">
        <v>1</v>
      </c>
      <c r="I331" s="126">
        <f>J331*$C$32</f>
        <v>0</v>
      </c>
      <c r="J331" s="38">
        <f t="shared" ref="J331:J349" si="19">(F331*G331*H331)/$C$32</f>
        <v>0</v>
      </c>
      <c r="K331" s="80"/>
      <c r="L331" s="82"/>
    </row>
    <row r="332" spans="2:20" s="1" customFormat="1" ht="12.95" customHeight="1" x14ac:dyDescent="0.15">
      <c r="B332" s="16">
        <v>1</v>
      </c>
      <c r="C332" s="23"/>
      <c r="D332" s="24"/>
      <c r="E332" s="24"/>
      <c r="F332" s="129"/>
      <c r="G332" s="20"/>
      <c r="H332" s="20">
        <v>1</v>
      </c>
      <c r="I332" s="126">
        <f t="shared" ref="I332:I361" si="20">J332*$C$32</f>
        <v>0</v>
      </c>
      <c r="J332" s="38">
        <f t="shared" si="19"/>
        <v>0</v>
      </c>
      <c r="K332" s="80"/>
      <c r="L332" s="82"/>
    </row>
    <row r="333" spans="2:20" s="1" customFormat="1" ht="12.95" customHeight="1" x14ac:dyDescent="0.15">
      <c r="B333" s="16">
        <v>2</v>
      </c>
      <c r="C333" s="23"/>
      <c r="D333" s="24"/>
      <c r="E333" s="24"/>
      <c r="F333" s="126"/>
      <c r="G333" s="20"/>
      <c r="H333" s="20">
        <v>1</v>
      </c>
      <c r="I333" s="126">
        <f t="shared" si="20"/>
        <v>0</v>
      </c>
      <c r="J333" s="38">
        <f t="shared" si="19"/>
        <v>0</v>
      </c>
      <c r="K333" s="80"/>
      <c r="L333" s="82"/>
    </row>
    <row r="334" spans="2:20" s="1" customFormat="1" ht="12.95" customHeight="1" x14ac:dyDescent="0.15">
      <c r="B334" s="16">
        <v>3</v>
      </c>
      <c r="C334" s="23"/>
      <c r="D334" s="25"/>
      <c r="E334" s="25"/>
      <c r="F334" s="129"/>
      <c r="G334" s="20"/>
      <c r="H334" s="20">
        <v>1</v>
      </c>
      <c r="I334" s="126">
        <f t="shared" si="20"/>
        <v>0</v>
      </c>
      <c r="J334" s="38">
        <f t="shared" si="19"/>
        <v>0</v>
      </c>
      <c r="K334" s="80"/>
      <c r="L334" s="82"/>
    </row>
    <row r="335" spans="2:20" s="1" customFormat="1" ht="12.95" customHeight="1" x14ac:dyDescent="0.15">
      <c r="B335" s="16">
        <v>4</v>
      </c>
      <c r="C335" s="23"/>
      <c r="D335" s="24"/>
      <c r="E335" s="24"/>
      <c r="F335" s="129"/>
      <c r="G335" s="20"/>
      <c r="H335" s="20">
        <v>1</v>
      </c>
      <c r="I335" s="126">
        <f t="shared" si="20"/>
        <v>0</v>
      </c>
      <c r="J335" s="38">
        <f t="shared" si="19"/>
        <v>0</v>
      </c>
      <c r="K335" s="80"/>
      <c r="L335" s="82"/>
    </row>
    <row r="336" spans="2:20" s="1" customFormat="1" ht="12.95" customHeight="1" x14ac:dyDescent="0.15">
      <c r="B336" s="16">
        <v>5</v>
      </c>
      <c r="C336" s="16"/>
      <c r="D336" s="18"/>
      <c r="E336" s="18"/>
      <c r="F336" s="129"/>
      <c r="G336" s="20"/>
      <c r="H336" s="20">
        <v>1</v>
      </c>
      <c r="I336" s="126">
        <f t="shared" si="20"/>
        <v>0</v>
      </c>
      <c r="J336" s="38">
        <f t="shared" si="19"/>
        <v>0</v>
      </c>
      <c r="K336" s="80"/>
      <c r="L336" s="82"/>
    </row>
    <row r="337" spans="2:15" s="1" customFormat="1" ht="12.95" customHeight="1" x14ac:dyDescent="0.15">
      <c r="B337" s="16">
        <v>6</v>
      </c>
      <c r="C337" s="17"/>
      <c r="D337" s="24"/>
      <c r="E337" s="24"/>
      <c r="F337" s="129"/>
      <c r="G337" s="20"/>
      <c r="H337" s="20">
        <v>1</v>
      </c>
      <c r="I337" s="126">
        <f t="shared" si="20"/>
        <v>0</v>
      </c>
      <c r="J337" s="38">
        <f t="shared" si="19"/>
        <v>0</v>
      </c>
      <c r="K337" s="80"/>
      <c r="L337" s="82"/>
    </row>
    <row r="338" spans="2:15" s="1" customFormat="1" ht="12.95" customHeight="1" x14ac:dyDescent="0.15">
      <c r="B338" s="16">
        <v>7</v>
      </c>
      <c r="C338" s="17"/>
      <c r="D338" s="24"/>
      <c r="E338" s="24"/>
      <c r="F338" s="129"/>
      <c r="G338" s="20"/>
      <c r="H338" s="20">
        <v>1</v>
      </c>
      <c r="I338" s="126">
        <f t="shared" si="20"/>
        <v>0</v>
      </c>
      <c r="J338" s="38">
        <f t="shared" si="19"/>
        <v>0</v>
      </c>
      <c r="K338" s="80"/>
      <c r="L338" s="82"/>
    </row>
    <row r="339" spans="2:15" s="1" customFormat="1" ht="12.95" customHeight="1" x14ac:dyDescent="0.15">
      <c r="B339" s="16">
        <v>8</v>
      </c>
      <c r="C339" s="23"/>
      <c r="D339" s="48"/>
      <c r="E339" s="48"/>
      <c r="F339" s="129"/>
      <c r="G339" s="20"/>
      <c r="H339" s="20">
        <v>1</v>
      </c>
      <c r="I339" s="126">
        <f t="shared" si="20"/>
        <v>0</v>
      </c>
      <c r="J339" s="38">
        <f t="shared" si="19"/>
        <v>0</v>
      </c>
      <c r="K339" s="80"/>
      <c r="L339" s="82"/>
    </row>
    <row r="340" spans="2:15" s="1" customFormat="1" ht="12.95" customHeight="1" x14ac:dyDescent="0.15">
      <c r="B340" s="16">
        <v>9</v>
      </c>
      <c r="C340" s="23"/>
      <c r="D340" s="48"/>
      <c r="E340" s="48"/>
      <c r="F340" s="129"/>
      <c r="G340" s="20"/>
      <c r="H340" s="20">
        <v>1</v>
      </c>
      <c r="I340" s="126">
        <f t="shared" si="20"/>
        <v>0</v>
      </c>
      <c r="J340" s="38">
        <f t="shared" si="19"/>
        <v>0</v>
      </c>
      <c r="K340" s="80"/>
      <c r="L340" s="82"/>
    </row>
    <row r="341" spans="2:15" s="1" customFormat="1" ht="12.95" customHeight="1" x14ac:dyDescent="0.15">
      <c r="B341" s="16">
        <v>10</v>
      </c>
      <c r="C341" s="23"/>
      <c r="D341" s="48"/>
      <c r="E341" s="48"/>
      <c r="F341" s="129"/>
      <c r="G341" s="20"/>
      <c r="H341" s="20">
        <v>1</v>
      </c>
      <c r="I341" s="126">
        <f t="shared" si="20"/>
        <v>0</v>
      </c>
      <c r="J341" s="38">
        <f t="shared" si="19"/>
        <v>0</v>
      </c>
      <c r="K341" s="80"/>
      <c r="L341" s="82"/>
    </row>
    <row r="342" spans="2:15" s="1" customFormat="1" ht="12.95" customHeight="1" x14ac:dyDescent="0.15">
      <c r="B342" s="16"/>
      <c r="C342" s="23"/>
      <c r="D342" s="49"/>
      <c r="E342" s="48"/>
      <c r="F342" s="129"/>
      <c r="G342" s="20"/>
      <c r="H342" s="20"/>
      <c r="I342" s="126"/>
      <c r="J342" s="38"/>
      <c r="K342" s="80"/>
      <c r="L342" s="82"/>
    </row>
    <row r="343" spans="2:15" s="1" customFormat="1" ht="12.95" customHeight="1" x14ac:dyDescent="0.15">
      <c r="B343" s="16"/>
      <c r="C343" s="23"/>
      <c r="D343" s="49"/>
      <c r="E343" s="48"/>
      <c r="F343" s="129"/>
      <c r="G343" s="20"/>
      <c r="H343" s="20"/>
      <c r="I343" s="126"/>
      <c r="J343" s="38"/>
      <c r="K343" s="80"/>
      <c r="L343" s="82"/>
    </row>
    <row r="344" spans="2:15" s="1" customFormat="1" ht="12.95" customHeight="1" x14ac:dyDescent="0.15">
      <c r="B344" s="16"/>
      <c r="C344" s="72" t="s">
        <v>153</v>
      </c>
      <c r="D344" s="48"/>
      <c r="E344" s="49"/>
      <c r="F344" s="129"/>
      <c r="G344" s="20"/>
      <c r="H344" s="20"/>
      <c r="I344" s="126"/>
      <c r="J344" s="38"/>
      <c r="K344" s="80"/>
      <c r="L344" s="82"/>
    </row>
    <row r="345" spans="2:15" s="1" customFormat="1" ht="12.95" customHeight="1" x14ac:dyDescent="0.15">
      <c r="B345" s="16">
        <v>1</v>
      </c>
      <c r="C345" s="23"/>
      <c r="D345" s="48"/>
      <c r="E345" s="49"/>
      <c r="F345" s="129"/>
      <c r="G345" s="20"/>
      <c r="H345" s="20">
        <v>1</v>
      </c>
      <c r="I345" s="126">
        <f t="shared" si="20"/>
        <v>0</v>
      </c>
      <c r="J345" s="38">
        <f t="shared" si="19"/>
        <v>0</v>
      </c>
      <c r="K345" s="80"/>
      <c r="L345" s="82"/>
    </row>
    <row r="346" spans="2:15" s="1" customFormat="1" ht="14.85" customHeight="1" x14ac:dyDescent="0.15">
      <c r="B346" s="16">
        <v>2</v>
      </c>
      <c r="C346" s="23"/>
      <c r="D346" s="48"/>
      <c r="E346" s="49"/>
      <c r="F346" s="129"/>
      <c r="G346" s="20"/>
      <c r="H346" s="20">
        <v>1</v>
      </c>
      <c r="I346" s="126">
        <f t="shared" si="20"/>
        <v>0</v>
      </c>
      <c r="J346" s="38">
        <f t="shared" si="19"/>
        <v>0</v>
      </c>
      <c r="K346" s="80"/>
      <c r="L346" s="82"/>
    </row>
    <row r="347" spans="2:15" s="1" customFormat="1" ht="12.95" customHeight="1" x14ac:dyDescent="0.15">
      <c r="B347" s="16">
        <v>3</v>
      </c>
      <c r="C347" s="23"/>
      <c r="D347" s="48"/>
      <c r="E347" s="49"/>
      <c r="F347" s="129"/>
      <c r="G347" s="20"/>
      <c r="H347" s="20">
        <v>1</v>
      </c>
      <c r="I347" s="126">
        <f t="shared" si="20"/>
        <v>0</v>
      </c>
      <c r="J347" s="38">
        <f t="shared" si="19"/>
        <v>0</v>
      </c>
      <c r="K347" s="80"/>
      <c r="L347" s="82"/>
    </row>
    <row r="348" spans="2:15" s="1" customFormat="1" ht="12.95" customHeight="1" x14ac:dyDescent="0.15">
      <c r="B348" s="16">
        <v>4</v>
      </c>
      <c r="C348" s="23"/>
      <c r="D348" s="48"/>
      <c r="E348" s="49"/>
      <c r="F348" s="129"/>
      <c r="G348" s="20"/>
      <c r="H348" s="20">
        <v>1</v>
      </c>
      <c r="I348" s="126">
        <f t="shared" si="20"/>
        <v>0</v>
      </c>
      <c r="J348" s="38">
        <f t="shared" si="19"/>
        <v>0</v>
      </c>
      <c r="K348" s="80"/>
      <c r="L348" s="82"/>
    </row>
    <row r="349" spans="2:15" s="1" customFormat="1" ht="12.95" customHeight="1" x14ac:dyDescent="0.15">
      <c r="B349" s="16">
        <v>5</v>
      </c>
      <c r="C349" s="23"/>
      <c r="D349" s="48"/>
      <c r="E349" s="48"/>
      <c r="F349" s="129"/>
      <c r="G349" s="20"/>
      <c r="H349" s="20">
        <v>1</v>
      </c>
      <c r="I349" s="126">
        <f t="shared" si="20"/>
        <v>0</v>
      </c>
      <c r="J349" s="38">
        <f t="shared" si="19"/>
        <v>0</v>
      </c>
      <c r="K349" s="80"/>
      <c r="L349" s="82"/>
    </row>
    <row r="350" spans="2:15" s="1" customFormat="1" ht="12.95" customHeight="1" x14ac:dyDescent="0.15">
      <c r="B350" s="16">
        <v>6</v>
      </c>
      <c r="C350" s="23"/>
      <c r="D350" s="48"/>
      <c r="E350" s="48"/>
      <c r="F350" s="129"/>
      <c r="G350" s="20"/>
      <c r="H350" s="20">
        <v>1</v>
      </c>
      <c r="I350" s="126">
        <f t="shared" si="20"/>
        <v>0</v>
      </c>
      <c r="J350" s="38">
        <f>(F350*G350*H350)/$C$32</f>
        <v>0</v>
      </c>
      <c r="K350" s="80"/>
      <c r="L350" s="82"/>
    </row>
    <row r="351" spans="2:15" s="1" customFormat="1" ht="12.95" customHeight="1" x14ac:dyDescent="0.15">
      <c r="B351" s="16">
        <v>7</v>
      </c>
      <c r="C351" s="23"/>
      <c r="D351" s="48"/>
      <c r="E351" s="48"/>
      <c r="F351" s="129"/>
      <c r="G351" s="20"/>
      <c r="H351" s="20">
        <v>1</v>
      </c>
      <c r="I351" s="126">
        <f t="shared" si="20"/>
        <v>0</v>
      </c>
      <c r="J351" s="38">
        <f>(F351*G351*H351)/$C$32</f>
        <v>0</v>
      </c>
      <c r="K351" s="80"/>
      <c r="L351" s="82"/>
    </row>
    <row r="352" spans="2:15" s="1" customFormat="1" ht="12.95" customHeight="1" x14ac:dyDescent="0.15">
      <c r="B352" s="16">
        <v>8</v>
      </c>
      <c r="C352" s="23"/>
      <c r="D352" s="48"/>
      <c r="E352" s="48"/>
      <c r="F352" s="129"/>
      <c r="G352" s="20"/>
      <c r="H352" s="20">
        <v>1</v>
      </c>
      <c r="I352" s="126">
        <f t="shared" si="20"/>
        <v>0</v>
      </c>
      <c r="J352" s="38">
        <f t="shared" ref="J352:J387" si="21">(F352*G352*H352)/$C$32</f>
        <v>0</v>
      </c>
      <c r="K352" s="80"/>
      <c r="L352" s="82"/>
      <c r="M352" s="39"/>
      <c r="N352" s="40"/>
      <c r="O352" s="40"/>
    </row>
    <row r="353" spans="2:20" s="1" customFormat="1" ht="12.95" customHeight="1" x14ac:dyDescent="0.15">
      <c r="B353" s="16">
        <v>9</v>
      </c>
      <c r="C353" s="23"/>
      <c r="D353" s="48"/>
      <c r="E353" s="48"/>
      <c r="F353" s="129"/>
      <c r="G353" s="20"/>
      <c r="H353" s="20">
        <v>1</v>
      </c>
      <c r="I353" s="126">
        <f t="shared" si="20"/>
        <v>0</v>
      </c>
      <c r="J353" s="38">
        <f t="shared" si="21"/>
        <v>0</v>
      </c>
      <c r="K353" s="80"/>
      <c r="L353" s="82"/>
    </row>
    <row r="354" spans="2:20" s="1" customFormat="1" ht="12.95" customHeight="1" x14ac:dyDescent="0.15">
      <c r="B354" s="16">
        <v>10</v>
      </c>
      <c r="C354" s="23"/>
      <c r="D354" s="48"/>
      <c r="E354" s="48"/>
      <c r="F354" s="129"/>
      <c r="G354" s="20"/>
      <c r="H354" s="20">
        <v>1</v>
      </c>
      <c r="I354" s="126">
        <f t="shared" si="20"/>
        <v>0</v>
      </c>
      <c r="J354" s="38">
        <f t="shared" si="21"/>
        <v>0</v>
      </c>
      <c r="K354" s="80"/>
      <c r="L354" s="82"/>
    </row>
    <row r="355" spans="2:20" s="1" customFormat="1" ht="12.95" customHeight="1" x14ac:dyDescent="0.15">
      <c r="B355" s="16">
        <v>11</v>
      </c>
      <c r="C355" s="23"/>
      <c r="D355" s="48"/>
      <c r="E355" s="48"/>
      <c r="F355" s="130"/>
      <c r="G355" s="20"/>
      <c r="H355" s="20">
        <v>1</v>
      </c>
      <c r="I355" s="126">
        <f t="shared" si="20"/>
        <v>0</v>
      </c>
      <c r="J355" s="38">
        <f t="shared" si="21"/>
        <v>0</v>
      </c>
      <c r="K355" s="80"/>
      <c r="L355" s="82"/>
    </row>
    <row r="356" spans="2:20" s="1" customFormat="1" ht="12.95" customHeight="1" x14ac:dyDescent="0.15">
      <c r="B356" s="16">
        <v>12</v>
      </c>
      <c r="C356" s="23"/>
      <c r="D356" s="48"/>
      <c r="E356" s="48"/>
      <c r="F356" s="129"/>
      <c r="G356" s="20"/>
      <c r="H356" s="20">
        <v>1</v>
      </c>
      <c r="I356" s="126">
        <f t="shared" si="20"/>
        <v>0</v>
      </c>
      <c r="J356" s="38">
        <f t="shared" si="21"/>
        <v>0</v>
      </c>
      <c r="K356" s="80"/>
      <c r="L356" s="82"/>
    </row>
    <row r="357" spans="2:20" s="1" customFormat="1" ht="12.95" customHeight="1" x14ac:dyDescent="0.15">
      <c r="B357" s="16">
        <v>13</v>
      </c>
      <c r="C357" s="23"/>
      <c r="D357" s="48"/>
      <c r="E357" s="48"/>
      <c r="F357" s="129"/>
      <c r="G357" s="20"/>
      <c r="H357" s="20">
        <v>1</v>
      </c>
      <c r="I357" s="126">
        <f t="shared" si="20"/>
        <v>0</v>
      </c>
      <c r="J357" s="38">
        <f t="shared" si="21"/>
        <v>0</v>
      </c>
      <c r="K357" s="80"/>
      <c r="L357" s="82"/>
    </row>
    <row r="358" spans="2:20" s="1" customFormat="1" ht="12.95" customHeight="1" x14ac:dyDescent="0.15">
      <c r="B358" s="16">
        <v>14</v>
      </c>
      <c r="C358" s="23"/>
      <c r="D358" s="48"/>
      <c r="E358" s="48"/>
      <c r="F358" s="129"/>
      <c r="G358" s="20"/>
      <c r="H358" s="20">
        <v>1</v>
      </c>
      <c r="I358" s="126">
        <f t="shared" si="20"/>
        <v>0</v>
      </c>
      <c r="J358" s="38">
        <f t="shared" si="21"/>
        <v>0</v>
      </c>
      <c r="K358" s="80"/>
      <c r="L358" s="82"/>
    </row>
    <row r="359" spans="2:20" s="1" customFormat="1" ht="12.95" customHeight="1" x14ac:dyDescent="0.15">
      <c r="B359" s="16">
        <v>15</v>
      </c>
      <c r="C359" s="23"/>
      <c r="D359" s="48"/>
      <c r="E359" s="48"/>
      <c r="F359" s="129"/>
      <c r="G359" s="20"/>
      <c r="H359" s="20">
        <v>1</v>
      </c>
      <c r="I359" s="126">
        <f t="shared" si="20"/>
        <v>0</v>
      </c>
      <c r="J359" s="38">
        <f t="shared" si="21"/>
        <v>0</v>
      </c>
      <c r="K359" s="80"/>
      <c r="L359" s="82"/>
    </row>
    <row r="360" spans="2:20" s="1" customFormat="1" ht="12.95" customHeight="1" x14ac:dyDescent="0.15">
      <c r="B360" s="16">
        <v>16</v>
      </c>
      <c r="C360" s="23"/>
      <c r="D360" s="48"/>
      <c r="E360" s="48"/>
      <c r="F360" s="129"/>
      <c r="G360" s="20"/>
      <c r="H360" s="20">
        <v>1</v>
      </c>
      <c r="I360" s="126">
        <f t="shared" si="20"/>
        <v>0</v>
      </c>
      <c r="J360" s="38">
        <f t="shared" si="21"/>
        <v>0</v>
      </c>
      <c r="K360" s="80"/>
      <c r="L360" s="82"/>
    </row>
    <row r="361" spans="2:20" s="1" customFormat="1" ht="12.95" customHeight="1" x14ac:dyDescent="0.2">
      <c r="B361" s="16">
        <v>17</v>
      </c>
      <c r="C361" s="410"/>
      <c r="D361" s="410"/>
      <c r="E361" s="410"/>
      <c r="F361" s="129"/>
      <c r="G361" s="20"/>
      <c r="H361" s="20">
        <v>1</v>
      </c>
      <c r="I361" s="126">
        <f t="shared" si="20"/>
        <v>0</v>
      </c>
      <c r="J361" s="21">
        <f t="shared" si="21"/>
        <v>0</v>
      </c>
      <c r="K361" s="80"/>
      <c r="L361" s="82"/>
      <c r="M361" s="10"/>
      <c r="N361" s="10"/>
      <c r="O361" s="10"/>
      <c r="P361" s="10"/>
      <c r="Q361" s="43"/>
      <c r="R361" s="10"/>
      <c r="T361" s="10"/>
    </row>
    <row r="362" spans="2:20" s="1" customFormat="1" ht="12.95" customHeight="1" x14ac:dyDescent="0.15">
      <c r="B362" s="16">
        <v>18</v>
      </c>
      <c r="C362" s="60"/>
      <c r="D362" s="49"/>
      <c r="E362" s="49"/>
      <c r="F362" s="129"/>
      <c r="G362" s="20"/>
      <c r="H362" s="20">
        <v>1</v>
      </c>
      <c r="I362" s="126">
        <f>J362*$C$32</f>
        <v>0</v>
      </c>
      <c r="J362" s="21">
        <f t="shared" si="21"/>
        <v>0</v>
      </c>
      <c r="K362" s="80"/>
      <c r="L362" s="82"/>
      <c r="M362" s="10"/>
      <c r="N362" s="10"/>
      <c r="O362" s="10"/>
      <c r="P362" s="10"/>
      <c r="Q362" s="43"/>
      <c r="R362" s="10"/>
      <c r="T362" s="10"/>
    </row>
    <row r="363" spans="2:20" s="1" customFormat="1" ht="12.95" customHeight="1" x14ac:dyDescent="0.15">
      <c r="B363" s="16">
        <v>19</v>
      </c>
      <c r="C363" s="59"/>
      <c r="D363" s="49"/>
      <c r="E363" s="49"/>
      <c r="F363" s="129"/>
      <c r="G363" s="20"/>
      <c r="H363" s="20">
        <v>1</v>
      </c>
      <c r="I363" s="126">
        <f t="shared" ref="I363:I377" si="22">J363*$C$32</f>
        <v>0</v>
      </c>
      <c r="J363" s="21">
        <f t="shared" si="21"/>
        <v>0</v>
      </c>
      <c r="K363" s="80"/>
      <c r="L363" s="82"/>
      <c r="M363" s="10"/>
      <c r="N363" s="10"/>
      <c r="O363" s="10"/>
      <c r="P363" s="10"/>
      <c r="Q363" s="43"/>
      <c r="R363" s="10"/>
      <c r="T363" s="10"/>
    </row>
    <row r="364" spans="2:20" s="1" customFormat="1" ht="12.95" customHeight="1" x14ac:dyDescent="0.15">
      <c r="B364" s="16">
        <v>20</v>
      </c>
      <c r="C364" s="70"/>
      <c r="D364" s="49"/>
      <c r="E364" s="49"/>
      <c r="F364" s="129"/>
      <c r="G364" s="20"/>
      <c r="H364" s="20">
        <v>1</v>
      </c>
      <c r="I364" s="126">
        <f t="shared" si="22"/>
        <v>0</v>
      </c>
      <c r="J364" s="21">
        <f t="shared" si="21"/>
        <v>0</v>
      </c>
      <c r="K364" s="80"/>
      <c r="L364" s="82"/>
      <c r="M364" s="10"/>
      <c r="N364" s="10"/>
      <c r="O364" s="10"/>
      <c r="P364" s="10"/>
      <c r="Q364" s="43"/>
      <c r="R364" s="10"/>
      <c r="T364" s="10"/>
    </row>
    <row r="365" spans="2:20" s="1" customFormat="1" ht="12.95" customHeight="1" x14ac:dyDescent="0.15">
      <c r="B365" s="16"/>
      <c r="C365" s="70"/>
      <c r="D365" s="49"/>
      <c r="E365" s="49"/>
      <c r="F365" s="129"/>
      <c r="G365" s="20"/>
      <c r="H365" s="20"/>
      <c r="I365" s="126"/>
      <c r="J365" s="21"/>
      <c r="K365" s="80"/>
      <c r="L365" s="82"/>
      <c r="M365" s="10"/>
      <c r="N365" s="10"/>
      <c r="O365" s="10"/>
      <c r="P365" s="10"/>
      <c r="Q365" s="43"/>
      <c r="R365" s="10"/>
      <c r="T365" s="10"/>
    </row>
    <row r="366" spans="2:20" s="1" customFormat="1" ht="12.95" customHeight="1" x14ac:dyDescent="0.15">
      <c r="B366" s="16"/>
      <c r="C366" s="70"/>
      <c r="D366" s="49"/>
      <c r="E366" s="49"/>
      <c r="F366" s="129"/>
      <c r="G366" s="20"/>
      <c r="H366" s="20"/>
      <c r="I366" s="126"/>
      <c r="J366" s="21"/>
      <c r="K366" s="80"/>
      <c r="L366" s="82"/>
      <c r="M366" s="10"/>
      <c r="N366" s="10"/>
      <c r="O366" s="10"/>
      <c r="P366" s="10"/>
      <c r="Q366" s="43"/>
      <c r="R366" s="10"/>
      <c r="T366" s="10"/>
    </row>
    <row r="367" spans="2:20" s="1" customFormat="1" ht="12.95" customHeight="1" x14ac:dyDescent="0.15">
      <c r="B367" s="16"/>
      <c r="C367" s="70" t="s">
        <v>159</v>
      </c>
      <c r="D367" s="49"/>
      <c r="E367" s="49"/>
      <c r="F367" s="129"/>
      <c r="G367" s="20"/>
      <c r="H367" s="20"/>
      <c r="I367" s="126"/>
      <c r="J367" s="21"/>
      <c r="K367" s="80"/>
      <c r="L367" s="82"/>
      <c r="M367" s="10"/>
      <c r="N367" s="10"/>
      <c r="O367" s="10"/>
      <c r="P367" s="10"/>
      <c r="Q367" s="43"/>
      <c r="R367" s="10"/>
      <c r="T367" s="10"/>
    </row>
    <row r="368" spans="2:20" s="1" customFormat="1" ht="12.95" customHeight="1" x14ac:dyDescent="0.15">
      <c r="B368" s="16">
        <v>1</v>
      </c>
      <c r="C368" s="61"/>
      <c r="D368" s="49"/>
      <c r="E368" s="49"/>
      <c r="F368" s="129"/>
      <c r="G368" s="20"/>
      <c r="H368" s="20">
        <v>1</v>
      </c>
      <c r="I368" s="126">
        <f t="shared" si="22"/>
        <v>0</v>
      </c>
      <c r="J368" s="21">
        <f t="shared" si="21"/>
        <v>0</v>
      </c>
      <c r="K368" s="80"/>
      <c r="L368" s="82"/>
      <c r="M368" s="10"/>
      <c r="N368" s="10"/>
      <c r="O368" s="10"/>
      <c r="P368" s="10"/>
      <c r="Q368" s="43"/>
      <c r="R368" s="10"/>
      <c r="T368" s="10"/>
    </row>
    <row r="369" spans="2:12" s="1" customFormat="1" ht="14.25" x14ac:dyDescent="0.15">
      <c r="B369" s="16">
        <v>2</v>
      </c>
      <c r="C369" s="61"/>
      <c r="D369" s="49"/>
      <c r="E369" s="49"/>
      <c r="F369" s="129"/>
      <c r="G369" s="20"/>
      <c r="H369" s="20">
        <v>1</v>
      </c>
      <c r="I369" s="126">
        <f t="shared" si="22"/>
        <v>0</v>
      </c>
      <c r="J369" s="21">
        <f t="shared" si="21"/>
        <v>0</v>
      </c>
      <c r="K369" s="80"/>
      <c r="L369" s="82"/>
    </row>
    <row r="370" spans="2:12" s="1" customFormat="1" ht="14.25" x14ac:dyDescent="0.15">
      <c r="B370" s="16">
        <v>3</v>
      </c>
      <c r="C370" s="61"/>
      <c r="D370" s="49"/>
      <c r="E370" s="49"/>
      <c r="F370" s="129"/>
      <c r="G370" s="20"/>
      <c r="H370" s="20">
        <v>1</v>
      </c>
      <c r="I370" s="126">
        <f t="shared" si="22"/>
        <v>0</v>
      </c>
      <c r="J370" s="21">
        <f t="shared" si="21"/>
        <v>0</v>
      </c>
      <c r="K370" s="80"/>
      <c r="L370" s="82"/>
    </row>
    <row r="371" spans="2:12" s="1" customFormat="1" ht="14.25" x14ac:dyDescent="0.15">
      <c r="B371" s="16">
        <v>4</v>
      </c>
      <c r="C371" s="61"/>
      <c r="D371" s="49"/>
      <c r="E371" s="49"/>
      <c r="F371" s="129"/>
      <c r="G371" s="20"/>
      <c r="H371" s="20">
        <v>1</v>
      </c>
      <c r="I371" s="126">
        <f t="shared" si="22"/>
        <v>0</v>
      </c>
      <c r="J371" s="21">
        <f t="shared" si="21"/>
        <v>0</v>
      </c>
      <c r="K371" s="80"/>
      <c r="L371" s="82"/>
    </row>
    <row r="372" spans="2:12" s="1" customFormat="1" ht="16.5" x14ac:dyDescent="0.2">
      <c r="B372" s="16">
        <v>5</v>
      </c>
      <c r="C372" s="71"/>
      <c r="D372" s="49"/>
      <c r="E372" s="49"/>
      <c r="F372" s="129"/>
      <c r="G372" s="20"/>
      <c r="H372" s="20">
        <v>1</v>
      </c>
      <c r="I372" s="126">
        <f t="shared" si="22"/>
        <v>0</v>
      </c>
      <c r="J372" s="21">
        <f t="shared" si="21"/>
        <v>0</v>
      </c>
      <c r="K372" s="80"/>
      <c r="L372" s="82"/>
    </row>
    <row r="373" spans="2:12" s="1" customFormat="1" ht="14.25" x14ac:dyDescent="0.15">
      <c r="B373" s="16">
        <v>6</v>
      </c>
      <c r="C373" s="61"/>
      <c r="D373" s="49"/>
      <c r="E373" s="49"/>
      <c r="F373" s="129"/>
      <c r="G373" s="20"/>
      <c r="H373" s="20">
        <v>1</v>
      </c>
      <c r="I373" s="126">
        <f t="shared" si="22"/>
        <v>0</v>
      </c>
      <c r="J373" s="21">
        <f t="shared" si="21"/>
        <v>0</v>
      </c>
      <c r="K373" s="80"/>
      <c r="L373" s="82"/>
    </row>
    <row r="374" spans="2:12" s="1" customFormat="1" ht="14.25" x14ac:dyDescent="0.15">
      <c r="B374" s="16">
        <v>7</v>
      </c>
      <c r="C374" s="61"/>
      <c r="D374" s="49"/>
      <c r="E374" s="49"/>
      <c r="F374" s="129"/>
      <c r="G374" s="20"/>
      <c r="H374" s="20">
        <v>1</v>
      </c>
      <c r="I374" s="126">
        <f t="shared" si="22"/>
        <v>0</v>
      </c>
      <c r="J374" s="21">
        <f t="shared" si="21"/>
        <v>0</v>
      </c>
      <c r="K374" s="80"/>
      <c r="L374" s="82"/>
    </row>
    <row r="375" spans="2:12" s="1" customFormat="1" ht="14.25" x14ac:dyDescent="0.15">
      <c r="B375" s="16">
        <v>8</v>
      </c>
      <c r="C375" s="61"/>
      <c r="D375" s="49"/>
      <c r="E375" s="49"/>
      <c r="F375" s="129"/>
      <c r="G375" s="20"/>
      <c r="H375" s="20">
        <v>1</v>
      </c>
      <c r="I375" s="126">
        <f t="shared" si="22"/>
        <v>0</v>
      </c>
      <c r="J375" s="21">
        <f t="shared" si="21"/>
        <v>0</v>
      </c>
      <c r="K375" s="80"/>
      <c r="L375" s="82"/>
    </row>
    <row r="376" spans="2:12" s="1" customFormat="1" ht="14.25" x14ac:dyDescent="0.15">
      <c r="B376" s="16">
        <v>9</v>
      </c>
      <c r="C376" s="61"/>
      <c r="D376" s="49"/>
      <c r="E376" s="49"/>
      <c r="F376" s="129"/>
      <c r="G376" s="20"/>
      <c r="H376" s="20">
        <v>1</v>
      </c>
      <c r="I376" s="126">
        <f t="shared" si="22"/>
        <v>0</v>
      </c>
      <c r="J376" s="21">
        <f t="shared" si="21"/>
        <v>0</v>
      </c>
      <c r="K376" s="80"/>
      <c r="L376" s="82"/>
    </row>
    <row r="377" spans="2:12" s="1" customFormat="1" ht="14.25" x14ac:dyDescent="0.15">
      <c r="B377" s="16">
        <v>10</v>
      </c>
      <c r="C377" s="61"/>
      <c r="D377" s="49"/>
      <c r="E377" s="49"/>
      <c r="F377" s="129"/>
      <c r="G377" s="20"/>
      <c r="H377" s="20">
        <v>1</v>
      </c>
      <c r="I377" s="126">
        <f t="shared" si="22"/>
        <v>0</v>
      </c>
      <c r="J377" s="21">
        <f t="shared" si="21"/>
        <v>0</v>
      </c>
      <c r="K377" s="80"/>
      <c r="L377" s="82"/>
    </row>
    <row r="378" spans="2:12" s="1" customFormat="1" ht="14.25" x14ac:dyDescent="0.15">
      <c r="B378" s="16">
        <v>11</v>
      </c>
      <c r="C378" s="61"/>
      <c r="D378" s="49"/>
      <c r="E378" s="49"/>
      <c r="F378" s="129"/>
      <c r="G378" s="20"/>
      <c r="H378" s="20">
        <v>1</v>
      </c>
      <c r="I378" s="126">
        <f>J378*$C$32</f>
        <v>0</v>
      </c>
      <c r="J378" s="21">
        <f t="shared" si="21"/>
        <v>0</v>
      </c>
      <c r="K378" s="80"/>
      <c r="L378" s="82"/>
    </row>
    <row r="379" spans="2:12" s="1" customFormat="1" ht="14.25" x14ac:dyDescent="0.15">
      <c r="B379" s="16">
        <v>12</v>
      </c>
      <c r="C379" s="46"/>
      <c r="D379" s="18"/>
      <c r="E379" s="18"/>
      <c r="F379" s="129"/>
      <c r="G379" s="20"/>
      <c r="H379" s="20">
        <v>1</v>
      </c>
      <c r="I379" s="126">
        <f t="shared" ref="I379:I387" si="23">J379*$C$32</f>
        <v>0</v>
      </c>
      <c r="J379" s="21">
        <f t="shared" si="21"/>
        <v>0</v>
      </c>
      <c r="K379" s="80"/>
      <c r="L379" s="82"/>
    </row>
    <row r="380" spans="2:12" s="1" customFormat="1" ht="14.25" x14ac:dyDescent="0.15">
      <c r="B380" s="16">
        <v>13</v>
      </c>
      <c r="C380" s="46"/>
      <c r="D380" s="18"/>
      <c r="E380" s="18"/>
      <c r="F380" s="129"/>
      <c r="G380" s="20"/>
      <c r="H380" s="20">
        <v>1</v>
      </c>
      <c r="I380" s="126">
        <f t="shared" si="23"/>
        <v>0</v>
      </c>
      <c r="J380" s="21">
        <f t="shared" si="21"/>
        <v>0</v>
      </c>
      <c r="K380" s="80"/>
      <c r="L380" s="82"/>
    </row>
    <row r="381" spans="2:12" s="1" customFormat="1" ht="14.25" x14ac:dyDescent="0.15">
      <c r="B381" s="16">
        <v>14</v>
      </c>
      <c r="C381" s="46"/>
      <c r="D381" s="18"/>
      <c r="E381" s="18"/>
      <c r="F381" s="129"/>
      <c r="G381" s="20"/>
      <c r="H381" s="20">
        <v>1</v>
      </c>
      <c r="I381" s="126">
        <f t="shared" si="23"/>
        <v>0</v>
      </c>
      <c r="J381" s="21">
        <f t="shared" si="21"/>
        <v>0</v>
      </c>
      <c r="K381" s="80"/>
      <c r="L381" s="82"/>
    </row>
    <row r="382" spans="2:12" s="1" customFormat="1" ht="14.25" x14ac:dyDescent="0.15">
      <c r="B382" s="16">
        <v>15</v>
      </c>
      <c r="C382" s="46"/>
      <c r="D382" s="18"/>
      <c r="E382" s="18"/>
      <c r="F382" s="129"/>
      <c r="G382" s="20"/>
      <c r="H382" s="20">
        <v>1</v>
      </c>
      <c r="I382" s="126">
        <f t="shared" si="23"/>
        <v>0</v>
      </c>
      <c r="J382" s="21">
        <f t="shared" si="21"/>
        <v>0</v>
      </c>
      <c r="K382" s="80"/>
      <c r="L382" s="82"/>
    </row>
    <row r="383" spans="2:12" s="1" customFormat="1" ht="14.25" x14ac:dyDescent="0.15">
      <c r="B383" s="16">
        <v>16</v>
      </c>
      <c r="C383" s="46"/>
      <c r="D383" s="18"/>
      <c r="E383" s="18"/>
      <c r="F383" s="129"/>
      <c r="G383" s="20"/>
      <c r="H383" s="20">
        <v>1</v>
      </c>
      <c r="I383" s="126">
        <f t="shared" si="23"/>
        <v>0</v>
      </c>
      <c r="J383" s="21">
        <f t="shared" si="21"/>
        <v>0</v>
      </c>
      <c r="K383" s="80"/>
      <c r="L383" s="82"/>
    </row>
    <row r="384" spans="2:12" s="1" customFormat="1" ht="14.25" x14ac:dyDescent="0.15">
      <c r="B384" s="16">
        <v>17</v>
      </c>
      <c r="C384" s="46"/>
      <c r="D384" s="18"/>
      <c r="E384" s="18"/>
      <c r="F384" s="129"/>
      <c r="G384" s="20"/>
      <c r="H384" s="20">
        <v>1</v>
      </c>
      <c r="I384" s="126">
        <f t="shared" si="23"/>
        <v>0</v>
      </c>
      <c r="J384" s="78">
        <f t="shared" si="21"/>
        <v>0</v>
      </c>
      <c r="K384" s="111"/>
      <c r="L384" s="119"/>
    </row>
    <row r="385" spans="2:12" s="1" customFormat="1" ht="14.25" x14ac:dyDescent="0.15">
      <c r="B385" s="16">
        <v>18</v>
      </c>
      <c r="C385" s="46"/>
      <c r="D385" s="18"/>
      <c r="E385" s="18"/>
      <c r="F385" s="129"/>
      <c r="G385" s="20"/>
      <c r="H385" s="20">
        <v>1</v>
      </c>
      <c r="I385" s="254">
        <f t="shared" si="23"/>
        <v>0</v>
      </c>
      <c r="J385" s="94">
        <f t="shared" si="21"/>
        <v>0</v>
      </c>
      <c r="K385" s="82"/>
      <c r="L385" s="82"/>
    </row>
    <row r="386" spans="2:12" s="1" customFormat="1" ht="14.25" x14ac:dyDescent="0.15">
      <c r="B386" s="16">
        <v>19</v>
      </c>
      <c r="C386" s="46"/>
      <c r="D386" s="18"/>
      <c r="E386" s="18"/>
      <c r="F386" s="129"/>
      <c r="G386" s="20"/>
      <c r="H386" s="20">
        <v>1</v>
      </c>
      <c r="I386" s="254">
        <f t="shared" si="23"/>
        <v>0</v>
      </c>
      <c r="J386" s="94">
        <f t="shared" si="21"/>
        <v>0</v>
      </c>
      <c r="K386" s="82"/>
      <c r="L386" s="82"/>
    </row>
    <row r="387" spans="2:12" s="1" customFormat="1" ht="14.25" x14ac:dyDescent="0.15">
      <c r="B387" s="16">
        <v>20</v>
      </c>
      <c r="C387" s="46"/>
      <c r="D387" s="18"/>
      <c r="E387" s="18"/>
      <c r="F387" s="129"/>
      <c r="G387" s="20"/>
      <c r="H387" s="20">
        <v>1</v>
      </c>
      <c r="I387" s="254">
        <f t="shared" si="23"/>
        <v>0</v>
      </c>
      <c r="J387" s="94">
        <f t="shared" si="21"/>
        <v>0</v>
      </c>
      <c r="K387" s="82"/>
      <c r="L387" s="82"/>
    </row>
    <row r="388" spans="2:12" s="1" customFormat="1" ht="14.25" x14ac:dyDescent="0.15">
      <c r="B388" s="83"/>
      <c r="C388" s="174"/>
      <c r="D388" s="75"/>
      <c r="E388" s="75"/>
      <c r="F388" s="132"/>
      <c r="G388" s="77"/>
      <c r="H388" s="77"/>
      <c r="I388" s="255"/>
      <c r="J388" s="94"/>
      <c r="K388" s="82"/>
      <c r="L388" s="82"/>
    </row>
    <row r="389" spans="2:12" s="1" customFormat="1" ht="12.75" x14ac:dyDescent="0.15">
      <c r="B389" s="82"/>
      <c r="C389" s="102"/>
      <c r="D389" s="103"/>
      <c r="E389" s="102"/>
      <c r="F389" s="128">
        <f>SUM(F329:F388)</f>
        <v>0</v>
      </c>
      <c r="G389" s="104"/>
      <c r="H389" s="105"/>
      <c r="I389" s="256">
        <f>SUM(I330:I388)</f>
        <v>0</v>
      </c>
      <c r="J389" s="257">
        <f>SUM(J329:J388)</f>
        <v>0</v>
      </c>
    </row>
    <row r="390" spans="2:12" s="67" customFormat="1" ht="12.75" x14ac:dyDescent="0.15">
      <c r="B390" s="116"/>
      <c r="C390" s="114"/>
      <c r="D390" s="114"/>
      <c r="E390" s="114" t="s">
        <v>147</v>
      </c>
      <c r="F390" s="162">
        <f>100/115*F389</f>
        <v>0</v>
      </c>
      <c r="G390" s="114"/>
      <c r="H390" s="114" t="s">
        <v>147</v>
      </c>
      <c r="I390" s="264">
        <f>100/115*I389</f>
        <v>0</v>
      </c>
      <c r="J390" s="114"/>
    </row>
    <row r="391" spans="2:12" s="1" customFormat="1" ht="12.75" x14ac:dyDescent="0.15"/>
    <row r="392" spans="2:12" s="1" customFormat="1" ht="12.75" x14ac:dyDescent="0.15"/>
    <row r="393" spans="2:12" s="1" customFormat="1" ht="12.75" x14ac:dyDescent="0.15"/>
    <row r="394" spans="2:12" s="1" customFormat="1" ht="12.75" x14ac:dyDescent="0.15"/>
    <row r="395" spans="2:12" s="247" customFormat="1" ht="32.25" x14ac:dyDescent="0.4">
      <c r="B395" s="248"/>
      <c r="C395" s="380" t="s">
        <v>112</v>
      </c>
      <c r="D395" s="380"/>
      <c r="E395" s="428" t="s">
        <v>101</v>
      </c>
      <c r="F395" s="428"/>
      <c r="G395" s="428"/>
      <c r="H395" s="428"/>
      <c r="I395" s="428"/>
      <c r="J395" s="382">
        <v>2026</v>
      </c>
      <c r="K395" s="382"/>
      <c r="L395" s="382"/>
    </row>
    <row r="396" spans="2:12" s="1" customFormat="1" ht="22.5" x14ac:dyDescent="0.15">
      <c r="B396" s="82"/>
      <c r="C396" s="102" t="s">
        <v>114</v>
      </c>
      <c r="D396" s="388" t="s">
        <v>115</v>
      </c>
      <c r="E396" s="388"/>
      <c r="F396" s="102" t="s">
        <v>116</v>
      </c>
      <c r="G396" s="102" t="s">
        <v>117</v>
      </c>
      <c r="H396" s="102" t="s">
        <v>118</v>
      </c>
      <c r="I396" s="102" t="s">
        <v>119</v>
      </c>
      <c r="J396" s="102" t="s">
        <v>120</v>
      </c>
      <c r="K396" s="82"/>
      <c r="L396" s="82"/>
    </row>
    <row r="397" spans="2:12" s="1" customFormat="1" ht="12.75" x14ac:dyDescent="0.15">
      <c r="B397" s="82"/>
      <c r="C397" s="66">
        <f>C327</f>
        <v>350</v>
      </c>
      <c r="D397" s="389">
        <v>21</v>
      </c>
      <c r="E397" s="389"/>
      <c r="F397" s="13">
        <f>F327</f>
        <v>0.85</v>
      </c>
      <c r="G397" s="14">
        <f>G327</f>
        <v>8</v>
      </c>
      <c r="H397" s="142">
        <f>D397*G397*F397</f>
        <v>142.79999999999998</v>
      </c>
      <c r="I397" s="66">
        <f>I459</f>
        <v>0</v>
      </c>
      <c r="J397" s="143">
        <f>H397-J459</f>
        <v>142.79999999999998</v>
      </c>
      <c r="K397" s="82"/>
      <c r="L397" s="82"/>
    </row>
    <row r="398" spans="2:12" s="1" customFormat="1" ht="33.75" x14ac:dyDescent="0.15">
      <c r="B398" s="84"/>
      <c r="C398" s="136" t="s">
        <v>121</v>
      </c>
      <c r="D398" s="414" t="s">
        <v>122</v>
      </c>
      <c r="E398" s="414"/>
      <c r="F398" s="137" t="s">
        <v>123</v>
      </c>
      <c r="G398" s="138" t="s">
        <v>124</v>
      </c>
      <c r="H398" s="139" t="s">
        <v>125</v>
      </c>
      <c r="I398" s="140" t="s">
        <v>126</v>
      </c>
      <c r="J398" s="138" t="s">
        <v>127</v>
      </c>
      <c r="K398" s="122" t="s">
        <v>128</v>
      </c>
      <c r="L398" s="123" t="s">
        <v>129</v>
      </c>
    </row>
    <row r="399" spans="2:12" s="1" customFormat="1" ht="12.75" x14ac:dyDescent="0.15">
      <c r="B399" s="16"/>
      <c r="C399" s="17"/>
      <c r="D399" s="405"/>
      <c r="E399" s="405"/>
      <c r="F399" s="36"/>
      <c r="G399" s="20"/>
      <c r="H399" s="20"/>
      <c r="I399" s="126"/>
      <c r="J399" s="21"/>
      <c r="K399" s="80"/>
      <c r="L399" s="82"/>
    </row>
    <row r="400" spans="2:12" s="1" customFormat="1" ht="12.95" customHeight="1" x14ac:dyDescent="0.15">
      <c r="B400" s="16"/>
      <c r="C400" s="411" t="s">
        <v>130</v>
      </c>
      <c r="D400" s="411"/>
      <c r="E400" s="411"/>
      <c r="F400" s="129"/>
      <c r="G400" s="20"/>
      <c r="H400" s="20"/>
      <c r="I400" s="126"/>
      <c r="J400" s="21"/>
      <c r="K400" s="80"/>
      <c r="L400" s="82"/>
    </row>
    <row r="401" spans="2:12" s="1" customFormat="1" ht="12.75" customHeight="1" x14ac:dyDescent="0.15">
      <c r="B401" s="16"/>
      <c r="C401" s="37" t="s">
        <v>149</v>
      </c>
      <c r="D401" s="24"/>
      <c r="E401" s="24"/>
      <c r="F401" s="129"/>
      <c r="G401" s="20"/>
      <c r="H401" s="20"/>
      <c r="I401" s="126"/>
      <c r="J401" s="38"/>
      <c r="K401" s="80"/>
      <c r="L401" s="82"/>
    </row>
    <row r="402" spans="2:12" s="1" customFormat="1" ht="12.75" x14ac:dyDescent="0.15">
      <c r="B402" s="16">
        <v>1</v>
      </c>
      <c r="C402" s="23"/>
      <c r="D402" s="24"/>
      <c r="E402" s="24"/>
      <c r="F402" s="129"/>
      <c r="G402" s="20"/>
      <c r="H402" s="20">
        <v>1</v>
      </c>
      <c r="I402" s="126">
        <f t="shared" ref="I402:I457" si="24">J402*$C$32</f>
        <v>0</v>
      </c>
      <c r="J402" s="38">
        <f t="shared" ref="J402:J421" si="25">(F402*G402*H402)/$C$32</f>
        <v>0</v>
      </c>
      <c r="K402" s="80"/>
      <c r="L402" s="82"/>
    </row>
    <row r="403" spans="2:12" s="1" customFormat="1" ht="12.75" customHeight="1" x14ac:dyDescent="0.15">
      <c r="B403" s="16">
        <v>2</v>
      </c>
      <c r="C403" s="23"/>
      <c r="D403" s="24"/>
      <c r="E403" s="24"/>
      <c r="F403" s="126"/>
      <c r="G403" s="20"/>
      <c r="H403" s="20">
        <v>1</v>
      </c>
      <c r="I403" s="126">
        <f t="shared" si="24"/>
        <v>0</v>
      </c>
      <c r="J403" s="38">
        <f t="shared" si="25"/>
        <v>0</v>
      </c>
      <c r="K403" s="80"/>
      <c r="L403" s="82"/>
    </row>
    <row r="404" spans="2:12" s="1" customFormat="1" ht="12.95" customHeight="1" x14ac:dyDescent="0.15">
      <c r="B404" s="16">
        <v>3</v>
      </c>
      <c r="C404" s="23"/>
      <c r="D404" s="25"/>
      <c r="E404" s="25"/>
      <c r="F404" s="129"/>
      <c r="G404" s="20"/>
      <c r="H404" s="20">
        <v>1</v>
      </c>
      <c r="I404" s="126">
        <f t="shared" si="24"/>
        <v>0</v>
      </c>
      <c r="J404" s="38">
        <f t="shared" si="25"/>
        <v>0</v>
      </c>
      <c r="K404" s="80"/>
      <c r="L404" s="82"/>
    </row>
    <row r="405" spans="2:12" s="1" customFormat="1" ht="12.95" customHeight="1" x14ac:dyDescent="0.15">
      <c r="B405" s="16">
        <v>4</v>
      </c>
      <c r="C405" s="23"/>
      <c r="D405" s="24"/>
      <c r="E405" s="24"/>
      <c r="F405" s="129"/>
      <c r="G405" s="20"/>
      <c r="H405" s="20">
        <v>1</v>
      </c>
      <c r="I405" s="126">
        <f t="shared" si="24"/>
        <v>0</v>
      </c>
      <c r="J405" s="38">
        <f t="shared" si="25"/>
        <v>0</v>
      </c>
      <c r="K405" s="80"/>
      <c r="L405" s="82"/>
    </row>
    <row r="406" spans="2:12" s="1" customFormat="1" ht="12.95" customHeight="1" x14ac:dyDescent="0.15">
      <c r="B406" s="16">
        <v>5</v>
      </c>
      <c r="C406" s="16"/>
      <c r="D406" s="18"/>
      <c r="E406" s="18"/>
      <c r="F406" s="129"/>
      <c r="G406" s="20"/>
      <c r="H406" s="20">
        <v>1</v>
      </c>
      <c r="I406" s="126">
        <f t="shared" si="24"/>
        <v>0</v>
      </c>
      <c r="J406" s="38">
        <f t="shared" si="25"/>
        <v>0</v>
      </c>
      <c r="K406" s="80"/>
      <c r="L406" s="82"/>
    </row>
    <row r="407" spans="2:12" s="1" customFormat="1" ht="12.95" customHeight="1" x14ac:dyDescent="0.15">
      <c r="B407" s="16">
        <v>6</v>
      </c>
      <c r="C407" s="17"/>
      <c r="D407" s="24"/>
      <c r="E407" s="24"/>
      <c r="F407" s="129"/>
      <c r="G407" s="20"/>
      <c r="H407" s="20">
        <v>1</v>
      </c>
      <c r="I407" s="126">
        <f t="shared" si="24"/>
        <v>0</v>
      </c>
      <c r="J407" s="38">
        <f t="shared" si="25"/>
        <v>0</v>
      </c>
      <c r="K407" s="80"/>
      <c r="L407" s="82"/>
    </row>
    <row r="408" spans="2:12" s="1" customFormat="1" ht="12.95" customHeight="1" x14ac:dyDescent="0.15">
      <c r="B408" s="16">
        <v>7</v>
      </c>
      <c r="C408" s="17"/>
      <c r="D408" s="24"/>
      <c r="E408" s="24"/>
      <c r="F408" s="129"/>
      <c r="G408" s="20"/>
      <c r="H408" s="20">
        <v>1</v>
      </c>
      <c r="I408" s="126">
        <f t="shared" si="24"/>
        <v>0</v>
      </c>
      <c r="J408" s="38">
        <f t="shared" si="25"/>
        <v>0</v>
      </c>
      <c r="K408" s="80"/>
      <c r="L408" s="82"/>
    </row>
    <row r="409" spans="2:12" s="1" customFormat="1" ht="12.95" customHeight="1" x14ac:dyDescent="0.15">
      <c r="B409" s="16">
        <v>8</v>
      </c>
      <c r="C409" s="17"/>
      <c r="D409" s="24"/>
      <c r="E409" s="24"/>
      <c r="F409" s="129"/>
      <c r="G409" s="20"/>
      <c r="H409" s="20">
        <v>1</v>
      </c>
      <c r="I409" s="126">
        <f t="shared" si="24"/>
        <v>0</v>
      </c>
      <c r="J409" s="38">
        <f t="shared" si="25"/>
        <v>0</v>
      </c>
      <c r="K409" s="80"/>
      <c r="L409" s="82"/>
    </row>
    <row r="410" spans="2:12" s="1" customFormat="1" ht="12.95" customHeight="1" x14ac:dyDescent="0.15">
      <c r="B410" s="16">
        <v>9</v>
      </c>
      <c r="C410" s="17"/>
      <c r="D410" s="24"/>
      <c r="E410" s="24"/>
      <c r="F410" s="129"/>
      <c r="G410" s="20"/>
      <c r="H410" s="20">
        <v>1</v>
      </c>
      <c r="I410" s="126">
        <f t="shared" si="24"/>
        <v>0</v>
      </c>
      <c r="J410" s="38">
        <f t="shared" si="25"/>
        <v>0</v>
      </c>
      <c r="K410" s="80"/>
      <c r="L410" s="82"/>
    </row>
    <row r="411" spans="2:12" s="1" customFormat="1" ht="12.95" customHeight="1" x14ac:dyDescent="0.15">
      <c r="B411" s="16">
        <v>10</v>
      </c>
      <c r="C411" s="17"/>
      <c r="D411" s="24"/>
      <c r="E411" s="24"/>
      <c r="F411" s="129"/>
      <c r="G411" s="20"/>
      <c r="H411" s="20">
        <v>1</v>
      </c>
      <c r="I411" s="126">
        <f t="shared" si="24"/>
        <v>0</v>
      </c>
      <c r="J411" s="38">
        <f t="shared" si="25"/>
        <v>0</v>
      </c>
      <c r="K411" s="80"/>
      <c r="L411" s="82"/>
    </row>
    <row r="412" spans="2:12" s="1" customFormat="1" ht="12.95" customHeight="1" x14ac:dyDescent="0.15">
      <c r="B412" s="16"/>
      <c r="C412" s="17"/>
      <c r="D412" s="24"/>
      <c r="E412" s="24"/>
      <c r="F412" s="129"/>
      <c r="G412" s="20"/>
      <c r="H412" s="20"/>
      <c r="I412" s="126"/>
      <c r="J412" s="38"/>
      <c r="K412" s="80"/>
      <c r="L412" s="82"/>
    </row>
    <row r="413" spans="2:12" s="1" customFormat="1" ht="12.95" customHeight="1" x14ac:dyDescent="0.15">
      <c r="B413" s="16"/>
      <c r="C413" s="17"/>
      <c r="D413" s="24"/>
      <c r="E413" s="24"/>
      <c r="F413" s="129"/>
      <c r="G413" s="20"/>
      <c r="H413" s="20"/>
      <c r="I413" s="126"/>
      <c r="J413" s="38"/>
      <c r="K413" s="80"/>
      <c r="L413" s="82"/>
    </row>
    <row r="414" spans="2:12" s="1" customFormat="1" ht="12.95" customHeight="1" x14ac:dyDescent="0.15">
      <c r="B414" s="16"/>
      <c r="C414" s="22" t="s">
        <v>153</v>
      </c>
      <c r="D414" s="24"/>
      <c r="E414" s="24"/>
      <c r="F414" s="129"/>
      <c r="G414" s="20"/>
      <c r="H414" s="20"/>
      <c r="I414" s="126"/>
      <c r="J414" s="38"/>
      <c r="K414" s="80"/>
      <c r="L414" s="82"/>
    </row>
    <row r="415" spans="2:12" s="1" customFormat="1" ht="12.95" customHeight="1" x14ac:dyDescent="0.15">
      <c r="B415" s="16">
        <v>1</v>
      </c>
      <c r="C415" s="17"/>
      <c r="D415" s="18"/>
      <c r="E415" s="24"/>
      <c r="F415" s="129"/>
      <c r="G415" s="20"/>
      <c r="H415" s="20">
        <v>1</v>
      </c>
      <c r="I415" s="126">
        <f t="shared" si="24"/>
        <v>0</v>
      </c>
      <c r="J415" s="38">
        <f t="shared" si="25"/>
        <v>0</v>
      </c>
      <c r="K415" s="80"/>
      <c r="L415" s="82"/>
    </row>
    <row r="416" spans="2:12" s="1" customFormat="1" ht="12.95" customHeight="1" x14ac:dyDescent="0.15">
      <c r="B416" s="16">
        <v>2</v>
      </c>
      <c r="C416" s="17"/>
      <c r="D416" s="18"/>
      <c r="E416" s="24"/>
      <c r="F416" s="129"/>
      <c r="G416" s="20"/>
      <c r="H416" s="20">
        <v>1</v>
      </c>
      <c r="I416" s="126">
        <f t="shared" si="24"/>
        <v>0</v>
      </c>
      <c r="J416" s="38">
        <f t="shared" si="25"/>
        <v>0</v>
      </c>
      <c r="K416" s="80"/>
      <c r="L416" s="82"/>
    </row>
    <row r="417" spans="2:15" s="1" customFormat="1" ht="12.95" customHeight="1" x14ac:dyDescent="0.15">
      <c r="B417" s="16">
        <v>3</v>
      </c>
      <c r="C417" s="17"/>
      <c r="D417" s="24"/>
      <c r="E417" s="18"/>
      <c r="F417" s="129"/>
      <c r="G417" s="20"/>
      <c r="H417" s="20">
        <v>1</v>
      </c>
      <c r="I417" s="126">
        <f t="shared" si="24"/>
        <v>0</v>
      </c>
      <c r="J417" s="38">
        <f t="shared" si="25"/>
        <v>0</v>
      </c>
      <c r="K417" s="80"/>
      <c r="L417" s="82"/>
    </row>
    <row r="418" spans="2:15" s="4" customFormat="1" ht="12.95" customHeight="1" x14ac:dyDescent="0.15">
      <c r="B418" s="26">
        <v>4</v>
      </c>
      <c r="C418" s="23"/>
      <c r="D418" s="48"/>
      <c r="E418" s="49"/>
      <c r="F418" s="126"/>
      <c r="G418" s="50"/>
      <c r="H418" s="50">
        <v>1</v>
      </c>
      <c r="I418" s="126">
        <f t="shared" si="24"/>
        <v>0</v>
      </c>
      <c r="J418" s="38">
        <f t="shared" si="25"/>
        <v>0</v>
      </c>
      <c r="K418" s="108"/>
      <c r="L418" s="113"/>
    </row>
    <row r="419" spans="2:15" s="1" customFormat="1" ht="12.95" customHeight="1" x14ac:dyDescent="0.15">
      <c r="B419" s="16">
        <v>5</v>
      </c>
      <c r="C419" s="17"/>
      <c r="D419" s="24"/>
      <c r="E419" s="18"/>
      <c r="F419" s="129"/>
      <c r="G419" s="20"/>
      <c r="H419" s="20">
        <v>1</v>
      </c>
      <c r="I419" s="126">
        <f t="shared" si="24"/>
        <v>0</v>
      </c>
      <c r="J419" s="38">
        <f t="shared" si="25"/>
        <v>0</v>
      </c>
      <c r="K419" s="80"/>
      <c r="L419" s="82"/>
    </row>
    <row r="420" spans="2:15" s="1" customFormat="1" ht="12.95" customHeight="1" x14ac:dyDescent="0.15">
      <c r="B420" s="16">
        <v>6</v>
      </c>
      <c r="C420" s="17"/>
      <c r="D420" s="24"/>
      <c r="E420" s="18"/>
      <c r="F420" s="129"/>
      <c r="G420" s="20"/>
      <c r="H420" s="20">
        <v>1</v>
      </c>
      <c r="I420" s="126">
        <f t="shared" si="24"/>
        <v>0</v>
      </c>
      <c r="J420" s="38">
        <f t="shared" si="25"/>
        <v>0</v>
      </c>
      <c r="K420" s="80"/>
      <c r="L420" s="82"/>
    </row>
    <row r="421" spans="2:15" s="1" customFormat="1" ht="12.95" customHeight="1" x14ac:dyDescent="0.15">
      <c r="B421" s="16">
        <v>7</v>
      </c>
      <c r="C421" s="17"/>
      <c r="D421" s="24"/>
      <c r="E421" s="24"/>
      <c r="F421" s="129"/>
      <c r="G421" s="20"/>
      <c r="H421" s="20">
        <v>1</v>
      </c>
      <c r="I421" s="126">
        <f t="shared" si="24"/>
        <v>0</v>
      </c>
      <c r="J421" s="38">
        <f t="shared" si="25"/>
        <v>0</v>
      </c>
      <c r="K421" s="80"/>
      <c r="L421" s="82"/>
    </row>
    <row r="422" spans="2:15" s="1" customFormat="1" ht="12.95" customHeight="1" x14ac:dyDescent="0.15">
      <c r="B422" s="16">
        <v>8</v>
      </c>
      <c r="C422" s="17"/>
      <c r="D422" s="24"/>
      <c r="E422" s="24"/>
      <c r="F422" s="129"/>
      <c r="G422" s="20"/>
      <c r="H422" s="20">
        <v>1</v>
      </c>
      <c r="I422" s="126">
        <f t="shared" si="24"/>
        <v>0</v>
      </c>
      <c r="J422" s="38">
        <f>(F422*G422*H422)/$C$32</f>
        <v>0</v>
      </c>
      <c r="K422" s="80"/>
      <c r="L422" s="82"/>
    </row>
    <row r="423" spans="2:15" s="1" customFormat="1" ht="14.85" customHeight="1" x14ac:dyDescent="0.15">
      <c r="B423" s="16">
        <v>9</v>
      </c>
      <c r="C423" s="17"/>
      <c r="D423" s="24"/>
      <c r="E423" s="24"/>
      <c r="F423" s="129"/>
      <c r="G423" s="20"/>
      <c r="H423" s="20">
        <v>1</v>
      </c>
      <c r="I423" s="126">
        <f t="shared" si="24"/>
        <v>0</v>
      </c>
      <c r="J423" s="38">
        <f>(F423*G423*H423)/$C$32</f>
        <v>0</v>
      </c>
      <c r="K423" s="80"/>
      <c r="L423" s="82"/>
    </row>
    <row r="424" spans="2:15" s="1" customFormat="1" ht="12.95" customHeight="1" x14ac:dyDescent="0.15">
      <c r="B424" s="16">
        <v>10</v>
      </c>
      <c r="C424" s="17"/>
      <c r="D424" s="24"/>
      <c r="E424" s="24"/>
      <c r="F424" s="129"/>
      <c r="G424" s="20"/>
      <c r="H424" s="20">
        <v>1</v>
      </c>
      <c r="I424" s="126">
        <f t="shared" si="24"/>
        <v>0</v>
      </c>
      <c r="J424" s="38">
        <f t="shared" ref="J424:J457" si="26">(F424*G424*H424)/$C$32</f>
        <v>0</v>
      </c>
      <c r="K424" s="80"/>
      <c r="L424" s="82"/>
      <c r="M424" s="39"/>
      <c r="N424" s="40"/>
      <c r="O424" s="40"/>
    </row>
    <row r="425" spans="2:15" s="1" customFormat="1" ht="12.95" customHeight="1" x14ac:dyDescent="0.15">
      <c r="B425" s="16">
        <v>11</v>
      </c>
      <c r="C425" s="17"/>
      <c r="D425" s="24"/>
      <c r="E425" s="24"/>
      <c r="F425" s="129"/>
      <c r="G425" s="20"/>
      <c r="H425" s="20">
        <v>1</v>
      </c>
      <c r="I425" s="126">
        <f t="shared" si="24"/>
        <v>0</v>
      </c>
      <c r="J425" s="38">
        <f t="shared" si="26"/>
        <v>0</v>
      </c>
      <c r="K425" s="80"/>
      <c r="L425" s="82"/>
    </row>
    <row r="426" spans="2:15" s="1" customFormat="1" ht="12.95" customHeight="1" x14ac:dyDescent="0.15">
      <c r="B426" s="16">
        <v>12</v>
      </c>
      <c r="C426" s="17"/>
      <c r="D426" s="24"/>
      <c r="E426" s="24"/>
      <c r="F426" s="129"/>
      <c r="G426" s="20"/>
      <c r="H426" s="20">
        <v>1</v>
      </c>
      <c r="I426" s="126">
        <f t="shared" si="24"/>
        <v>0</v>
      </c>
      <c r="J426" s="38">
        <f t="shared" si="26"/>
        <v>0</v>
      </c>
      <c r="K426" s="80"/>
      <c r="L426" s="82"/>
    </row>
    <row r="427" spans="2:15" s="1" customFormat="1" ht="12.95" customHeight="1" x14ac:dyDescent="0.15">
      <c r="B427" s="16">
        <v>13</v>
      </c>
      <c r="C427" s="17"/>
      <c r="D427" s="24"/>
      <c r="E427" s="24"/>
      <c r="F427" s="130"/>
      <c r="G427" s="20"/>
      <c r="H427" s="20">
        <v>1</v>
      </c>
      <c r="I427" s="126">
        <f t="shared" si="24"/>
        <v>0</v>
      </c>
      <c r="J427" s="38">
        <f t="shared" si="26"/>
        <v>0</v>
      </c>
      <c r="K427" s="80"/>
      <c r="L427" s="82"/>
    </row>
    <row r="428" spans="2:15" s="1" customFormat="1" ht="12.95" customHeight="1" x14ac:dyDescent="0.15">
      <c r="B428" s="16">
        <v>14</v>
      </c>
      <c r="C428" s="17"/>
      <c r="D428" s="24"/>
      <c r="E428" s="24"/>
      <c r="F428" s="129"/>
      <c r="G428" s="20"/>
      <c r="H428" s="20">
        <v>1</v>
      </c>
      <c r="I428" s="126">
        <f t="shared" si="24"/>
        <v>0</v>
      </c>
      <c r="J428" s="38">
        <f t="shared" si="26"/>
        <v>0</v>
      </c>
      <c r="K428" s="80"/>
      <c r="L428" s="82"/>
    </row>
    <row r="429" spans="2:15" s="1" customFormat="1" ht="12.95" customHeight="1" x14ac:dyDescent="0.15">
      <c r="B429" s="16">
        <v>15</v>
      </c>
      <c r="C429" s="17"/>
      <c r="D429" s="24"/>
      <c r="E429" s="24"/>
      <c r="F429" s="129"/>
      <c r="G429" s="20"/>
      <c r="H429" s="20">
        <v>1</v>
      </c>
      <c r="I429" s="126">
        <f t="shared" si="24"/>
        <v>0</v>
      </c>
      <c r="J429" s="38">
        <f t="shared" si="26"/>
        <v>0</v>
      </c>
      <c r="K429" s="80"/>
      <c r="L429" s="82"/>
    </row>
    <row r="430" spans="2:15" s="1" customFormat="1" ht="12.95" customHeight="1" x14ac:dyDescent="0.15">
      <c r="B430" s="16">
        <v>16</v>
      </c>
      <c r="C430" s="17"/>
      <c r="D430" s="24"/>
      <c r="E430" s="24"/>
      <c r="F430" s="129"/>
      <c r="G430" s="20"/>
      <c r="H430" s="20">
        <v>1</v>
      </c>
      <c r="I430" s="126">
        <f t="shared" si="24"/>
        <v>0</v>
      </c>
      <c r="J430" s="38">
        <f t="shared" si="26"/>
        <v>0</v>
      </c>
      <c r="K430" s="80"/>
      <c r="L430" s="82"/>
    </row>
    <row r="431" spans="2:15" s="1" customFormat="1" ht="12.95" customHeight="1" x14ac:dyDescent="0.15">
      <c r="B431" s="16">
        <v>17</v>
      </c>
      <c r="C431" s="17"/>
      <c r="D431" s="24"/>
      <c r="E431" s="24"/>
      <c r="F431" s="129"/>
      <c r="G431" s="20"/>
      <c r="H431" s="20">
        <v>1</v>
      </c>
      <c r="I431" s="126">
        <f t="shared" si="24"/>
        <v>0</v>
      </c>
      <c r="J431" s="38">
        <f t="shared" si="26"/>
        <v>0</v>
      </c>
      <c r="K431" s="80"/>
      <c r="L431" s="82"/>
    </row>
    <row r="432" spans="2:15" s="1" customFormat="1" ht="12.95" customHeight="1" x14ac:dyDescent="0.15">
      <c r="B432" s="16">
        <v>18</v>
      </c>
      <c r="C432" s="17"/>
      <c r="D432" s="24"/>
      <c r="E432" s="24"/>
      <c r="F432" s="129"/>
      <c r="G432" s="20"/>
      <c r="H432" s="20">
        <v>1</v>
      </c>
      <c r="I432" s="126">
        <f t="shared" si="24"/>
        <v>0</v>
      </c>
      <c r="J432" s="38">
        <f t="shared" si="26"/>
        <v>0</v>
      </c>
      <c r="K432" s="80"/>
      <c r="L432" s="82"/>
    </row>
    <row r="433" spans="2:20" s="1" customFormat="1" ht="12.95" customHeight="1" x14ac:dyDescent="0.15">
      <c r="B433" s="16">
        <v>19</v>
      </c>
      <c r="C433" s="17"/>
      <c r="D433" s="18"/>
      <c r="E433" s="18"/>
      <c r="F433" s="129"/>
      <c r="G433" s="20"/>
      <c r="H433" s="20">
        <v>1</v>
      </c>
      <c r="I433" s="126">
        <f t="shared" si="24"/>
        <v>0</v>
      </c>
      <c r="J433" s="21">
        <f t="shared" si="26"/>
        <v>0</v>
      </c>
      <c r="K433" s="80"/>
      <c r="L433" s="82"/>
      <c r="M433" s="10"/>
      <c r="N433" s="10"/>
      <c r="O433" s="10"/>
      <c r="P433" s="10"/>
      <c r="Q433" s="43"/>
      <c r="R433" s="10"/>
      <c r="T433" s="10"/>
    </row>
    <row r="434" spans="2:20" s="1" customFormat="1" ht="12.95" customHeight="1" x14ac:dyDescent="0.15">
      <c r="B434" s="16">
        <v>20</v>
      </c>
      <c r="C434" s="17"/>
      <c r="D434" s="18"/>
      <c r="E434" s="18"/>
      <c r="F434" s="129"/>
      <c r="G434" s="20"/>
      <c r="H434" s="20">
        <v>1</v>
      </c>
      <c r="I434" s="126">
        <f t="shared" si="24"/>
        <v>0</v>
      </c>
      <c r="J434" s="21">
        <f t="shared" si="26"/>
        <v>0</v>
      </c>
      <c r="K434" s="80"/>
      <c r="L434" s="82"/>
      <c r="M434" s="10"/>
      <c r="N434" s="10"/>
      <c r="O434" s="10"/>
      <c r="P434" s="10"/>
      <c r="Q434" s="43"/>
      <c r="R434" s="10"/>
      <c r="T434" s="10"/>
    </row>
    <row r="435" spans="2:20" s="1" customFormat="1" ht="12.95" customHeight="1" x14ac:dyDescent="0.15">
      <c r="B435" s="16"/>
      <c r="C435" s="17"/>
      <c r="D435" s="18"/>
      <c r="E435" s="18"/>
      <c r="F435" s="129"/>
      <c r="G435" s="20"/>
      <c r="H435" s="20"/>
      <c r="I435" s="126"/>
      <c r="J435" s="21"/>
      <c r="K435" s="80"/>
      <c r="L435" s="82"/>
      <c r="M435" s="10"/>
      <c r="N435" s="10"/>
      <c r="O435" s="10"/>
      <c r="P435" s="10"/>
      <c r="Q435" s="43"/>
      <c r="R435" s="10"/>
      <c r="T435" s="10"/>
    </row>
    <row r="436" spans="2:20" s="1" customFormat="1" ht="12.95" customHeight="1" x14ac:dyDescent="0.15">
      <c r="B436" s="16"/>
      <c r="C436" s="17"/>
      <c r="D436" s="18"/>
      <c r="E436" s="18"/>
      <c r="F436" s="129"/>
      <c r="G436" s="20"/>
      <c r="H436" s="20"/>
      <c r="I436" s="126"/>
      <c r="J436" s="21"/>
      <c r="K436" s="80"/>
      <c r="L436" s="82"/>
      <c r="M436" s="10"/>
      <c r="N436" s="10"/>
      <c r="O436" s="10"/>
      <c r="P436" s="10"/>
      <c r="Q436" s="43"/>
      <c r="R436" s="10"/>
      <c r="T436" s="10"/>
    </row>
    <row r="437" spans="2:20" s="1" customFormat="1" ht="12.95" customHeight="1" x14ac:dyDescent="0.15">
      <c r="B437" s="16"/>
      <c r="C437" s="22" t="s">
        <v>160</v>
      </c>
      <c r="D437" s="18"/>
      <c r="E437" s="18"/>
      <c r="F437" s="129"/>
      <c r="G437" s="20"/>
      <c r="H437" s="20"/>
      <c r="I437" s="126"/>
      <c r="J437" s="21"/>
      <c r="K437" s="80"/>
      <c r="L437" s="82"/>
      <c r="M437" s="10"/>
      <c r="N437" s="10"/>
      <c r="O437" s="10"/>
      <c r="P437" s="10"/>
      <c r="Q437" s="43"/>
      <c r="R437" s="10"/>
      <c r="T437" s="10"/>
    </row>
    <row r="438" spans="2:20" s="1" customFormat="1" ht="12.95" customHeight="1" x14ac:dyDescent="0.15">
      <c r="B438" s="16">
        <v>1</v>
      </c>
      <c r="C438" s="22"/>
      <c r="D438" s="18"/>
      <c r="E438" s="18"/>
      <c r="F438" s="129"/>
      <c r="G438" s="20"/>
      <c r="H438" s="20">
        <v>1</v>
      </c>
      <c r="I438" s="126">
        <f t="shared" si="24"/>
        <v>0</v>
      </c>
      <c r="J438" s="21">
        <f t="shared" si="26"/>
        <v>0</v>
      </c>
      <c r="K438" s="80"/>
      <c r="L438" s="82"/>
      <c r="M438" s="10"/>
      <c r="N438" s="10"/>
      <c r="O438" s="10"/>
      <c r="P438" s="10"/>
      <c r="Q438" s="43"/>
      <c r="R438" s="10"/>
      <c r="T438" s="10"/>
    </row>
    <row r="439" spans="2:20" s="1" customFormat="1" ht="12.95" customHeight="1" x14ac:dyDescent="0.15">
      <c r="B439" s="16">
        <v>2</v>
      </c>
      <c r="C439" s="22"/>
      <c r="D439" s="18"/>
      <c r="E439" s="18"/>
      <c r="F439" s="129"/>
      <c r="G439" s="20"/>
      <c r="H439" s="20">
        <v>1</v>
      </c>
      <c r="I439" s="126">
        <f t="shared" si="24"/>
        <v>0</v>
      </c>
      <c r="J439" s="21">
        <f t="shared" si="26"/>
        <v>0</v>
      </c>
      <c r="K439" s="80"/>
      <c r="L439" s="82"/>
      <c r="M439" s="10"/>
      <c r="N439" s="10"/>
      <c r="O439" s="10"/>
      <c r="P439" s="10"/>
      <c r="Q439" s="43"/>
      <c r="R439" s="10"/>
      <c r="T439" s="10"/>
    </row>
    <row r="440" spans="2:20" s="1" customFormat="1" ht="12.95" customHeight="1" x14ac:dyDescent="0.15">
      <c r="B440" s="16">
        <v>3</v>
      </c>
      <c r="C440" s="22"/>
      <c r="D440" s="18"/>
      <c r="E440" s="18"/>
      <c r="F440" s="129"/>
      <c r="G440" s="20"/>
      <c r="H440" s="20">
        <v>1</v>
      </c>
      <c r="I440" s="126">
        <f t="shared" si="24"/>
        <v>0</v>
      </c>
      <c r="J440" s="21">
        <f t="shared" si="26"/>
        <v>0</v>
      </c>
      <c r="K440" s="80"/>
      <c r="L440" s="82"/>
      <c r="M440" s="10"/>
      <c r="N440" s="10"/>
      <c r="O440" s="10"/>
      <c r="P440" s="10"/>
      <c r="Q440" s="43"/>
      <c r="R440" s="10"/>
      <c r="T440" s="10"/>
    </row>
    <row r="441" spans="2:20" s="1" customFormat="1" ht="12.95" customHeight="1" x14ac:dyDescent="0.15">
      <c r="B441" s="16">
        <v>4</v>
      </c>
      <c r="C441" s="22"/>
      <c r="D441" s="18"/>
      <c r="E441" s="18"/>
      <c r="F441" s="129"/>
      <c r="G441" s="20"/>
      <c r="H441" s="20">
        <v>1</v>
      </c>
      <c r="I441" s="126">
        <f t="shared" si="24"/>
        <v>0</v>
      </c>
      <c r="J441" s="21">
        <f t="shared" si="26"/>
        <v>0</v>
      </c>
      <c r="K441" s="80"/>
      <c r="L441" s="82"/>
      <c r="M441" s="10"/>
      <c r="N441" s="10"/>
      <c r="O441" s="10"/>
      <c r="P441" s="10"/>
      <c r="Q441" s="43"/>
      <c r="R441" s="10"/>
      <c r="T441" s="10"/>
    </row>
    <row r="442" spans="2:20" s="1" customFormat="1" ht="12.95" customHeight="1" x14ac:dyDescent="0.15">
      <c r="B442" s="16">
        <v>5</v>
      </c>
      <c r="C442" s="22"/>
      <c r="D442" s="18"/>
      <c r="E442" s="18"/>
      <c r="F442" s="129"/>
      <c r="G442" s="20"/>
      <c r="H442" s="20">
        <v>1</v>
      </c>
      <c r="I442" s="126">
        <f t="shared" si="24"/>
        <v>0</v>
      </c>
      <c r="J442" s="21">
        <f t="shared" si="26"/>
        <v>0</v>
      </c>
      <c r="K442" s="80"/>
      <c r="L442" s="82"/>
      <c r="M442" s="10"/>
      <c r="N442" s="10"/>
      <c r="O442" s="10"/>
      <c r="P442" s="10"/>
      <c r="Q442" s="43"/>
      <c r="R442" s="10"/>
      <c r="T442" s="10"/>
    </row>
    <row r="443" spans="2:20" s="1" customFormat="1" ht="12.95" customHeight="1" x14ac:dyDescent="0.15">
      <c r="B443" s="16">
        <v>6</v>
      </c>
      <c r="C443" s="22"/>
      <c r="D443" s="18"/>
      <c r="E443" s="18"/>
      <c r="F443" s="129"/>
      <c r="G443" s="20"/>
      <c r="H443" s="20">
        <v>1</v>
      </c>
      <c r="I443" s="126">
        <f t="shared" si="24"/>
        <v>0</v>
      </c>
      <c r="J443" s="21">
        <f t="shared" si="26"/>
        <v>0</v>
      </c>
      <c r="K443" s="80"/>
      <c r="L443" s="82"/>
      <c r="M443" s="10"/>
      <c r="N443" s="10"/>
      <c r="O443" s="10"/>
      <c r="P443" s="10"/>
      <c r="Q443" s="43"/>
      <c r="R443" s="10"/>
      <c r="T443" s="10"/>
    </row>
    <row r="444" spans="2:20" s="1" customFormat="1" ht="12.95" customHeight="1" x14ac:dyDescent="0.15">
      <c r="B444" s="16">
        <v>7</v>
      </c>
      <c r="C444" s="22"/>
      <c r="D444" s="18"/>
      <c r="E444" s="18"/>
      <c r="F444" s="129"/>
      <c r="G444" s="20"/>
      <c r="H444" s="20">
        <v>1</v>
      </c>
      <c r="I444" s="126">
        <f t="shared" si="24"/>
        <v>0</v>
      </c>
      <c r="J444" s="21">
        <f t="shared" si="26"/>
        <v>0</v>
      </c>
      <c r="K444" s="80"/>
      <c r="L444" s="82"/>
      <c r="M444" s="10"/>
      <c r="N444" s="10"/>
      <c r="O444" s="10"/>
      <c r="P444" s="10"/>
      <c r="Q444" s="43"/>
      <c r="R444" s="10"/>
      <c r="T444" s="10"/>
    </row>
    <row r="445" spans="2:20" s="1" customFormat="1" ht="12.95" customHeight="1" x14ac:dyDescent="0.15">
      <c r="B445" s="16">
        <v>8</v>
      </c>
      <c r="C445" s="22"/>
      <c r="D445" s="18"/>
      <c r="E445" s="18"/>
      <c r="F445" s="129"/>
      <c r="G445" s="20"/>
      <c r="H445" s="20">
        <v>1</v>
      </c>
      <c r="I445" s="126">
        <f t="shared" si="24"/>
        <v>0</v>
      </c>
      <c r="J445" s="21">
        <f t="shared" si="26"/>
        <v>0</v>
      </c>
      <c r="K445" s="80"/>
      <c r="L445" s="82"/>
      <c r="M445" s="10"/>
      <c r="N445" s="10"/>
      <c r="O445" s="10"/>
      <c r="P445" s="10"/>
      <c r="Q445" s="43"/>
      <c r="R445" s="10"/>
      <c r="T445" s="10"/>
    </row>
    <row r="446" spans="2:20" s="1" customFormat="1" ht="12.95" customHeight="1" x14ac:dyDescent="0.15">
      <c r="B446" s="16">
        <v>9</v>
      </c>
      <c r="C446" s="22"/>
      <c r="D446" s="18"/>
      <c r="E446" s="18"/>
      <c r="F446" s="129"/>
      <c r="G446" s="20"/>
      <c r="H446" s="20">
        <v>1</v>
      </c>
      <c r="I446" s="126">
        <f t="shared" si="24"/>
        <v>0</v>
      </c>
      <c r="J446" s="21">
        <f t="shared" si="26"/>
        <v>0</v>
      </c>
      <c r="K446" s="80"/>
      <c r="L446" s="82"/>
      <c r="M446" s="10"/>
      <c r="N446" s="10"/>
      <c r="O446" s="10"/>
      <c r="P446" s="10"/>
      <c r="Q446" s="43"/>
      <c r="R446" s="10"/>
      <c r="T446" s="10"/>
    </row>
    <row r="447" spans="2:20" s="1" customFormat="1" ht="12.95" customHeight="1" x14ac:dyDescent="0.15">
      <c r="B447" s="16">
        <v>10</v>
      </c>
      <c r="C447" s="22"/>
      <c r="D447" s="18"/>
      <c r="E447" s="18"/>
      <c r="F447" s="129"/>
      <c r="G447" s="20"/>
      <c r="H447" s="20">
        <v>1</v>
      </c>
      <c r="I447" s="126">
        <f t="shared" si="24"/>
        <v>0</v>
      </c>
      <c r="J447" s="21">
        <f t="shared" si="26"/>
        <v>0</v>
      </c>
      <c r="K447" s="80"/>
      <c r="L447" s="82"/>
      <c r="M447" s="10"/>
      <c r="N447" s="10"/>
      <c r="O447" s="10"/>
      <c r="P447" s="10"/>
      <c r="Q447" s="43"/>
      <c r="R447" s="10"/>
      <c r="T447" s="10"/>
    </row>
    <row r="448" spans="2:20" s="1" customFormat="1" ht="12.95" customHeight="1" x14ac:dyDescent="0.15">
      <c r="B448" s="16">
        <v>11</v>
      </c>
      <c r="C448" s="22"/>
      <c r="D448" s="18"/>
      <c r="E448" s="18"/>
      <c r="F448" s="129"/>
      <c r="G448" s="20"/>
      <c r="H448" s="20">
        <v>1</v>
      </c>
      <c r="I448" s="126">
        <f t="shared" si="24"/>
        <v>0</v>
      </c>
      <c r="J448" s="21">
        <f t="shared" si="26"/>
        <v>0</v>
      </c>
      <c r="K448" s="80"/>
      <c r="L448" s="82"/>
      <c r="M448" s="10"/>
      <c r="N448" s="10"/>
      <c r="O448" s="10"/>
      <c r="P448" s="10"/>
      <c r="Q448" s="43"/>
      <c r="R448" s="10"/>
      <c r="T448" s="10"/>
    </row>
    <row r="449" spans="2:20" s="1" customFormat="1" ht="12.95" customHeight="1" x14ac:dyDescent="0.2">
      <c r="B449" s="16">
        <v>12</v>
      </c>
      <c r="C449" s="45"/>
      <c r="D449" s="18"/>
      <c r="E449" s="18"/>
      <c r="F449" s="51"/>
      <c r="G449" s="20"/>
      <c r="H449" s="20">
        <v>1</v>
      </c>
      <c r="I449" s="126">
        <f t="shared" si="24"/>
        <v>0</v>
      </c>
      <c r="J449" s="21">
        <f t="shared" si="26"/>
        <v>0</v>
      </c>
      <c r="K449" s="80"/>
      <c r="L449" s="82"/>
      <c r="N449" s="10"/>
      <c r="O449" s="10"/>
      <c r="P449" s="10"/>
      <c r="Q449" s="43"/>
      <c r="R449" s="10"/>
      <c r="T449" s="10"/>
    </row>
    <row r="450" spans="2:20" s="1" customFormat="1" ht="12.95" customHeight="1" x14ac:dyDescent="0.2">
      <c r="B450" s="16">
        <v>13</v>
      </c>
      <c r="C450" s="45"/>
      <c r="D450" s="18"/>
      <c r="E450" s="18"/>
      <c r="F450" s="51"/>
      <c r="G450" s="20"/>
      <c r="H450" s="20">
        <v>1</v>
      </c>
      <c r="I450" s="126">
        <f t="shared" si="24"/>
        <v>0</v>
      </c>
      <c r="J450" s="21">
        <f t="shared" si="26"/>
        <v>0</v>
      </c>
      <c r="K450" s="80"/>
      <c r="L450" s="82"/>
      <c r="N450" s="10"/>
      <c r="O450" s="10"/>
      <c r="P450" s="10"/>
      <c r="Q450" s="43"/>
      <c r="R450" s="10"/>
      <c r="T450" s="10"/>
    </row>
    <row r="451" spans="2:20" s="1" customFormat="1" ht="12.95" customHeight="1" x14ac:dyDescent="0.2">
      <c r="B451" s="16">
        <v>14</v>
      </c>
      <c r="C451" s="45"/>
      <c r="D451" s="18"/>
      <c r="E451" s="18"/>
      <c r="F451" s="51"/>
      <c r="G451" s="20"/>
      <c r="H451" s="20">
        <v>1</v>
      </c>
      <c r="I451" s="126">
        <f t="shared" si="24"/>
        <v>0</v>
      </c>
      <c r="J451" s="21">
        <f t="shared" si="26"/>
        <v>0</v>
      </c>
      <c r="K451" s="80"/>
      <c r="L451" s="82"/>
      <c r="N451" s="10"/>
      <c r="O451" s="10"/>
      <c r="P451" s="10"/>
      <c r="Q451" s="43"/>
      <c r="R451" s="10"/>
      <c r="T451" s="10"/>
    </row>
    <row r="452" spans="2:20" s="1" customFormat="1" ht="12.95" customHeight="1" x14ac:dyDescent="0.2">
      <c r="B452" s="16">
        <v>15</v>
      </c>
      <c r="C452" s="45"/>
      <c r="D452" s="18"/>
      <c r="E452" s="18"/>
      <c r="F452" s="51"/>
      <c r="G452" s="20"/>
      <c r="H452" s="20">
        <v>1</v>
      </c>
      <c r="I452" s="126">
        <f t="shared" si="24"/>
        <v>0</v>
      </c>
      <c r="J452" s="21">
        <f t="shared" si="26"/>
        <v>0</v>
      </c>
      <c r="K452" s="80"/>
      <c r="L452" s="82"/>
      <c r="N452" s="10"/>
      <c r="O452" s="10"/>
      <c r="P452" s="10"/>
      <c r="Q452" s="43"/>
      <c r="R452" s="10"/>
      <c r="T452" s="10"/>
    </row>
    <row r="453" spans="2:20" s="1" customFormat="1" ht="12.95" customHeight="1" x14ac:dyDescent="0.2">
      <c r="B453" s="16">
        <v>16</v>
      </c>
      <c r="C453" s="45"/>
      <c r="D453" s="18"/>
      <c r="E453" s="18"/>
      <c r="F453" s="51"/>
      <c r="G453" s="20"/>
      <c r="H453" s="20">
        <v>1</v>
      </c>
      <c r="I453" s="126">
        <f t="shared" si="24"/>
        <v>0</v>
      </c>
      <c r="J453" s="21">
        <f t="shared" si="26"/>
        <v>0</v>
      </c>
      <c r="K453" s="80"/>
      <c r="L453" s="82"/>
      <c r="N453" s="10"/>
      <c r="O453" s="10"/>
      <c r="P453" s="10"/>
      <c r="Q453" s="43"/>
      <c r="R453" s="10"/>
      <c r="T453" s="10"/>
    </row>
    <row r="454" spans="2:20" s="1" customFormat="1" ht="12.95" customHeight="1" x14ac:dyDescent="0.2">
      <c r="B454" s="16">
        <v>17</v>
      </c>
      <c r="C454" s="45"/>
      <c r="D454" s="18"/>
      <c r="E454" s="18"/>
      <c r="F454" s="51"/>
      <c r="G454" s="20"/>
      <c r="H454" s="20">
        <v>1</v>
      </c>
      <c r="I454" s="126">
        <f t="shared" si="24"/>
        <v>0</v>
      </c>
      <c r="J454" s="21">
        <f t="shared" si="26"/>
        <v>0</v>
      </c>
      <c r="K454" s="80"/>
      <c r="L454" s="82"/>
      <c r="N454" s="10"/>
      <c r="O454" s="10"/>
      <c r="P454" s="10"/>
      <c r="Q454" s="43"/>
      <c r="R454" s="10"/>
      <c r="T454" s="10"/>
    </row>
    <row r="455" spans="2:20" s="1" customFormat="1" ht="12.95" customHeight="1" x14ac:dyDescent="0.2">
      <c r="B455" s="16">
        <v>18</v>
      </c>
      <c r="C455" s="45"/>
      <c r="D455" s="18"/>
      <c r="E455" s="18"/>
      <c r="F455" s="51"/>
      <c r="G455" s="20"/>
      <c r="H455" s="20">
        <v>1</v>
      </c>
      <c r="I455" s="126">
        <f t="shared" si="24"/>
        <v>0</v>
      </c>
      <c r="J455" s="21">
        <f t="shared" si="26"/>
        <v>0</v>
      </c>
      <c r="K455" s="80"/>
      <c r="L455" s="82"/>
      <c r="N455" s="10"/>
      <c r="O455" s="10"/>
      <c r="P455" s="10"/>
      <c r="Q455" s="43"/>
      <c r="R455" s="10"/>
      <c r="T455" s="10"/>
    </row>
    <row r="456" spans="2:20" s="1" customFormat="1" ht="12.95" customHeight="1" x14ac:dyDescent="0.2">
      <c r="B456" s="16">
        <v>19</v>
      </c>
      <c r="C456" s="45"/>
      <c r="D456" s="18"/>
      <c r="E456" s="18"/>
      <c r="F456" s="51"/>
      <c r="G456" s="20"/>
      <c r="H456" s="20">
        <v>1</v>
      </c>
      <c r="I456" s="126">
        <f t="shared" si="24"/>
        <v>0</v>
      </c>
      <c r="J456" s="78">
        <f t="shared" si="26"/>
        <v>0</v>
      </c>
      <c r="K456" s="111"/>
      <c r="L456" s="119"/>
      <c r="N456" s="10"/>
      <c r="O456" s="10"/>
      <c r="P456" s="10"/>
      <c r="Q456" s="43"/>
      <c r="R456" s="10"/>
      <c r="T456" s="10"/>
    </row>
    <row r="457" spans="2:20" s="1" customFormat="1" ht="12.95" customHeight="1" x14ac:dyDescent="0.2">
      <c r="B457" s="16">
        <v>20</v>
      </c>
      <c r="C457" s="45"/>
      <c r="D457" s="18"/>
      <c r="E457" s="18"/>
      <c r="F457" s="51"/>
      <c r="G457" s="20"/>
      <c r="H457" s="20">
        <v>1</v>
      </c>
      <c r="I457" s="254">
        <f t="shared" si="24"/>
        <v>0</v>
      </c>
      <c r="J457" s="94">
        <f t="shared" si="26"/>
        <v>0</v>
      </c>
      <c r="K457" s="82"/>
      <c r="L457" s="82"/>
      <c r="N457" s="10"/>
      <c r="O457" s="10"/>
      <c r="P457" s="10"/>
      <c r="Q457" s="43"/>
      <c r="R457" s="10"/>
      <c r="T457" s="10"/>
    </row>
    <row r="458" spans="2:20" s="1" customFormat="1" ht="12.95" customHeight="1" x14ac:dyDescent="0.2">
      <c r="B458" s="83"/>
      <c r="C458" s="171"/>
      <c r="D458" s="75"/>
      <c r="E458" s="75"/>
      <c r="F458" s="172"/>
      <c r="G458" s="77"/>
      <c r="H458" s="77"/>
      <c r="I458" s="255"/>
      <c r="J458" s="94"/>
      <c r="K458" s="82"/>
      <c r="L458" s="82"/>
      <c r="N458" s="10"/>
      <c r="O458" s="10"/>
      <c r="P458" s="10"/>
      <c r="Q458" s="43"/>
      <c r="R458" s="10"/>
      <c r="T458" s="10"/>
    </row>
    <row r="459" spans="2:20" s="1" customFormat="1" ht="12.95" customHeight="1" x14ac:dyDescent="0.15">
      <c r="B459" s="82"/>
      <c r="C459" s="102"/>
      <c r="D459" s="103"/>
      <c r="E459" s="102"/>
      <c r="F459" s="128">
        <f>SUM(F399:F458)</f>
        <v>0</v>
      </c>
      <c r="G459" s="104"/>
      <c r="H459" s="105"/>
      <c r="I459" s="256">
        <f>SUM(I400:I458)</f>
        <v>0</v>
      </c>
      <c r="J459" s="257">
        <f>SUM(J399:J458)</f>
        <v>0</v>
      </c>
    </row>
    <row r="460" spans="2:20" s="67" customFormat="1" ht="12.95" customHeight="1" x14ac:dyDescent="0.15">
      <c r="B460" s="116"/>
      <c r="C460" s="114"/>
      <c r="D460" s="114"/>
      <c r="E460" s="114" t="s">
        <v>147</v>
      </c>
      <c r="F460" s="162">
        <f>100/115*F459</f>
        <v>0</v>
      </c>
      <c r="G460" s="114"/>
      <c r="H460" s="114" t="s">
        <v>147</v>
      </c>
      <c r="I460" s="264">
        <f>100/115*I459</f>
        <v>0</v>
      </c>
      <c r="J460" s="114"/>
    </row>
    <row r="461" spans="2:20" s="1" customFormat="1" ht="12.95" customHeight="1" x14ac:dyDescent="0.15"/>
    <row r="462" spans="2:20" s="1" customFormat="1" ht="12.95" customHeight="1" x14ac:dyDescent="0.15"/>
    <row r="463" spans="2:20" s="1" customFormat="1" ht="12.95" customHeight="1" x14ac:dyDescent="0.15"/>
    <row r="464" spans="2:20" s="1" customFormat="1" ht="12.95" customHeight="1" x14ac:dyDescent="0.15"/>
    <row r="465" spans="2:12" s="247" customFormat="1" ht="32.25" x14ac:dyDescent="0.4">
      <c r="B465" s="248"/>
      <c r="C465" s="380" t="s">
        <v>112</v>
      </c>
      <c r="D465" s="380"/>
      <c r="E465" s="400" t="s">
        <v>161</v>
      </c>
      <c r="F465" s="401"/>
      <c r="G465" s="401"/>
      <c r="H465" s="401"/>
      <c r="I465" s="402"/>
      <c r="J465" s="407">
        <v>2026</v>
      </c>
      <c r="K465" s="408"/>
      <c r="L465" s="409"/>
    </row>
    <row r="466" spans="2:12" s="1" customFormat="1" ht="42" customHeight="1" x14ac:dyDescent="0.15">
      <c r="B466" s="82"/>
      <c r="C466" s="102" t="s">
        <v>114</v>
      </c>
      <c r="D466" s="388" t="s">
        <v>115</v>
      </c>
      <c r="E466" s="388"/>
      <c r="F466" s="102" t="s">
        <v>116</v>
      </c>
      <c r="G466" s="102" t="s">
        <v>117</v>
      </c>
      <c r="H466" s="102" t="s">
        <v>118</v>
      </c>
      <c r="I466" s="173" t="s">
        <v>119</v>
      </c>
      <c r="J466" s="102" t="s">
        <v>120</v>
      </c>
      <c r="K466" s="82"/>
      <c r="L466" s="82"/>
    </row>
    <row r="467" spans="2:12" s="1" customFormat="1" ht="12.95" customHeight="1" x14ac:dyDescent="0.15">
      <c r="B467" s="84"/>
      <c r="C467" s="149">
        <f>C397</f>
        <v>350</v>
      </c>
      <c r="D467" s="412">
        <v>21</v>
      </c>
      <c r="E467" s="412"/>
      <c r="F467" s="146">
        <f>F397</f>
        <v>0.85</v>
      </c>
      <c r="G467" s="147">
        <f>G397</f>
        <v>8</v>
      </c>
      <c r="H467" s="148">
        <f>D467*G467*F467</f>
        <v>142.79999999999998</v>
      </c>
      <c r="I467" s="149">
        <f>I529</f>
        <v>0</v>
      </c>
      <c r="J467" s="150">
        <f>H467-J529</f>
        <v>142.79999999999998</v>
      </c>
      <c r="K467" s="79"/>
      <c r="L467" s="120"/>
    </row>
    <row r="468" spans="2:12" s="1" customFormat="1" ht="69.95" customHeight="1" x14ac:dyDescent="0.15">
      <c r="B468" s="16"/>
      <c r="C468" s="22" t="s">
        <v>121</v>
      </c>
      <c r="D468" s="413" t="s">
        <v>122</v>
      </c>
      <c r="E468" s="413"/>
      <c r="F468" s="33" t="s">
        <v>123</v>
      </c>
      <c r="G468" s="34" t="s">
        <v>124</v>
      </c>
      <c r="H468" s="35" t="s">
        <v>125</v>
      </c>
      <c r="I468" s="125" t="s">
        <v>126</v>
      </c>
      <c r="J468" s="34" t="s">
        <v>127</v>
      </c>
      <c r="K468" s="107" t="s">
        <v>128</v>
      </c>
      <c r="L468" s="123" t="s">
        <v>129</v>
      </c>
    </row>
    <row r="469" spans="2:12" s="1" customFormat="1" ht="12.75" customHeight="1" x14ac:dyDescent="0.15">
      <c r="B469" s="83"/>
      <c r="C469" s="159"/>
      <c r="D469" s="164"/>
      <c r="E469" s="164"/>
      <c r="F469" s="76"/>
      <c r="G469" s="20"/>
      <c r="H469" s="20"/>
      <c r="I469" s="126"/>
      <c r="J469" s="38"/>
      <c r="K469" s="80"/>
      <c r="L469" s="82"/>
    </row>
    <row r="470" spans="2:12" s="1" customFormat="1" ht="12.75" x14ac:dyDescent="0.15">
      <c r="B470" s="82"/>
      <c r="C470" s="392" t="s">
        <v>130</v>
      </c>
      <c r="D470" s="392"/>
      <c r="E470" s="392"/>
      <c r="F470" s="168"/>
      <c r="G470" s="163"/>
      <c r="H470" s="20"/>
      <c r="I470" s="126"/>
      <c r="J470" s="21"/>
      <c r="K470" s="80"/>
      <c r="L470" s="82"/>
    </row>
    <row r="471" spans="2:12" s="1" customFormat="1" ht="12.95" customHeight="1" x14ac:dyDescent="0.15">
      <c r="B471" s="82"/>
      <c r="C471" s="116" t="s">
        <v>149</v>
      </c>
      <c r="D471" s="169"/>
      <c r="E471" s="169"/>
      <c r="F471" s="168"/>
      <c r="G471" s="163"/>
      <c r="H471" s="20"/>
      <c r="I471" s="126"/>
      <c r="J471" s="38"/>
      <c r="K471" s="80"/>
      <c r="L471" s="82"/>
    </row>
    <row r="472" spans="2:12" s="1" customFormat="1" ht="12.95" customHeight="1" x14ac:dyDescent="0.15">
      <c r="B472" s="82">
        <v>1</v>
      </c>
      <c r="C472" s="89"/>
      <c r="D472" s="169"/>
      <c r="E472" s="169"/>
      <c r="F472" s="168"/>
      <c r="G472" s="163"/>
      <c r="H472" s="20">
        <v>1</v>
      </c>
      <c r="I472" s="129">
        <f t="shared" ref="I472:I504" si="27">J472*$C$32</f>
        <v>0</v>
      </c>
      <c r="J472" s="52">
        <f t="shared" ref="J472:J485" si="28">(F472*G472*H472)/$C$32</f>
        <v>0</v>
      </c>
      <c r="K472" s="80"/>
      <c r="L472" s="82"/>
    </row>
    <row r="473" spans="2:12" s="1" customFormat="1" ht="12.95" customHeight="1" x14ac:dyDescent="0.15">
      <c r="B473" s="82">
        <v>2</v>
      </c>
      <c r="C473" s="89"/>
      <c r="D473" s="169"/>
      <c r="E473" s="169"/>
      <c r="F473" s="168"/>
      <c r="G473" s="163"/>
      <c r="H473" s="20">
        <v>1</v>
      </c>
      <c r="I473" s="129">
        <f t="shared" si="27"/>
        <v>0</v>
      </c>
      <c r="J473" s="52">
        <f t="shared" si="28"/>
        <v>0</v>
      </c>
      <c r="K473" s="80"/>
      <c r="L473" s="82"/>
    </row>
    <row r="474" spans="2:12" s="1" customFormat="1" ht="12.95" customHeight="1" x14ac:dyDescent="0.15">
      <c r="B474" s="82">
        <v>3</v>
      </c>
      <c r="C474" s="89"/>
      <c r="D474" s="169"/>
      <c r="E474" s="169"/>
      <c r="F474" s="168"/>
      <c r="G474" s="163"/>
      <c r="H474" s="20">
        <v>1</v>
      </c>
      <c r="I474" s="129">
        <f t="shared" si="27"/>
        <v>0</v>
      </c>
      <c r="J474" s="52">
        <f t="shared" si="28"/>
        <v>0</v>
      </c>
      <c r="K474" s="80"/>
      <c r="L474" s="82"/>
    </row>
    <row r="475" spans="2:12" s="1" customFormat="1" ht="12.95" customHeight="1" x14ac:dyDescent="0.15">
      <c r="B475" s="82">
        <v>4</v>
      </c>
      <c r="C475" s="82"/>
      <c r="D475" s="90"/>
      <c r="E475" s="90"/>
      <c r="F475" s="168"/>
      <c r="G475" s="163"/>
      <c r="H475" s="20">
        <v>1</v>
      </c>
      <c r="I475" s="129">
        <f t="shared" si="27"/>
        <v>0</v>
      </c>
      <c r="J475" s="52">
        <f t="shared" si="28"/>
        <v>0</v>
      </c>
      <c r="K475" s="80"/>
      <c r="L475" s="82"/>
    </row>
    <row r="476" spans="2:12" s="1" customFormat="1" ht="12.95" customHeight="1" x14ac:dyDescent="0.15">
      <c r="B476" s="82">
        <v>5</v>
      </c>
      <c r="C476" s="89"/>
      <c r="D476" s="170"/>
      <c r="E476" s="170"/>
      <c r="F476" s="168"/>
      <c r="G476" s="163"/>
      <c r="H476" s="20">
        <v>1</v>
      </c>
      <c r="I476" s="129">
        <f t="shared" si="27"/>
        <v>0</v>
      </c>
      <c r="J476" s="27">
        <f t="shared" si="28"/>
        <v>0</v>
      </c>
      <c r="K476" s="80"/>
      <c r="L476" s="82"/>
    </row>
    <row r="477" spans="2:12" s="1" customFormat="1" ht="12.95" customHeight="1" x14ac:dyDescent="0.15">
      <c r="B477" s="82">
        <v>6</v>
      </c>
      <c r="C477" s="89"/>
      <c r="D477" s="169"/>
      <c r="E477" s="169"/>
      <c r="F477" s="168"/>
      <c r="G477" s="163"/>
      <c r="H477" s="20">
        <v>1</v>
      </c>
      <c r="I477" s="129">
        <f t="shared" si="27"/>
        <v>0</v>
      </c>
      <c r="J477" s="52">
        <f t="shared" si="28"/>
        <v>0</v>
      </c>
      <c r="K477" s="80"/>
      <c r="L477" s="82"/>
    </row>
    <row r="478" spans="2:12" s="1" customFormat="1" ht="12.95" customHeight="1" x14ac:dyDescent="0.15">
      <c r="B478" s="82">
        <v>7</v>
      </c>
      <c r="C478" s="89"/>
      <c r="D478" s="167"/>
      <c r="E478" s="167"/>
      <c r="F478" s="168"/>
      <c r="G478" s="163"/>
      <c r="H478" s="20">
        <v>1</v>
      </c>
      <c r="I478" s="129">
        <f t="shared" si="27"/>
        <v>0</v>
      </c>
      <c r="J478" s="27">
        <f t="shared" si="28"/>
        <v>0</v>
      </c>
      <c r="K478" s="80"/>
      <c r="L478" s="82"/>
    </row>
    <row r="479" spans="2:12" s="1" customFormat="1" ht="12.95" customHeight="1" x14ac:dyDescent="0.15">
      <c r="B479" s="84">
        <v>8</v>
      </c>
      <c r="C479" s="81"/>
      <c r="D479" s="85"/>
      <c r="E479" s="165"/>
      <c r="F479" s="166"/>
      <c r="G479" s="20"/>
      <c r="H479" s="20">
        <v>1</v>
      </c>
      <c r="I479" s="129">
        <f t="shared" si="27"/>
        <v>0</v>
      </c>
      <c r="J479" s="52">
        <f t="shared" si="28"/>
        <v>0</v>
      </c>
      <c r="K479" s="80"/>
      <c r="L479" s="82"/>
    </row>
    <row r="480" spans="2:12" s="1" customFormat="1" ht="12.95" customHeight="1" x14ac:dyDescent="0.15">
      <c r="B480" s="16">
        <v>9</v>
      </c>
      <c r="C480" s="17"/>
      <c r="D480" s="18"/>
      <c r="E480" s="24"/>
      <c r="F480" s="129"/>
      <c r="G480" s="20"/>
      <c r="H480" s="20">
        <v>1</v>
      </c>
      <c r="I480" s="129">
        <f t="shared" si="27"/>
        <v>0</v>
      </c>
      <c r="J480" s="52">
        <f t="shared" si="28"/>
        <v>0</v>
      </c>
      <c r="K480" s="80"/>
      <c r="L480" s="82"/>
    </row>
    <row r="481" spans="2:20" s="1" customFormat="1" ht="12.95" customHeight="1" x14ac:dyDescent="0.15">
      <c r="B481" s="16">
        <v>10</v>
      </c>
      <c r="C481" s="17"/>
      <c r="D481" s="24"/>
      <c r="E481" s="18"/>
      <c r="F481" s="129"/>
      <c r="G481" s="20"/>
      <c r="H481" s="20">
        <v>1</v>
      </c>
      <c r="I481" s="129">
        <f t="shared" si="27"/>
        <v>0</v>
      </c>
      <c r="J481" s="52">
        <f t="shared" si="28"/>
        <v>0</v>
      </c>
      <c r="K481" s="80"/>
      <c r="L481" s="82"/>
    </row>
    <row r="482" spans="2:20" s="1" customFormat="1" ht="12.95" customHeight="1" x14ac:dyDescent="0.15">
      <c r="B482" s="16"/>
      <c r="C482" s="17"/>
      <c r="D482" s="24"/>
      <c r="E482" s="18"/>
      <c r="F482" s="129"/>
      <c r="G482" s="20"/>
      <c r="H482" s="20"/>
      <c r="I482" s="129"/>
      <c r="J482" s="52"/>
      <c r="K482" s="80"/>
      <c r="L482" s="82"/>
    </row>
    <row r="483" spans="2:20" s="1" customFormat="1" ht="12.95" customHeight="1" x14ac:dyDescent="0.15">
      <c r="B483" s="16"/>
      <c r="C483" s="17"/>
      <c r="D483" s="24"/>
      <c r="E483" s="18"/>
      <c r="F483" s="129"/>
      <c r="G483" s="20"/>
      <c r="H483" s="20"/>
      <c r="I483" s="129"/>
      <c r="J483" s="52"/>
      <c r="K483" s="80"/>
      <c r="L483" s="82"/>
    </row>
    <row r="484" spans="2:20" s="1" customFormat="1" ht="12.95" customHeight="1" x14ac:dyDescent="0.15">
      <c r="B484" s="16"/>
      <c r="C484" s="22" t="s">
        <v>153</v>
      </c>
      <c r="D484" s="24"/>
      <c r="E484" s="18"/>
      <c r="F484" s="129"/>
      <c r="G484" s="20"/>
      <c r="H484" s="20"/>
      <c r="I484" s="129"/>
      <c r="J484" s="52"/>
      <c r="K484" s="80"/>
      <c r="L484" s="82"/>
    </row>
    <row r="485" spans="2:20" s="1" customFormat="1" ht="12.95" customHeight="1" x14ac:dyDescent="0.15">
      <c r="B485" s="16">
        <v>1</v>
      </c>
      <c r="C485" s="17"/>
      <c r="D485" s="24"/>
      <c r="E485" s="24"/>
      <c r="F485" s="129"/>
      <c r="G485" s="20"/>
      <c r="H485" s="20">
        <v>1</v>
      </c>
      <c r="I485" s="129">
        <f t="shared" si="27"/>
        <v>0</v>
      </c>
      <c r="J485" s="52">
        <f t="shared" si="28"/>
        <v>0</v>
      </c>
      <c r="K485" s="80"/>
      <c r="L485" s="82"/>
    </row>
    <row r="486" spans="2:20" s="1" customFormat="1" ht="12.95" customHeight="1" x14ac:dyDescent="0.15">
      <c r="B486" s="16">
        <v>2</v>
      </c>
      <c r="C486" s="17"/>
      <c r="D486" s="24"/>
      <c r="E486" s="24"/>
      <c r="F486" s="129"/>
      <c r="G486" s="20"/>
      <c r="H486" s="20">
        <v>1</v>
      </c>
      <c r="I486" s="129">
        <f t="shared" si="27"/>
        <v>0</v>
      </c>
      <c r="J486" s="52">
        <f>(F486*G486*H486)/$C$32</f>
        <v>0</v>
      </c>
      <c r="K486" s="80"/>
      <c r="L486" s="82"/>
    </row>
    <row r="487" spans="2:20" s="1" customFormat="1" ht="12.95" customHeight="1" x14ac:dyDescent="0.15">
      <c r="B487" s="16">
        <v>3</v>
      </c>
      <c r="C487" s="24"/>
      <c r="D487" s="24"/>
      <c r="E487" s="24"/>
      <c r="F487" s="129"/>
      <c r="G487" s="20"/>
      <c r="H487" s="20">
        <v>1</v>
      </c>
      <c r="I487" s="129">
        <f t="shared" si="27"/>
        <v>0</v>
      </c>
      <c r="J487" s="52">
        <f>(F487*G487*H487)/$C$32</f>
        <v>0</v>
      </c>
      <c r="K487" s="80"/>
      <c r="L487" s="82"/>
    </row>
    <row r="488" spans="2:20" s="1" customFormat="1" ht="12.95" customHeight="1" x14ac:dyDescent="0.15">
      <c r="B488" s="16">
        <v>4</v>
      </c>
      <c r="C488" s="24"/>
      <c r="D488" s="18"/>
      <c r="E488" s="18"/>
      <c r="F488" s="129"/>
      <c r="G488" s="20"/>
      <c r="H488" s="20">
        <v>1</v>
      </c>
      <c r="I488" s="129">
        <f t="shared" si="27"/>
        <v>0</v>
      </c>
      <c r="J488" s="27">
        <f t="shared" ref="J488:J514" si="29">(F488*G488*H488)/$C$32</f>
        <v>0</v>
      </c>
      <c r="K488" s="80"/>
      <c r="L488" s="82"/>
      <c r="M488" s="10"/>
      <c r="N488" s="10"/>
      <c r="O488" s="10"/>
      <c r="P488" s="10"/>
      <c r="Q488" s="43"/>
      <c r="R488" s="10"/>
      <c r="T488" s="10"/>
    </row>
    <row r="489" spans="2:20" s="1" customFormat="1" ht="12.95" customHeight="1" x14ac:dyDescent="0.15">
      <c r="B489" s="16">
        <v>5</v>
      </c>
      <c r="C489" s="24"/>
      <c r="D489" s="24"/>
      <c r="E489" s="24"/>
      <c r="F489" s="129"/>
      <c r="G489" s="20"/>
      <c r="H489" s="20">
        <v>1</v>
      </c>
      <c r="I489" s="129">
        <f t="shared" si="27"/>
        <v>0</v>
      </c>
      <c r="J489" s="52">
        <f t="shared" si="29"/>
        <v>0</v>
      </c>
      <c r="K489" s="80"/>
      <c r="L489" s="82"/>
      <c r="M489" s="39"/>
      <c r="N489" s="40"/>
      <c r="O489" s="40"/>
    </row>
    <row r="490" spans="2:20" s="1" customFormat="1" ht="12.95" customHeight="1" x14ac:dyDescent="0.15">
      <c r="B490" s="16">
        <v>6</v>
      </c>
      <c r="C490" s="17"/>
      <c r="D490" s="18"/>
      <c r="E490" s="18"/>
      <c r="F490" s="129"/>
      <c r="G490" s="20"/>
      <c r="H490" s="20">
        <v>1</v>
      </c>
      <c r="I490" s="129">
        <f>J490*$C$32</f>
        <v>0</v>
      </c>
      <c r="J490" s="27">
        <f t="shared" si="29"/>
        <v>0</v>
      </c>
      <c r="K490" s="80"/>
      <c r="L490" s="82"/>
      <c r="N490" s="10"/>
      <c r="O490" s="10"/>
      <c r="P490" s="10"/>
      <c r="Q490" s="43"/>
      <c r="R490" s="10"/>
      <c r="T490" s="10"/>
    </row>
    <row r="491" spans="2:20" s="1" customFormat="1" ht="12.95" customHeight="1" x14ac:dyDescent="0.15">
      <c r="B491" s="16">
        <v>7</v>
      </c>
      <c r="C491" s="17"/>
      <c r="D491" s="24"/>
      <c r="E491" s="24"/>
      <c r="F491" s="129"/>
      <c r="G491" s="20"/>
      <c r="H491" s="20">
        <v>1</v>
      </c>
      <c r="I491" s="129">
        <f t="shared" si="27"/>
        <v>0</v>
      </c>
      <c r="J491" s="54">
        <f>(F491*G491*H491)/$C$32</f>
        <v>0</v>
      </c>
      <c r="K491" s="80"/>
      <c r="L491" s="82"/>
    </row>
    <row r="492" spans="2:20" s="1" customFormat="1" ht="12.95" customHeight="1" x14ac:dyDescent="0.15">
      <c r="B492" s="16">
        <v>8</v>
      </c>
      <c r="C492" s="17"/>
      <c r="D492" s="24"/>
      <c r="E492" s="24"/>
      <c r="F492" s="129"/>
      <c r="G492" s="20"/>
      <c r="H492" s="20">
        <v>1</v>
      </c>
      <c r="I492" s="129">
        <f>J492*$C$32</f>
        <v>0</v>
      </c>
      <c r="J492" s="54">
        <f>(F492*G492*H492)/$C$32</f>
        <v>0</v>
      </c>
      <c r="K492" s="80"/>
      <c r="L492" s="82"/>
    </row>
    <row r="493" spans="2:20" s="1" customFormat="1" ht="12.95" customHeight="1" x14ac:dyDescent="0.15">
      <c r="B493" s="16">
        <v>9</v>
      </c>
      <c r="C493" s="17"/>
      <c r="D493" s="24"/>
      <c r="E493" s="24"/>
      <c r="F493" s="129"/>
      <c r="G493" s="20"/>
      <c r="H493" s="20">
        <v>1</v>
      </c>
      <c r="I493" s="129">
        <f t="shared" si="27"/>
        <v>0</v>
      </c>
      <c r="J493" s="52">
        <f t="shared" si="29"/>
        <v>0</v>
      </c>
      <c r="K493" s="80"/>
      <c r="L493" s="82"/>
    </row>
    <row r="494" spans="2:20" s="1" customFormat="1" ht="12.95" customHeight="1" x14ac:dyDescent="0.15">
      <c r="B494" s="16">
        <v>10</v>
      </c>
      <c r="C494" s="17"/>
      <c r="D494" s="24"/>
      <c r="E494" s="24"/>
      <c r="F494" s="129"/>
      <c r="G494" s="20"/>
      <c r="H494" s="20">
        <v>1</v>
      </c>
      <c r="I494" s="129">
        <f t="shared" si="27"/>
        <v>0</v>
      </c>
      <c r="J494" s="52">
        <f t="shared" si="29"/>
        <v>0</v>
      </c>
      <c r="K494" s="80"/>
      <c r="L494" s="82"/>
    </row>
    <row r="495" spans="2:20" s="1" customFormat="1" ht="12" customHeight="1" x14ac:dyDescent="0.15">
      <c r="B495" s="16">
        <v>11</v>
      </c>
      <c r="C495" s="17"/>
      <c r="D495" s="24"/>
      <c r="E495" s="24"/>
      <c r="F495" s="129"/>
      <c r="G495" s="20"/>
      <c r="H495" s="20">
        <v>1</v>
      </c>
      <c r="I495" s="129">
        <f t="shared" si="27"/>
        <v>0</v>
      </c>
      <c r="J495" s="52">
        <f t="shared" si="29"/>
        <v>0</v>
      </c>
      <c r="K495" s="80"/>
      <c r="L495" s="82"/>
    </row>
    <row r="496" spans="2:20" s="1" customFormat="1" ht="12.95" customHeight="1" x14ac:dyDescent="0.15">
      <c r="B496" s="16">
        <v>12</v>
      </c>
      <c r="C496" s="17"/>
      <c r="D496" s="24"/>
      <c r="E496" s="24"/>
      <c r="F496" s="129"/>
      <c r="G496" s="20"/>
      <c r="H496" s="20">
        <v>1</v>
      </c>
      <c r="I496" s="129">
        <f t="shared" si="27"/>
        <v>0</v>
      </c>
      <c r="J496" s="52">
        <f t="shared" si="29"/>
        <v>0</v>
      </c>
      <c r="K496" s="80"/>
      <c r="L496" s="82"/>
    </row>
    <row r="497" spans="2:20" s="1" customFormat="1" ht="12.95" customHeight="1" x14ac:dyDescent="0.15">
      <c r="B497" s="16">
        <v>13</v>
      </c>
      <c r="C497" s="17"/>
      <c r="D497" s="18"/>
      <c r="E497" s="18"/>
      <c r="F497" s="129"/>
      <c r="G497" s="20"/>
      <c r="H497" s="20">
        <v>1</v>
      </c>
      <c r="I497" s="129">
        <f t="shared" si="27"/>
        <v>0</v>
      </c>
      <c r="J497" s="52">
        <f t="shared" si="29"/>
        <v>0</v>
      </c>
      <c r="K497" s="80"/>
      <c r="L497" s="82"/>
      <c r="M497" s="10"/>
      <c r="N497" s="10"/>
      <c r="O497" s="10"/>
      <c r="P497" s="10"/>
      <c r="Q497" s="43"/>
      <c r="R497" s="10"/>
      <c r="T497" s="10"/>
    </row>
    <row r="498" spans="2:20" s="1" customFormat="1" ht="12.95" customHeight="1" x14ac:dyDescent="0.15">
      <c r="B498" s="16">
        <v>14</v>
      </c>
      <c r="C498" s="17"/>
      <c r="D498" s="18"/>
      <c r="E498" s="18"/>
      <c r="F498" s="129"/>
      <c r="G498" s="20"/>
      <c r="H498" s="20">
        <v>1</v>
      </c>
      <c r="I498" s="129">
        <f t="shared" si="27"/>
        <v>0</v>
      </c>
      <c r="J498" s="52">
        <f t="shared" si="29"/>
        <v>0</v>
      </c>
      <c r="K498" s="80"/>
      <c r="L498" s="82"/>
      <c r="M498" s="10"/>
      <c r="N498" s="10"/>
      <c r="O498" s="10"/>
      <c r="P498" s="10"/>
      <c r="Q498" s="43"/>
      <c r="R498" s="10"/>
      <c r="T498" s="10"/>
    </row>
    <row r="499" spans="2:20" s="1" customFormat="1" ht="12.95" customHeight="1" x14ac:dyDescent="0.15">
      <c r="B499" s="16">
        <v>15</v>
      </c>
      <c r="C499" s="17"/>
      <c r="D499" s="18"/>
      <c r="E499" s="18"/>
      <c r="F499" s="129"/>
      <c r="G499" s="20"/>
      <c r="H499" s="20">
        <v>1</v>
      </c>
      <c r="I499" s="129">
        <f t="shared" si="27"/>
        <v>0</v>
      </c>
      <c r="J499" s="52">
        <f t="shared" si="29"/>
        <v>0</v>
      </c>
      <c r="K499" s="80"/>
      <c r="L499" s="82"/>
      <c r="M499" s="10"/>
      <c r="N499" s="10"/>
      <c r="O499" s="10"/>
      <c r="P499" s="10"/>
      <c r="Q499" s="43"/>
      <c r="R499" s="10"/>
      <c r="T499" s="10"/>
    </row>
    <row r="500" spans="2:20" s="1" customFormat="1" ht="12.95" customHeight="1" x14ac:dyDescent="0.15">
      <c r="B500" s="16">
        <v>16</v>
      </c>
      <c r="C500" s="17"/>
      <c r="D500" s="18"/>
      <c r="E500" s="18"/>
      <c r="F500" s="129"/>
      <c r="G500" s="20"/>
      <c r="H500" s="20">
        <v>1</v>
      </c>
      <c r="I500" s="129">
        <f t="shared" si="27"/>
        <v>0</v>
      </c>
      <c r="J500" s="52">
        <f t="shared" si="29"/>
        <v>0</v>
      </c>
      <c r="K500" s="80"/>
      <c r="L500" s="82"/>
      <c r="M500" s="10"/>
      <c r="N500" s="10"/>
      <c r="O500" s="10"/>
      <c r="P500" s="10"/>
      <c r="Q500" s="43"/>
      <c r="R500" s="10"/>
      <c r="T500" s="10"/>
    </row>
    <row r="501" spans="2:20" s="1" customFormat="1" ht="12.95" customHeight="1" x14ac:dyDescent="0.15">
      <c r="B501" s="16">
        <v>17</v>
      </c>
      <c r="C501" s="17"/>
      <c r="D501" s="18"/>
      <c r="E501" s="18"/>
      <c r="F501" s="129"/>
      <c r="G501" s="20"/>
      <c r="H501" s="20">
        <v>1</v>
      </c>
      <c r="I501" s="129">
        <f t="shared" si="27"/>
        <v>0</v>
      </c>
      <c r="J501" s="52">
        <f t="shared" si="29"/>
        <v>0</v>
      </c>
      <c r="K501" s="80"/>
      <c r="L501" s="82"/>
      <c r="M501" s="10"/>
      <c r="N501" s="10"/>
      <c r="O501" s="10"/>
      <c r="P501" s="10"/>
      <c r="Q501" s="43"/>
      <c r="R501" s="10"/>
      <c r="T501" s="10"/>
    </row>
    <row r="502" spans="2:20" s="1" customFormat="1" ht="12.95" customHeight="1" x14ac:dyDescent="0.15">
      <c r="B502" s="16">
        <v>18</v>
      </c>
      <c r="C502" s="17"/>
      <c r="D502" s="18"/>
      <c r="E502" s="18"/>
      <c r="F502" s="129"/>
      <c r="G502" s="20"/>
      <c r="H502" s="20">
        <v>1</v>
      </c>
      <c r="I502" s="129">
        <f t="shared" si="27"/>
        <v>0</v>
      </c>
      <c r="J502" s="52">
        <f t="shared" si="29"/>
        <v>0</v>
      </c>
      <c r="K502" s="80"/>
      <c r="L502" s="82"/>
      <c r="M502" s="10"/>
      <c r="N502" s="10"/>
      <c r="O502" s="10"/>
      <c r="P502" s="10"/>
      <c r="Q502" s="43"/>
      <c r="R502" s="10"/>
      <c r="T502" s="10"/>
    </row>
    <row r="503" spans="2:20" s="1" customFormat="1" ht="12.95" customHeight="1" x14ac:dyDescent="0.15">
      <c r="B503" s="16">
        <v>19</v>
      </c>
      <c r="C503" s="17"/>
      <c r="D503" s="18"/>
      <c r="E503" s="18"/>
      <c r="F503" s="129"/>
      <c r="G503" s="20"/>
      <c r="H503" s="20">
        <v>1</v>
      </c>
      <c r="I503" s="129">
        <f t="shared" si="27"/>
        <v>0</v>
      </c>
      <c r="J503" s="52">
        <f t="shared" si="29"/>
        <v>0</v>
      </c>
      <c r="K503" s="80"/>
      <c r="L503" s="82"/>
      <c r="M503" s="10"/>
      <c r="N503" s="10"/>
      <c r="O503" s="10"/>
      <c r="P503" s="10"/>
      <c r="Q503" s="43"/>
      <c r="R503" s="10"/>
      <c r="T503" s="10"/>
    </row>
    <row r="504" spans="2:20" s="1" customFormat="1" ht="12.95" customHeight="1" x14ac:dyDescent="0.15">
      <c r="B504" s="16">
        <v>20</v>
      </c>
      <c r="C504" s="17"/>
      <c r="D504" s="18"/>
      <c r="E504" s="18"/>
      <c r="F504" s="129"/>
      <c r="G504" s="20"/>
      <c r="H504" s="20">
        <v>1</v>
      </c>
      <c r="I504" s="129">
        <f t="shared" si="27"/>
        <v>0</v>
      </c>
      <c r="J504" s="52">
        <f t="shared" si="29"/>
        <v>0</v>
      </c>
      <c r="K504" s="80"/>
      <c r="L504" s="82"/>
      <c r="M504" s="10"/>
      <c r="N504" s="10"/>
      <c r="O504" s="10"/>
      <c r="P504" s="10"/>
      <c r="Q504" s="43"/>
      <c r="R504" s="10"/>
      <c r="T504" s="10"/>
    </row>
    <row r="505" spans="2:20" s="1" customFormat="1" ht="12.95" customHeight="1" x14ac:dyDescent="0.15">
      <c r="B505" s="16"/>
      <c r="C505" s="17"/>
      <c r="D505" s="18"/>
      <c r="E505" s="18"/>
      <c r="F505" s="129"/>
      <c r="G505" s="20"/>
      <c r="H505" s="20"/>
      <c r="I505" s="129"/>
      <c r="J505" s="52"/>
      <c r="K505" s="80"/>
      <c r="L505" s="82"/>
      <c r="M505" s="10"/>
      <c r="N505" s="10"/>
      <c r="O505" s="10"/>
      <c r="P505" s="10"/>
      <c r="Q505" s="43"/>
      <c r="R505" s="10"/>
      <c r="T505" s="10"/>
    </row>
    <row r="506" spans="2:20" s="1" customFormat="1" ht="12.95" customHeight="1" x14ac:dyDescent="0.15">
      <c r="B506" s="16"/>
      <c r="C506" s="17"/>
      <c r="D506" s="18"/>
      <c r="E506" s="18"/>
      <c r="F506" s="129"/>
      <c r="G506" s="20"/>
      <c r="H506" s="20"/>
      <c r="I506" s="129"/>
      <c r="J506" s="52"/>
      <c r="K506" s="80"/>
      <c r="L506" s="82"/>
      <c r="M506" s="10"/>
      <c r="N506" s="10"/>
      <c r="O506" s="10"/>
      <c r="P506" s="10"/>
      <c r="Q506" s="43"/>
      <c r="R506" s="10"/>
      <c r="T506" s="10"/>
    </row>
    <row r="507" spans="2:20" s="1" customFormat="1" ht="12.95" customHeight="1" x14ac:dyDescent="0.15">
      <c r="B507" s="16"/>
      <c r="C507" s="73" t="s">
        <v>132</v>
      </c>
      <c r="D507" s="18"/>
      <c r="E507" s="18"/>
      <c r="F507" s="129"/>
      <c r="G507" s="55"/>
      <c r="H507" s="20"/>
      <c r="I507" s="129"/>
      <c r="J507" s="52"/>
      <c r="K507" s="80"/>
      <c r="L507" s="82"/>
      <c r="N507" s="10"/>
      <c r="O507" s="10"/>
      <c r="P507" s="10"/>
      <c r="Q507" s="43"/>
      <c r="R507" s="10"/>
      <c r="T507" s="10"/>
    </row>
    <row r="508" spans="2:20" s="1" customFormat="1" ht="12.95" customHeight="1" x14ac:dyDescent="0.15">
      <c r="B508" s="16">
        <v>1</v>
      </c>
      <c r="C508" s="45"/>
      <c r="D508" s="18"/>
      <c r="E508" s="18"/>
      <c r="F508" s="129"/>
      <c r="G508" s="20"/>
      <c r="H508" s="20">
        <v>1</v>
      </c>
      <c r="I508" s="129">
        <f>J508*$C$32</f>
        <v>0</v>
      </c>
      <c r="J508" s="52">
        <f t="shared" si="29"/>
        <v>0</v>
      </c>
      <c r="K508" s="80"/>
      <c r="L508" s="82"/>
      <c r="N508" s="10"/>
      <c r="O508" s="10"/>
      <c r="P508" s="10"/>
      <c r="Q508" s="43"/>
      <c r="R508" s="10"/>
      <c r="T508" s="10"/>
    </row>
    <row r="509" spans="2:20" s="1" customFormat="1" ht="12.95" customHeight="1" x14ac:dyDescent="0.15">
      <c r="B509" s="16">
        <v>2</v>
      </c>
      <c r="C509" s="44"/>
      <c r="D509" s="18"/>
      <c r="E509" s="18"/>
      <c r="F509" s="129"/>
      <c r="G509" s="20"/>
      <c r="H509" s="20">
        <v>1</v>
      </c>
      <c r="I509" s="129">
        <f>J509*$C$32</f>
        <v>0</v>
      </c>
      <c r="J509" s="52">
        <f t="shared" si="29"/>
        <v>0</v>
      </c>
      <c r="K509" s="80"/>
      <c r="L509" s="82"/>
      <c r="N509" s="10"/>
      <c r="O509" s="10"/>
      <c r="P509" s="10"/>
      <c r="Q509" s="43"/>
      <c r="R509" s="10"/>
      <c r="T509" s="10"/>
    </row>
    <row r="510" spans="2:20" s="1" customFormat="1" ht="12.95" customHeight="1" x14ac:dyDescent="0.15">
      <c r="B510" s="16">
        <v>3</v>
      </c>
      <c r="C510" s="11"/>
      <c r="D510" s="18"/>
      <c r="E510" s="18"/>
      <c r="F510" s="129"/>
      <c r="G510" s="20"/>
      <c r="H510" s="20">
        <v>1</v>
      </c>
      <c r="I510" s="129">
        <f t="shared" ref="I510:I527" si="30">J510*$C$32</f>
        <v>0</v>
      </c>
      <c r="J510" s="52">
        <f t="shared" si="29"/>
        <v>0</v>
      </c>
      <c r="K510" s="80"/>
      <c r="L510" s="82"/>
      <c r="N510" s="10"/>
      <c r="O510" s="10"/>
      <c r="P510" s="10"/>
      <c r="Q510" s="43"/>
      <c r="R510" s="10"/>
      <c r="T510" s="10"/>
    </row>
    <row r="511" spans="2:20" s="1" customFormat="1" ht="12.95" customHeight="1" x14ac:dyDescent="0.2">
      <c r="B511" s="16">
        <v>4</v>
      </c>
      <c r="C511" s="56"/>
      <c r="D511" s="17"/>
      <c r="E511" s="17"/>
      <c r="F511" s="129"/>
      <c r="G511" s="20"/>
      <c r="H511" s="20">
        <v>1</v>
      </c>
      <c r="I511" s="129">
        <f t="shared" si="30"/>
        <v>0</v>
      </c>
      <c r="J511" s="52">
        <f t="shared" si="29"/>
        <v>0</v>
      </c>
      <c r="K511" s="80"/>
      <c r="L511" s="82"/>
      <c r="M511" s="10"/>
      <c r="N511" s="10"/>
      <c r="O511" s="10"/>
      <c r="P511" s="10"/>
      <c r="Q511" s="43"/>
      <c r="R511" s="10"/>
      <c r="T511" s="10"/>
    </row>
    <row r="512" spans="2:20" s="1" customFormat="1" ht="12.95" customHeight="1" x14ac:dyDescent="0.15">
      <c r="B512" s="16">
        <v>5</v>
      </c>
      <c r="C512" s="17"/>
      <c r="D512" s="17"/>
      <c r="E512" s="17"/>
      <c r="F512" s="129"/>
      <c r="G512" s="20"/>
      <c r="H512" s="20">
        <v>1</v>
      </c>
      <c r="I512" s="129">
        <f t="shared" si="30"/>
        <v>0</v>
      </c>
      <c r="J512" s="52">
        <f t="shared" si="29"/>
        <v>0</v>
      </c>
      <c r="K512" s="80"/>
      <c r="L512" s="82"/>
      <c r="M512" s="10"/>
      <c r="N512" s="10"/>
      <c r="O512" s="10"/>
      <c r="P512" s="10"/>
      <c r="Q512" s="43"/>
      <c r="R512" s="10"/>
      <c r="T512" s="10"/>
    </row>
    <row r="513" spans="2:20" s="1" customFormat="1" ht="12.95" customHeight="1" x14ac:dyDescent="0.15">
      <c r="B513" s="16">
        <v>6</v>
      </c>
      <c r="C513" s="17"/>
      <c r="D513" s="17"/>
      <c r="E513" s="17"/>
      <c r="F513" s="129"/>
      <c r="G513" s="20"/>
      <c r="H513" s="20">
        <v>1</v>
      </c>
      <c r="I513" s="129">
        <f t="shared" si="30"/>
        <v>0</v>
      </c>
      <c r="J513" s="52">
        <f t="shared" si="29"/>
        <v>0</v>
      </c>
      <c r="K513" s="80"/>
      <c r="L513" s="82"/>
      <c r="M513" s="10"/>
      <c r="N513" s="10"/>
      <c r="O513" s="10"/>
      <c r="P513" s="10"/>
      <c r="Q513" s="43"/>
      <c r="R513" s="10"/>
      <c r="T513" s="10"/>
    </row>
    <row r="514" spans="2:20" s="1" customFormat="1" ht="12.95" customHeight="1" x14ac:dyDescent="0.15">
      <c r="B514" s="16">
        <v>7</v>
      </c>
      <c r="C514" s="17"/>
      <c r="D514" s="17"/>
      <c r="E514" s="17"/>
      <c r="F514" s="129"/>
      <c r="G514" s="20"/>
      <c r="H514" s="20">
        <v>1</v>
      </c>
      <c r="I514" s="129">
        <f t="shared" si="30"/>
        <v>0</v>
      </c>
      <c r="J514" s="52">
        <f t="shared" si="29"/>
        <v>0</v>
      </c>
      <c r="K514" s="80"/>
      <c r="L514" s="82"/>
      <c r="M514" s="10"/>
      <c r="N514" s="10"/>
      <c r="O514" s="10"/>
      <c r="P514" s="10"/>
      <c r="Q514" s="43"/>
      <c r="R514" s="10"/>
      <c r="T514" s="10"/>
    </row>
    <row r="515" spans="2:20" s="1" customFormat="1" ht="12.95" customHeight="1" x14ac:dyDescent="0.15">
      <c r="B515" s="16">
        <v>8</v>
      </c>
      <c r="C515" s="17"/>
      <c r="D515" s="17"/>
      <c r="E515" s="17"/>
      <c r="F515" s="129"/>
      <c r="G515" s="20"/>
      <c r="H515" s="20">
        <v>1</v>
      </c>
      <c r="I515" s="129">
        <f t="shared" si="30"/>
        <v>0</v>
      </c>
      <c r="J515" s="52">
        <f>(F515*G515*H515)/$C$32</f>
        <v>0</v>
      </c>
      <c r="K515" s="80"/>
      <c r="L515" s="82"/>
    </row>
    <row r="516" spans="2:20" s="1" customFormat="1" ht="12.95" customHeight="1" x14ac:dyDescent="0.15">
      <c r="B516" s="16">
        <v>9</v>
      </c>
      <c r="C516" s="17"/>
      <c r="D516" s="17"/>
      <c r="E516" s="17"/>
      <c r="F516" s="129"/>
      <c r="G516" s="20"/>
      <c r="H516" s="20">
        <v>1</v>
      </c>
      <c r="I516" s="129">
        <f t="shared" si="30"/>
        <v>0</v>
      </c>
      <c r="J516" s="52">
        <f>(F516*G516*H516)/$C$32</f>
        <v>0</v>
      </c>
      <c r="K516" s="80"/>
      <c r="L516" s="82"/>
    </row>
    <row r="517" spans="2:20" s="1" customFormat="1" ht="12.95" customHeight="1" x14ac:dyDescent="0.15">
      <c r="B517" s="16">
        <v>10</v>
      </c>
      <c r="C517" s="17"/>
      <c r="D517" s="17"/>
      <c r="E517" s="17"/>
      <c r="F517" s="129"/>
      <c r="G517" s="20"/>
      <c r="H517" s="20">
        <v>1</v>
      </c>
      <c r="I517" s="129">
        <f t="shared" si="30"/>
        <v>0</v>
      </c>
      <c r="J517" s="52">
        <f t="shared" ref="J517:J527" si="31">(F517*G517*H517)/$C$32</f>
        <v>0</v>
      </c>
      <c r="K517" s="80"/>
      <c r="L517" s="82"/>
      <c r="M517" s="10"/>
      <c r="N517" s="10"/>
      <c r="O517" s="10"/>
      <c r="P517" s="10"/>
      <c r="Q517" s="43"/>
      <c r="R517" s="10"/>
      <c r="T517" s="10"/>
    </row>
    <row r="518" spans="2:20" s="1" customFormat="1" ht="12.95" customHeight="1" x14ac:dyDescent="0.15">
      <c r="B518" s="16">
        <v>11</v>
      </c>
      <c r="C518" s="17"/>
      <c r="D518" s="17"/>
      <c r="E518" s="17"/>
      <c r="F518" s="129"/>
      <c r="G518" s="20"/>
      <c r="H518" s="20">
        <v>1</v>
      </c>
      <c r="I518" s="129">
        <f t="shared" si="30"/>
        <v>0</v>
      </c>
      <c r="J518" s="52">
        <f t="shared" si="31"/>
        <v>0</v>
      </c>
      <c r="K518" s="80"/>
      <c r="L518" s="82"/>
      <c r="M518" s="10"/>
      <c r="N518" s="10"/>
      <c r="O518" s="10"/>
      <c r="P518" s="10"/>
      <c r="Q518" s="43"/>
      <c r="R518" s="10"/>
      <c r="T518" s="10"/>
    </row>
    <row r="519" spans="2:20" s="1" customFormat="1" ht="12.95" customHeight="1" x14ac:dyDescent="0.15">
      <c r="B519" s="16">
        <v>12</v>
      </c>
      <c r="C519" s="17"/>
      <c r="D519" s="17"/>
      <c r="E519" s="17"/>
      <c r="F519" s="129"/>
      <c r="G519" s="20"/>
      <c r="H519" s="20">
        <v>1</v>
      </c>
      <c r="I519" s="129">
        <f t="shared" si="30"/>
        <v>0</v>
      </c>
      <c r="J519" s="52">
        <f t="shared" si="31"/>
        <v>0</v>
      </c>
      <c r="K519" s="80"/>
      <c r="L519" s="82"/>
      <c r="M519" s="10"/>
      <c r="N519" s="10"/>
      <c r="O519" s="10"/>
      <c r="P519" s="10"/>
      <c r="Q519" s="43"/>
      <c r="R519" s="10"/>
      <c r="T519" s="10"/>
    </row>
    <row r="520" spans="2:20" s="1" customFormat="1" ht="12.95" customHeight="1" x14ac:dyDescent="0.15">
      <c r="B520" s="16">
        <v>13</v>
      </c>
      <c r="C520" s="17"/>
      <c r="D520" s="17"/>
      <c r="E520" s="17"/>
      <c r="F520" s="129"/>
      <c r="G520" s="20"/>
      <c r="H520" s="20">
        <v>1</v>
      </c>
      <c r="I520" s="129">
        <f t="shared" si="30"/>
        <v>0</v>
      </c>
      <c r="J520" s="52">
        <f t="shared" si="31"/>
        <v>0</v>
      </c>
      <c r="K520" s="80"/>
      <c r="L520" s="82"/>
      <c r="M520" s="10"/>
      <c r="N520" s="10"/>
      <c r="O520" s="10"/>
      <c r="P520" s="10"/>
      <c r="Q520" s="43"/>
      <c r="R520" s="10"/>
      <c r="T520" s="10"/>
    </row>
    <row r="521" spans="2:20" s="1" customFormat="1" ht="12.95" customHeight="1" x14ac:dyDescent="0.15">
      <c r="B521" s="16">
        <v>14</v>
      </c>
      <c r="C521" s="17"/>
      <c r="D521" s="17"/>
      <c r="E521" s="17"/>
      <c r="F521" s="129"/>
      <c r="G521" s="20"/>
      <c r="H521" s="20">
        <v>1</v>
      </c>
      <c r="I521" s="129">
        <f t="shared" si="30"/>
        <v>0</v>
      </c>
      <c r="J521" s="52">
        <f t="shared" si="31"/>
        <v>0</v>
      </c>
      <c r="K521" s="80"/>
      <c r="L521" s="82"/>
      <c r="M521" s="10"/>
      <c r="N521" s="10"/>
      <c r="O521" s="10"/>
      <c r="P521" s="10"/>
      <c r="Q521" s="43"/>
      <c r="R521" s="10"/>
      <c r="T521" s="10"/>
    </row>
    <row r="522" spans="2:20" s="1" customFormat="1" ht="12.95" customHeight="1" x14ac:dyDescent="0.15">
      <c r="B522" s="16">
        <v>15</v>
      </c>
      <c r="C522" s="17"/>
      <c r="D522" s="17"/>
      <c r="E522" s="17"/>
      <c r="F522" s="129"/>
      <c r="G522" s="20"/>
      <c r="H522" s="20">
        <v>1</v>
      </c>
      <c r="I522" s="129">
        <f t="shared" si="30"/>
        <v>0</v>
      </c>
      <c r="J522" s="52">
        <f t="shared" si="31"/>
        <v>0</v>
      </c>
      <c r="K522" s="80"/>
      <c r="L522" s="82"/>
      <c r="M522" s="10"/>
      <c r="N522" s="10"/>
      <c r="O522" s="10"/>
      <c r="P522" s="10"/>
      <c r="Q522" s="43"/>
      <c r="R522" s="10"/>
      <c r="T522" s="10"/>
    </row>
    <row r="523" spans="2:20" s="1" customFormat="1" ht="12.95" customHeight="1" x14ac:dyDescent="0.15">
      <c r="B523" s="16">
        <v>16</v>
      </c>
      <c r="C523" s="17"/>
      <c r="D523" s="17"/>
      <c r="E523" s="17"/>
      <c r="F523" s="129"/>
      <c r="G523" s="20"/>
      <c r="H523" s="20">
        <v>1</v>
      </c>
      <c r="I523" s="129">
        <f t="shared" si="30"/>
        <v>0</v>
      </c>
      <c r="J523" s="52">
        <f t="shared" si="31"/>
        <v>0</v>
      </c>
      <c r="K523" s="80"/>
      <c r="L523" s="82"/>
      <c r="M523" s="10"/>
      <c r="N523" s="10"/>
      <c r="O523" s="10"/>
      <c r="P523" s="10"/>
      <c r="Q523" s="43"/>
      <c r="R523" s="10"/>
      <c r="T523" s="10"/>
    </row>
    <row r="524" spans="2:20" s="1" customFormat="1" ht="12.95" customHeight="1" x14ac:dyDescent="0.15">
      <c r="B524" s="16">
        <v>17</v>
      </c>
      <c r="C524" s="17"/>
      <c r="D524" s="17"/>
      <c r="E524" s="17"/>
      <c r="F524" s="129"/>
      <c r="G524" s="20"/>
      <c r="H524" s="20">
        <v>1</v>
      </c>
      <c r="I524" s="129">
        <f t="shared" si="30"/>
        <v>0</v>
      </c>
      <c r="J524" s="52">
        <f t="shared" si="31"/>
        <v>0</v>
      </c>
      <c r="K524" s="80"/>
      <c r="L524" s="82"/>
      <c r="M524" s="10"/>
      <c r="N524" s="10"/>
      <c r="O524" s="10"/>
      <c r="P524" s="10"/>
      <c r="Q524" s="43"/>
      <c r="R524" s="10"/>
      <c r="T524" s="10"/>
    </row>
    <row r="525" spans="2:20" s="1" customFormat="1" ht="12.95" customHeight="1" x14ac:dyDescent="0.15">
      <c r="B525" s="16">
        <v>18</v>
      </c>
      <c r="C525" s="17"/>
      <c r="D525" s="17"/>
      <c r="E525" s="17"/>
      <c r="F525" s="129"/>
      <c r="G525" s="20"/>
      <c r="H525" s="20">
        <v>1</v>
      </c>
      <c r="I525" s="129">
        <f t="shared" si="30"/>
        <v>0</v>
      </c>
      <c r="J525" s="265">
        <f t="shared" si="31"/>
        <v>0</v>
      </c>
      <c r="K525" s="111"/>
      <c r="L525" s="119"/>
      <c r="M525" s="10"/>
      <c r="N525" s="10"/>
      <c r="O525" s="10"/>
      <c r="P525" s="10"/>
      <c r="Q525" s="43"/>
      <c r="R525" s="10"/>
      <c r="T525" s="10"/>
    </row>
    <row r="526" spans="2:20" s="1" customFormat="1" ht="12.95" customHeight="1" x14ac:dyDescent="0.15">
      <c r="B526" s="16">
        <v>19</v>
      </c>
      <c r="C526" s="17"/>
      <c r="D526" s="17"/>
      <c r="E526" s="17"/>
      <c r="F526" s="129"/>
      <c r="G526" s="20"/>
      <c r="H526" s="20">
        <v>1</v>
      </c>
      <c r="I526" s="262">
        <f t="shared" si="30"/>
        <v>0</v>
      </c>
      <c r="J526" s="266">
        <f t="shared" si="31"/>
        <v>0</v>
      </c>
      <c r="K526" s="82"/>
      <c r="L526" s="82"/>
      <c r="M526" s="10"/>
      <c r="N526" s="10"/>
      <c r="O526" s="10"/>
      <c r="P526" s="10"/>
      <c r="Q526" s="43"/>
      <c r="R526" s="10"/>
      <c r="T526" s="10"/>
    </row>
    <row r="527" spans="2:20" s="1" customFormat="1" ht="12.95" customHeight="1" x14ac:dyDescent="0.15">
      <c r="B527" s="16">
        <v>20</v>
      </c>
      <c r="C527" s="17"/>
      <c r="D527" s="17"/>
      <c r="E527" s="17"/>
      <c r="F527" s="129"/>
      <c r="G527" s="20"/>
      <c r="H527" s="20">
        <v>1</v>
      </c>
      <c r="I527" s="262">
        <f t="shared" si="30"/>
        <v>0</v>
      </c>
      <c r="J527" s="266">
        <f t="shared" si="31"/>
        <v>0</v>
      </c>
      <c r="K527" s="82"/>
      <c r="L527" s="82"/>
      <c r="M527" s="10"/>
      <c r="N527" s="10"/>
      <c r="O527" s="10"/>
      <c r="P527" s="10"/>
      <c r="Q527" s="43"/>
      <c r="R527" s="10"/>
      <c r="T527" s="10"/>
    </row>
    <row r="528" spans="2:20" s="1" customFormat="1" ht="12.95" customHeight="1" x14ac:dyDescent="0.15">
      <c r="B528" s="83"/>
      <c r="C528" s="160"/>
      <c r="D528" s="160"/>
      <c r="E528" s="160"/>
      <c r="F528" s="132"/>
      <c r="G528" s="76"/>
      <c r="H528" s="76"/>
      <c r="I528" s="263"/>
      <c r="J528" s="184"/>
      <c r="K528" s="82"/>
      <c r="L528" s="82"/>
      <c r="M528" s="10"/>
      <c r="N528" s="10"/>
      <c r="O528" s="10"/>
      <c r="P528" s="10"/>
      <c r="Q528" s="43"/>
      <c r="R528" s="10"/>
      <c r="T528" s="10"/>
    </row>
    <row r="529" spans="2:13" s="1" customFormat="1" ht="12.75" x14ac:dyDescent="0.15">
      <c r="B529" s="82"/>
      <c r="C529" s="102"/>
      <c r="D529" s="103"/>
      <c r="E529" s="102"/>
      <c r="F529" s="128">
        <f>SUM(F469:F528)</f>
        <v>0</v>
      </c>
      <c r="G529" s="104"/>
      <c r="H529" s="105"/>
      <c r="I529" s="256">
        <f>SUM(I471:I528)</f>
        <v>0</v>
      </c>
      <c r="J529" s="257">
        <f>SUM(J469:J528)</f>
        <v>0</v>
      </c>
    </row>
    <row r="530" spans="2:13" s="67" customFormat="1" ht="12.75" x14ac:dyDescent="0.15">
      <c r="B530" s="116"/>
      <c r="C530" s="114"/>
      <c r="D530" s="114"/>
      <c r="E530" s="114" t="s">
        <v>147</v>
      </c>
      <c r="F530" s="162">
        <f>100/115*F529</f>
        <v>0</v>
      </c>
      <c r="G530" s="114"/>
      <c r="H530" s="114" t="s">
        <v>147</v>
      </c>
      <c r="I530" s="264">
        <f>100/115*I529</f>
        <v>0</v>
      </c>
      <c r="J530" s="114"/>
    </row>
    <row r="531" spans="2:13" s="1" customFormat="1" ht="13.5" customHeight="1" x14ac:dyDescent="0.15"/>
    <row r="532" spans="2:13" s="1" customFormat="1" ht="16.899999999999999" customHeight="1" x14ac:dyDescent="0.15"/>
    <row r="533" spans="2:13" s="1" customFormat="1" ht="13.5" customHeight="1" x14ac:dyDescent="0.15"/>
    <row r="534" spans="2:13" s="1" customFormat="1" ht="13.5" customHeight="1" x14ac:dyDescent="0.15"/>
    <row r="535" spans="2:13" s="247" customFormat="1" ht="32.25" x14ac:dyDescent="0.4">
      <c r="B535" s="248"/>
      <c r="C535" s="380" t="s">
        <v>112</v>
      </c>
      <c r="D535" s="380"/>
      <c r="E535" s="428" t="s">
        <v>162</v>
      </c>
      <c r="F535" s="428"/>
      <c r="G535" s="428"/>
      <c r="H535" s="428"/>
      <c r="I535" s="428"/>
      <c r="J535" s="382">
        <v>2026</v>
      </c>
      <c r="K535" s="382"/>
      <c r="L535" s="382"/>
    </row>
    <row r="536" spans="2:13" s="1" customFormat="1" ht="42" customHeight="1" x14ac:dyDescent="0.15">
      <c r="B536" s="82"/>
      <c r="C536" s="102" t="s">
        <v>114</v>
      </c>
      <c r="D536" s="388" t="s">
        <v>115</v>
      </c>
      <c r="E536" s="388"/>
      <c r="F536" s="102" t="s">
        <v>116</v>
      </c>
      <c r="G536" s="102" t="s">
        <v>117</v>
      </c>
      <c r="H536" s="102" t="s">
        <v>118</v>
      </c>
      <c r="I536" s="102" t="s">
        <v>119</v>
      </c>
      <c r="J536" s="102" t="s">
        <v>120</v>
      </c>
      <c r="K536" s="82"/>
      <c r="L536" s="82"/>
    </row>
    <row r="537" spans="2:13" s="1" customFormat="1" ht="12.95" customHeight="1" x14ac:dyDescent="0.15">
      <c r="B537" s="84"/>
      <c r="C537" s="149">
        <f>C467</f>
        <v>350</v>
      </c>
      <c r="D537" s="412">
        <v>21</v>
      </c>
      <c r="E537" s="412"/>
      <c r="F537" s="146">
        <f>F467</f>
        <v>0.85</v>
      </c>
      <c r="G537" s="147">
        <f>G467</f>
        <v>8</v>
      </c>
      <c r="H537" s="148">
        <f>D537*G537*F537</f>
        <v>142.79999999999998</v>
      </c>
      <c r="I537" s="149">
        <f>I599</f>
        <v>0</v>
      </c>
      <c r="J537" s="150">
        <f>H537-J599</f>
        <v>142.79999999999998</v>
      </c>
      <c r="K537" s="79"/>
      <c r="L537" s="120"/>
    </row>
    <row r="538" spans="2:13" s="1" customFormat="1" ht="33.75" x14ac:dyDescent="0.15">
      <c r="B538" s="16"/>
      <c r="C538" s="22" t="s">
        <v>121</v>
      </c>
      <c r="D538" s="413" t="s">
        <v>122</v>
      </c>
      <c r="E538" s="413"/>
      <c r="F538" s="33" t="s">
        <v>123</v>
      </c>
      <c r="G538" s="34" t="s">
        <v>124</v>
      </c>
      <c r="H538" s="35" t="s">
        <v>125</v>
      </c>
      <c r="I538" s="125" t="s">
        <v>126</v>
      </c>
      <c r="J538" s="34" t="s">
        <v>127</v>
      </c>
      <c r="K538" s="107" t="s">
        <v>128</v>
      </c>
      <c r="L538" s="123" t="s">
        <v>129</v>
      </c>
    </row>
    <row r="539" spans="2:13" s="1" customFormat="1" ht="12.75" x14ac:dyDescent="0.15">
      <c r="B539" s="16"/>
      <c r="C539" s="22"/>
      <c r="D539" s="32"/>
      <c r="E539" s="32"/>
      <c r="F539" s="33"/>
      <c r="G539" s="34"/>
      <c r="H539" s="35"/>
      <c r="I539" s="125"/>
      <c r="J539" s="34"/>
      <c r="K539" s="110"/>
      <c r="L539" s="117"/>
    </row>
    <row r="540" spans="2:13" s="1" customFormat="1" ht="12.75" x14ac:dyDescent="0.15">
      <c r="B540" s="16"/>
      <c r="C540" s="22" t="s">
        <v>130</v>
      </c>
      <c r="D540" s="32"/>
      <c r="E540" s="32"/>
      <c r="F540" s="151"/>
      <c r="G540" s="34"/>
      <c r="H540" s="35"/>
      <c r="I540" s="125"/>
      <c r="J540" s="34"/>
      <c r="K540" s="110"/>
      <c r="L540" s="117"/>
    </row>
    <row r="541" spans="2:13" s="1" customFormat="1" ht="12.75" customHeight="1" x14ac:dyDescent="0.15">
      <c r="B541" s="16"/>
      <c r="C541" s="37" t="s">
        <v>149</v>
      </c>
      <c r="D541" s="24"/>
      <c r="E541" s="24"/>
      <c r="F541" s="129"/>
      <c r="G541" s="20"/>
      <c r="H541" s="20"/>
      <c r="I541" s="126"/>
      <c r="J541" s="38"/>
      <c r="K541" s="80"/>
      <c r="L541" s="82"/>
    </row>
    <row r="542" spans="2:13" s="4" customFormat="1" ht="12.75" customHeight="1" x14ac:dyDescent="0.15">
      <c r="B542" s="26">
        <v>1</v>
      </c>
      <c r="C542" s="17"/>
      <c r="D542" s="24"/>
      <c r="E542" s="24"/>
      <c r="F542" s="129"/>
      <c r="G542" s="20"/>
      <c r="H542" s="20">
        <v>1</v>
      </c>
      <c r="I542" s="129">
        <f t="shared" ref="I542:I559" si="32">J542*$C$32</f>
        <v>0</v>
      </c>
      <c r="J542" s="52">
        <f t="shared" ref="J542:J555" si="33">(F542*G542*H542)/$C$32</f>
        <v>0</v>
      </c>
      <c r="K542" s="108"/>
      <c r="L542" s="113"/>
    </row>
    <row r="543" spans="2:13" s="4" customFormat="1" ht="12.75" customHeight="1" x14ac:dyDescent="0.15">
      <c r="B543" s="26">
        <v>2</v>
      </c>
      <c r="C543" s="17"/>
      <c r="D543" s="24"/>
      <c r="E543" s="24"/>
      <c r="F543" s="129"/>
      <c r="G543" s="20"/>
      <c r="H543" s="20">
        <v>1</v>
      </c>
      <c r="I543" s="129">
        <f t="shared" si="32"/>
        <v>0</v>
      </c>
      <c r="J543" s="52">
        <f t="shared" si="33"/>
        <v>0</v>
      </c>
      <c r="K543" s="108"/>
      <c r="L543" s="113"/>
      <c r="M543" s="144"/>
    </row>
    <row r="544" spans="2:13" s="4" customFormat="1" ht="12.95" customHeight="1" x14ac:dyDescent="0.15">
      <c r="B544" s="26">
        <v>3</v>
      </c>
      <c r="C544" s="17"/>
      <c r="D544" s="24"/>
      <c r="E544" s="24"/>
      <c r="F544" s="129"/>
      <c r="G544" s="20"/>
      <c r="H544" s="20">
        <v>1</v>
      </c>
      <c r="I544" s="129">
        <f t="shared" si="32"/>
        <v>0</v>
      </c>
      <c r="J544" s="52">
        <f t="shared" si="33"/>
        <v>0</v>
      </c>
      <c r="K544" s="108"/>
      <c r="L544" s="113"/>
      <c r="M544" s="145"/>
    </row>
    <row r="545" spans="2:12" s="4" customFormat="1" ht="12.95" customHeight="1" x14ac:dyDescent="0.15">
      <c r="B545" s="26">
        <v>4</v>
      </c>
      <c r="C545" s="16"/>
      <c r="D545" s="18"/>
      <c r="E545" s="18"/>
      <c r="F545" s="129"/>
      <c r="G545" s="20"/>
      <c r="H545" s="20">
        <v>1</v>
      </c>
      <c r="I545" s="129">
        <f t="shared" si="32"/>
        <v>0</v>
      </c>
      <c r="J545" s="52">
        <f t="shared" si="33"/>
        <v>0</v>
      </c>
      <c r="K545" s="108"/>
      <c r="L545" s="113"/>
    </row>
    <row r="546" spans="2:12" s="4" customFormat="1" ht="12.95" customHeight="1" x14ac:dyDescent="0.15">
      <c r="B546" s="26">
        <v>5</v>
      </c>
      <c r="C546" s="17"/>
      <c r="D546" s="53"/>
      <c r="E546" s="53"/>
      <c r="F546" s="129"/>
      <c r="G546" s="20"/>
      <c r="H546" s="20">
        <v>1</v>
      </c>
      <c r="I546" s="129">
        <f t="shared" si="32"/>
        <v>0</v>
      </c>
      <c r="J546" s="27">
        <f t="shared" si="33"/>
        <v>0</v>
      </c>
      <c r="K546" s="108"/>
      <c r="L546" s="113"/>
    </row>
    <row r="547" spans="2:12" s="4" customFormat="1" ht="12.95" customHeight="1" x14ac:dyDescent="0.15">
      <c r="B547" s="26">
        <v>6</v>
      </c>
      <c r="C547" s="17"/>
      <c r="D547" s="24"/>
      <c r="E547" s="24"/>
      <c r="F547" s="129"/>
      <c r="G547" s="20"/>
      <c r="H547" s="20">
        <v>1</v>
      </c>
      <c r="I547" s="129">
        <f t="shared" si="32"/>
        <v>0</v>
      </c>
      <c r="J547" s="52">
        <f t="shared" si="33"/>
        <v>0</v>
      </c>
      <c r="K547" s="108"/>
      <c r="L547" s="113"/>
    </row>
    <row r="548" spans="2:12" s="4" customFormat="1" ht="12.95" customHeight="1" x14ac:dyDescent="0.15">
      <c r="B548" s="26">
        <v>7</v>
      </c>
      <c r="C548" s="17"/>
      <c r="D548" s="22"/>
      <c r="E548" s="22"/>
      <c r="F548" s="129"/>
      <c r="G548" s="20"/>
      <c r="H548" s="20">
        <v>1</v>
      </c>
      <c r="I548" s="129">
        <f t="shared" si="32"/>
        <v>0</v>
      </c>
      <c r="J548" s="27">
        <f t="shared" si="33"/>
        <v>0</v>
      </c>
      <c r="K548" s="108"/>
      <c r="L548" s="113"/>
    </row>
    <row r="549" spans="2:12" s="4" customFormat="1" ht="12.95" customHeight="1" x14ac:dyDescent="0.15">
      <c r="B549" s="26">
        <v>8</v>
      </c>
      <c r="C549" s="17"/>
      <c r="D549" s="18"/>
      <c r="E549" s="24"/>
      <c r="F549" s="129"/>
      <c r="G549" s="20"/>
      <c r="H549" s="20">
        <v>1</v>
      </c>
      <c r="I549" s="129">
        <f t="shared" si="32"/>
        <v>0</v>
      </c>
      <c r="J549" s="52">
        <f t="shared" si="33"/>
        <v>0</v>
      </c>
      <c r="K549" s="108"/>
      <c r="L549" s="113"/>
    </row>
    <row r="550" spans="2:12" s="4" customFormat="1" ht="12.95" customHeight="1" x14ac:dyDescent="0.15">
      <c r="B550" s="26">
        <v>9</v>
      </c>
      <c r="C550" s="17"/>
      <c r="D550" s="18"/>
      <c r="E550" s="24"/>
      <c r="F550" s="129"/>
      <c r="G550" s="20"/>
      <c r="H550" s="20">
        <v>1</v>
      </c>
      <c r="I550" s="129">
        <f t="shared" si="32"/>
        <v>0</v>
      </c>
      <c r="J550" s="52">
        <f t="shared" si="33"/>
        <v>0</v>
      </c>
      <c r="K550" s="108"/>
      <c r="L550" s="113"/>
    </row>
    <row r="551" spans="2:12" s="4" customFormat="1" ht="12.95" customHeight="1" x14ac:dyDescent="0.15">
      <c r="B551" s="26">
        <v>10</v>
      </c>
      <c r="C551" s="17"/>
      <c r="D551" s="24"/>
      <c r="E551" s="18"/>
      <c r="F551" s="129"/>
      <c r="G551" s="20"/>
      <c r="H551" s="20">
        <v>1</v>
      </c>
      <c r="I551" s="129">
        <f t="shared" si="32"/>
        <v>0</v>
      </c>
      <c r="J551" s="52">
        <f t="shared" si="33"/>
        <v>0</v>
      </c>
      <c r="K551" s="108"/>
      <c r="L551" s="113"/>
    </row>
    <row r="552" spans="2:12" s="4" customFormat="1" ht="12.95" customHeight="1" x14ac:dyDescent="0.15">
      <c r="B552" s="26"/>
      <c r="C552" s="17"/>
      <c r="D552" s="24"/>
      <c r="E552" s="18"/>
      <c r="F552" s="129"/>
      <c r="G552" s="20"/>
      <c r="H552" s="20"/>
      <c r="I552" s="129"/>
      <c r="J552" s="52"/>
      <c r="K552" s="108"/>
      <c r="L552" s="113"/>
    </row>
    <row r="553" spans="2:12" s="4" customFormat="1" ht="12.95" customHeight="1" x14ac:dyDescent="0.15">
      <c r="B553" s="26"/>
      <c r="C553" s="17"/>
      <c r="D553" s="24"/>
      <c r="E553" s="18"/>
      <c r="F553" s="129"/>
      <c r="G553" s="20"/>
      <c r="H553" s="20"/>
      <c r="I553" s="129"/>
      <c r="J553" s="52"/>
      <c r="K553" s="108"/>
      <c r="L553" s="113"/>
    </row>
    <row r="554" spans="2:12" s="4" customFormat="1" ht="12.95" customHeight="1" x14ac:dyDescent="0.15">
      <c r="B554" s="26"/>
      <c r="C554" s="22" t="s">
        <v>153</v>
      </c>
      <c r="D554" s="24"/>
      <c r="E554" s="18"/>
      <c r="F554" s="129"/>
      <c r="G554" s="20"/>
      <c r="H554" s="20"/>
      <c r="I554" s="129"/>
      <c r="J554" s="52"/>
      <c r="K554" s="108"/>
      <c r="L554" s="113"/>
    </row>
    <row r="555" spans="2:12" s="4" customFormat="1" ht="12.95" customHeight="1" x14ac:dyDescent="0.15">
      <c r="B555" s="26">
        <v>1</v>
      </c>
      <c r="C555" s="17"/>
      <c r="D555" s="24"/>
      <c r="E555" s="24"/>
      <c r="F555" s="129"/>
      <c r="G555" s="20"/>
      <c r="H555" s="20">
        <v>1</v>
      </c>
      <c r="I555" s="129">
        <f t="shared" si="32"/>
        <v>0</v>
      </c>
      <c r="J555" s="52">
        <f t="shared" si="33"/>
        <v>0</v>
      </c>
      <c r="K555" s="108"/>
      <c r="L555" s="113"/>
    </row>
    <row r="556" spans="2:12" s="4" customFormat="1" ht="12.95" customHeight="1" x14ac:dyDescent="0.15">
      <c r="B556" s="26">
        <v>2</v>
      </c>
      <c r="C556" s="17"/>
      <c r="D556" s="24"/>
      <c r="E556" s="24"/>
      <c r="F556" s="129"/>
      <c r="G556" s="20"/>
      <c r="H556" s="20">
        <v>1</v>
      </c>
      <c r="I556" s="129">
        <f t="shared" si="32"/>
        <v>0</v>
      </c>
      <c r="J556" s="52">
        <f>(F556*G556*H556)/$C$32</f>
        <v>0</v>
      </c>
      <c r="K556" s="108"/>
      <c r="L556" s="113"/>
    </row>
    <row r="557" spans="2:12" s="4" customFormat="1" ht="12.95" customHeight="1" x14ac:dyDescent="0.15">
      <c r="B557" s="26">
        <v>3</v>
      </c>
      <c r="C557" s="24"/>
      <c r="D557" s="24"/>
      <c r="E557" s="24"/>
      <c r="F557" s="129"/>
      <c r="G557" s="20"/>
      <c r="H557" s="20">
        <v>1</v>
      </c>
      <c r="I557" s="129">
        <f t="shared" si="32"/>
        <v>0</v>
      </c>
      <c r="J557" s="52">
        <f>(F557*G557*H557)/$C$32</f>
        <v>0</v>
      </c>
      <c r="K557" s="108"/>
      <c r="L557" s="113"/>
    </row>
    <row r="558" spans="2:12" s="4" customFormat="1" ht="12.95" customHeight="1" x14ac:dyDescent="0.15">
      <c r="B558" s="26">
        <v>4</v>
      </c>
      <c r="C558" s="24"/>
      <c r="D558" s="18"/>
      <c r="E558" s="18"/>
      <c r="F558" s="129"/>
      <c r="G558" s="20"/>
      <c r="H558" s="20">
        <v>1</v>
      </c>
      <c r="I558" s="129">
        <f t="shared" si="32"/>
        <v>0</v>
      </c>
      <c r="J558" s="27">
        <f t="shared" ref="J558:J560" si="34">(F558*G558*H558)/$C$32</f>
        <v>0</v>
      </c>
      <c r="K558" s="108"/>
      <c r="L558" s="113"/>
    </row>
    <row r="559" spans="2:12" s="4" customFormat="1" ht="14.85" customHeight="1" x14ac:dyDescent="0.15">
      <c r="B559" s="26">
        <v>5</v>
      </c>
      <c r="C559" s="24"/>
      <c r="D559" s="24"/>
      <c r="E559" s="24"/>
      <c r="F559" s="129"/>
      <c r="G559" s="20"/>
      <c r="H559" s="20">
        <v>1</v>
      </c>
      <c r="I559" s="129">
        <f t="shared" si="32"/>
        <v>0</v>
      </c>
      <c r="J559" s="52">
        <f t="shared" si="34"/>
        <v>0</v>
      </c>
      <c r="K559" s="108"/>
      <c r="L559" s="113"/>
    </row>
    <row r="560" spans="2:12" s="4" customFormat="1" ht="12.95" customHeight="1" x14ac:dyDescent="0.15">
      <c r="B560" s="26">
        <v>6</v>
      </c>
      <c r="C560" s="17"/>
      <c r="D560" s="18"/>
      <c r="E560" s="18"/>
      <c r="F560" s="129"/>
      <c r="G560" s="20"/>
      <c r="H560" s="20">
        <v>1</v>
      </c>
      <c r="I560" s="129">
        <f>J560*$C$32</f>
        <v>0</v>
      </c>
      <c r="J560" s="27">
        <f t="shared" si="34"/>
        <v>0</v>
      </c>
      <c r="K560" s="108"/>
      <c r="L560" s="113"/>
    </row>
    <row r="561" spans="2:12" s="4" customFormat="1" ht="12.95" customHeight="1" x14ac:dyDescent="0.15">
      <c r="B561" s="26">
        <v>7</v>
      </c>
      <c r="C561" s="17"/>
      <c r="D561" s="24"/>
      <c r="E561" s="24"/>
      <c r="F561" s="129"/>
      <c r="G561" s="20"/>
      <c r="H561" s="20">
        <v>1</v>
      </c>
      <c r="I561" s="129">
        <f t="shared" ref="I561" si="35">J561*$C$32</f>
        <v>0</v>
      </c>
      <c r="J561" s="54">
        <f>(F561*G561*H561)/$C$32</f>
        <v>0</v>
      </c>
      <c r="K561" s="108"/>
      <c r="L561" s="113"/>
    </row>
    <row r="562" spans="2:12" s="4" customFormat="1" ht="12.95" customHeight="1" x14ac:dyDescent="0.15">
      <c r="B562" s="26">
        <v>8</v>
      </c>
      <c r="C562" s="17"/>
      <c r="D562" s="24"/>
      <c r="E562" s="24"/>
      <c r="F562" s="129"/>
      <c r="G562" s="20"/>
      <c r="H562" s="20">
        <v>1</v>
      </c>
      <c r="I562" s="129">
        <f>J562*$C$32</f>
        <v>0</v>
      </c>
      <c r="J562" s="54">
        <f>(F562*G562*H562)/$C$32</f>
        <v>0</v>
      </c>
      <c r="K562" s="108"/>
      <c r="L562" s="113"/>
    </row>
    <row r="563" spans="2:12" s="4" customFormat="1" ht="12.95" customHeight="1" x14ac:dyDescent="0.15">
      <c r="B563" s="26">
        <v>9</v>
      </c>
      <c r="C563" s="17"/>
      <c r="D563" s="24"/>
      <c r="E563" s="24"/>
      <c r="F563" s="129"/>
      <c r="G563" s="20"/>
      <c r="H563" s="20">
        <v>1</v>
      </c>
      <c r="I563" s="129">
        <f t="shared" ref="I563:I574" si="36">J563*$C$32</f>
        <v>0</v>
      </c>
      <c r="J563" s="52">
        <f t="shared" ref="J563:J574" si="37">(F563*G563*H563)/$C$32</f>
        <v>0</v>
      </c>
      <c r="K563" s="108"/>
      <c r="L563" s="113"/>
    </row>
    <row r="564" spans="2:12" s="4" customFormat="1" ht="12.95" customHeight="1" x14ac:dyDescent="0.15">
      <c r="B564" s="26">
        <v>10</v>
      </c>
      <c r="C564" s="17"/>
      <c r="D564" s="24"/>
      <c r="E564" s="24"/>
      <c r="F564" s="129"/>
      <c r="G564" s="20"/>
      <c r="H564" s="20">
        <v>1</v>
      </c>
      <c r="I564" s="129">
        <f t="shared" si="36"/>
        <v>0</v>
      </c>
      <c r="J564" s="52">
        <f t="shared" si="37"/>
        <v>0</v>
      </c>
      <c r="K564" s="108"/>
      <c r="L564" s="113"/>
    </row>
    <row r="565" spans="2:12" s="4" customFormat="1" ht="12.95" customHeight="1" x14ac:dyDescent="0.15">
      <c r="B565" s="26">
        <v>11</v>
      </c>
      <c r="C565" s="17"/>
      <c r="D565" s="24"/>
      <c r="E565" s="24"/>
      <c r="F565" s="129"/>
      <c r="G565" s="20"/>
      <c r="H565" s="20">
        <v>1</v>
      </c>
      <c r="I565" s="129">
        <f t="shared" si="36"/>
        <v>0</v>
      </c>
      <c r="J565" s="52">
        <f t="shared" si="37"/>
        <v>0</v>
      </c>
      <c r="K565" s="108"/>
      <c r="L565" s="113"/>
    </row>
    <row r="566" spans="2:12" s="4" customFormat="1" ht="12.95" customHeight="1" x14ac:dyDescent="0.15">
      <c r="B566" s="26">
        <v>12</v>
      </c>
      <c r="C566" s="17"/>
      <c r="D566" s="24"/>
      <c r="E566" s="24"/>
      <c r="F566" s="129"/>
      <c r="G566" s="20"/>
      <c r="H566" s="20">
        <v>1</v>
      </c>
      <c r="I566" s="129">
        <f t="shared" si="36"/>
        <v>0</v>
      </c>
      <c r="J566" s="52">
        <f t="shared" si="37"/>
        <v>0</v>
      </c>
      <c r="K566" s="108"/>
      <c r="L566" s="113"/>
    </row>
    <row r="567" spans="2:12" s="4" customFormat="1" ht="12.95" customHeight="1" x14ac:dyDescent="0.15">
      <c r="B567" s="26">
        <v>13</v>
      </c>
      <c r="C567" s="17"/>
      <c r="D567" s="18"/>
      <c r="E567" s="18"/>
      <c r="F567" s="129"/>
      <c r="G567" s="20"/>
      <c r="H567" s="20">
        <v>1</v>
      </c>
      <c r="I567" s="129">
        <f t="shared" si="36"/>
        <v>0</v>
      </c>
      <c r="J567" s="52">
        <f t="shared" si="37"/>
        <v>0</v>
      </c>
      <c r="K567" s="108"/>
      <c r="L567" s="113"/>
    </row>
    <row r="568" spans="2:12" s="4" customFormat="1" ht="12.95" customHeight="1" x14ac:dyDescent="0.15">
      <c r="B568" s="26">
        <v>14</v>
      </c>
      <c r="C568" s="17"/>
      <c r="D568" s="18"/>
      <c r="E568" s="18"/>
      <c r="F568" s="129"/>
      <c r="G568" s="20"/>
      <c r="H568" s="20">
        <v>1</v>
      </c>
      <c r="I568" s="129">
        <f t="shared" si="36"/>
        <v>0</v>
      </c>
      <c r="J568" s="52">
        <f t="shared" si="37"/>
        <v>0</v>
      </c>
      <c r="K568" s="108"/>
      <c r="L568" s="113"/>
    </row>
    <row r="569" spans="2:12" s="4" customFormat="1" ht="12.95" customHeight="1" x14ac:dyDescent="0.15">
      <c r="B569" s="26">
        <v>15</v>
      </c>
      <c r="C569" s="17"/>
      <c r="D569" s="18"/>
      <c r="E569" s="18"/>
      <c r="F569" s="129"/>
      <c r="G569" s="20"/>
      <c r="H569" s="20">
        <v>1</v>
      </c>
      <c r="I569" s="129">
        <f t="shared" si="36"/>
        <v>0</v>
      </c>
      <c r="J569" s="52">
        <f t="shared" si="37"/>
        <v>0</v>
      </c>
      <c r="K569" s="108"/>
      <c r="L569" s="113"/>
    </row>
    <row r="570" spans="2:12" s="4" customFormat="1" ht="12.95" customHeight="1" x14ac:dyDescent="0.15">
      <c r="B570" s="26">
        <v>16</v>
      </c>
      <c r="C570" s="11"/>
      <c r="D570" s="18"/>
      <c r="E570" s="18"/>
      <c r="F570" s="129"/>
      <c r="G570" s="20"/>
      <c r="H570" s="20">
        <v>1</v>
      </c>
      <c r="I570" s="126">
        <f t="shared" si="36"/>
        <v>0</v>
      </c>
      <c r="J570" s="21">
        <f t="shared" si="37"/>
        <v>0</v>
      </c>
      <c r="K570" s="108"/>
      <c r="L570" s="113"/>
    </row>
    <row r="571" spans="2:12" s="4" customFormat="1" ht="12.95" customHeight="1" x14ac:dyDescent="0.15">
      <c r="B571" s="26">
        <v>17</v>
      </c>
      <c r="C571" s="23"/>
      <c r="D571" s="48"/>
      <c r="E571" s="48"/>
      <c r="F571" s="126"/>
      <c r="G571" s="50"/>
      <c r="H571" s="20">
        <v>1</v>
      </c>
      <c r="I571" s="126">
        <f t="shared" si="36"/>
        <v>0</v>
      </c>
      <c r="J571" s="21">
        <f t="shared" si="37"/>
        <v>0</v>
      </c>
      <c r="K571" s="108"/>
      <c r="L571" s="113"/>
    </row>
    <row r="572" spans="2:12" s="4" customFormat="1" ht="12.95" customHeight="1" x14ac:dyDescent="0.15">
      <c r="B572" s="26">
        <v>18</v>
      </c>
      <c r="C572" s="23"/>
      <c r="D572" s="48"/>
      <c r="E572" s="48"/>
      <c r="F572" s="126"/>
      <c r="G572" s="50"/>
      <c r="H572" s="20">
        <v>1</v>
      </c>
      <c r="I572" s="126">
        <f t="shared" si="36"/>
        <v>0</v>
      </c>
      <c r="J572" s="21">
        <f t="shared" si="37"/>
        <v>0</v>
      </c>
      <c r="K572" s="108"/>
      <c r="L572" s="113"/>
    </row>
    <row r="573" spans="2:12" s="4" customFormat="1" ht="12.95" customHeight="1" x14ac:dyDescent="0.15">
      <c r="B573" s="26">
        <v>19</v>
      </c>
      <c r="C573" s="23"/>
      <c r="D573" s="48"/>
      <c r="E573" s="48"/>
      <c r="F573" s="126"/>
      <c r="G573" s="50"/>
      <c r="H573" s="20">
        <v>1</v>
      </c>
      <c r="I573" s="126">
        <f t="shared" si="36"/>
        <v>0</v>
      </c>
      <c r="J573" s="21">
        <f t="shared" si="37"/>
        <v>0</v>
      </c>
      <c r="K573" s="108"/>
      <c r="L573" s="113"/>
    </row>
    <row r="574" spans="2:12" s="4" customFormat="1" ht="12.95" customHeight="1" x14ac:dyDescent="0.15">
      <c r="B574" s="26">
        <v>20</v>
      </c>
      <c r="C574" s="23"/>
      <c r="D574" s="48"/>
      <c r="E574" s="48"/>
      <c r="F574" s="126"/>
      <c r="G574" s="50"/>
      <c r="H574" s="20">
        <v>1</v>
      </c>
      <c r="I574" s="126">
        <f t="shared" si="36"/>
        <v>0</v>
      </c>
      <c r="J574" s="21">
        <f t="shared" si="37"/>
        <v>0</v>
      </c>
      <c r="K574" s="108"/>
      <c r="L574" s="113"/>
    </row>
    <row r="575" spans="2:12" s="4" customFormat="1" ht="12.95" customHeight="1" x14ac:dyDescent="0.15">
      <c r="B575" s="26"/>
      <c r="C575" s="23"/>
      <c r="D575" s="48"/>
      <c r="E575" s="48"/>
      <c r="F575" s="126"/>
      <c r="G575" s="50"/>
      <c r="H575" s="50"/>
      <c r="I575" s="126"/>
      <c r="J575" s="38"/>
      <c r="K575" s="108"/>
      <c r="L575" s="113"/>
    </row>
    <row r="576" spans="2:12" s="4" customFormat="1" ht="12.95" customHeight="1" x14ac:dyDescent="0.15">
      <c r="B576" s="26"/>
      <c r="C576" s="23"/>
      <c r="D576" s="48"/>
      <c r="E576" s="48"/>
      <c r="F576" s="126"/>
      <c r="G576" s="50"/>
      <c r="H576" s="50"/>
      <c r="I576" s="126"/>
      <c r="J576" s="38"/>
      <c r="K576" s="108"/>
      <c r="L576" s="113"/>
    </row>
    <row r="577" spans="2:20" s="4" customFormat="1" ht="12.95" customHeight="1" x14ac:dyDescent="0.15">
      <c r="B577" s="26"/>
      <c r="C577" s="72" t="s">
        <v>132</v>
      </c>
      <c r="D577" s="48"/>
      <c r="E577" s="48"/>
      <c r="F577" s="126"/>
      <c r="G577" s="50"/>
      <c r="H577" s="50"/>
      <c r="I577" s="126"/>
      <c r="J577" s="38"/>
      <c r="K577" s="108"/>
      <c r="L577" s="113"/>
    </row>
    <row r="578" spans="2:20" s="4" customFormat="1" ht="12.95" customHeight="1" x14ac:dyDescent="0.15">
      <c r="B578" s="26">
        <v>1</v>
      </c>
      <c r="C578" s="59"/>
      <c r="D578" s="49"/>
      <c r="E578" s="49"/>
      <c r="F578" s="126"/>
      <c r="G578" s="50"/>
      <c r="H578" s="50">
        <v>1</v>
      </c>
      <c r="I578" s="126">
        <f t="shared" ref="I578" si="38">J578*$C$32</f>
        <v>0</v>
      </c>
      <c r="J578" s="21">
        <f t="shared" ref="J578:J597" si="39">(F578*G578*H578)/$C$32</f>
        <v>0</v>
      </c>
      <c r="K578" s="108"/>
      <c r="L578" s="113"/>
      <c r="M578" s="57"/>
      <c r="N578" s="57"/>
      <c r="O578" s="57"/>
      <c r="P578" s="57"/>
      <c r="Q578" s="58"/>
      <c r="R578" s="57"/>
      <c r="T578" s="57"/>
    </row>
    <row r="579" spans="2:20" s="4" customFormat="1" ht="12.95" customHeight="1" x14ac:dyDescent="0.15">
      <c r="B579" s="26">
        <v>2</v>
      </c>
      <c r="C579" s="60"/>
      <c r="D579" s="49"/>
      <c r="E579" s="49"/>
      <c r="F579" s="126"/>
      <c r="G579" s="50"/>
      <c r="H579" s="50">
        <v>1</v>
      </c>
      <c r="I579" s="126">
        <f>J579*$C$32</f>
        <v>0</v>
      </c>
      <c r="J579" s="21">
        <f t="shared" si="39"/>
        <v>0</v>
      </c>
      <c r="K579" s="108"/>
      <c r="L579" s="113"/>
      <c r="M579" s="57"/>
      <c r="N579" s="57"/>
      <c r="O579" s="57"/>
      <c r="P579" s="57"/>
      <c r="Q579" s="58"/>
      <c r="R579" s="57"/>
      <c r="T579" s="57"/>
    </row>
    <row r="580" spans="2:20" s="4" customFormat="1" ht="12.95" customHeight="1" x14ac:dyDescent="0.15">
      <c r="B580" s="26">
        <v>3</v>
      </c>
      <c r="C580" s="59"/>
      <c r="D580" s="49"/>
      <c r="E580" s="49"/>
      <c r="F580" s="126"/>
      <c r="G580" s="50"/>
      <c r="H580" s="50">
        <v>1</v>
      </c>
      <c r="I580" s="126">
        <f t="shared" ref="I580:I597" si="40">J580*$C$32</f>
        <v>0</v>
      </c>
      <c r="J580" s="21">
        <f t="shared" si="39"/>
        <v>0</v>
      </c>
      <c r="K580" s="108"/>
      <c r="L580" s="113"/>
      <c r="M580" s="57"/>
      <c r="N580" s="57"/>
      <c r="O580" s="57"/>
      <c r="P580" s="57"/>
      <c r="Q580" s="58"/>
      <c r="R580" s="57"/>
      <c r="T580" s="57"/>
    </row>
    <row r="581" spans="2:20" s="4" customFormat="1" ht="12.95" customHeight="1" x14ac:dyDescent="0.15">
      <c r="B581" s="26">
        <v>4</v>
      </c>
      <c r="C581" s="61"/>
      <c r="D581" s="49"/>
      <c r="E581" s="49"/>
      <c r="F581" s="126"/>
      <c r="G581" s="50"/>
      <c r="H581" s="50">
        <v>1</v>
      </c>
      <c r="I581" s="126">
        <f t="shared" si="40"/>
        <v>0</v>
      </c>
      <c r="J581" s="21">
        <f t="shared" si="39"/>
        <v>0</v>
      </c>
      <c r="K581" s="108"/>
      <c r="L581" s="113"/>
      <c r="M581" s="57"/>
      <c r="N581" s="57"/>
      <c r="O581" s="57"/>
      <c r="P581" s="57"/>
      <c r="Q581" s="58"/>
      <c r="R581" s="57"/>
      <c r="T581" s="57"/>
    </row>
    <row r="582" spans="2:20" s="1" customFormat="1" ht="12.95" customHeight="1" x14ac:dyDescent="0.15">
      <c r="B582" s="16">
        <v>5</v>
      </c>
      <c r="C582" s="11"/>
      <c r="D582" s="18"/>
      <c r="E582" s="18"/>
      <c r="F582" s="129"/>
      <c r="G582" s="20"/>
      <c r="H582" s="20">
        <v>1</v>
      </c>
      <c r="I582" s="126">
        <f t="shared" si="40"/>
        <v>0</v>
      </c>
      <c r="J582" s="21">
        <f t="shared" si="39"/>
        <v>0</v>
      </c>
      <c r="K582" s="80"/>
      <c r="L582" s="82"/>
      <c r="M582" s="10"/>
      <c r="N582" s="10"/>
      <c r="O582" s="10"/>
      <c r="P582" s="10"/>
      <c r="Q582" s="43"/>
      <c r="R582" s="10"/>
      <c r="T582" s="10"/>
    </row>
    <row r="583" spans="2:20" s="1" customFormat="1" ht="12.95" customHeight="1" x14ac:dyDescent="0.15">
      <c r="B583" s="16">
        <v>6</v>
      </c>
      <c r="C583" s="46"/>
      <c r="D583" s="18"/>
      <c r="E583" s="18"/>
      <c r="F583" s="129"/>
      <c r="G583" s="20"/>
      <c r="H583" s="20">
        <v>1</v>
      </c>
      <c r="I583" s="126">
        <f t="shared" si="40"/>
        <v>0</v>
      </c>
      <c r="J583" s="21">
        <f t="shared" si="39"/>
        <v>0</v>
      </c>
      <c r="K583" s="80"/>
      <c r="L583" s="82"/>
      <c r="M583" s="10"/>
      <c r="N583" s="10"/>
      <c r="O583" s="10"/>
      <c r="P583" s="10"/>
      <c r="Q583" s="43"/>
      <c r="R583" s="10"/>
      <c r="T583" s="10"/>
    </row>
    <row r="584" spans="2:20" s="1" customFormat="1" ht="12.95" customHeight="1" x14ac:dyDescent="0.15">
      <c r="B584" s="16">
        <v>7</v>
      </c>
      <c r="C584" s="11"/>
      <c r="D584" s="18"/>
      <c r="E584" s="18"/>
      <c r="F584" s="129"/>
      <c r="G584" s="20"/>
      <c r="H584" s="20">
        <v>1</v>
      </c>
      <c r="I584" s="126">
        <f t="shared" si="40"/>
        <v>0</v>
      </c>
      <c r="J584" s="21">
        <f t="shared" si="39"/>
        <v>0</v>
      </c>
      <c r="K584" s="80"/>
      <c r="L584" s="82"/>
      <c r="M584" s="10"/>
      <c r="N584" s="10"/>
      <c r="O584" s="10"/>
      <c r="P584" s="10"/>
      <c r="Q584" s="43"/>
      <c r="R584" s="10"/>
      <c r="T584" s="10"/>
    </row>
    <row r="585" spans="2:20" s="1" customFormat="1" ht="12.95" customHeight="1" x14ac:dyDescent="0.15">
      <c r="B585" s="16">
        <v>8</v>
      </c>
      <c r="C585" s="11"/>
      <c r="D585" s="18"/>
      <c r="E585" s="18"/>
      <c r="F585" s="129"/>
      <c r="G585" s="20"/>
      <c r="H585" s="20">
        <v>1</v>
      </c>
      <c r="I585" s="126">
        <f t="shared" si="40"/>
        <v>0</v>
      </c>
      <c r="J585" s="21">
        <f t="shared" si="39"/>
        <v>0</v>
      </c>
      <c r="K585" s="80"/>
      <c r="L585" s="82"/>
      <c r="M585" s="10"/>
      <c r="N585" s="10"/>
      <c r="O585" s="10"/>
      <c r="P585" s="10"/>
      <c r="Q585" s="43"/>
      <c r="R585" s="10"/>
      <c r="T585" s="10"/>
    </row>
    <row r="586" spans="2:20" s="1" customFormat="1" ht="12.95" customHeight="1" x14ac:dyDescent="0.15">
      <c r="B586" s="16">
        <v>9</v>
      </c>
      <c r="C586" s="11"/>
      <c r="D586" s="18"/>
      <c r="E586" s="18"/>
      <c r="F586" s="129"/>
      <c r="G586" s="20"/>
      <c r="H586" s="20">
        <v>1</v>
      </c>
      <c r="I586" s="126">
        <f t="shared" si="40"/>
        <v>0</v>
      </c>
      <c r="J586" s="21">
        <f t="shared" si="39"/>
        <v>0</v>
      </c>
      <c r="K586" s="80"/>
      <c r="L586" s="82"/>
      <c r="M586" s="10"/>
      <c r="N586" s="10"/>
      <c r="O586" s="10"/>
      <c r="P586" s="10"/>
      <c r="Q586" s="43"/>
      <c r="R586" s="10"/>
      <c r="T586" s="10"/>
    </row>
    <row r="587" spans="2:20" s="1" customFormat="1" ht="12.95" customHeight="1" x14ac:dyDescent="0.15">
      <c r="B587" s="16">
        <v>10</v>
      </c>
      <c r="C587" s="11"/>
      <c r="D587" s="18"/>
      <c r="E587" s="18"/>
      <c r="F587" s="129"/>
      <c r="G587" s="20"/>
      <c r="H587" s="20">
        <v>1</v>
      </c>
      <c r="I587" s="126">
        <f t="shared" si="40"/>
        <v>0</v>
      </c>
      <c r="J587" s="21">
        <f t="shared" si="39"/>
        <v>0</v>
      </c>
      <c r="K587" s="80"/>
      <c r="L587" s="82"/>
      <c r="M587" s="10"/>
      <c r="N587" s="10"/>
      <c r="O587" s="10"/>
      <c r="P587" s="10"/>
      <c r="Q587" s="43"/>
      <c r="R587" s="10"/>
      <c r="T587" s="10"/>
    </row>
    <row r="588" spans="2:20" s="1" customFormat="1" ht="12.95" customHeight="1" x14ac:dyDescent="0.15">
      <c r="B588" s="16">
        <v>11</v>
      </c>
      <c r="C588" s="11"/>
      <c r="D588" s="18"/>
      <c r="E588" s="18"/>
      <c r="F588" s="129"/>
      <c r="G588" s="20"/>
      <c r="H588" s="20">
        <v>1</v>
      </c>
      <c r="I588" s="126">
        <f t="shared" si="40"/>
        <v>0</v>
      </c>
      <c r="J588" s="21">
        <f t="shared" si="39"/>
        <v>0</v>
      </c>
      <c r="K588" s="80"/>
      <c r="L588" s="82"/>
      <c r="M588" s="10"/>
      <c r="N588" s="10"/>
      <c r="O588" s="10"/>
      <c r="P588" s="10"/>
      <c r="Q588" s="43"/>
      <c r="R588" s="10"/>
      <c r="T588" s="10"/>
    </row>
    <row r="589" spans="2:20" s="1" customFormat="1" ht="12.95" customHeight="1" x14ac:dyDescent="0.15">
      <c r="B589" s="16">
        <v>12</v>
      </c>
      <c r="C589" s="11"/>
      <c r="D589" s="18"/>
      <c r="E589" s="18"/>
      <c r="F589" s="129"/>
      <c r="G589" s="20"/>
      <c r="H589" s="20">
        <v>1</v>
      </c>
      <c r="I589" s="126">
        <f t="shared" si="40"/>
        <v>0</v>
      </c>
      <c r="J589" s="21">
        <f t="shared" si="39"/>
        <v>0</v>
      </c>
      <c r="K589" s="80"/>
      <c r="L589" s="82"/>
      <c r="M589" s="10"/>
      <c r="N589" s="10"/>
      <c r="O589" s="10"/>
      <c r="P589" s="10"/>
      <c r="Q589" s="43"/>
      <c r="R589" s="10"/>
      <c r="T589" s="10"/>
    </row>
    <row r="590" spans="2:20" s="1" customFormat="1" ht="12.95" customHeight="1" x14ac:dyDescent="0.15">
      <c r="B590" s="16">
        <v>13</v>
      </c>
      <c r="C590" s="11"/>
      <c r="D590" s="18"/>
      <c r="E590" s="18"/>
      <c r="F590" s="129"/>
      <c r="G590" s="20"/>
      <c r="H590" s="20">
        <v>1</v>
      </c>
      <c r="I590" s="126">
        <f t="shared" si="40"/>
        <v>0</v>
      </c>
      <c r="J590" s="21">
        <f t="shared" si="39"/>
        <v>0</v>
      </c>
      <c r="K590" s="80"/>
      <c r="L590" s="82"/>
      <c r="M590" s="10"/>
      <c r="N590" s="10"/>
      <c r="O590" s="10"/>
      <c r="P590" s="10"/>
      <c r="Q590" s="43"/>
      <c r="R590" s="10"/>
      <c r="T590" s="10"/>
    </row>
    <row r="591" spans="2:20" s="1" customFormat="1" ht="12.95" customHeight="1" x14ac:dyDescent="0.15">
      <c r="B591" s="16">
        <v>14</v>
      </c>
      <c r="C591" s="11"/>
      <c r="D591" s="18"/>
      <c r="E591" s="18"/>
      <c r="F591" s="129"/>
      <c r="G591" s="20"/>
      <c r="H591" s="20">
        <v>1</v>
      </c>
      <c r="I591" s="126">
        <f t="shared" si="40"/>
        <v>0</v>
      </c>
      <c r="J591" s="21">
        <f t="shared" si="39"/>
        <v>0</v>
      </c>
      <c r="K591" s="80"/>
      <c r="L591" s="82"/>
      <c r="M591" s="10"/>
      <c r="N591" s="10"/>
      <c r="O591" s="10"/>
      <c r="P591" s="10"/>
      <c r="Q591" s="43"/>
      <c r="R591" s="10"/>
      <c r="T591" s="10"/>
    </row>
    <row r="592" spans="2:20" s="1" customFormat="1" ht="12.95" customHeight="1" x14ac:dyDescent="0.15">
      <c r="B592" s="16">
        <v>15</v>
      </c>
      <c r="C592" s="11"/>
      <c r="D592" s="18"/>
      <c r="E592" s="18"/>
      <c r="F592" s="129"/>
      <c r="G592" s="20"/>
      <c r="H592" s="20">
        <v>1</v>
      </c>
      <c r="I592" s="126">
        <f t="shared" si="40"/>
        <v>0</v>
      </c>
      <c r="J592" s="21">
        <f t="shared" si="39"/>
        <v>0</v>
      </c>
      <c r="K592" s="80"/>
      <c r="L592" s="82"/>
      <c r="M592" s="10"/>
      <c r="N592" s="10"/>
      <c r="O592" s="10"/>
      <c r="P592" s="10"/>
      <c r="Q592" s="43"/>
      <c r="R592" s="10"/>
      <c r="T592" s="10"/>
    </row>
    <row r="593" spans="2:20" s="1" customFormat="1" ht="12.95" customHeight="1" x14ac:dyDescent="0.15">
      <c r="B593" s="16">
        <v>16</v>
      </c>
      <c r="C593" s="74"/>
      <c r="D593" s="75"/>
      <c r="E593" s="75"/>
      <c r="F593" s="132"/>
      <c r="G593" s="77"/>
      <c r="H593" s="77">
        <v>1</v>
      </c>
      <c r="I593" s="131">
        <f t="shared" si="40"/>
        <v>0</v>
      </c>
      <c r="J593" s="78">
        <f t="shared" si="39"/>
        <v>0</v>
      </c>
      <c r="K593" s="80"/>
      <c r="L593" s="82"/>
      <c r="M593" s="10"/>
      <c r="N593" s="10"/>
      <c r="O593" s="10"/>
      <c r="P593" s="10"/>
      <c r="Q593" s="43"/>
      <c r="R593" s="10"/>
      <c r="T593" s="10"/>
    </row>
    <row r="594" spans="2:20" s="1" customFormat="1" ht="12.95" customHeight="1" x14ac:dyDescent="0.15">
      <c r="B594" s="80">
        <v>17</v>
      </c>
      <c r="C594" s="82"/>
      <c r="D594" s="82"/>
      <c r="E594" s="82"/>
      <c r="F594" s="156"/>
      <c r="G594" s="82"/>
      <c r="H594" s="77">
        <v>1</v>
      </c>
      <c r="I594" s="131">
        <f t="shared" si="40"/>
        <v>0</v>
      </c>
      <c r="J594" s="78">
        <f t="shared" si="39"/>
        <v>0</v>
      </c>
      <c r="K594" s="109"/>
      <c r="L594" s="82"/>
      <c r="M594" s="10"/>
      <c r="N594" s="10"/>
      <c r="O594" s="10"/>
      <c r="P594" s="10"/>
      <c r="Q594" s="43"/>
      <c r="R594" s="10"/>
      <c r="T594" s="10"/>
    </row>
    <row r="595" spans="2:20" s="1" customFormat="1" ht="12.95" customHeight="1" x14ac:dyDescent="0.15">
      <c r="B595" s="80">
        <v>18</v>
      </c>
      <c r="C595" s="82"/>
      <c r="D595" s="82"/>
      <c r="E595" s="82"/>
      <c r="F595" s="156"/>
      <c r="G595" s="82"/>
      <c r="H595" s="77">
        <v>1</v>
      </c>
      <c r="I595" s="131">
        <f t="shared" si="40"/>
        <v>0</v>
      </c>
      <c r="J595" s="78">
        <f t="shared" si="39"/>
        <v>0</v>
      </c>
      <c r="K595" s="155"/>
      <c r="L595" s="119"/>
      <c r="M595" s="10"/>
      <c r="N595" s="10"/>
      <c r="O595" s="10"/>
      <c r="P595" s="10"/>
      <c r="Q595" s="43"/>
      <c r="R595" s="10"/>
      <c r="T595" s="10"/>
    </row>
    <row r="596" spans="2:20" s="1" customFormat="1" ht="12.95" customHeight="1" x14ac:dyDescent="0.15">
      <c r="B596" s="80">
        <v>19</v>
      </c>
      <c r="C596" s="82"/>
      <c r="D596" s="82"/>
      <c r="E596" s="82"/>
      <c r="F596" s="156"/>
      <c r="G596" s="82"/>
      <c r="H596" s="77">
        <v>1</v>
      </c>
      <c r="I596" s="131">
        <f t="shared" si="40"/>
        <v>0</v>
      </c>
      <c r="J596" s="260">
        <f t="shared" si="39"/>
        <v>0</v>
      </c>
      <c r="K596" s="82"/>
      <c r="L596" s="82"/>
      <c r="M596" s="10"/>
      <c r="N596" s="10"/>
      <c r="O596" s="10"/>
      <c r="P596" s="10"/>
      <c r="Q596" s="43"/>
      <c r="R596" s="10"/>
      <c r="T596" s="10"/>
    </row>
    <row r="597" spans="2:20" s="1" customFormat="1" ht="12.95" customHeight="1" x14ac:dyDescent="0.15">
      <c r="B597" s="80">
        <v>20</v>
      </c>
      <c r="C597" s="82"/>
      <c r="D597" s="82"/>
      <c r="E597" s="82"/>
      <c r="F597" s="156"/>
      <c r="G597" s="82"/>
      <c r="H597" s="77">
        <v>1</v>
      </c>
      <c r="I597" s="131">
        <f t="shared" si="40"/>
        <v>0</v>
      </c>
      <c r="J597" s="260">
        <f t="shared" si="39"/>
        <v>0</v>
      </c>
      <c r="K597" s="82"/>
      <c r="L597" s="82"/>
      <c r="M597" s="10"/>
      <c r="N597" s="10"/>
      <c r="O597" s="10"/>
      <c r="P597" s="10"/>
      <c r="Q597" s="43"/>
      <c r="R597" s="10"/>
      <c r="T597" s="10"/>
    </row>
    <row r="598" spans="2:20" s="1" customFormat="1" ht="12.95" customHeight="1" x14ac:dyDescent="0.15">
      <c r="B598" s="111"/>
      <c r="C598" s="152"/>
      <c r="D598" s="153"/>
      <c r="E598" s="153"/>
      <c r="F598" s="157"/>
      <c r="G598" s="154"/>
      <c r="H598" s="154"/>
      <c r="I598" s="158"/>
      <c r="J598" s="261"/>
      <c r="K598" s="82"/>
      <c r="L598" s="82"/>
      <c r="M598" s="10"/>
      <c r="N598" s="10"/>
      <c r="O598" s="10"/>
      <c r="P598" s="10"/>
      <c r="Q598" s="43"/>
      <c r="R598" s="10"/>
      <c r="T598" s="10"/>
    </row>
    <row r="599" spans="2:20" s="1" customFormat="1" ht="12.75" x14ac:dyDescent="0.15">
      <c r="B599" s="82"/>
      <c r="C599" s="102"/>
      <c r="D599" s="103"/>
      <c r="E599" s="102"/>
      <c r="F599" s="128">
        <f>SUM(F541:F598)</f>
        <v>0</v>
      </c>
      <c r="G599" s="104"/>
      <c r="H599" s="105"/>
      <c r="I599" s="128">
        <f>SUM(I541:I598)</f>
        <v>0</v>
      </c>
      <c r="J599" s="106">
        <f>SUM(J541:J598)</f>
        <v>0</v>
      </c>
    </row>
    <row r="600" spans="2:20" s="1" customFormat="1" ht="12.75" x14ac:dyDescent="0.15">
      <c r="B600" s="82"/>
      <c r="C600" s="102"/>
      <c r="D600" s="103"/>
      <c r="E600" s="102" t="s">
        <v>147</v>
      </c>
      <c r="F600" s="128">
        <f>100/115*F599</f>
        <v>0</v>
      </c>
      <c r="G600" s="104"/>
      <c r="H600" s="105" t="s">
        <v>147</v>
      </c>
      <c r="I600" s="128">
        <f>100/115*I599</f>
        <v>0</v>
      </c>
      <c r="J600" s="106"/>
    </row>
    <row r="601" spans="2:20" s="1" customFormat="1" ht="12.75" x14ac:dyDescent="0.15"/>
    <row r="602" spans="2:20" s="1" customFormat="1" ht="12.75" x14ac:dyDescent="0.15"/>
    <row r="603" spans="2:20" s="1" customFormat="1" ht="12.75" x14ac:dyDescent="0.15"/>
    <row r="604" spans="2:20" s="1" customFormat="1" ht="12.75" x14ac:dyDescent="0.15"/>
    <row r="605" spans="2:20" s="247" customFormat="1" ht="32.25" x14ac:dyDescent="0.4">
      <c r="B605" s="248"/>
      <c r="C605" s="380" t="s">
        <v>112</v>
      </c>
      <c r="D605" s="380"/>
      <c r="E605" s="428" t="s">
        <v>163</v>
      </c>
      <c r="F605" s="428"/>
      <c r="G605" s="428"/>
      <c r="H605" s="428"/>
      <c r="I605" s="428"/>
      <c r="J605" s="382">
        <v>2026</v>
      </c>
      <c r="K605" s="382"/>
      <c r="L605" s="382"/>
    </row>
    <row r="606" spans="2:20" s="1" customFormat="1" ht="22.5" x14ac:dyDescent="0.15">
      <c r="B606" s="82"/>
      <c r="C606" s="102" t="s">
        <v>114</v>
      </c>
      <c r="D606" s="388" t="s">
        <v>115</v>
      </c>
      <c r="E606" s="388"/>
      <c r="F606" s="102" t="s">
        <v>116</v>
      </c>
      <c r="G606" s="102" t="s">
        <v>117</v>
      </c>
      <c r="H606" s="102" t="s">
        <v>118</v>
      </c>
      <c r="I606" s="102" t="s">
        <v>119</v>
      </c>
      <c r="J606" s="102" t="s">
        <v>120</v>
      </c>
      <c r="K606" s="82"/>
      <c r="L606" s="82"/>
    </row>
    <row r="607" spans="2:20" s="1" customFormat="1" ht="12.75" x14ac:dyDescent="0.15">
      <c r="B607" s="84"/>
      <c r="C607" s="149">
        <f>C537</f>
        <v>350</v>
      </c>
      <c r="D607" s="412">
        <v>23</v>
      </c>
      <c r="E607" s="412"/>
      <c r="F607" s="146">
        <f>F537</f>
        <v>0.85</v>
      </c>
      <c r="G607" s="147">
        <f>G537</f>
        <v>8</v>
      </c>
      <c r="H607" s="148">
        <f>D607*G607*F607</f>
        <v>156.4</v>
      </c>
      <c r="I607" s="149">
        <f>I669</f>
        <v>0</v>
      </c>
      <c r="J607" s="150">
        <f>H607-J669</f>
        <v>156.4</v>
      </c>
      <c r="K607" s="79"/>
      <c r="L607" s="120"/>
    </row>
    <row r="608" spans="2:20" s="1" customFormat="1" ht="33.75" x14ac:dyDescent="0.15">
      <c r="B608" s="16"/>
      <c r="C608" s="22" t="s">
        <v>121</v>
      </c>
      <c r="D608" s="413" t="s">
        <v>122</v>
      </c>
      <c r="E608" s="413"/>
      <c r="F608" s="33" t="s">
        <v>123</v>
      </c>
      <c r="G608" s="34" t="s">
        <v>124</v>
      </c>
      <c r="H608" s="35" t="s">
        <v>125</v>
      </c>
      <c r="I608" s="125" t="s">
        <v>126</v>
      </c>
      <c r="J608" s="34" t="s">
        <v>127</v>
      </c>
      <c r="K608" s="107" t="s">
        <v>128</v>
      </c>
      <c r="L608" s="123" t="s">
        <v>129</v>
      </c>
    </row>
    <row r="609" spans="2:20" s="1" customFormat="1" ht="12.75" x14ac:dyDescent="0.15">
      <c r="B609" s="16"/>
      <c r="C609" s="22"/>
      <c r="D609" s="32"/>
      <c r="E609" s="32"/>
      <c r="F609" s="33"/>
      <c r="G609" s="34"/>
      <c r="H609" s="35"/>
      <c r="I609" s="125"/>
      <c r="J609" s="34"/>
      <c r="K609" s="110"/>
      <c r="L609" s="82"/>
    </row>
    <row r="610" spans="2:20" s="1" customFormat="1" ht="12.75" x14ac:dyDescent="0.15">
      <c r="B610" s="16"/>
      <c r="C610" s="22" t="s">
        <v>130</v>
      </c>
      <c r="D610" s="32"/>
      <c r="E610" s="32"/>
      <c r="F610" s="151"/>
      <c r="G610" s="34"/>
      <c r="H610" s="35"/>
      <c r="I610" s="125"/>
      <c r="J610" s="34"/>
      <c r="K610" s="110"/>
      <c r="L610" s="82"/>
    </row>
    <row r="611" spans="2:20" s="1" customFormat="1" ht="12.75" x14ac:dyDescent="0.15">
      <c r="B611" s="16"/>
      <c r="C611" s="22" t="s">
        <v>149</v>
      </c>
      <c r="D611" s="32"/>
      <c r="E611" s="32"/>
      <c r="F611" s="151"/>
      <c r="G611" s="34"/>
      <c r="H611" s="35"/>
      <c r="I611" s="125"/>
      <c r="J611" s="34"/>
      <c r="K611" s="110"/>
      <c r="L611" s="82"/>
    </row>
    <row r="612" spans="2:20" s="1" customFormat="1" ht="13.15" customHeight="1" x14ac:dyDescent="0.15">
      <c r="B612" s="26">
        <v>1</v>
      </c>
      <c r="C612" s="17"/>
      <c r="D612" s="24"/>
      <c r="E612" s="24"/>
      <c r="F612" s="129"/>
      <c r="G612" s="20"/>
      <c r="H612" s="20">
        <v>1</v>
      </c>
      <c r="I612" s="129">
        <f t="shared" ref="I612:I628" si="41">J612*$C$32</f>
        <v>0</v>
      </c>
      <c r="J612" s="52">
        <f t="shared" ref="J612:J625" si="42">(F612*G612*H612)/$C$32</f>
        <v>0</v>
      </c>
      <c r="K612" s="108"/>
      <c r="L612" s="113"/>
      <c r="M612" s="4"/>
      <c r="N612" s="4"/>
      <c r="O612" s="4"/>
      <c r="P612" s="4"/>
      <c r="Q612" s="4"/>
      <c r="R612" s="4"/>
      <c r="S612" s="4"/>
      <c r="T612" s="4"/>
    </row>
    <row r="613" spans="2:20" s="1" customFormat="1" ht="12.75" customHeight="1" x14ac:dyDescent="0.15">
      <c r="B613" s="26">
        <v>2</v>
      </c>
      <c r="C613" s="17"/>
      <c r="D613" s="24"/>
      <c r="E613" s="24"/>
      <c r="F613" s="129"/>
      <c r="G613" s="20"/>
      <c r="H613" s="20">
        <v>1</v>
      </c>
      <c r="I613" s="129">
        <f t="shared" si="41"/>
        <v>0</v>
      </c>
      <c r="J613" s="52">
        <f t="shared" si="42"/>
        <v>0</v>
      </c>
      <c r="K613" s="108"/>
      <c r="L613" s="113"/>
      <c r="M613" s="144"/>
      <c r="N613" s="4"/>
      <c r="O613" s="4"/>
      <c r="P613" s="4"/>
      <c r="Q613" s="4"/>
      <c r="R613" s="4"/>
      <c r="S613" s="4"/>
      <c r="T613" s="4"/>
    </row>
    <row r="614" spans="2:20" s="1" customFormat="1" ht="16.5" x14ac:dyDescent="0.15">
      <c r="B614" s="26">
        <v>3</v>
      </c>
      <c r="C614" s="17"/>
      <c r="D614" s="24"/>
      <c r="E614" s="24"/>
      <c r="F614" s="129"/>
      <c r="G614" s="20"/>
      <c r="H614" s="20">
        <v>1</v>
      </c>
      <c r="I614" s="129">
        <f t="shared" si="41"/>
        <v>0</v>
      </c>
      <c r="J614" s="52">
        <f t="shared" si="42"/>
        <v>0</v>
      </c>
      <c r="K614" s="108"/>
      <c r="L614" s="113"/>
      <c r="M614" s="145"/>
      <c r="N614" s="4"/>
      <c r="O614" s="4"/>
      <c r="P614" s="4"/>
      <c r="Q614" s="4"/>
      <c r="R614" s="4"/>
      <c r="S614" s="4"/>
      <c r="T614" s="4"/>
    </row>
    <row r="615" spans="2:20" s="1" customFormat="1" ht="12.75" customHeight="1" x14ac:dyDescent="0.15">
      <c r="B615" s="26">
        <v>4</v>
      </c>
      <c r="C615" s="16"/>
      <c r="D615" s="18"/>
      <c r="E615" s="18"/>
      <c r="F615" s="129"/>
      <c r="G615" s="20"/>
      <c r="H615" s="20">
        <v>1</v>
      </c>
      <c r="I615" s="129">
        <f t="shared" si="41"/>
        <v>0</v>
      </c>
      <c r="J615" s="52">
        <f t="shared" si="42"/>
        <v>0</v>
      </c>
      <c r="K615" s="108"/>
      <c r="L615" s="113"/>
      <c r="M615" s="4"/>
      <c r="N615" s="4"/>
      <c r="O615" s="4"/>
      <c r="P615" s="4"/>
      <c r="Q615" s="4"/>
      <c r="R615" s="4"/>
      <c r="S615" s="4"/>
      <c r="T615" s="4"/>
    </row>
    <row r="616" spans="2:20" s="1" customFormat="1" ht="12.75" customHeight="1" x14ac:dyDescent="0.15">
      <c r="B616" s="26">
        <v>5</v>
      </c>
      <c r="C616" s="17"/>
      <c r="D616" s="53"/>
      <c r="E616" s="53"/>
      <c r="F616" s="129"/>
      <c r="G616" s="20"/>
      <c r="H616" s="20">
        <v>1</v>
      </c>
      <c r="I616" s="129">
        <f t="shared" si="41"/>
        <v>0</v>
      </c>
      <c r="J616" s="27">
        <f t="shared" si="42"/>
        <v>0</v>
      </c>
      <c r="K616" s="108"/>
      <c r="L616" s="113"/>
      <c r="M616" s="4"/>
      <c r="N616" s="4"/>
      <c r="O616" s="4"/>
      <c r="P616" s="4"/>
      <c r="Q616" s="4"/>
      <c r="R616" s="4"/>
      <c r="S616" s="4"/>
      <c r="T616" s="4"/>
    </row>
    <row r="617" spans="2:20" s="1" customFormat="1" ht="12.75" x14ac:dyDescent="0.15">
      <c r="B617" s="26">
        <v>6</v>
      </c>
      <c r="C617" s="17"/>
      <c r="D617" s="24"/>
      <c r="E617" s="24"/>
      <c r="F617" s="129"/>
      <c r="G617" s="20"/>
      <c r="H617" s="20">
        <v>1</v>
      </c>
      <c r="I617" s="129">
        <f t="shared" si="41"/>
        <v>0</v>
      </c>
      <c r="J617" s="52">
        <f t="shared" si="42"/>
        <v>0</v>
      </c>
      <c r="K617" s="108"/>
      <c r="L617" s="113"/>
      <c r="M617" s="4"/>
      <c r="N617" s="4"/>
      <c r="O617" s="4"/>
      <c r="P617" s="4"/>
      <c r="Q617" s="4"/>
      <c r="R617" s="4"/>
      <c r="S617" s="4"/>
      <c r="T617" s="4"/>
    </row>
    <row r="618" spans="2:20" s="1" customFormat="1" ht="12.75" customHeight="1" x14ac:dyDescent="0.15">
      <c r="B618" s="26">
        <v>7</v>
      </c>
      <c r="C618" s="17"/>
      <c r="D618" s="22"/>
      <c r="E618" s="22"/>
      <c r="F618" s="129"/>
      <c r="G618" s="20"/>
      <c r="H618" s="20">
        <v>1</v>
      </c>
      <c r="I618" s="129">
        <f t="shared" si="41"/>
        <v>0</v>
      </c>
      <c r="J618" s="27">
        <f t="shared" si="42"/>
        <v>0</v>
      </c>
      <c r="K618" s="108"/>
      <c r="L618" s="113"/>
      <c r="M618" s="4"/>
      <c r="N618" s="4"/>
      <c r="O618" s="4"/>
      <c r="P618" s="4"/>
      <c r="Q618" s="4"/>
      <c r="R618" s="4"/>
      <c r="S618" s="4"/>
      <c r="T618" s="4"/>
    </row>
    <row r="619" spans="2:20" s="1" customFormat="1" ht="12.95" customHeight="1" x14ac:dyDescent="0.15">
      <c r="B619" s="26">
        <v>8</v>
      </c>
      <c r="C619" s="17"/>
      <c r="D619" s="18"/>
      <c r="E619" s="24"/>
      <c r="F619" s="129"/>
      <c r="G619" s="20"/>
      <c r="H619" s="20">
        <v>1</v>
      </c>
      <c r="I619" s="129">
        <f t="shared" si="41"/>
        <v>0</v>
      </c>
      <c r="J619" s="52">
        <f t="shared" si="42"/>
        <v>0</v>
      </c>
      <c r="K619" s="108"/>
      <c r="L619" s="113"/>
      <c r="M619" s="4"/>
      <c r="N619" s="4"/>
      <c r="O619" s="4"/>
      <c r="P619" s="4"/>
      <c r="Q619" s="4"/>
      <c r="R619" s="4"/>
      <c r="S619" s="4"/>
      <c r="T619" s="4"/>
    </row>
    <row r="620" spans="2:20" s="1" customFormat="1" ht="12.95" customHeight="1" x14ac:dyDescent="0.15">
      <c r="B620" s="26">
        <v>9</v>
      </c>
      <c r="C620" s="17"/>
      <c r="D620" s="18"/>
      <c r="E620" s="24"/>
      <c r="F620" s="129"/>
      <c r="G620" s="20"/>
      <c r="H620" s="20">
        <v>1</v>
      </c>
      <c r="I620" s="129">
        <f t="shared" si="41"/>
        <v>0</v>
      </c>
      <c r="J620" s="52">
        <f t="shared" si="42"/>
        <v>0</v>
      </c>
      <c r="K620" s="108"/>
      <c r="L620" s="113"/>
      <c r="M620" s="4"/>
      <c r="N620" s="4"/>
      <c r="O620" s="4"/>
      <c r="P620" s="4"/>
      <c r="Q620" s="4"/>
      <c r="R620" s="4"/>
      <c r="S620" s="4"/>
      <c r="T620" s="4"/>
    </row>
    <row r="621" spans="2:20" s="1" customFormat="1" ht="12.95" customHeight="1" x14ac:dyDescent="0.15">
      <c r="B621" s="26">
        <v>10</v>
      </c>
      <c r="C621" s="17"/>
      <c r="D621" s="24"/>
      <c r="E621" s="18"/>
      <c r="F621" s="129"/>
      <c r="G621" s="20"/>
      <c r="H621" s="20">
        <v>1</v>
      </c>
      <c r="I621" s="129">
        <f t="shared" si="41"/>
        <v>0</v>
      </c>
      <c r="J621" s="52">
        <f t="shared" si="42"/>
        <v>0</v>
      </c>
      <c r="K621" s="108"/>
      <c r="L621" s="113"/>
      <c r="M621" s="4"/>
      <c r="N621" s="4"/>
      <c r="O621" s="4"/>
      <c r="P621" s="4"/>
      <c r="Q621" s="4"/>
      <c r="R621" s="4"/>
      <c r="S621" s="4"/>
      <c r="T621" s="4"/>
    </row>
    <row r="622" spans="2:20" s="1" customFormat="1" ht="12.95" customHeight="1" x14ac:dyDescent="0.15">
      <c r="B622" s="26"/>
      <c r="C622" s="17"/>
      <c r="D622" s="24"/>
      <c r="E622" s="18"/>
      <c r="F622" s="129"/>
      <c r="G622" s="20"/>
      <c r="H622" s="20"/>
      <c r="I622" s="129"/>
      <c r="J622" s="52"/>
      <c r="K622" s="108"/>
      <c r="L622" s="113"/>
      <c r="M622" s="4"/>
      <c r="N622" s="4"/>
      <c r="O622" s="4"/>
      <c r="P622" s="4"/>
      <c r="Q622" s="4"/>
      <c r="R622" s="4"/>
      <c r="S622" s="4"/>
      <c r="T622" s="4"/>
    </row>
    <row r="623" spans="2:20" s="1" customFormat="1" ht="12.95" customHeight="1" x14ac:dyDescent="0.15">
      <c r="B623" s="26"/>
      <c r="C623" s="17"/>
      <c r="D623" s="24"/>
      <c r="E623" s="18"/>
      <c r="F623" s="129"/>
      <c r="G623" s="20"/>
      <c r="H623" s="20"/>
      <c r="I623" s="129"/>
      <c r="J623" s="52"/>
      <c r="K623" s="108"/>
      <c r="L623" s="113"/>
      <c r="M623" s="4"/>
      <c r="N623" s="4"/>
      <c r="O623" s="4"/>
      <c r="P623" s="4"/>
      <c r="Q623" s="4"/>
      <c r="R623" s="4"/>
      <c r="S623" s="4"/>
      <c r="T623" s="4"/>
    </row>
    <row r="624" spans="2:20" s="1" customFormat="1" ht="12.95" customHeight="1" x14ac:dyDescent="0.15">
      <c r="B624" s="26"/>
      <c r="C624" s="22" t="s">
        <v>153</v>
      </c>
      <c r="D624" s="24"/>
      <c r="E624" s="18"/>
      <c r="F624" s="129"/>
      <c r="G624" s="20"/>
      <c r="H624" s="20"/>
      <c r="I624" s="129"/>
      <c r="J624" s="52"/>
      <c r="K624" s="108"/>
      <c r="L624" s="113"/>
      <c r="M624" s="4"/>
      <c r="N624" s="4"/>
      <c r="O624" s="4"/>
      <c r="P624" s="4"/>
      <c r="Q624" s="4"/>
      <c r="R624" s="4"/>
      <c r="S624" s="4"/>
      <c r="T624" s="4"/>
    </row>
    <row r="625" spans="2:20" s="1" customFormat="1" ht="12.95" customHeight="1" x14ac:dyDescent="0.15">
      <c r="B625" s="26">
        <v>1</v>
      </c>
      <c r="C625" s="17"/>
      <c r="D625" s="24"/>
      <c r="E625" s="24"/>
      <c r="F625" s="129"/>
      <c r="G625" s="20"/>
      <c r="H625" s="20">
        <v>1</v>
      </c>
      <c r="I625" s="129">
        <f t="shared" si="41"/>
        <v>0</v>
      </c>
      <c r="J625" s="52">
        <f t="shared" si="42"/>
        <v>0</v>
      </c>
      <c r="K625" s="108"/>
      <c r="L625" s="113"/>
      <c r="M625" s="4"/>
      <c r="N625" s="4"/>
      <c r="O625" s="4"/>
      <c r="P625" s="4"/>
      <c r="Q625" s="4"/>
      <c r="R625" s="4"/>
      <c r="S625" s="4"/>
      <c r="T625" s="4"/>
    </row>
    <row r="626" spans="2:20" s="1" customFormat="1" ht="12.95" customHeight="1" x14ac:dyDescent="0.15">
      <c r="B626" s="26">
        <v>2</v>
      </c>
      <c r="C626" s="17"/>
      <c r="D626" s="24"/>
      <c r="E626" s="24"/>
      <c r="F626" s="129"/>
      <c r="G626" s="20"/>
      <c r="H626" s="20">
        <v>1</v>
      </c>
      <c r="I626" s="129">
        <f t="shared" si="41"/>
        <v>0</v>
      </c>
      <c r="J626" s="52">
        <f>(F626*G626*H626)/$C$32</f>
        <v>0</v>
      </c>
      <c r="K626" s="108"/>
      <c r="L626" s="113"/>
      <c r="M626" s="4"/>
      <c r="N626" s="4"/>
      <c r="O626" s="4"/>
      <c r="P626" s="4"/>
      <c r="Q626" s="4"/>
      <c r="R626" s="4"/>
      <c r="S626" s="4"/>
      <c r="T626" s="4"/>
    </row>
    <row r="627" spans="2:20" s="1" customFormat="1" ht="12.95" customHeight="1" x14ac:dyDescent="0.15">
      <c r="B627" s="26">
        <v>3</v>
      </c>
      <c r="C627" s="24"/>
      <c r="D627" s="24"/>
      <c r="E627" s="24"/>
      <c r="F627" s="129"/>
      <c r="G627" s="20"/>
      <c r="H627" s="20">
        <v>1</v>
      </c>
      <c r="I627" s="129">
        <f t="shared" si="41"/>
        <v>0</v>
      </c>
      <c r="J627" s="52">
        <f>(F627*G627*H627)/$C$32</f>
        <v>0</v>
      </c>
      <c r="K627" s="108"/>
      <c r="L627" s="113"/>
      <c r="M627" s="4"/>
      <c r="N627" s="4"/>
      <c r="O627" s="4"/>
      <c r="P627" s="4"/>
      <c r="Q627" s="4"/>
      <c r="R627" s="4"/>
      <c r="S627" s="4"/>
      <c r="T627" s="4"/>
    </row>
    <row r="628" spans="2:20" s="1" customFormat="1" ht="12.95" customHeight="1" x14ac:dyDescent="0.15">
      <c r="B628" s="26">
        <v>4</v>
      </c>
      <c r="C628" s="24"/>
      <c r="D628" s="24"/>
      <c r="E628" s="24"/>
      <c r="F628" s="129"/>
      <c r="G628" s="20"/>
      <c r="H628" s="20">
        <v>1</v>
      </c>
      <c r="I628" s="129">
        <f t="shared" si="41"/>
        <v>0</v>
      </c>
      <c r="J628" s="52">
        <f t="shared" ref="J628:J629" si="43">(F628*G628*H628)/$C$32</f>
        <v>0</v>
      </c>
      <c r="K628" s="108"/>
      <c r="L628" s="113"/>
      <c r="M628" s="4"/>
      <c r="N628" s="4"/>
      <c r="O628" s="4"/>
      <c r="P628" s="4"/>
      <c r="Q628" s="4"/>
      <c r="R628" s="4"/>
      <c r="S628" s="4"/>
      <c r="T628" s="4"/>
    </row>
    <row r="629" spans="2:20" s="1" customFormat="1" ht="12.95" customHeight="1" x14ac:dyDescent="0.15">
      <c r="B629" s="26">
        <v>5</v>
      </c>
      <c r="C629" s="17"/>
      <c r="D629" s="18"/>
      <c r="E629" s="18"/>
      <c r="F629" s="129"/>
      <c r="G629" s="20"/>
      <c r="H629" s="20">
        <v>1</v>
      </c>
      <c r="I629" s="129">
        <f>J629*$C$32</f>
        <v>0</v>
      </c>
      <c r="J629" s="27">
        <f t="shared" si="43"/>
        <v>0</v>
      </c>
      <c r="K629" s="108"/>
      <c r="L629" s="113"/>
      <c r="M629" s="4"/>
      <c r="N629" s="4"/>
      <c r="O629" s="4"/>
      <c r="P629" s="4"/>
      <c r="Q629" s="4"/>
      <c r="R629" s="4"/>
      <c r="S629" s="4"/>
      <c r="T629" s="4"/>
    </row>
    <row r="630" spans="2:20" s="1" customFormat="1" ht="12.95" customHeight="1" x14ac:dyDescent="0.15">
      <c r="B630" s="26">
        <v>6</v>
      </c>
      <c r="C630" s="17"/>
      <c r="D630" s="24"/>
      <c r="E630" s="24"/>
      <c r="F630" s="129"/>
      <c r="G630" s="20"/>
      <c r="H630" s="20">
        <v>1</v>
      </c>
      <c r="I630" s="129">
        <f t="shared" ref="I630" si="44">J630*$C$32</f>
        <v>0</v>
      </c>
      <c r="J630" s="54">
        <f>(F630*G630*H630)/$C$32</f>
        <v>0</v>
      </c>
      <c r="K630" s="108"/>
      <c r="L630" s="113"/>
      <c r="M630" s="4"/>
      <c r="N630" s="4"/>
      <c r="O630" s="4"/>
      <c r="P630" s="4"/>
      <c r="Q630" s="4"/>
      <c r="R630" s="4"/>
      <c r="S630" s="4"/>
      <c r="T630" s="4"/>
    </row>
    <row r="631" spans="2:20" s="1" customFormat="1" ht="12.95" customHeight="1" x14ac:dyDescent="0.15">
      <c r="B631" s="26">
        <v>7</v>
      </c>
      <c r="C631" s="17"/>
      <c r="D631" s="24"/>
      <c r="E631" s="24"/>
      <c r="F631" s="129"/>
      <c r="G631" s="20"/>
      <c r="H631" s="20">
        <v>1</v>
      </c>
      <c r="I631" s="129">
        <f>J631*$C$32</f>
        <v>0</v>
      </c>
      <c r="J631" s="54">
        <f>(F631*G631*H631)/$C$32</f>
        <v>0</v>
      </c>
      <c r="K631" s="108"/>
      <c r="L631" s="113"/>
      <c r="M631" s="4"/>
      <c r="N631" s="4"/>
      <c r="O631" s="4"/>
      <c r="P631" s="4"/>
      <c r="Q631" s="4"/>
      <c r="R631" s="4"/>
      <c r="S631" s="4"/>
      <c r="T631" s="4"/>
    </row>
    <row r="632" spans="2:20" s="1" customFormat="1" ht="14.85" customHeight="1" x14ac:dyDescent="0.15">
      <c r="B632" s="26">
        <v>8</v>
      </c>
      <c r="C632" s="17"/>
      <c r="D632" s="24"/>
      <c r="E632" s="24"/>
      <c r="F632" s="129"/>
      <c r="G632" s="20"/>
      <c r="H632" s="20">
        <v>1</v>
      </c>
      <c r="I632" s="129">
        <f t="shared" ref="I632:I644" si="45">J632*$C$32</f>
        <v>0</v>
      </c>
      <c r="J632" s="52">
        <f t="shared" ref="J632:J644" si="46">(F632*G632*H632)/$C$32</f>
        <v>0</v>
      </c>
      <c r="K632" s="108"/>
      <c r="L632" s="113"/>
      <c r="M632" s="4"/>
      <c r="N632" s="4"/>
      <c r="O632" s="4"/>
      <c r="P632" s="4"/>
      <c r="Q632" s="4"/>
      <c r="R632" s="4"/>
      <c r="S632" s="4"/>
      <c r="T632" s="4"/>
    </row>
    <row r="633" spans="2:20" s="1" customFormat="1" ht="12.95" customHeight="1" x14ac:dyDescent="0.15">
      <c r="B633" s="26">
        <v>9</v>
      </c>
      <c r="C633" s="17"/>
      <c r="D633" s="24"/>
      <c r="E633" s="24"/>
      <c r="F633" s="129"/>
      <c r="G633" s="20"/>
      <c r="H633" s="20">
        <v>1</v>
      </c>
      <c r="I633" s="129">
        <f t="shared" si="45"/>
        <v>0</v>
      </c>
      <c r="J633" s="52">
        <f t="shared" si="46"/>
        <v>0</v>
      </c>
      <c r="K633" s="108"/>
      <c r="L633" s="113"/>
      <c r="M633" s="4"/>
      <c r="N633" s="4"/>
      <c r="O633" s="4"/>
      <c r="P633" s="4"/>
      <c r="Q633" s="4"/>
      <c r="R633" s="4"/>
      <c r="S633" s="4"/>
      <c r="T633" s="4"/>
    </row>
    <row r="634" spans="2:20" s="1" customFormat="1" ht="12.95" customHeight="1" x14ac:dyDescent="0.15">
      <c r="B634" s="26">
        <v>10</v>
      </c>
      <c r="C634" s="17"/>
      <c r="D634" s="24"/>
      <c r="E634" s="24"/>
      <c r="F634" s="129"/>
      <c r="G634" s="20"/>
      <c r="H634" s="20">
        <v>1</v>
      </c>
      <c r="I634" s="129">
        <f t="shared" si="45"/>
        <v>0</v>
      </c>
      <c r="J634" s="52">
        <f t="shared" si="46"/>
        <v>0</v>
      </c>
      <c r="K634" s="108"/>
      <c r="L634" s="113"/>
      <c r="M634" s="4"/>
      <c r="N634" s="4"/>
      <c r="O634" s="4"/>
      <c r="P634" s="4"/>
      <c r="Q634" s="4"/>
      <c r="R634" s="4"/>
      <c r="S634" s="4"/>
      <c r="T634" s="4"/>
    </row>
    <row r="635" spans="2:20" s="1" customFormat="1" ht="12.95" customHeight="1" x14ac:dyDescent="0.15">
      <c r="B635" s="26">
        <v>11</v>
      </c>
      <c r="C635" s="17"/>
      <c r="D635" s="24"/>
      <c r="E635" s="24"/>
      <c r="F635" s="129"/>
      <c r="G635" s="20"/>
      <c r="H635" s="20">
        <v>1</v>
      </c>
      <c r="I635" s="129">
        <f t="shared" si="45"/>
        <v>0</v>
      </c>
      <c r="J635" s="52">
        <f t="shared" si="46"/>
        <v>0</v>
      </c>
      <c r="K635" s="108"/>
      <c r="L635" s="113"/>
      <c r="M635" s="4"/>
      <c r="N635" s="4"/>
      <c r="O635" s="4"/>
      <c r="P635" s="4"/>
      <c r="Q635" s="4"/>
      <c r="R635" s="4"/>
      <c r="S635" s="4"/>
      <c r="T635" s="4"/>
    </row>
    <row r="636" spans="2:20" s="1" customFormat="1" ht="12.95" customHeight="1" x14ac:dyDescent="0.15">
      <c r="B636" s="26">
        <v>12</v>
      </c>
      <c r="C636" s="17"/>
      <c r="D636" s="18"/>
      <c r="E636" s="18"/>
      <c r="F636" s="129"/>
      <c r="G636" s="20"/>
      <c r="H636" s="20">
        <v>1</v>
      </c>
      <c r="I636" s="129">
        <f t="shared" si="45"/>
        <v>0</v>
      </c>
      <c r="J636" s="52">
        <f t="shared" si="46"/>
        <v>0</v>
      </c>
      <c r="K636" s="108"/>
      <c r="L636" s="113"/>
      <c r="M636" s="4"/>
      <c r="N636" s="4"/>
      <c r="O636" s="4"/>
      <c r="P636" s="4"/>
      <c r="Q636" s="4"/>
      <c r="R636" s="4"/>
      <c r="S636" s="4"/>
      <c r="T636" s="4"/>
    </row>
    <row r="637" spans="2:20" s="1" customFormat="1" ht="12.95" customHeight="1" x14ac:dyDescent="0.15">
      <c r="B637" s="26">
        <v>13</v>
      </c>
      <c r="C637" s="17"/>
      <c r="D637" s="18"/>
      <c r="E637" s="18"/>
      <c r="F637" s="129"/>
      <c r="G637" s="20"/>
      <c r="H637" s="20">
        <v>1</v>
      </c>
      <c r="I637" s="129">
        <f t="shared" si="45"/>
        <v>0</v>
      </c>
      <c r="J637" s="52">
        <f t="shared" si="46"/>
        <v>0</v>
      </c>
      <c r="K637" s="108"/>
      <c r="L637" s="113"/>
      <c r="M637" s="4"/>
      <c r="N637" s="4"/>
      <c r="O637" s="4"/>
      <c r="P637" s="4"/>
      <c r="Q637" s="4"/>
      <c r="R637" s="4"/>
      <c r="S637" s="4"/>
      <c r="T637" s="4"/>
    </row>
    <row r="638" spans="2:20" s="1" customFormat="1" ht="12.95" customHeight="1" x14ac:dyDescent="0.15">
      <c r="B638" s="26">
        <v>14</v>
      </c>
      <c r="C638" s="17"/>
      <c r="D638" s="18"/>
      <c r="E638" s="18"/>
      <c r="F638" s="129"/>
      <c r="G638" s="20"/>
      <c r="H638" s="20">
        <v>1</v>
      </c>
      <c r="I638" s="129">
        <f t="shared" si="45"/>
        <v>0</v>
      </c>
      <c r="J638" s="52">
        <f t="shared" si="46"/>
        <v>0</v>
      </c>
      <c r="K638" s="108"/>
      <c r="L638" s="113"/>
      <c r="M638" s="4"/>
      <c r="N638" s="4"/>
      <c r="O638" s="4"/>
      <c r="P638" s="4"/>
      <c r="Q638" s="4"/>
      <c r="R638" s="4"/>
      <c r="S638" s="4"/>
      <c r="T638" s="4"/>
    </row>
    <row r="639" spans="2:20" s="1" customFormat="1" ht="12.95" customHeight="1" x14ac:dyDescent="0.15">
      <c r="B639" s="26">
        <v>15</v>
      </c>
      <c r="C639" s="11"/>
      <c r="D639" s="18"/>
      <c r="E639" s="18"/>
      <c r="F639" s="129"/>
      <c r="G639" s="20"/>
      <c r="H639" s="20">
        <v>1</v>
      </c>
      <c r="I639" s="126">
        <f t="shared" si="45"/>
        <v>0</v>
      </c>
      <c r="J639" s="21">
        <f t="shared" si="46"/>
        <v>0</v>
      </c>
      <c r="K639" s="108"/>
      <c r="L639" s="113"/>
      <c r="M639" s="4"/>
      <c r="N639" s="4"/>
      <c r="O639" s="4"/>
      <c r="P639" s="4"/>
      <c r="Q639" s="4"/>
      <c r="R639" s="4"/>
      <c r="S639" s="4"/>
      <c r="T639" s="4"/>
    </row>
    <row r="640" spans="2:20" s="1" customFormat="1" ht="12.95" customHeight="1" x14ac:dyDescent="0.15">
      <c r="B640" s="26">
        <v>16</v>
      </c>
      <c r="C640" s="23"/>
      <c r="D640" s="49"/>
      <c r="E640" s="49"/>
      <c r="F640" s="126"/>
      <c r="G640" s="50"/>
      <c r="H640" s="20">
        <v>1</v>
      </c>
      <c r="I640" s="126">
        <f t="shared" si="45"/>
        <v>0</v>
      </c>
      <c r="J640" s="21">
        <f t="shared" si="46"/>
        <v>0</v>
      </c>
      <c r="K640" s="108"/>
      <c r="L640" s="113"/>
      <c r="M640" s="4"/>
      <c r="N640" s="4"/>
      <c r="O640" s="4"/>
      <c r="P640" s="4"/>
      <c r="Q640" s="4"/>
      <c r="R640" s="4"/>
      <c r="S640" s="4"/>
      <c r="T640" s="4"/>
    </row>
    <row r="641" spans="2:20" s="1" customFormat="1" ht="12.95" customHeight="1" x14ac:dyDescent="0.15">
      <c r="B641" s="26">
        <v>17</v>
      </c>
      <c r="C641" s="23"/>
      <c r="D641" s="48"/>
      <c r="E641" s="48"/>
      <c r="F641" s="126"/>
      <c r="G641" s="50"/>
      <c r="H641" s="20">
        <v>1</v>
      </c>
      <c r="I641" s="126">
        <f t="shared" si="45"/>
        <v>0</v>
      </c>
      <c r="J641" s="21">
        <f t="shared" si="46"/>
        <v>0</v>
      </c>
      <c r="K641" s="108"/>
      <c r="L641" s="113"/>
      <c r="M641" s="4"/>
      <c r="N641" s="4"/>
      <c r="O641" s="4"/>
      <c r="P641" s="4"/>
      <c r="Q641" s="4"/>
      <c r="R641" s="4"/>
      <c r="S641" s="4"/>
      <c r="T641" s="4"/>
    </row>
    <row r="642" spans="2:20" s="1" customFormat="1" ht="12.95" customHeight="1" x14ac:dyDescent="0.15">
      <c r="B642" s="26">
        <v>18</v>
      </c>
      <c r="C642" s="23"/>
      <c r="D642" s="48"/>
      <c r="E642" s="48"/>
      <c r="F642" s="126"/>
      <c r="G642" s="50"/>
      <c r="H642" s="20">
        <v>1</v>
      </c>
      <c r="I642" s="126">
        <f t="shared" si="45"/>
        <v>0</v>
      </c>
      <c r="J642" s="21">
        <f t="shared" si="46"/>
        <v>0</v>
      </c>
      <c r="K642" s="108"/>
      <c r="L642" s="113"/>
      <c r="M642" s="4"/>
      <c r="N642" s="4"/>
      <c r="O642" s="4"/>
      <c r="P642" s="4"/>
      <c r="Q642" s="4"/>
      <c r="R642" s="4"/>
      <c r="S642" s="4"/>
      <c r="T642" s="4"/>
    </row>
    <row r="643" spans="2:20" s="1" customFormat="1" ht="12.95" customHeight="1" x14ac:dyDescent="0.15">
      <c r="B643" s="26">
        <v>19</v>
      </c>
      <c r="C643" s="23"/>
      <c r="D643" s="48"/>
      <c r="E643" s="48"/>
      <c r="F643" s="126"/>
      <c r="G643" s="50"/>
      <c r="H643" s="20">
        <v>1</v>
      </c>
      <c r="I643" s="126">
        <f t="shared" si="45"/>
        <v>0</v>
      </c>
      <c r="J643" s="21">
        <f t="shared" si="46"/>
        <v>0</v>
      </c>
      <c r="K643" s="108"/>
      <c r="L643" s="113"/>
      <c r="M643" s="4"/>
      <c r="N643" s="4"/>
      <c r="O643" s="4"/>
      <c r="P643" s="4"/>
      <c r="Q643" s="4"/>
      <c r="R643" s="4"/>
      <c r="S643" s="4"/>
      <c r="T643" s="4"/>
    </row>
    <row r="644" spans="2:20" s="1" customFormat="1" ht="12.95" customHeight="1" x14ac:dyDescent="0.15">
      <c r="B644" s="26">
        <v>20</v>
      </c>
      <c r="C644" s="23"/>
      <c r="D644" s="48"/>
      <c r="E644" s="48"/>
      <c r="F644" s="126"/>
      <c r="G644" s="50"/>
      <c r="H644" s="20">
        <v>1</v>
      </c>
      <c r="I644" s="126">
        <f t="shared" si="45"/>
        <v>0</v>
      </c>
      <c r="J644" s="21">
        <f t="shared" si="46"/>
        <v>0</v>
      </c>
      <c r="K644" s="108"/>
      <c r="L644" s="113"/>
      <c r="M644" s="4"/>
      <c r="N644" s="4"/>
      <c r="O644" s="4"/>
      <c r="P644" s="4"/>
      <c r="Q644" s="4"/>
      <c r="R644" s="4"/>
      <c r="S644" s="4"/>
      <c r="T644" s="4"/>
    </row>
    <row r="645" spans="2:20" s="1" customFormat="1" ht="12.95" customHeight="1" x14ac:dyDescent="0.15">
      <c r="B645" s="26"/>
      <c r="C645" s="23"/>
      <c r="D645" s="48"/>
      <c r="E645" s="48"/>
      <c r="F645" s="126"/>
      <c r="G645" s="50"/>
      <c r="H645" s="50"/>
      <c r="I645" s="126"/>
      <c r="J645" s="38"/>
      <c r="K645" s="108"/>
      <c r="L645" s="113"/>
      <c r="M645" s="4"/>
      <c r="N645" s="4"/>
      <c r="O645" s="4"/>
      <c r="P645" s="4"/>
      <c r="Q645" s="4"/>
      <c r="R645" s="4"/>
      <c r="S645" s="4"/>
      <c r="T645" s="4"/>
    </row>
    <row r="646" spans="2:20" s="1" customFormat="1" ht="12.95" customHeight="1" x14ac:dyDescent="0.15">
      <c r="B646" s="26"/>
      <c r="C646" s="23"/>
      <c r="D646" s="48"/>
      <c r="E646" s="48"/>
      <c r="F646" s="126"/>
      <c r="G646" s="50"/>
      <c r="H646" s="50"/>
      <c r="I646" s="126"/>
      <c r="J646" s="38"/>
      <c r="K646" s="108"/>
      <c r="L646" s="113"/>
      <c r="M646" s="4"/>
      <c r="N646" s="4"/>
      <c r="O646" s="4"/>
      <c r="P646" s="4"/>
      <c r="Q646" s="4"/>
      <c r="R646" s="4"/>
      <c r="S646" s="4"/>
      <c r="T646" s="4"/>
    </row>
    <row r="647" spans="2:20" s="1" customFormat="1" ht="12.95" customHeight="1" x14ac:dyDescent="0.15">
      <c r="B647" s="26"/>
      <c r="C647" s="95" t="s">
        <v>132</v>
      </c>
      <c r="D647" s="49"/>
      <c r="E647" s="49"/>
      <c r="F647" s="126"/>
      <c r="G647" s="50"/>
      <c r="H647" s="50"/>
      <c r="I647" s="126"/>
      <c r="J647" s="21"/>
      <c r="K647" s="108"/>
      <c r="L647" s="113"/>
      <c r="M647" s="57"/>
      <c r="N647" s="57"/>
      <c r="O647" s="57"/>
      <c r="P647" s="57"/>
      <c r="Q647" s="58"/>
      <c r="R647" s="57"/>
      <c r="S647" s="4"/>
      <c r="T647" s="57"/>
    </row>
    <row r="648" spans="2:20" s="1" customFormat="1" ht="12.95" customHeight="1" x14ac:dyDescent="0.15">
      <c r="B648" s="26">
        <v>1</v>
      </c>
      <c r="C648" s="60"/>
      <c r="D648" s="49"/>
      <c r="E648" s="49"/>
      <c r="F648" s="126"/>
      <c r="G648" s="50"/>
      <c r="H648" s="50">
        <v>1</v>
      </c>
      <c r="I648" s="126">
        <f>J648*$C$32</f>
        <v>0</v>
      </c>
      <c r="J648" s="21">
        <f t="shared" ref="J648:J667" si="47">(F648*G648*H648)/$C$32</f>
        <v>0</v>
      </c>
      <c r="K648" s="108"/>
      <c r="L648" s="113"/>
      <c r="M648" s="57"/>
      <c r="N648" s="57"/>
      <c r="O648" s="57"/>
      <c r="P648" s="57"/>
      <c r="Q648" s="58"/>
      <c r="R648" s="57"/>
      <c r="S648" s="4"/>
      <c r="T648" s="57"/>
    </row>
    <row r="649" spans="2:20" s="1" customFormat="1" ht="12.95" customHeight="1" x14ac:dyDescent="0.15">
      <c r="B649" s="26">
        <v>2</v>
      </c>
      <c r="C649" s="59"/>
      <c r="D649" s="49"/>
      <c r="E649" s="49"/>
      <c r="F649" s="126"/>
      <c r="G649" s="50"/>
      <c r="H649" s="50">
        <v>1</v>
      </c>
      <c r="I649" s="126">
        <f t="shared" ref="I649:I667" si="48">J649*$C$32</f>
        <v>0</v>
      </c>
      <c r="J649" s="21">
        <f t="shared" si="47"/>
        <v>0</v>
      </c>
      <c r="K649" s="108"/>
      <c r="L649" s="113"/>
      <c r="M649" s="57"/>
      <c r="N649" s="57"/>
      <c r="O649" s="57"/>
      <c r="P649" s="57"/>
      <c r="Q649" s="58"/>
      <c r="R649" s="57"/>
      <c r="S649" s="4"/>
      <c r="T649" s="57"/>
    </row>
    <row r="650" spans="2:20" s="1" customFormat="1" ht="12.95" customHeight="1" x14ac:dyDescent="0.15">
      <c r="B650" s="26">
        <v>3</v>
      </c>
      <c r="C650" s="61"/>
      <c r="D650" s="49"/>
      <c r="E650" s="49"/>
      <c r="F650" s="126"/>
      <c r="G650" s="50"/>
      <c r="H650" s="50">
        <v>1</v>
      </c>
      <c r="I650" s="126">
        <f t="shared" si="48"/>
        <v>0</v>
      </c>
      <c r="J650" s="21">
        <f t="shared" si="47"/>
        <v>0</v>
      </c>
      <c r="K650" s="108"/>
      <c r="L650" s="113"/>
      <c r="M650" s="57"/>
      <c r="N650" s="57"/>
      <c r="O650" s="57"/>
      <c r="P650" s="57"/>
      <c r="Q650" s="58"/>
      <c r="R650" s="57"/>
      <c r="S650" s="4"/>
      <c r="T650" s="57"/>
    </row>
    <row r="651" spans="2:20" s="1" customFormat="1" ht="12.95" customHeight="1" x14ac:dyDescent="0.15">
      <c r="B651" s="16">
        <v>4</v>
      </c>
      <c r="C651" s="11"/>
      <c r="D651" s="18"/>
      <c r="E651" s="18"/>
      <c r="F651" s="129"/>
      <c r="G651" s="20"/>
      <c r="H651" s="20">
        <v>1</v>
      </c>
      <c r="I651" s="126">
        <f t="shared" si="48"/>
        <v>0</v>
      </c>
      <c r="J651" s="21">
        <f t="shared" si="47"/>
        <v>0</v>
      </c>
      <c r="K651" s="80"/>
      <c r="L651" s="82"/>
      <c r="M651" s="10"/>
      <c r="N651" s="10"/>
      <c r="O651" s="10"/>
      <c r="P651" s="10"/>
      <c r="Q651" s="43"/>
      <c r="R651" s="10"/>
      <c r="T651" s="10"/>
    </row>
    <row r="652" spans="2:20" s="1" customFormat="1" ht="12.95" customHeight="1" x14ac:dyDescent="0.15">
      <c r="B652" s="16">
        <v>5</v>
      </c>
      <c r="C652" s="46"/>
      <c r="D652" s="18"/>
      <c r="E652" s="18"/>
      <c r="F652" s="129"/>
      <c r="G652" s="20"/>
      <c r="H652" s="20">
        <v>1</v>
      </c>
      <c r="I652" s="126">
        <f t="shared" si="48"/>
        <v>0</v>
      </c>
      <c r="J652" s="21">
        <f t="shared" si="47"/>
        <v>0</v>
      </c>
      <c r="K652" s="80"/>
      <c r="L652" s="82"/>
      <c r="M652" s="10"/>
      <c r="N652" s="10"/>
      <c r="O652" s="10"/>
      <c r="P652" s="10"/>
      <c r="Q652" s="43"/>
      <c r="R652" s="10"/>
      <c r="T652" s="10"/>
    </row>
    <row r="653" spans="2:20" s="1" customFormat="1" ht="12.95" customHeight="1" x14ac:dyDescent="0.15">
      <c r="B653" s="16">
        <v>6</v>
      </c>
      <c r="C653" s="11"/>
      <c r="D653" s="18"/>
      <c r="E653" s="18"/>
      <c r="F653" s="129"/>
      <c r="G653" s="20"/>
      <c r="H653" s="20">
        <v>1</v>
      </c>
      <c r="I653" s="126">
        <f t="shared" si="48"/>
        <v>0</v>
      </c>
      <c r="J653" s="21">
        <f t="shared" si="47"/>
        <v>0</v>
      </c>
      <c r="K653" s="80"/>
      <c r="L653" s="82"/>
      <c r="M653" s="10"/>
      <c r="N653" s="10"/>
      <c r="O653" s="10"/>
      <c r="P653" s="10"/>
      <c r="Q653" s="43"/>
      <c r="R653" s="10"/>
      <c r="T653" s="10"/>
    </row>
    <row r="654" spans="2:20" s="1" customFormat="1" ht="12.95" customHeight="1" x14ac:dyDescent="0.15">
      <c r="B654" s="16">
        <v>7</v>
      </c>
      <c r="C654" s="11"/>
      <c r="D654" s="18"/>
      <c r="E654" s="18"/>
      <c r="F654" s="129"/>
      <c r="G654" s="20"/>
      <c r="H654" s="20">
        <v>1</v>
      </c>
      <c r="I654" s="126">
        <f t="shared" si="48"/>
        <v>0</v>
      </c>
      <c r="J654" s="21">
        <f t="shared" si="47"/>
        <v>0</v>
      </c>
      <c r="K654" s="80"/>
      <c r="L654" s="82"/>
      <c r="M654" s="10"/>
      <c r="N654" s="10"/>
      <c r="O654" s="10"/>
      <c r="P654" s="10"/>
      <c r="Q654" s="43"/>
      <c r="R654" s="10"/>
      <c r="T654" s="10"/>
    </row>
    <row r="655" spans="2:20" s="1" customFormat="1" ht="12.95" customHeight="1" x14ac:dyDescent="0.15">
      <c r="B655" s="16">
        <v>8</v>
      </c>
      <c r="C655" s="11"/>
      <c r="D655" s="18"/>
      <c r="E655" s="18"/>
      <c r="F655" s="129"/>
      <c r="G655" s="20"/>
      <c r="H655" s="20">
        <v>1</v>
      </c>
      <c r="I655" s="126">
        <f t="shared" si="48"/>
        <v>0</v>
      </c>
      <c r="J655" s="21">
        <f t="shared" si="47"/>
        <v>0</v>
      </c>
      <c r="K655" s="80"/>
      <c r="L655" s="82"/>
      <c r="M655" s="10"/>
      <c r="N655" s="10"/>
      <c r="O655" s="10"/>
      <c r="P655" s="10"/>
      <c r="Q655" s="43"/>
      <c r="R655" s="10"/>
      <c r="T655" s="10"/>
    </row>
    <row r="656" spans="2:20" s="1" customFormat="1" ht="12.95" customHeight="1" x14ac:dyDescent="0.15">
      <c r="B656" s="16">
        <v>9</v>
      </c>
      <c r="C656" s="11"/>
      <c r="D656" s="18"/>
      <c r="E656" s="18"/>
      <c r="F656" s="129"/>
      <c r="G656" s="20"/>
      <c r="H656" s="20">
        <v>1</v>
      </c>
      <c r="I656" s="126">
        <f t="shared" si="48"/>
        <v>0</v>
      </c>
      <c r="J656" s="21">
        <f t="shared" si="47"/>
        <v>0</v>
      </c>
      <c r="K656" s="80"/>
      <c r="L656" s="82"/>
      <c r="M656" s="10"/>
      <c r="N656" s="10"/>
      <c r="O656" s="10"/>
      <c r="P656" s="10"/>
      <c r="Q656" s="43"/>
      <c r="R656" s="10"/>
      <c r="T656" s="10"/>
    </row>
    <row r="657" spans="2:20" s="1" customFormat="1" ht="12.95" customHeight="1" x14ac:dyDescent="0.15">
      <c r="B657" s="16">
        <v>10</v>
      </c>
      <c r="C657" s="11"/>
      <c r="D657" s="18"/>
      <c r="E657" s="18"/>
      <c r="F657" s="129"/>
      <c r="G657" s="20"/>
      <c r="H657" s="20">
        <v>1</v>
      </c>
      <c r="I657" s="126">
        <f t="shared" si="48"/>
        <v>0</v>
      </c>
      <c r="J657" s="21">
        <f t="shared" si="47"/>
        <v>0</v>
      </c>
      <c r="K657" s="80"/>
      <c r="L657" s="82"/>
      <c r="M657" s="10"/>
      <c r="N657" s="10"/>
      <c r="O657" s="10"/>
      <c r="P657" s="10"/>
      <c r="Q657" s="43"/>
      <c r="R657" s="10"/>
      <c r="T657" s="10"/>
    </row>
    <row r="658" spans="2:20" s="1" customFormat="1" ht="12.95" customHeight="1" x14ac:dyDescent="0.15">
      <c r="B658" s="16">
        <v>11</v>
      </c>
      <c r="C658" s="11"/>
      <c r="D658" s="18"/>
      <c r="E658" s="18"/>
      <c r="F658" s="129"/>
      <c r="G658" s="20"/>
      <c r="H658" s="20">
        <v>1</v>
      </c>
      <c r="I658" s="126">
        <f t="shared" si="48"/>
        <v>0</v>
      </c>
      <c r="J658" s="21">
        <f t="shared" si="47"/>
        <v>0</v>
      </c>
      <c r="K658" s="80"/>
      <c r="L658" s="82"/>
      <c r="M658" s="10"/>
      <c r="N658" s="10"/>
      <c r="O658" s="10"/>
      <c r="P658" s="10"/>
      <c r="Q658" s="43"/>
      <c r="R658" s="10"/>
      <c r="T658" s="10"/>
    </row>
    <row r="659" spans="2:20" s="1" customFormat="1" ht="12.95" customHeight="1" x14ac:dyDescent="0.15">
      <c r="B659" s="16">
        <v>12</v>
      </c>
      <c r="C659" s="11"/>
      <c r="D659" s="18"/>
      <c r="E659" s="18"/>
      <c r="F659" s="129"/>
      <c r="G659" s="20"/>
      <c r="H659" s="20">
        <v>1</v>
      </c>
      <c r="I659" s="126">
        <f t="shared" si="48"/>
        <v>0</v>
      </c>
      <c r="J659" s="21">
        <f t="shared" si="47"/>
        <v>0</v>
      </c>
      <c r="K659" s="80"/>
      <c r="L659" s="82"/>
      <c r="M659" s="10"/>
      <c r="N659" s="10"/>
      <c r="O659" s="10"/>
      <c r="P659" s="10"/>
      <c r="Q659" s="43"/>
      <c r="R659" s="10"/>
      <c r="T659" s="10"/>
    </row>
    <row r="660" spans="2:20" s="1" customFormat="1" ht="12.95" customHeight="1" x14ac:dyDescent="0.15">
      <c r="B660" s="16">
        <v>13</v>
      </c>
      <c r="C660" s="11"/>
      <c r="D660" s="18"/>
      <c r="E660" s="18"/>
      <c r="F660" s="129"/>
      <c r="G660" s="20"/>
      <c r="H660" s="20">
        <v>1</v>
      </c>
      <c r="I660" s="126">
        <f t="shared" si="48"/>
        <v>0</v>
      </c>
      <c r="J660" s="21">
        <f t="shared" si="47"/>
        <v>0</v>
      </c>
      <c r="K660" s="80"/>
      <c r="L660" s="82"/>
      <c r="M660" s="10"/>
      <c r="N660" s="10"/>
      <c r="O660" s="10"/>
      <c r="P660" s="10"/>
      <c r="Q660" s="43"/>
      <c r="R660" s="10"/>
      <c r="T660" s="10"/>
    </row>
    <row r="661" spans="2:20" s="1" customFormat="1" ht="12.95" customHeight="1" x14ac:dyDescent="0.15">
      <c r="B661" s="16">
        <v>14</v>
      </c>
      <c r="C661" s="11"/>
      <c r="D661" s="18"/>
      <c r="E661" s="18"/>
      <c r="F661" s="129"/>
      <c r="G661" s="20"/>
      <c r="H661" s="20">
        <v>1</v>
      </c>
      <c r="I661" s="126">
        <f t="shared" si="48"/>
        <v>0</v>
      </c>
      <c r="J661" s="21">
        <f t="shared" si="47"/>
        <v>0</v>
      </c>
      <c r="K661" s="80"/>
      <c r="L661" s="82"/>
      <c r="M661" s="10"/>
      <c r="N661" s="10"/>
      <c r="O661" s="10"/>
      <c r="P661" s="10"/>
      <c r="Q661" s="43"/>
      <c r="R661" s="10"/>
      <c r="T661" s="10"/>
    </row>
    <row r="662" spans="2:20" s="1" customFormat="1" ht="12.95" customHeight="1" x14ac:dyDescent="0.15">
      <c r="B662" s="16">
        <v>15</v>
      </c>
      <c r="C662" s="11"/>
      <c r="D662" s="18"/>
      <c r="E662" s="18"/>
      <c r="F662" s="129"/>
      <c r="G662" s="20"/>
      <c r="H662" s="20">
        <v>1</v>
      </c>
      <c r="I662" s="126">
        <f t="shared" si="48"/>
        <v>0</v>
      </c>
      <c r="J662" s="21">
        <f t="shared" si="47"/>
        <v>0</v>
      </c>
      <c r="K662" s="80"/>
      <c r="L662" s="82"/>
      <c r="M662" s="10"/>
      <c r="N662" s="10"/>
      <c r="O662" s="10"/>
      <c r="P662" s="10"/>
      <c r="Q662" s="43"/>
      <c r="R662" s="10"/>
      <c r="T662" s="10"/>
    </row>
    <row r="663" spans="2:20" s="1" customFormat="1" ht="12.95" customHeight="1" x14ac:dyDescent="0.15">
      <c r="B663" s="16">
        <v>16</v>
      </c>
      <c r="C663" s="11"/>
      <c r="D663" s="18"/>
      <c r="E663" s="18"/>
      <c r="F663" s="129"/>
      <c r="G663" s="20"/>
      <c r="H663" s="20">
        <v>1</v>
      </c>
      <c r="I663" s="126">
        <f t="shared" si="48"/>
        <v>0</v>
      </c>
      <c r="J663" s="21">
        <f t="shared" si="47"/>
        <v>0</v>
      </c>
      <c r="K663" s="80"/>
      <c r="L663" s="82"/>
      <c r="M663" s="10"/>
      <c r="N663" s="10"/>
      <c r="O663" s="10"/>
      <c r="P663" s="10"/>
      <c r="Q663" s="43"/>
      <c r="R663" s="10"/>
      <c r="T663" s="10"/>
    </row>
    <row r="664" spans="2:20" s="1" customFormat="1" ht="12.95" customHeight="1" x14ac:dyDescent="0.15">
      <c r="B664" s="16">
        <v>17</v>
      </c>
      <c r="C664" s="11"/>
      <c r="D664" s="18"/>
      <c r="E664" s="18"/>
      <c r="F664" s="129"/>
      <c r="G664" s="20"/>
      <c r="H664" s="20">
        <v>1</v>
      </c>
      <c r="I664" s="126">
        <f t="shared" si="48"/>
        <v>0</v>
      </c>
      <c r="J664" s="21">
        <f t="shared" si="47"/>
        <v>0</v>
      </c>
      <c r="K664" s="80"/>
      <c r="L664" s="82"/>
      <c r="M664" s="10"/>
      <c r="N664" s="10"/>
      <c r="O664" s="10"/>
      <c r="P664" s="10"/>
      <c r="Q664" s="43"/>
      <c r="R664" s="10"/>
      <c r="T664" s="10"/>
    </row>
    <row r="665" spans="2:20" s="1" customFormat="1" ht="12.95" customHeight="1" x14ac:dyDescent="0.15">
      <c r="B665" s="16">
        <v>18</v>
      </c>
      <c r="C665" s="11"/>
      <c r="D665" s="18"/>
      <c r="E665" s="18"/>
      <c r="F665" s="129"/>
      <c r="G665" s="20"/>
      <c r="H665" s="20">
        <v>1</v>
      </c>
      <c r="I665" s="126">
        <f t="shared" si="48"/>
        <v>0</v>
      </c>
      <c r="J665" s="21">
        <f t="shared" si="47"/>
        <v>0</v>
      </c>
      <c r="K665" s="111"/>
      <c r="L665" s="119"/>
      <c r="M665" s="10"/>
      <c r="N665" s="10"/>
      <c r="O665" s="10"/>
      <c r="P665" s="10"/>
      <c r="Q665" s="43"/>
      <c r="R665" s="10"/>
      <c r="T665" s="10"/>
    </row>
    <row r="666" spans="2:20" s="1" customFormat="1" ht="12.95" customHeight="1" x14ac:dyDescent="0.15">
      <c r="B666" s="16">
        <v>19</v>
      </c>
      <c r="C666" s="16"/>
      <c r="D666" s="18"/>
      <c r="E666" s="18"/>
      <c r="F666" s="129"/>
      <c r="G666" s="20"/>
      <c r="H666" s="20">
        <v>1</v>
      </c>
      <c r="I666" s="126">
        <f t="shared" si="48"/>
        <v>0</v>
      </c>
      <c r="J666" s="259">
        <f t="shared" si="47"/>
        <v>0</v>
      </c>
      <c r="K666" s="82"/>
      <c r="L666" s="82"/>
      <c r="M666" s="10"/>
      <c r="N666" s="10"/>
      <c r="O666" s="10"/>
      <c r="P666" s="10"/>
      <c r="Q666" s="43"/>
      <c r="R666" s="10"/>
      <c r="T666" s="10"/>
    </row>
    <row r="667" spans="2:20" s="1" customFormat="1" ht="12.95" customHeight="1" x14ac:dyDescent="0.15">
      <c r="B667" s="16">
        <v>20</v>
      </c>
      <c r="C667" s="11"/>
      <c r="D667" s="18"/>
      <c r="E667" s="18"/>
      <c r="F667" s="129"/>
      <c r="G667" s="20"/>
      <c r="H667" s="20">
        <v>1</v>
      </c>
      <c r="I667" s="126">
        <f t="shared" si="48"/>
        <v>0</v>
      </c>
      <c r="J667" s="260">
        <f t="shared" si="47"/>
        <v>0</v>
      </c>
      <c r="K667" s="82"/>
      <c r="L667" s="82"/>
      <c r="M667" s="10"/>
      <c r="N667" s="10"/>
      <c r="O667" s="10"/>
      <c r="P667" s="10"/>
      <c r="Q667" s="43"/>
      <c r="R667" s="10"/>
      <c r="T667" s="10"/>
    </row>
    <row r="668" spans="2:20" s="1" customFormat="1" ht="12.95" customHeight="1" x14ac:dyDescent="0.15">
      <c r="B668" s="16"/>
      <c r="C668" s="17"/>
      <c r="D668" s="62"/>
      <c r="E668" s="63"/>
      <c r="F668" s="129"/>
      <c r="G668" s="20"/>
      <c r="H668" s="20"/>
      <c r="I668" s="254"/>
      <c r="J668" s="261"/>
      <c r="K668" s="82"/>
      <c r="L668" s="82"/>
    </row>
    <row r="669" spans="2:20" s="1" customFormat="1" ht="13.15" customHeight="1" x14ac:dyDescent="0.15">
      <c r="B669" s="83"/>
      <c r="C669" s="98"/>
      <c r="D669" s="99"/>
      <c r="E669" s="98"/>
      <c r="F669" s="127">
        <f>SUM(F610:F668)</f>
        <v>0</v>
      </c>
      <c r="G669" s="100"/>
      <c r="H669" s="101"/>
      <c r="I669" s="258">
        <f>SUM(I610:I668)</f>
        <v>0</v>
      </c>
      <c r="J669" s="106">
        <f>SUM(J612:J648)</f>
        <v>0</v>
      </c>
    </row>
    <row r="670" spans="2:20" s="1" customFormat="1" ht="13.15" customHeight="1" x14ac:dyDescent="0.15">
      <c r="B670" s="82"/>
      <c r="C670" s="102"/>
      <c r="D670" s="103"/>
      <c r="E670" s="102" t="s">
        <v>147</v>
      </c>
      <c r="F670" s="128">
        <f>100/115*F669</f>
        <v>0</v>
      </c>
      <c r="G670" s="104"/>
      <c r="H670" s="105" t="s">
        <v>147</v>
      </c>
      <c r="I670" s="256">
        <f>100/115*I669</f>
        <v>0</v>
      </c>
      <c r="J670" s="106">
        <f>SUM(J613:J649)</f>
        <v>0</v>
      </c>
    </row>
    <row r="671" spans="2:20" s="1" customFormat="1" ht="13.15" customHeight="1" x14ac:dyDescent="0.15">
      <c r="I671" s="135"/>
    </row>
    <row r="672" spans="2:20" s="1" customFormat="1" ht="13.15" customHeight="1" x14ac:dyDescent="0.15">
      <c r="I672" s="135"/>
    </row>
    <row r="673" spans="2:13" s="1" customFormat="1" ht="13.15" customHeight="1" x14ac:dyDescent="0.15">
      <c r="I673" s="135"/>
    </row>
    <row r="674" spans="2:13" s="1" customFormat="1" ht="13.15" customHeight="1" x14ac:dyDescent="0.15">
      <c r="I674" s="135"/>
    </row>
    <row r="675" spans="2:13" s="247" customFormat="1" ht="32.25" x14ac:dyDescent="0.4">
      <c r="B675" s="248"/>
      <c r="C675" s="380" t="s">
        <v>112</v>
      </c>
      <c r="D675" s="380"/>
      <c r="E675" s="428" t="s">
        <v>164</v>
      </c>
      <c r="F675" s="428"/>
      <c r="G675" s="428"/>
      <c r="H675" s="428"/>
      <c r="I675" s="428"/>
      <c r="J675" s="382">
        <v>2026</v>
      </c>
      <c r="K675" s="382"/>
      <c r="L675" s="382"/>
    </row>
    <row r="676" spans="2:13" s="1" customFormat="1" ht="39.6" customHeight="1" x14ac:dyDescent="0.15">
      <c r="B676" s="82"/>
      <c r="C676" s="102" t="s">
        <v>114</v>
      </c>
      <c r="D676" s="388" t="s">
        <v>115</v>
      </c>
      <c r="E676" s="388"/>
      <c r="F676" s="102" t="s">
        <v>116</v>
      </c>
      <c r="G676" s="102" t="s">
        <v>117</v>
      </c>
      <c r="H676" s="102" t="s">
        <v>118</v>
      </c>
      <c r="I676" s="141" t="s">
        <v>119</v>
      </c>
      <c r="J676" s="102" t="s">
        <v>120</v>
      </c>
      <c r="K676" s="82"/>
      <c r="L676" s="82"/>
    </row>
    <row r="677" spans="2:13" s="1" customFormat="1" ht="13.15" customHeight="1" x14ac:dyDescent="0.15">
      <c r="B677" s="82"/>
      <c r="C677" s="66">
        <f>C607</f>
        <v>350</v>
      </c>
      <c r="D677" s="389">
        <v>20</v>
      </c>
      <c r="E677" s="389"/>
      <c r="F677" s="13">
        <f>F607</f>
        <v>0.85</v>
      </c>
      <c r="G677" s="14">
        <f>G607</f>
        <v>8</v>
      </c>
      <c r="H677" s="142">
        <f>D677*G677*F677</f>
        <v>136</v>
      </c>
      <c r="I677" s="66">
        <f>I739</f>
        <v>0</v>
      </c>
      <c r="J677" s="143">
        <f>H677-J739</f>
        <v>136</v>
      </c>
      <c r="K677" s="82"/>
      <c r="L677" s="82"/>
    </row>
    <row r="678" spans="2:13" s="1" customFormat="1" ht="66" customHeight="1" x14ac:dyDescent="0.15">
      <c r="B678" s="84"/>
      <c r="C678" s="136" t="s">
        <v>121</v>
      </c>
      <c r="D678" s="420" t="s">
        <v>122</v>
      </c>
      <c r="E678" s="421"/>
      <c r="F678" s="137" t="s">
        <v>123</v>
      </c>
      <c r="G678" s="138" t="s">
        <v>124</v>
      </c>
      <c r="H678" s="139" t="s">
        <v>125</v>
      </c>
      <c r="I678" s="140" t="s">
        <v>126</v>
      </c>
      <c r="J678" s="138" t="s">
        <v>127</v>
      </c>
      <c r="K678" s="122" t="s">
        <v>128</v>
      </c>
      <c r="L678" s="123" t="s">
        <v>129</v>
      </c>
    </row>
    <row r="679" spans="2:13" s="1" customFormat="1" ht="12.95" customHeight="1" x14ac:dyDescent="0.15">
      <c r="B679" s="16"/>
      <c r="C679" s="17"/>
      <c r="D679" s="422"/>
      <c r="E679" s="423"/>
      <c r="F679" s="36"/>
      <c r="G679" s="20"/>
      <c r="H679" s="20"/>
      <c r="I679" s="126"/>
      <c r="J679" s="21"/>
      <c r="K679" s="80"/>
      <c r="L679" s="82"/>
    </row>
    <row r="680" spans="2:13" s="1" customFormat="1" ht="12.95" customHeight="1" x14ac:dyDescent="0.15">
      <c r="B680" s="16"/>
      <c r="C680" s="37" t="s">
        <v>130</v>
      </c>
      <c r="D680" s="24"/>
      <c r="E680" s="24"/>
      <c r="F680" s="129"/>
      <c r="G680" s="20"/>
      <c r="H680" s="20"/>
      <c r="I680" s="126"/>
      <c r="J680" s="38"/>
      <c r="K680" s="80"/>
      <c r="L680" s="82"/>
    </row>
    <row r="681" spans="2:13" s="1" customFormat="1" ht="12.75" customHeight="1" x14ac:dyDescent="0.15">
      <c r="B681" s="16"/>
      <c r="C681" s="72" t="s">
        <v>149</v>
      </c>
      <c r="D681" s="24"/>
      <c r="E681" s="24"/>
      <c r="F681" s="129"/>
      <c r="G681" s="20"/>
      <c r="H681" s="20"/>
      <c r="I681" s="126"/>
      <c r="J681" s="38"/>
      <c r="K681" s="80"/>
      <c r="L681" s="82"/>
    </row>
    <row r="682" spans="2:13" s="1" customFormat="1" ht="16.5" x14ac:dyDescent="0.15">
      <c r="B682" s="16">
        <v>1</v>
      </c>
      <c r="C682" s="23"/>
      <c r="D682" s="48"/>
      <c r="E682" s="48"/>
      <c r="F682" s="126"/>
      <c r="G682" s="50"/>
      <c r="H682" s="20">
        <v>1</v>
      </c>
      <c r="I682" s="126">
        <f t="shared" ref="I682:I704" si="49">J682*$C$32</f>
        <v>0</v>
      </c>
      <c r="J682" s="38">
        <f t="shared" ref="J682:J698" si="50">(F682*G682*H682)/$C$32</f>
        <v>0</v>
      </c>
      <c r="K682" s="80"/>
      <c r="L682" s="82"/>
      <c r="M682" s="133"/>
    </row>
    <row r="683" spans="2:13" s="1" customFormat="1" ht="12.75" customHeight="1" x14ac:dyDescent="0.15">
      <c r="B683" s="16">
        <v>2</v>
      </c>
      <c r="C683" s="23"/>
      <c r="D683" s="97"/>
      <c r="E683" s="97"/>
      <c r="F683" s="126"/>
      <c r="G683" s="50"/>
      <c r="H683" s="20">
        <v>1</v>
      </c>
      <c r="I683" s="126">
        <f t="shared" si="49"/>
        <v>0</v>
      </c>
      <c r="J683" s="38">
        <f t="shared" si="50"/>
        <v>0</v>
      </c>
      <c r="K683" s="80"/>
      <c r="L683" s="82"/>
      <c r="M683" s="134"/>
    </row>
    <row r="684" spans="2:13" s="1" customFormat="1" ht="12.75" customHeight="1" x14ac:dyDescent="0.15">
      <c r="B684" s="16">
        <v>3</v>
      </c>
      <c r="C684" s="23"/>
      <c r="D684" s="48"/>
      <c r="E684" s="48"/>
      <c r="F684" s="126"/>
      <c r="G684" s="50"/>
      <c r="H684" s="20">
        <v>1</v>
      </c>
      <c r="I684" s="126">
        <f t="shared" si="49"/>
        <v>0</v>
      </c>
      <c r="J684" s="38">
        <f t="shared" si="50"/>
        <v>0</v>
      </c>
      <c r="K684" s="80"/>
      <c r="L684" s="82"/>
    </row>
    <row r="685" spans="2:13" s="1" customFormat="1" ht="12.75" x14ac:dyDescent="0.15">
      <c r="B685" s="16">
        <v>4</v>
      </c>
      <c r="C685" s="26"/>
      <c r="D685" s="49"/>
      <c r="E685" s="49"/>
      <c r="F685" s="126"/>
      <c r="G685" s="50"/>
      <c r="H685" s="20">
        <v>1</v>
      </c>
      <c r="I685" s="126">
        <f t="shared" si="49"/>
        <v>0</v>
      </c>
      <c r="J685" s="38">
        <f t="shared" si="50"/>
        <v>0</v>
      </c>
      <c r="K685" s="80"/>
      <c r="L685" s="82"/>
    </row>
    <row r="686" spans="2:13" s="1" customFormat="1" ht="12.75" customHeight="1" x14ac:dyDescent="0.15">
      <c r="B686" s="16">
        <v>5</v>
      </c>
      <c r="C686" s="23"/>
      <c r="D686" s="48"/>
      <c r="E686" s="48"/>
      <c r="F686" s="126"/>
      <c r="G686" s="50"/>
      <c r="H686" s="20">
        <v>1</v>
      </c>
      <c r="I686" s="126">
        <f t="shared" si="49"/>
        <v>0</v>
      </c>
      <c r="J686" s="38">
        <f t="shared" si="50"/>
        <v>0</v>
      </c>
      <c r="K686" s="80"/>
      <c r="L686" s="82"/>
    </row>
    <row r="687" spans="2:13" s="1" customFormat="1" ht="12.95" customHeight="1" x14ac:dyDescent="0.15">
      <c r="B687" s="16">
        <v>6</v>
      </c>
      <c r="C687" s="23"/>
      <c r="D687" s="48"/>
      <c r="E687" s="48"/>
      <c r="F687" s="126"/>
      <c r="G687" s="50"/>
      <c r="H687" s="20">
        <v>1</v>
      </c>
      <c r="I687" s="126">
        <f t="shared" si="49"/>
        <v>0</v>
      </c>
      <c r="J687" s="38">
        <f t="shared" si="50"/>
        <v>0</v>
      </c>
      <c r="K687" s="80"/>
      <c r="L687" s="82"/>
    </row>
    <row r="688" spans="2:13" s="1" customFormat="1" ht="12.95" customHeight="1" x14ac:dyDescent="0.15">
      <c r="B688" s="16">
        <v>7</v>
      </c>
      <c r="C688" s="23"/>
      <c r="D688" s="48"/>
      <c r="E688" s="48"/>
      <c r="F688" s="126"/>
      <c r="G688" s="50"/>
      <c r="H688" s="20">
        <v>1</v>
      </c>
      <c r="I688" s="126">
        <f t="shared" si="49"/>
        <v>0</v>
      </c>
      <c r="J688" s="38">
        <f t="shared" si="50"/>
        <v>0</v>
      </c>
      <c r="K688" s="80"/>
      <c r="L688" s="82"/>
    </row>
    <row r="689" spans="2:20" s="1" customFormat="1" ht="12.95" customHeight="1" x14ac:dyDescent="0.15">
      <c r="B689" s="16">
        <v>8</v>
      </c>
      <c r="C689" s="23"/>
      <c r="D689" s="48"/>
      <c r="E689" s="48"/>
      <c r="F689" s="126"/>
      <c r="G689" s="50"/>
      <c r="H689" s="20">
        <v>1</v>
      </c>
      <c r="I689" s="126">
        <f t="shared" si="49"/>
        <v>0</v>
      </c>
      <c r="J689" s="38">
        <f t="shared" si="50"/>
        <v>0</v>
      </c>
      <c r="K689" s="80"/>
      <c r="L689" s="82"/>
    </row>
    <row r="690" spans="2:20" s="1" customFormat="1" ht="12.95" customHeight="1" x14ac:dyDescent="0.15">
      <c r="B690" s="16">
        <v>9</v>
      </c>
      <c r="C690" s="23"/>
      <c r="D690" s="48"/>
      <c r="E690" s="48"/>
      <c r="F690" s="126"/>
      <c r="G690" s="50"/>
      <c r="H690" s="20">
        <v>1</v>
      </c>
      <c r="I690" s="126">
        <f t="shared" si="49"/>
        <v>0</v>
      </c>
      <c r="J690" s="38">
        <f t="shared" si="50"/>
        <v>0</v>
      </c>
      <c r="K690" s="80"/>
      <c r="L690" s="82"/>
    </row>
    <row r="691" spans="2:20" s="1" customFormat="1" ht="12.95" customHeight="1" x14ac:dyDescent="0.15">
      <c r="B691" s="16">
        <v>10</v>
      </c>
      <c r="C691" s="23"/>
      <c r="D691" s="49"/>
      <c r="E691" s="48"/>
      <c r="F691" s="126"/>
      <c r="G691" s="50"/>
      <c r="H691" s="20">
        <v>1</v>
      </c>
      <c r="I691" s="126">
        <f t="shared" si="49"/>
        <v>0</v>
      </c>
      <c r="J691" s="38">
        <f t="shared" si="50"/>
        <v>0</v>
      </c>
      <c r="K691" s="80"/>
      <c r="L691" s="82"/>
    </row>
    <row r="692" spans="2:20" s="1" customFormat="1" ht="12.95" customHeight="1" x14ac:dyDescent="0.15">
      <c r="B692" s="16"/>
      <c r="C692" s="23"/>
      <c r="D692" s="49"/>
      <c r="E692" s="48"/>
      <c r="F692" s="126"/>
      <c r="G692" s="50"/>
      <c r="H692" s="20"/>
      <c r="I692" s="126"/>
      <c r="J692" s="38"/>
      <c r="K692" s="80"/>
      <c r="L692" s="82"/>
    </row>
    <row r="693" spans="2:20" s="1" customFormat="1" ht="12.95" customHeight="1" x14ac:dyDescent="0.15">
      <c r="B693" s="16"/>
      <c r="C693" s="23"/>
      <c r="D693" s="48"/>
      <c r="E693" s="49"/>
      <c r="F693" s="126"/>
      <c r="G693" s="50"/>
      <c r="H693" s="20"/>
      <c r="I693" s="126"/>
      <c r="J693" s="38"/>
      <c r="K693" s="80"/>
      <c r="L693" s="82"/>
    </row>
    <row r="694" spans="2:20" s="1" customFormat="1" ht="12.95" customHeight="1" x14ac:dyDescent="0.15">
      <c r="B694" s="16"/>
      <c r="C694" s="22" t="s">
        <v>156</v>
      </c>
      <c r="D694" s="24"/>
      <c r="E694" s="18"/>
      <c r="F694" s="129"/>
      <c r="G694" s="20"/>
      <c r="H694" s="20"/>
      <c r="I694" s="126"/>
      <c r="J694" s="38"/>
      <c r="K694" s="80"/>
      <c r="L694" s="82"/>
    </row>
    <row r="695" spans="2:20" s="1" customFormat="1" ht="12.95" customHeight="1" x14ac:dyDescent="0.15">
      <c r="B695" s="16">
        <v>1</v>
      </c>
      <c r="C695" s="17"/>
      <c r="D695" s="24"/>
      <c r="E695" s="18"/>
      <c r="F695" s="129"/>
      <c r="G695" s="20"/>
      <c r="H695" s="20">
        <v>1</v>
      </c>
      <c r="I695" s="126">
        <f t="shared" si="49"/>
        <v>0</v>
      </c>
      <c r="J695" s="38">
        <f t="shared" si="50"/>
        <v>0</v>
      </c>
      <c r="K695" s="80"/>
      <c r="L695" s="82"/>
    </row>
    <row r="696" spans="2:20" s="1" customFormat="1" ht="12.95" customHeight="1" x14ac:dyDescent="0.15">
      <c r="B696" s="16">
        <v>2</v>
      </c>
      <c r="C696" s="17"/>
      <c r="D696" s="24"/>
      <c r="E696" s="18"/>
      <c r="F696" s="129"/>
      <c r="G696" s="20"/>
      <c r="H696" s="20">
        <v>1</v>
      </c>
      <c r="I696" s="126">
        <f t="shared" si="49"/>
        <v>0</v>
      </c>
      <c r="J696" s="38">
        <f t="shared" si="50"/>
        <v>0</v>
      </c>
      <c r="K696" s="80"/>
      <c r="L696" s="82"/>
    </row>
    <row r="697" spans="2:20" s="1" customFormat="1" ht="12.95" customHeight="1" x14ac:dyDescent="0.15">
      <c r="B697" s="16">
        <v>3</v>
      </c>
      <c r="C697" s="17"/>
      <c r="D697" s="24"/>
      <c r="E697" s="18"/>
      <c r="F697" s="129"/>
      <c r="G697" s="20"/>
      <c r="H697" s="20">
        <v>1</v>
      </c>
      <c r="I697" s="126">
        <f t="shared" si="49"/>
        <v>0</v>
      </c>
      <c r="J697" s="38">
        <f t="shared" si="50"/>
        <v>0</v>
      </c>
      <c r="K697" s="80"/>
      <c r="L697" s="82"/>
    </row>
    <row r="698" spans="2:20" s="1" customFormat="1" ht="12.95" customHeight="1" x14ac:dyDescent="0.15">
      <c r="B698" s="16">
        <v>4</v>
      </c>
      <c r="C698" s="17"/>
      <c r="D698" s="24"/>
      <c r="E698" s="24"/>
      <c r="F698" s="129"/>
      <c r="G698" s="20"/>
      <c r="H698" s="20">
        <v>1</v>
      </c>
      <c r="I698" s="126">
        <f t="shared" si="49"/>
        <v>0</v>
      </c>
      <c r="J698" s="38">
        <f t="shared" si="50"/>
        <v>0</v>
      </c>
      <c r="K698" s="80"/>
      <c r="L698" s="82"/>
    </row>
    <row r="699" spans="2:20" s="1" customFormat="1" ht="12.95" customHeight="1" x14ac:dyDescent="0.15">
      <c r="B699" s="16">
        <v>5</v>
      </c>
      <c r="C699" s="17"/>
      <c r="D699" s="24"/>
      <c r="E699" s="24"/>
      <c r="F699" s="129"/>
      <c r="G699" s="20"/>
      <c r="H699" s="20">
        <v>1</v>
      </c>
      <c r="I699" s="126">
        <f t="shared" si="49"/>
        <v>0</v>
      </c>
      <c r="J699" s="38">
        <f>(F699*G699*H699)/$C$32</f>
        <v>0</v>
      </c>
      <c r="K699" s="80"/>
      <c r="L699" s="82"/>
    </row>
    <row r="700" spans="2:20" s="1" customFormat="1" ht="12.95" customHeight="1" x14ac:dyDescent="0.15">
      <c r="B700" s="16">
        <v>6</v>
      </c>
      <c r="C700" s="17"/>
      <c r="D700" s="24"/>
      <c r="E700" s="24"/>
      <c r="F700" s="129"/>
      <c r="G700" s="20"/>
      <c r="H700" s="20">
        <v>1</v>
      </c>
      <c r="I700" s="126">
        <f t="shared" si="49"/>
        <v>0</v>
      </c>
      <c r="J700" s="38">
        <f>(F700*G700*H700)/$C$32</f>
        <v>0</v>
      </c>
      <c r="K700" s="80"/>
      <c r="L700" s="82"/>
    </row>
    <row r="701" spans="2:20" s="1" customFormat="1" ht="12.95" customHeight="1" x14ac:dyDescent="0.15">
      <c r="B701" s="16">
        <v>7</v>
      </c>
      <c r="C701" s="17"/>
      <c r="D701" s="24"/>
      <c r="E701" s="24"/>
      <c r="F701" s="129"/>
      <c r="G701" s="20"/>
      <c r="H701" s="20">
        <v>1</v>
      </c>
      <c r="I701" s="126">
        <f t="shared" si="49"/>
        <v>0</v>
      </c>
      <c r="J701" s="21">
        <f t="shared" ref="J701:J737" si="51">(F701*G701*H701)/$C$32</f>
        <v>0</v>
      </c>
      <c r="K701" s="80"/>
      <c r="L701" s="82"/>
    </row>
    <row r="702" spans="2:20" s="1" customFormat="1" ht="12.95" customHeight="1" x14ac:dyDescent="0.15">
      <c r="B702" s="16">
        <v>8</v>
      </c>
      <c r="C702" s="17"/>
      <c r="D702" s="24"/>
      <c r="E702" s="24"/>
      <c r="F702" s="129"/>
      <c r="G702" s="20"/>
      <c r="H702" s="20">
        <v>1</v>
      </c>
      <c r="I702" s="126">
        <f t="shared" si="49"/>
        <v>0</v>
      </c>
      <c r="J702" s="38">
        <f t="shared" si="51"/>
        <v>0</v>
      </c>
      <c r="K702" s="80"/>
      <c r="L702" s="82"/>
    </row>
    <row r="703" spans="2:20" s="1" customFormat="1" ht="12.95" customHeight="1" x14ac:dyDescent="0.15">
      <c r="B703" s="16">
        <v>9</v>
      </c>
      <c r="C703" s="17"/>
      <c r="D703" s="24"/>
      <c r="E703" s="24"/>
      <c r="F703" s="129"/>
      <c r="G703" s="20"/>
      <c r="H703" s="20">
        <v>1</v>
      </c>
      <c r="I703" s="126">
        <f t="shared" si="49"/>
        <v>0</v>
      </c>
      <c r="J703" s="38">
        <f t="shared" si="51"/>
        <v>0</v>
      </c>
      <c r="K703" s="80"/>
      <c r="L703" s="82"/>
    </row>
    <row r="704" spans="2:20" s="1" customFormat="1" ht="12.95" customHeight="1" x14ac:dyDescent="0.15">
      <c r="B704" s="16">
        <v>10</v>
      </c>
      <c r="C704" s="44"/>
      <c r="D704" s="18"/>
      <c r="E704" s="18"/>
      <c r="F704" s="129"/>
      <c r="G704" s="20"/>
      <c r="H704" s="20">
        <v>1</v>
      </c>
      <c r="I704" s="126">
        <f t="shared" si="49"/>
        <v>0</v>
      </c>
      <c r="J704" s="21">
        <f t="shared" si="51"/>
        <v>0</v>
      </c>
      <c r="K704" s="80"/>
      <c r="L704" s="82"/>
      <c r="M704" s="10"/>
      <c r="N704" s="10"/>
      <c r="O704" s="10"/>
      <c r="P704" s="10"/>
      <c r="Q704" s="43"/>
      <c r="R704" s="10"/>
      <c r="T704" s="10"/>
    </row>
    <row r="705" spans="2:20" s="1" customFormat="1" ht="12.95" customHeight="1" x14ac:dyDescent="0.15">
      <c r="B705" s="16">
        <v>11</v>
      </c>
      <c r="C705" s="45"/>
      <c r="D705" s="18"/>
      <c r="E705" s="18"/>
      <c r="F705" s="130"/>
      <c r="G705" s="20"/>
      <c r="H705" s="20">
        <v>1</v>
      </c>
      <c r="I705" s="126">
        <f>J705*$C$32</f>
        <v>0</v>
      </c>
      <c r="J705" s="21">
        <f t="shared" si="51"/>
        <v>0</v>
      </c>
      <c r="K705" s="80"/>
      <c r="L705" s="82"/>
      <c r="M705" s="10"/>
      <c r="N705" s="10"/>
      <c r="O705" s="10"/>
      <c r="P705" s="10"/>
      <c r="Q705" s="43"/>
      <c r="R705" s="10"/>
      <c r="T705" s="10"/>
    </row>
    <row r="706" spans="2:20" s="1" customFormat="1" ht="12.95" customHeight="1" x14ac:dyDescent="0.15">
      <c r="B706" s="16">
        <v>12</v>
      </c>
      <c r="C706" s="44"/>
      <c r="D706" s="18"/>
      <c r="E706" s="18"/>
      <c r="F706" s="129"/>
      <c r="G706" s="20"/>
      <c r="H706" s="20">
        <v>1</v>
      </c>
      <c r="I706" s="126">
        <f t="shared" ref="I706:I737" si="52">J706*$C$32</f>
        <v>0</v>
      </c>
      <c r="J706" s="21">
        <f t="shared" si="51"/>
        <v>0</v>
      </c>
      <c r="K706" s="80"/>
      <c r="L706" s="82"/>
      <c r="M706" s="10"/>
      <c r="N706" s="10"/>
      <c r="O706" s="10"/>
      <c r="P706" s="10"/>
      <c r="Q706" s="43"/>
      <c r="R706" s="10"/>
      <c r="T706" s="10"/>
    </row>
    <row r="707" spans="2:20" s="1" customFormat="1" ht="12.95" customHeight="1" x14ac:dyDescent="0.15">
      <c r="B707" s="16">
        <v>13</v>
      </c>
      <c r="C707" s="11"/>
      <c r="D707" s="18"/>
      <c r="E707" s="18"/>
      <c r="F707" s="129"/>
      <c r="G707" s="20"/>
      <c r="H707" s="20">
        <v>1</v>
      </c>
      <c r="I707" s="126">
        <f t="shared" si="52"/>
        <v>0</v>
      </c>
      <c r="J707" s="21">
        <f t="shared" si="51"/>
        <v>0</v>
      </c>
      <c r="K707" s="80"/>
      <c r="L707" s="82"/>
      <c r="M707" s="10"/>
      <c r="N707" s="10"/>
      <c r="O707" s="10"/>
      <c r="P707" s="10"/>
      <c r="Q707" s="43"/>
      <c r="R707" s="10"/>
      <c r="T707" s="10"/>
    </row>
    <row r="708" spans="2:20" s="1" customFormat="1" ht="12.95" customHeight="1" x14ac:dyDescent="0.15">
      <c r="B708" s="16">
        <v>14</v>
      </c>
      <c r="C708" s="11"/>
      <c r="D708" s="18"/>
      <c r="E708" s="18"/>
      <c r="F708" s="129"/>
      <c r="G708" s="20"/>
      <c r="H708" s="20">
        <v>1</v>
      </c>
      <c r="I708" s="126">
        <f t="shared" si="52"/>
        <v>0</v>
      </c>
      <c r="J708" s="21">
        <f t="shared" si="51"/>
        <v>0</v>
      </c>
      <c r="K708" s="80"/>
      <c r="L708" s="82"/>
      <c r="M708" s="10"/>
      <c r="N708" s="10"/>
      <c r="O708" s="10"/>
      <c r="P708" s="10"/>
      <c r="Q708" s="43"/>
      <c r="R708" s="10"/>
      <c r="T708" s="10"/>
    </row>
    <row r="709" spans="2:20" s="1" customFormat="1" ht="12.95" customHeight="1" x14ac:dyDescent="0.15">
      <c r="B709" s="16">
        <v>15</v>
      </c>
      <c r="C709" s="11"/>
      <c r="D709" s="18"/>
      <c r="E709" s="18"/>
      <c r="F709" s="129"/>
      <c r="G709" s="20"/>
      <c r="H709" s="20">
        <v>1</v>
      </c>
      <c r="I709" s="126">
        <f t="shared" si="52"/>
        <v>0</v>
      </c>
      <c r="J709" s="21">
        <f t="shared" si="51"/>
        <v>0</v>
      </c>
      <c r="K709" s="80"/>
      <c r="L709" s="82"/>
      <c r="M709" s="10"/>
      <c r="N709" s="10"/>
      <c r="O709" s="10"/>
      <c r="P709" s="10"/>
      <c r="Q709" s="43"/>
      <c r="R709" s="10"/>
      <c r="T709" s="10"/>
    </row>
    <row r="710" spans="2:20" s="1" customFormat="1" ht="12.95" customHeight="1" x14ac:dyDescent="0.15">
      <c r="B710" s="16">
        <v>16</v>
      </c>
      <c r="C710" s="11"/>
      <c r="D710" s="18"/>
      <c r="E710" s="18"/>
      <c r="F710" s="129"/>
      <c r="G710" s="20"/>
      <c r="H710" s="20">
        <v>1</v>
      </c>
      <c r="I710" s="126">
        <f t="shared" si="52"/>
        <v>0</v>
      </c>
      <c r="J710" s="21">
        <f t="shared" si="51"/>
        <v>0</v>
      </c>
      <c r="K710" s="80"/>
      <c r="L710" s="82"/>
      <c r="M710" s="10"/>
      <c r="N710" s="10"/>
      <c r="O710" s="10"/>
      <c r="P710" s="10"/>
      <c r="Q710" s="43"/>
      <c r="R710" s="10"/>
      <c r="T710" s="10"/>
    </row>
    <row r="711" spans="2:20" s="1" customFormat="1" ht="12.95" customHeight="1" x14ac:dyDescent="0.15">
      <c r="B711" s="16">
        <v>17</v>
      </c>
      <c r="C711" s="11"/>
      <c r="D711" s="18"/>
      <c r="E711" s="18"/>
      <c r="F711" s="129"/>
      <c r="G711" s="20"/>
      <c r="H711" s="20">
        <v>1</v>
      </c>
      <c r="I711" s="126">
        <f t="shared" si="52"/>
        <v>0</v>
      </c>
      <c r="J711" s="21">
        <f t="shared" si="51"/>
        <v>0</v>
      </c>
      <c r="K711" s="80"/>
      <c r="L711" s="82"/>
      <c r="M711" s="10"/>
      <c r="N711" s="10"/>
      <c r="O711" s="10"/>
      <c r="P711" s="10"/>
      <c r="Q711" s="43"/>
      <c r="R711" s="10"/>
      <c r="T711" s="10"/>
    </row>
    <row r="712" spans="2:20" s="1" customFormat="1" ht="12.95" customHeight="1" x14ac:dyDescent="0.15">
      <c r="B712" s="16">
        <v>18</v>
      </c>
      <c r="C712" s="11"/>
      <c r="D712" s="18"/>
      <c r="E712" s="18"/>
      <c r="F712" s="129"/>
      <c r="G712" s="20"/>
      <c r="H712" s="20">
        <v>1</v>
      </c>
      <c r="I712" s="126">
        <f t="shared" si="52"/>
        <v>0</v>
      </c>
      <c r="J712" s="21">
        <f t="shared" si="51"/>
        <v>0</v>
      </c>
      <c r="K712" s="80"/>
      <c r="L712" s="82"/>
      <c r="M712" s="10"/>
      <c r="N712" s="10"/>
      <c r="O712" s="10"/>
      <c r="P712" s="10"/>
      <c r="Q712" s="43"/>
      <c r="R712" s="10"/>
      <c r="T712" s="10"/>
    </row>
    <row r="713" spans="2:20" s="1" customFormat="1" ht="12.95" customHeight="1" x14ac:dyDescent="0.15">
      <c r="B713" s="16">
        <v>19</v>
      </c>
      <c r="C713" s="11"/>
      <c r="D713" s="18"/>
      <c r="E713" s="18"/>
      <c r="F713" s="129"/>
      <c r="G713" s="20"/>
      <c r="H713" s="20">
        <v>1</v>
      </c>
      <c r="I713" s="126">
        <f t="shared" si="52"/>
        <v>0</v>
      </c>
      <c r="J713" s="21">
        <f t="shared" si="51"/>
        <v>0</v>
      </c>
      <c r="K713" s="80"/>
      <c r="L713" s="82"/>
      <c r="M713" s="10"/>
      <c r="N713" s="10"/>
      <c r="O713" s="10"/>
      <c r="P713" s="10"/>
      <c r="Q713" s="43"/>
      <c r="R713" s="10"/>
      <c r="T713" s="10"/>
    </row>
    <row r="714" spans="2:20" s="1" customFormat="1" ht="12.95" customHeight="1" x14ac:dyDescent="0.15">
      <c r="B714" s="16">
        <v>20</v>
      </c>
      <c r="C714" s="11"/>
      <c r="D714" s="18"/>
      <c r="E714" s="18"/>
      <c r="F714" s="129"/>
      <c r="G714" s="20"/>
      <c r="H714" s="20">
        <v>1</v>
      </c>
      <c r="I714" s="126">
        <f t="shared" si="52"/>
        <v>0</v>
      </c>
      <c r="J714" s="21">
        <f t="shared" si="51"/>
        <v>0</v>
      </c>
      <c r="K714" s="80"/>
      <c r="L714" s="82"/>
      <c r="M714" s="10"/>
      <c r="N714" s="10"/>
      <c r="O714" s="10"/>
      <c r="P714" s="10"/>
      <c r="Q714" s="43"/>
      <c r="R714" s="10"/>
      <c r="T714" s="10"/>
    </row>
    <row r="715" spans="2:20" s="1" customFormat="1" ht="12.95" customHeight="1" x14ac:dyDescent="0.15">
      <c r="B715" s="16"/>
      <c r="C715" s="11"/>
      <c r="D715" s="18"/>
      <c r="E715" s="18"/>
      <c r="F715" s="129"/>
      <c r="G715" s="20"/>
      <c r="H715" s="20"/>
      <c r="I715" s="126"/>
      <c r="J715" s="21"/>
      <c r="K715" s="80"/>
      <c r="L715" s="82"/>
      <c r="M715" s="10"/>
      <c r="N715" s="10"/>
      <c r="O715" s="10"/>
      <c r="P715" s="10"/>
      <c r="Q715" s="43"/>
      <c r="R715" s="10"/>
      <c r="T715" s="10"/>
    </row>
    <row r="716" spans="2:20" s="1" customFormat="1" ht="12.95" customHeight="1" x14ac:dyDescent="0.15">
      <c r="B716" s="16"/>
      <c r="C716" s="11"/>
      <c r="D716" s="18"/>
      <c r="E716" s="18"/>
      <c r="F716" s="129"/>
      <c r="G716" s="20"/>
      <c r="H716" s="20"/>
      <c r="I716" s="126"/>
      <c r="J716" s="21"/>
      <c r="K716" s="80"/>
      <c r="L716" s="82"/>
      <c r="M716" s="10"/>
      <c r="N716" s="10"/>
      <c r="O716" s="10"/>
      <c r="P716" s="10"/>
      <c r="Q716" s="43"/>
      <c r="R716" s="10"/>
      <c r="T716" s="10"/>
    </row>
    <row r="717" spans="2:20" s="1" customFormat="1" ht="12.95" customHeight="1" x14ac:dyDescent="0.15">
      <c r="B717" s="16"/>
      <c r="C717" s="96" t="s">
        <v>132</v>
      </c>
      <c r="D717" s="18"/>
      <c r="E717" s="18"/>
      <c r="F717" s="129"/>
      <c r="G717" s="20"/>
      <c r="H717" s="20"/>
      <c r="I717" s="126"/>
      <c r="J717" s="21"/>
      <c r="K717" s="80"/>
      <c r="L717" s="82"/>
      <c r="M717" s="10"/>
      <c r="N717" s="10"/>
      <c r="O717" s="10"/>
      <c r="P717" s="10"/>
      <c r="Q717" s="43"/>
      <c r="R717" s="10"/>
      <c r="T717" s="10"/>
    </row>
    <row r="718" spans="2:20" s="1" customFormat="1" ht="12.95" customHeight="1" x14ac:dyDescent="0.15">
      <c r="B718" s="16">
        <v>1</v>
      </c>
      <c r="C718" s="11"/>
      <c r="D718" s="18"/>
      <c r="E718" s="18"/>
      <c r="F718" s="129"/>
      <c r="G718" s="20"/>
      <c r="H718" s="20">
        <v>1</v>
      </c>
      <c r="I718" s="126">
        <f t="shared" si="52"/>
        <v>0</v>
      </c>
      <c r="J718" s="21">
        <f t="shared" si="51"/>
        <v>0</v>
      </c>
      <c r="K718" s="80"/>
      <c r="L718" s="82"/>
      <c r="M718" s="10"/>
      <c r="N718" s="10"/>
      <c r="O718" s="10"/>
      <c r="P718" s="10"/>
      <c r="Q718" s="43"/>
      <c r="R718" s="10"/>
      <c r="T718" s="10"/>
    </row>
    <row r="719" spans="2:20" s="1" customFormat="1" ht="12.95" customHeight="1" x14ac:dyDescent="0.15">
      <c r="B719" s="16">
        <v>2</v>
      </c>
      <c r="C719" s="11"/>
      <c r="D719" s="18"/>
      <c r="E719" s="18"/>
      <c r="F719" s="129"/>
      <c r="G719" s="20"/>
      <c r="H719" s="20">
        <v>1</v>
      </c>
      <c r="I719" s="126">
        <f t="shared" si="52"/>
        <v>0</v>
      </c>
      <c r="J719" s="21">
        <f t="shared" si="51"/>
        <v>0</v>
      </c>
      <c r="K719" s="80"/>
      <c r="L719" s="82"/>
      <c r="M719" s="10"/>
      <c r="N719" s="10"/>
      <c r="O719" s="10"/>
      <c r="P719" s="10"/>
      <c r="Q719" s="43"/>
      <c r="R719" s="10"/>
      <c r="T719" s="10"/>
    </row>
    <row r="720" spans="2:20" s="1" customFormat="1" ht="12.95" customHeight="1" x14ac:dyDescent="0.15">
      <c r="B720" s="16">
        <v>3</v>
      </c>
      <c r="C720" s="11"/>
      <c r="D720" s="18"/>
      <c r="E720" s="18"/>
      <c r="F720" s="129"/>
      <c r="G720" s="20"/>
      <c r="H720" s="20">
        <v>1</v>
      </c>
      <c r="I720" s="126">
        <f t="shared" si="52"/>
        <v>0</v>
      </c>
      <c r="J720" s="21">
        <f t="shared" si="51"/>
        <v>0</v>
      </c>
      <c r="K720" s="80"/>
      <c r="L720" s="82"/>
      <c r="M720" s="10"/>
      <c r="N720" s="10"/>
      <c r="O720" s="10"/>
      <c r="P720" s="10"/>
      <c r="Q720" s="43"/>
      <c r="R720" s="10"/>
      <c r="T720" s="10"/>
    </row>
    <row r="721" spans="2:20" s="1" customFormat="1" ht="12.95" customHeight="1" x14ac:dyDescent="0.15">
      <c r="B721" s="16">
        <v>4</v>
      </c>
      <c r="C721" s="11"/>
      <c r="D721" s="18"/>
      <c r="E721" s="18"/>
      <c r="F721" s="129"/>
      <c r="G721" s="20"/>
      <c r="H721" s="20">
        <v>1</v>
      </c>
      <c r="I721" s="126">
        <f t="shared" si="52"/>
        <v>0</v>
      </c>
      <c r="J721" s="21">
        <f t="shared" si="51"/>
        <v>0</v>
      </c>
      <c r="K721" s="80"/>
      <c r="L721" s="82"/>
      <c r="M721" s="10"/>
      <c r="N721" s="10"/>
      <c r="O721" s="10"/>
      <c r="P721" s="10"/>
      <c r="Q721" s="43"/>
      <c r="R721" s="10"/>
      <c r="T721" s="10"/>
    </row>
    <row r="722" spans="2:20" s="1" customFormat="1" ht="12.95" customHeight="1" x14ac:dyDescent="0.15">
      <c r="B722" s="16">
        <v>5</v>
      </c>
      <c r="C722" s="11"/>
      <c r="D722" s="18"/>
      <c r="E722" s="18"/>
      <c r="F722" s="129"/>
      <c r="G722" s="20"/>
      <c r="H722" s="20">
        <v>1</v>
      </c>
      <c r="I722" s="126">
        <f t="shared" si="52"/>
        <v>0</v>
      </c>
      <c r="J722" s="21">
        <f t="shared" si="51"/>
        <v>0</v>
      </c>
      <c r="K722" s="80"/>
      <c r="L722" s="82"/>
      <c r="M722" s="10"/>
      <c r="N722" s="10"/>
      <c r="O722" s="10"/>
      <c r="P722" s="10"/>
      <c r="Q722" s="43"/>
      <c r="R722" s="10"/>
      <c r="T722" s="10"/>
    </row>
    <row r="723" spans="2:20" s="1" customFormat="1" ht="12.95" customHeight="1" x14ac:dyDescent="0.15">
      <c r="B723" s="16">
        <v>6</v>
      </c>
      <c r="C723" s="11"/>
      <c r="D723" s="18"/>
      <c r="E723" s="18"/>
      <c r="F723" s="129"/>
      <c r="G723" s="20"/>
      <c r="H723" s="20">
        <v>1</v>
      </c>
      <c r="I723" s="126">
        <f t="shared" si="52"/>
        <v>0</v>
      </c>
      <c r="J723" s="21">
        <f t="shared" si="51"/>
        <v>0</v>
      </c>
      <c r="K723" s="80"/>
      <c r="L723" s="82"/>
      <c r="M723" s="10"/>
      <c r="N723" s="10"/>
      <c r="O723" s="10"/>
      <c r="P723" s="10"/>
      <c r="Q723" s="43"/>
      <c r="R723" s="10"/>
      <c r="T723" s="10"/>
    </row>
    <row r="724" spans="2:20" s="1" customFormat="1" ht="12.95" customHeight="1" x14ac:dyDescent="0.15">
      <c r="B724" s="16">
        <v>7</v>
      </c>
      <c r="C724" s="11"/>
      <c r="D724" s="18"/>
      <c r="E724" s="18"/>
      <c r="F724" s="129"/>
      <c r="G724" s="20"/>
      <c r="H724" s="20">
        <v>1</v>
      </c>
      <c r="I724" s="126">
        <f t="shared" si="52"/>
        <v>0</v>
      </c>
      <c r="J724" s="21">
        <f t="shared" si="51"/>
        <v>0</v>
      </c>
      <c r="K724" s="80"/>
      <c r="L724" s="82"/>
      <c r="M724" s="10"/>
      <c r="N724" s="10"/>
      <c r="O724" s="10"/>
      <c r="P724" s="10"/>
      <c r="Q724" s="43"/>
      <c r="R724" s="10"/>
      <c r="T724" s="10"/>
    </row>
    <row r="725" spans="2:20" s="1" customFormat="1" ht="12.95" customHeight="1" x14ac:dyDescent="0.15">
      <c r="B725" s="16">
        <v>8</v>
      </c>
      <c r="C725" s="11"/>
      <c r="D725" s="18"/>
      <c r="E725" s="18"/>
      <c r="F725" s="129"/>
      <c r="G725" s="20"/>
      <c r="H725" s="20">
        <v>1</v>
      </c>
      <c r="I725" s="126">
        <f t="shared" si="52"/>
        <v>0</v>
      </c>
      <c r="J725" s="21">
        <f t="shared" si="51"/>
        <v>0</v>
      </c>
      <c r="K725" s="80"/>
      <c r="L725" s="82"/>
      <c r="M725" s="10"/>
      <c r="N725" s="10"/>
      <c r="O725" s="10"/>
      <c r="P725" s="10"/>
      <c r="Q725" s="43"/>
      <c r="R725" s="10"/>
      <c r="T725" s="10"/>
    </row>
    <row r="726" spans="2:20" s="1" customFormat="1" ht="12.95" customHeight="1" x14ac:dyDescent="0.15">
      <c r="B726" s="16">
        <v>9</v>
      </c>
      <c r="C726" s="11"/>
      <c r="D726" s="18"/>
      <c r="E726" s="18"/>
      <c r="F726" s="129"/>
      <c r="G726" s="20"/>
      <c r="H726" s="20">
        <v>1</v>
      </c>
      <c r="I726" s="126">
        <f t="shared" si="52"/>
        <v>0</v>
      </c>
      <c r="J726" s="21">
        <f t="shared" si="51"/>
        <v>0</v>
      </c>
      <c r="K726" s="80"/>
      <c r="L726" s="82"/>
      <c r="M726" s="10"/>
      <c r="N726" s="10"/>
      <c r="O726" s="10"/>
      <c r="P726" s="10"/>
      <c r="Q726" s="43"/>
      <c r="R726" s="10"/>
      <c r="T726" s="10"/>
    </row>
    <row r="727" spans="2:20" s="1" customFormat="1" ht="12.95" customHeight="1" x14ac:dyDescent="0.15">
      <c r="B727" s="16">
        <v>10</v>
      </c>
      <c r="C727" s="11"/>
      <c r="D727" s="18"/>
      <c r="E727" s="18"/>
      <c r="F727" s="129"/>
      <c r="G727" s="20"/>
      <c r="H727" s="20">
        <v>1</v>
      </c>
      <c r="I727" s="126">
        <f t="shared" si="52"/>
        <v>0</v>
      </c>
      <c r="J727" s="21">
        <f t="shared" si="51"/>
        <v>0</v>
      </c>
      <c r="K727" s="80"/>
      <c r="L727" s="82"/>
      <c r="M727" s="10"/>
      <c r="N727" s="10"/>
      <c r="O727" s="10"/>
      <c r="P727" s="10"/>
      <c r="Q727" s="43"/>
      <c r="R727" s="10"/>
      <c r="T727" s="10"/>
    </row>
    <row r="728" spans="2:20" s="1" customFormat="1" ht="12.95" customHeight="1" x14ac:dyDescent="0.15">
      <c r="B728" s="16">
        <v>11</v>
      </c>
      <c r="C728" s="12" t="s">
        <v>165</v>
      </c>
      <c r="D728" s="18"/>
      <c r="E728" s="18"/>
      <c r="F728" s="129"/>
      <c r="G728" s="20"/>
      <c r="H728" s="20">
        <v>1</v>
      </c>
      <c r="I728" s="126">
        <f t="shared" si="52"/>
        <v>0</v>
      </c>
      <c r="J728" s="21">
        <f t="shared" si="51"/>
        <v>0</v>
      </c>
      <c r="K728" s="80"/>
      <c r="L728" s="82"/>
      <c r="M728" s="10"/>
      <c r="N728" s="10"/>
      <c r="O728" s="10"/>
      <c r="P728" s="10"/>
      <c r="Q728" s="43"/>
      <c r="R728" s="10"/>
      <c r="T728" s="10"/>
    </row>
    <row r="729" spans="2:20" s="1" customFormat="1" ht="12.95" customHeight="1" x14ac:dyDescent="0.15">
      <c r="B729" s="16">
        <v>12</v>
      </c>
      <c r="C729" s="12"/>
      <c r="D729" s="18"/>
      <c r="E729" s="18"/>
      <c r="F729" s="129"/>
      <c r="G729" s="20"/>
      <c r="H729" s="20">
        <v>1</v>
      </c>
      <c r="I729" s="126">
        <f t="shared" si="52"/>
        <v>0</v>
      </c>
      <c r="J729" s="21">
        <f t="shared" si="51"/>
        <v>0</v>
      </c>
      <c r="K729" s="80"/>
      <c r="L729" s="82"/>
      <c r="M729" s="10"/>
      <c r="N729" s="10"/>
      <c r="O729" s="10"/>
      <c r="P729" s="10"/>
      <c r="Q729" s="43"/>
      <c r="R729" s="10"/>
      <c r="T729" s="10"/>
    </row>
    <row r="730" spans="2:20" s="1" customFormat="1" ht="12.95" customHeight="1" x14ac:dyDescent="0.15">
      <c r="B730" s="16">
        <v>13</v>
      </c>
      <c r="C730" s="12"/>
      <c r="D730" s="18"/>
      <c r="E730" s="18"/>
      <c r="F730" s="129"/>
      <c r="G730" s="20"/>
      <c r="H730" s="20">
        <v>1</v>
      </c>
      <c r="I730" s="126">
        <f t="shared" si="52"/>
        <v>0</v>
      </c>
      <c r="J730" s="21">
        <f t="shared" si="51"/>
        <v>0</v>
      </c>
      <c r="K730" s="80"/>
      <c r="L730" s="82"/>
      <c r="M730" s="10"/>
      <c r="N730" s="10"/>
      <c r="O730" s="10"/>
      <c r="P730" s="10"/>
      <c r="Q730" s="43"/>
      <c r="R730" s="10"/>
      <c r="T730" s="10"/>
    </row>
    <row r="731" spans="2:20" s="1" customFormat="1" ht="12.95" customHeight="1" x14ac:dyDescent="0.15">
      <c r="B731" s="16">
        <v>14</v>
      </c>
      <c r="C731" s="12"/>
      <c r="D731" s="18"/>
      <c r="E731" s="18"/>
      <c r="F731" s="129"/>
      <c r="G731" s="20"/>
      <c r="H731" s="20">
        <v>1</v>
      </c>
      <c r="I731" s="126">
        <f t="shared" si="52"/>
        <v>0</v>
      </c>
      <c r="J731" s="21">
        <f t="shared" si="51"/>
        <v>0</v>
      </c>
      <c r="K731" s="80"/>
      <c r="L731" s="82"/>
      <c r="M731" s="10"/>
      <c r="N731" s="10"/>
      <c r="O731" s="10"/>
      <c r="P731" s="10"/>
      <c r="Q731" s="43"/>
      <c r="R731" s="10"/>
      <c r="T731" s="10"/>
    </row>
    <row r="732" spans="2:20" s="1" customFormat="1" ht="12.95" customHeight="1" x14ac:dyDescent="0.15">
      <c r="B732" s="16">
        <v>15</v>
      </c>
      <c r="C732" s="12"/>
      <c r="D732" s="18"/>
      <c r="E732" s="18"/>
      <c r="F732" s="129"/>
      <c r="G732" s="20"/>
      <c r="H732" s="20">
        <v>1</v>
      </c>
      <c r="I732" s="126">
        <f t="shared" si="52"/>
        <v>0</v>
      </c>
      <c r="J732" s="21">
        <f t="shared" si="51"/>
        <v>0</v>
      </c>
      <c r="K732" s="80"/>
      <c r="L732" s="82"/>
      <c r="M732" s="10"/>
      <c r="N732" s="10"/>
      <c r="O732" s="10"/>
      <c r="P732" s="10"/>
      <c r="Q732" s="43"/>
      <c r="R732" s="10"/>
      <c r="T732" s="10"/>
    </row>
    <row r="733" spans="2:20" s="1" customFormat="1" ht="12.95" customHeight="1" x14ac:dyDescent="0.15">
      <c r="B733" s="16">
        <v>16</v>
      </c>
      <c r="C733" s="12"/>
      <c r="D733" s="18"/>
      <c r="E733" s="18"/>
      <c r="F733" s="129"/>
      <c r="G733" s="20"/>
      <c r="H733" s="20">
        <v>1</v>
      </c>
      <c r="I733" s="126">
        <f t="shared" si="52"/>
        <v>0</v>
      </c>
      <c r="J733" s="21">
        <f t="shared" si="51"/>
        <v>0</v>
      </c>
      <c r="K733" s="80"/>
      <c r="L733" s="82"/>
      <c r="M733" s="10"/>
      <c r="N733" s="10"/>
      <c r="O733" s="10"/>
      <c r="P733" s="10"/>
      <c r="Q733" s="43"/>
      <c r="R733" s="10"/>
      <c r="T733" s="10"/>
    </row>
    <row r="734" spans="2:20" s="1" customFormat="1" ht="12.95" customHeight="1" x14ac:dyDescent="0.15">
      <c r="B734" s="16">
        <v>17</v>
      </c>
      <c r="C734" s="12"/>
      <c r="D734" s="18"/>
      <c r="E734" s="18"/>
      <c r="F734" s="129"/>
      <c r="G734" s="20"/>
      <c r="H734" s="20">
        <v>1</v>
      </c>
      <c r="I734" s="126">
        <f t="shared" si="52"/>
        <v>0</v>
      </c>
      <c r="J734" s="21">
        <f t="shared" si="51"/>
        <v>0</v>
      </c>
      <c r="K734" s="80"/>
      <c r="L734" s="82"/>
      <c r="M734" s="10"/>
      <c r="N734" s="10"/>
      <c r="O734" s="10"/>
      <c r="P734" s="10"/>
      <c r="Q734" s="43"/>
      <c r="R734" s="10"/>
      <c r="T734" s="10"/>
    </row>
    <row r="735" spans="2:20" s="1" customFormat="1" ht="12.95" customHeight="1" x14ac:dyDescent="0.15">
      <c r="B735" s="16">
        <v>18</v>
      </c>
      <c r="C735" s="12"/>
      <c r="D735" s="18"/>
      <c r="E735" s="18"/>
      <c r="F735" s="129"/>
      <c r="G735" s="20"/>
      <c r="H735" s="20">
        <v>1</v>
      </c>
      <c r="I735" s="126">
        <f t="shared" si="52"/>
        <v>0</v>
      </c>
      <c r="J735" s="78">
        <f t="shared" si="51"/>
        <v>0</v>
      </c>
      <c r="K735" s="111"/>
      <c r="L735" s="119"/>
      <c r="M735" s="10"/>
      <c r="N735" s="10"/>
      <c r="O735" s="10"/>
      <c r="P735" s="10"/>
      <c r="Q735" s="43"/>
      <c r="R735" s="10"/>
      <c r="T735" s="10"/>
    </row>
    <row r="736" spans="2:20" s="1" customFormat="1" ht="12.95" customHeight="1" x14ac:dyDescent="0.15">
      <c r="B736" s="16">
        <v>19</v>
      </c>
      <c r="C736" s="12"/>
      <c r="D736" s="18"/>
      <c r="E736" s="18"/>
      <c r="F736" s="129"/>
      <c r="G736" s="20"/>
      <c r="H736" s="20">
        <v>1</v>
      </c>
      <c r="I736" s="254">
        <f t="shared" si="52"/>
        <v>0</v>
      </c>
      <c r="J736" s="94">
        <f t="shared" si="51"/>
        <v>0</v>
      </c>
      <c r="K736" s="82"/>
      <c r="L736" s="82"/>
      <c r="M736" s="10"/>
      <c r="N736" s="10"/>
      <c r="O736" s="10"/>
      <c r="P736" s="10"/>
      <c r="Q736" s="43"/>
      <c r="R736" s="10"/>
      <c r="T736" s="10"/>
    </row>
    <row r="737" spans="2:20" s="1" customFormat="1" ht="12.95" customHeight="1" x14ac:dyDescent="0.15">
      <c r="B737" s="16">
        <v>20</v>
      </c>
      <c r="C737" s="12"/>
      <c r="D737" s="18"/>
      <c r="E737" s="18"/>
      <c r="F737" s="129"/>
      <c r="G737" s="20"/>
      <c r="H737" s="20">
        <v>1</v>
      </c>
      <c r="I737" s="254">
        <f t="shared" si="52"/>
        <v>0</v>
      </c>
      <c r="J737" s="94">
        <f t="shared" si="51"/>
        <v>0</v>
      </c>
      <c r="K737" s="82"/>
      <c r="L737" s="82"/>
      <c r="M737" s="10"/>
      <c r="N737" s="10"/>
      <c r="O737" s="10"/>
      <c r="P737" s="10"/>
      <c r="Q737" s="43"/>
      <c r="R737" s="10"/>
      <c r="T737" s="10"/>
    </row>
    <row r="738" spans="2:20" s="1" customFormat="1" ht="12.95" customHeight="1" x14ac:dyDescent="0.15">
      <c r="B738" s="83"/>
      <c r="C738" s="74"/>
      <c r="D738" s="75"/>
      <c r="E738" s="75"/>
      <c r="F738" s="132"/>
      <c r="G738" s="77"/>
      <c r="H738" s="77"/>
      <c r="I738" s="255"/>
      <c r="J738" s="94"/>
      <c r="K738" s="82"/>
      <c r="L738" s="82"/>
      <c r="M738" s="10"/>
      <c r="N738" s="10"/>
      <c r="O738" s="10"/>
      <c r="P738" s="10"/>
      <c r="Q738" s="43"/>
      <c r="R738" s="10"/>
      <c r="T738" s="10"/>
    </row>
    <row r="739" spans="2:20" s="1" customFormat="1" ht="12.75" x14ac:dyDescent="0.15">
      <c r="B739" s="82"/>
      <c r="C739" s="102"/>
      <c r="D739" s="103"/>
      <c r="E739" s="102"/>
      <c r="F739" s="128">
        <f>SUM(F679:F738)</f>
        <v>0</v>
      </c>
      <c r="G739" s="104"/>
      <c r="H739" s="105"/>
      <c r="I739" s="128">
        <f>SUM(I679:I738)</f>
        <v>0</v>
      </c>
      <c r="J739" s="257">
        <f>SUM(J679:J738)</f>
        <v>0</v>
      </c>
    </row>
    <row r="740" spans="2:20" s="1" customFormat="1" ht="12.75" x14ac:dyDescent="0.15">
      <c r="B740" s="82"/>
      <c r="C740" s="102"/>
      <c r="D740" s="103"/>
      <c r="E740" s="102" t="s">
        <v>147</v>
      </c>
      <c r="F740" s="128">
        <f>100/115*F739</f>
        <v>0</v>
      </c>
      <c r="G740" s="104"/>
      <c r="H740" s="105" t="s">
        <v>147</v>
      </c>
      <c r="I740" s="128">
        <f>100/115*I739</f>
        <v>0</v>
      </c>
      <c r="J740" s="106"/>
    </row>
    <row r="741" spans="2:20" s="1" customFormat="1" ht="12.75" x14ac:dyDescent="0.15"/>
    <row r="742" spans="2:20" s="1" customFormat="1" ht="12.75" x14ac:dyDescent="0.15"/>
    <row r="743" spans="2:20" s="1" customFormat="1" ht="12.75" x14ac:dyDescent="0.15"/>
    <row r="744" spans="2:20" s="1" customFormat="1" ht="12.75" x14ac:dyDescent="0.15"/>
    <row r="745" spans="2:20" s="247" customFormat="1" ht="32.25" x14ac:dyDescent="0.4">
      <c r="B745" s="251"/>
      <c r="C745" s="424" t="s">
        <v>166</v>
      </c>
      <c r="D745" s="424"/>
      <c r="E745" s="425" t="s">
        <v>167</v>
      </c>
      <c r="F745" s="426"/>
      <c r="G745" s="426"/>
      <c r="H745" s="426"/>
      <c r="I745" s="427"/>
      <c r="J745" s="415">
        <v>2026</v>
      </c>
      <c r="K745" s="416"/>
      <c r="L745" s="417"/>
    </row>
    <row r="746" spans="2:20" s="1" customFormat="1" ht="22.5" x14ac:dyDescent="0.15">
      <c r="B746" s="16"/>
      <c r="C746" s="28" t="s">
        <v>114</v>
      </c>
      <c r="D746" s="418" t="s">
        <v>115</v>
      </c>
      <c r="E746" s="418"/>
      <c r="F746" s="28" t="s">
        <v>116</v>
      </c>
      <c r="G746" s="28" t="s">
        <v>117</v>
      </c>
      <c r="H746" s="28" t="s">
        <v>118</v>
      </c>
      <c r="I746" s="28" t="s">
        <v>119</v>
      </c>
      <c r="J746" s="64" t="s">
        <v>120</v>
      </c>
      <c r="K746" s="82"/>
      <c r="L746" s="82"/>
    </row>
    <row r="747" spans="2:20" s="1" customFormat="1" ht="12.75" x14ac:dyDescent="0.15">
      <c r="B747" s="16"/>
      <c r="C747" s="124">
        <f>C677</f>
        <v>350</v>
      </c>
      <c r="D747" s="419">
        <v>20</v>
      </c>
      <c r="E747" s="419"/>
      <c r="F747" s="29">
        <f>F677</f>
        <v>0.85</v>
      </c>
      <c r="G747" s="30">
        <f>G677</f>
        <v>8</v>
      </c>
      <c r="H747" s="31">
        <f>D747*G747*F747</f>
        <v>136</v>
      </c>
      <c r="I747" s="124">
        <f>I809</f>
        <v>0</v>
      </c>
      <c r="J747" s="121">
        <f>H747-J809</f>
        <v>136</v>
      </c>
      <c r="K747" s="82"/>
      <c r="L747" s="82"/>
    </row>
    <row r="748" spans="2:20" s="1" customFormat="1" ht="33.75" x14ac:dyDescent="0.15">
      <c r="B748" s="16"/>
      <c r="C748" s="22" t="s">
        <v>121</v>
      </c>
      <c r="D748" s="413" t="s">
        <v>122</v>
      </c>
      <c r="E748" s="413"/>
      <c r="F748" s="33" t="s">
        <v>123</v>
      </c>
      <c r="G748" s="34" t="s">
        <v>124</v>
      </c>
      <c r="H748" s="35" t="s">
        <v>125</v>
      </c>
      <c r="I748" s="125" t="s">
        <v>126</v>
      </c>
      <c r="J748" s="34" t="s">
        <v>127</v>
      </c>
      <c r="K748" s="122" t="s">
        <v>128</v>
      </c>
      <c r="L748" s="123" t="s">
        <v>168</v>
      </c>
    </row>
    <row r="749" spans="2:20" s="1" customFormat="1" ht="12.75" x14ac:dyDescent="0.15">
      <c r="B749" s="16"/>
      <c r="C749" s="22"/>
      <c r="D749" s="32"/>
      <c r="E749" s="32"/>
      <c r="F749" s="33"/>
      <c r="G749" s="34"/>
      <c r="H749" s="35"/>
      <c r="I749" s="125"/>
      <c r="J749" s="34"/>
      <c r="K749" s="110"/>
      <c r="L749" s="117"/>
    </row>
    <row r="750" spans="2:20" s="1" customFormat="1" ht="12.75" x14ac:dyDescent="0.15">
      <c r="B750" s="16"/>
      <c r="C750" s="22" t="s">
        <v>130</v>
      </c>
      <c r="D750" s="32"/>
      <c r="E750" s="32"/>
      <c r="F750" s="33"/>
      <c r="G750" s="34"/>
      <c r="H750" s="35"/>
      <c r="I750" s="125"/>
      <c r="J750" s="34"/>
      <c r="K750" s="110"/>
      <c r="L750" s="117"/>
    </row>
    <row r="751" spans="2:20" s="1" customFormat="1" ht="12.75" customHeight="1" x14ac:dyDescent="0.15">
      <c r="B751" s="16"/>
      <c r="C751" s="37" t="s">
        <v>149</v>
      </c>
      <c r="D751" s="24"/>
      <c r="E751" s="24"/>
      <c r="F751" s="19"/>
      <c r="G751" s="20"/>
      <c r="H751" s="20"/>
      <c r="I751" s="126"/>
      <c r="J751" s="38"/>
      <c r="K751" s="80"/>
      <c r="L751" s="82"/>
    </row>
    <row r="752" spans="2:20" s="1" customFormat="1" ht="12.75" x14ac:dyDescent="0.15">
      <c r="B752" s="16">
        <v>1</v>
      </c>
      <c r="C752" s="23"/>
      <c r="D752" s="24"/>
      <c r="E752" s="24"/>
      <c r="F752" s="129"/>
      <c r="G752" s="20"/>
      <c r="H752" s="20">
        <v>1</v>
      </c>
      <c r="I752" s="126">
        <f t="shared" ref="I752:I761" si="53">J752*$C$32</f>
        <v>0</v>
      </c>
      <c r="J752" s="38">
        <f t="shared" ref="J752:J761" si="54">(F752*G752*H752)/$C$32</f>
        <v>0</v>
      </c>
      <c r="K752" s="80"/>
      <c r="L752" s="82"/>
    </row>
    <row r="753" spans="2:12" s="1" customFormat="1" ht="12.75" customHeight="1" x14ac:dyDescent="0.15">
      <c r="B753" s="16">
        <v>2</v>
      </c>
      <c r="C753" s="23"/>
      <c r="D753" s="24"/>
      <c r="E753" s="24"/>
      <c r="F753" s="126"/>
      <c r="G753" s="20"/>
      <c r="H753" s="20">
        <v>1</v>
      </c>
      <c r="I753" s="126">
        <f t="shared" si="53"/>
        <v>0</v>
      </c>
      <c r="J753" s="38">
        <f t="shared" si="54"/>
        <v>0</v>
      </c>
      <c r="K753" s="80"/>
      <c r="L753" s="82"/>
    </row>
    <row r="754" spans="2:12" s="1" customFormat="1" ht="12.75" customHeight="1" x14ac:dyDescent="0.15">
      <c r="B754" s="16">
        <v>3</v>
      </c>
      <c r="C754" s="23"/>
      <c r="D754" s="25"/>
      <c r="E754" s="25"/>
      <c r="F754" s="129"/>
      <c r="G754" s="20"/>
      <c r="H754" s="20">
        <v>1</v>
      </c>
      <c r="I754" s="126">
        <f t="shared" si="53"/>
        <v>0</v>
      </c>
      <c r="J754" s="38">
        <f t="shared" si="54"/>
        <v>0</v>
      </c>
      <c r="K754" s="80"/>
      <c r="L754" s="82"/>
    </row>
    <row r="755" spans="2:12" s="1" customFormat="1" ht="12.95" customHeight="1" x14ac:dyDescent="0.15">
      <c r="B755" s="16">
        <v>4</v>
      </c>
      <c r="C755" s="23"/>
      <c r="D755" s="24"/>
      <c r="E755" s="24"/>
      <c r="F755" s="129"/>
      <c r="G755" s="20"/>
      <c r="H755" s="20">
        <v>1</v>
      </c>
      <c r="I755" s="126">
        <f t="shared" si="53"/>
        <v>0</v>
      </c>
      <c r="J755" s="38">
        <f t="shared" si="54"/>
        <v>0</v>
      </c>
      <c r="K755" s="80"/>
      <c r="L755" s="82"/>
    </row>
    <row r="756" spans="2:12" s="1" customFormat="1" ht="14.1" customHeight="1" x14ac:dyDescent="0.15">
      <c r="B756" s="16">
        <v>5</v>
      </c>
      <c r="C756" s="16"/>
      <c r="D756" s="18"/>
      <c r="E756" s="18"/>
      <c r="F756" s="129"/>
      <c r="G756" s="20"/>
      <c r="H756" s="20">
        <v>1</v>
      </c>
      <c r="I756" s="126">
        <f t="shared" si="53"/>
        <v>0</v>
      </c>
      <c r="J756" s="38">
        <f t="shared" si="54"/>
        <v>0</v>
      </c>
      <c r="K756" s="80"/>
      <c r="L756" s="82"/>
    </row>
    <row r="757" spans="2:12" s="1" customFormat="1" ht="12.95" customHeight="1" x14ac:dyDescent="0.15">
      <c r="B757" s="16">
        <v>6</v>
      </c>
      <c r="C757" s="17"/>
      <c r="D757" s="24"/>
      <c r="E757" s="24"/>
      <c r="F757" s="129"/>
      <c r="G757" s="20"/>
      <c r="H757" s="20">
        <v>1</v>
      </c>
      <c r="I757" s="126">
        <f t="shared" si="53"/>
        <v>0</v>
      </c>
      <c r="J757" s="38">
        <f t="shared" si="54"/>
        <v>0</v>
      </c>
      <c r="K757" s="80"/>
      <c r="L757" s="82"/>
    </row>
    <row r="758" spans="2:12" s="1" customFormat="1" ht="12.95" customHeight="1" x14ac:dyDescent="0.15">
      <c r="B758" s="16">
        <v>7</v>
      </c>
      <c r="C758" s="17"/>
      <c r="D758" s="24"/>
      <c r="E758" s="24"/>
      <c r="F758" s="129"/>
      <c r="G758" s="20"/>
      <c r="H758" s="20">
        <v>1</v>
      </c>
      <c r="I758" s="126">
        <f t="shared" si="53"/>
        <v>0</v>
      </c>
      <c r="J758" s="38">
        <f t="shared" si="54"/>
        <v>0</v>
      </c>
      <c r="K758" s="80"/>
      <c r="L758" s="82"/>
    </row>
    <row r="759" spans="2:12" s="1" customFormat="1" ht="12.95" customHeight="1" x14ac:dyDescent="0.15">
      <c r="B759" s="16">
        <v>8</v>
      </c>
      <c r="C759" s="17"/>
      <c r="D759" s="24"/>
      <c r="E759" s="24"/>
      <c r="F759" s="129"/>
      <c r="G759" s="20"/>
      <c r="H759" s="20">
        <v>1</v>
      </c>
      <c r="I759" s="126">
        <f t="shared" si="53"/>
        <v>0</v>
      </c>
      <c r="J759" s="38">
        <f t="shared" si="54"/>
        <v>0</v>
      </c>
      <c r="K759" s="80"/>
      <c r="L759" s="82"/>
    </row>
    <row r="760" spans="2:12" s="1" customFormat="1" ht="12.95" customHeight="1" x14ac:dyDescent="0.15">
      <c r="B760" s="16">
        <v>9</v>
      </c>
      <c r="C760" s="17"/>
      <c r="D760" s="24"/>
      <c r="E760" s="24"/>
      <c r="F760" s="129"/>
      <c r="G760" s="20"/>
      <c r="H760" s="20">
        <v>1</v>
      </c>
      <c r="I760" s="126">
        <f t="shared" si="53"/>
        <v>0</v>
      </c>
      <c r="J760" s="38">
        <f t="shared" si="54"/>
        <v>0</v>
      </c>
      <c r="K760" s="80"/>
      <c r="L760" s="82"/>
    </row>
    <row r="761" spans="2:12" s="1" customFormat="1" ht="12.95" customHeight="1" x14ac:dyDescent="0.15">
      <c r="B761" s="16">
        <v>10</v>
      </c>
      <c r="C761" s="17"/>
      <c r="D761" s="24"/>
      <c r="E761" s="24"/>
      <c r="F761" s="129"/>
      <c r="G761" s="20"/>
      <c r="H761" s="20">
        <v>1</v>
      </c>
      <c r="I761" s="126">
        <f t="shared" si="53"/>
        <v>0</v>
      </c>
      <c r="J761" s="38">
        <f t="shared" si="54"/>
        <v>0</v>
      </c>
      <c r="K761" s="80"/>
      <c r="L761" s="82"/>
    </row>
    <row r="762" spans="2:12" s="1" customFormat="1" ht="12.95" customHeight="1" x14ac:dyDescent="0.15">
      <c r="B762" s="16"/>
      <c r="C762" s="17"/>
      <c r="D762" s="18"/>
      <c r="E762" s="24"/>
      <c r="F762" s="129"/>
      <c r="G762" s="20"/>
      <c r="H762" s="20"/>
      <c r="I762" s="126"/>
      <c r="J762" s="38"/>
      <c r="K762" s="80"/>
      <c r="L762" s="82"/>
    </row>
    <row r="763" spans="2:12" s="1" customFormat="1" ht="12.95" customHeight="1" x14ac:dyDescent="0.15">
      <c r="B763" s="16"/>
      <c r="C763" s="17"/>
      <c r="D763" s="18"/>
      <c r="E763" s="24"/>
      <c r="F763" s="129"/>
      <c r="G763" s="20"/>
      <c r="H763" s="20"/>
      <c r="I763" s="126"/>
      <c r="J763" s="38"/>
      <c r="K763" s="80"/>
      <c r="L763" s="82"/>
    </row>
    <row r="764" spans="2:12" s="1" customFormat="1" ht="12.95" customHeight="1" x14ac:dyDescent="0.15">
      <c r="B764" s="16"/>
      <c r="C764" s="22" t="s">
        <v>153</v>
      </c>
      <c r="D764" s="24"/>
      <c r="E764" s="18"/>
      <c r="F764" s="129"/>
      <c r="G764" s="20"/>
      <c r="H764" s="20"/>
      <c r="I764" s="126"/>
      <c r="J764" s="38"/>
      <c r="K764" s="80"/>
      <c r="L764" s="82"/>
    </row>
    <row r="765" spans="2:12" s="1" customFormat="1" ht="12.95" customHeight="1" x14ac:dyDescent="0.15">
      <c r="B765" s="16">
        <v>1</v>
      </c>
      <c r="C765" s="17"/>
      <c r="D765" s="24"/>
      <c r="E765" s="18"/>
      <c r="F765" s="129"/>
      <c r="G765" s="20"/>
      <c r="H765" s="20">
        <v>1</v>
      </c>
      <c r="I765" s="126">
        <f t="shared" ref="I765:I784" si="55">J765*$C$32</f>
        <v>0</v>
      </c>
      <c r="J765" s="38">
        <f t="shared" ref="J765:J784" si="56">(F765*G765*H765)/$C$32</f>
        <v>0</v>
      </c>
      <c r="K765" s="80"/>
      <c r="L765" s="82"/>
    </row>
    <row r="766" spans="2:12" s="1" customFormat="1" ht="12.95" customHeight="1" x14ac:dyDescent="0.15">
      <c r="B766" s="16">
        <v>2</v>
      </c>
      <c r="C766" s="17"/>
      <c r="D766" s="24"/>
      <c r="E766" s="18"/>
      <c r="F766" s="129"/>
      <c r="G766" s="20"/>
      <c r="H766" s="20">
        <v>1</v>
      </c>
      <c r="I766" s="126">
        <f t="shared" si="55"/>
        <v>0</v>
      </c>
      <c r="J766" s="38">
        <f t="shared" si="56"/>
        <v>0</v>
      </c>
      <c r="K766" s="80"/>
      <c r="L766" s="82"/>
    </row>
    <row r="767" spans="2:12" s="1" customFormat="1" ht="12.95" customHeight="1" x14ac:dyDescent="0.15">
      <c r="B767" s="16">
        <v>3</v>
      </c>
      <c r="C767" s="17"/>
      <c r="D767" s="24"/>
      <c r="E767" s="18"/>
      <c r="F767" s="129"/>
      <c r="G767" s="20"/>
      <c r="H767" s="20">
        <v>1</v>
      </c>
      <c r="I767" s="126">
        <f t="shared" si="55"/>
        <v>0</v>
      </c>
      <c r="J767" s="38">
        <f t="shared" si="56"/>
        <v>0</v>
      </c>
      <c r="K767" s="80"/>
      <c r="L767" s="82"/>
    </row>
    <row r="768" spans="2:12" s="1" customFormat="1" ht="12.95" customHeight="1" x14ac:dyDescent="0.15">
      <c r="B768" s="16">
        <v>4</v>
      </c>
      <c r="C768" s="17"/>
      <c r="D768" s="24"/>
      <c r="E768" s="18"/>
      <c r="F768" s="129"/>
      <c r="G768" s="20"/>
      <c r="H768" s="20">
        <v>1</v>
      </c>
      <c r="I768" s="126">
        <f t="shared" si="55"/>
        <v>0</v>
      </c>
      <c r="J768" s="38">
        <f t="shared" si="56"/>
        <v>0</v>
      </c>
      <c r="K768" s="80"/>
      <c r="L768" s="82"/>
    </row>
    <row r="769" spans="2:12" s="1" customFormat="1" ht="12.95" customHeight="1" x14ac:dyDescent="0.15">
      <c r="B769" s="16">
        <v>5</v>
      </c>
      <c r="C769" s="17"/>
      <c r="D769" s="24"/>
      <c r="E769" s="18"/>
      <c r="F769" s="129"/>
      <c r="G769" s="20"/>
      <c r="H769" s="20">
        <v>1</v>
      </c>
      <c r="I769" s="126">
        <f t="shared" si="55"/>
        <v>0</v>
      </c>
      <c r="J769" s="38">
        <f t="shared" si="56"/>
        <v>0</v>
      </c>
      <c r="K769" s="80"/>
      <c r="L769" s="82"/>
    </row>
    <row r="770" spans="2:12" s="1" customFormat="1" ht="12.95" customHeight="1" x14ac:dyDescent="0.15">
      <c r="B770" s="16">
        <v>6</v>
      </c>
      <c r="C770" s="17"/>
      <c r="D770" s="24"/>
      <c r="E770" s="18"/>
      <c r="F770" s="129"/>
      <c r="G770" s="20"/>
      <c r="H770" s="20">
        <v>1</v>
      </c>
      <c r="I770" s="126">
        <f t="shared" si="55"/>
        <v>0</v>
      </c>
      <c r="J770" s="38">
        <f t="shared" si="56"/>
        <v>0</v>
      </c>
      <c r="K770" s="80"/>
      <c r="L770" s="82"/>
    </row>
    <row r="771" spans="2:12" s="1" customFormat="1" ht="12.95" customHeight="1" x14ac:dyDescent="0.15">
      <c r="B771" s="16">
        <v>7</v>
      </c>
      <c r="C771" s="17"/>
      <c r="D771" s="24"/>
      <c r="E771" s="18"/>
      <c r="F771" s="129"/>
      <c r="G771" s="20"/>
      <c r="H771" s="20">
        <v>1</v>
      </c>
      <c r="I771" s="126">
        <f t="shared" si="55"/>
        <v>0</v>
      </c>
      <c r="J771" s="38">
        <f t="shared" si="56"/>
        <v>0</v>
      </c>
      <c r="K771" s="80"/>
      <c r="L771" s="82"/>
    </row>
    <row r="772" spans="2:12" s="1" customFormat="1" ht="12.95" customHeight="1" x14ac:dyDescent="0.15">
      <c r="B772" s="16">
        <v>8</v>
      </c>
      <c r="C772" s="17"/>
      <c r="D772" s="24"/>
      <c r="E772" s="18"/>
      <c r="F772" s="129"/>
      <c r="G772" s="20"/>
      <c r="H772" s="20">
        <v>1</v>
      </c>
      <c r="I772" s="126">
        <f t="shared" si="55"/>
        <v>0</v>
      </c>
      <c r="J772" s="21">
        <f t="shared" si="56"/>
        <v>0</v>
      </c>
      <c r="K772" s="80"/>
      <c r="L772" s="82"/>
    </row>
    <row r="773" spans="2:12" s="1" customFormat="1" ht="12.95" customHeight="1" x14ac:dyDescent="0.15">
      <c r="B773" s="16">
        <v>9</v>
      </c>
      <c r="C773" s="17"/>
      <c r="D773" s="24"/>
      <c r="E773" s="18"/>
      <c r="F773" s="129"/>
      <c r="G773" s="20"/>
      <c r="H773" s="20">
        <v>1</v>
      </c>
      <c r="I773" s="126">
        <f t="shared" si="55"/>
        <v>0</v>
      </c>
      <c r="J773" s="38">
        <f t="shared" si="56"/>
        <v>0</v>
      </c>
      <c r="K773" s="80"/>
      <c r="L773" s="82"/>
    </row>
    <row r="774" spans="2:12" s="1" customFormat="1" ht="12.95" customHeight="1" x14ac:dyDescent="0.15">
      <c r="B774" s="16">
        <v>10</v>
      </c>
      <c r="C774" s="17"/>
      <c r="D774" s="24"/>
      <c r="E774" s="18"/>
      <c r="F774" s="129"/>
      <c r="G774" s="20"/>
      <c r="H774" s="20">
        <v>1</v>
      </c>
      <c r="I774" s="126">
        <f t="shared" si="55"/>
        <v>0</v>
      </c>
      <c r="J774" s="38">
        <f t="shared" si="56"/>
        <v>0</v>
      </c>
      <c r="K774" s="80"/>
      <c r="L774" s="82"/>
    </row>
    <row r="775" spans="2:12" s="1" customFormat="1" ht="12.95" customHeight="1" x14ac:dyDescent="0.15">
      <c r="B775" s="16">
        <v>11</v>
      </c>
      <c r="C775" s="17"/>
      <c r="D775" s="24"/>
      <c r="E775" s="18"/>
      <c r="F775" s="129"/>
      <c r="G775" s="20"/>
      <c r="H775" s="20">
        <v>1</v>
      </c>
      <c r="I775" s="126">
        <f t="shared" si="55"/>
        <v>0</v>
      </c>
      <c r="J775" s="38">
        <f t="shared" si="56"/>
        <v>0</v>
      </c>
      <c r="K775" s="80"/>
      <c r="L775" s="82"/>
    </row>
    <row r="776" spans="2:12" s="1" customFormat="1" ht="12.95" customHeight="1" x14ac:dyDescent="0.15">
      <c r="B776" s="16">
        <v>12</v>
      </c>
      <c r="C776" s="17"/>
      <c r="D776" s="24"/>
      <c r="E776" s="18"/>
      <c r="F776" s="129"/>
      <c r="G776" s="20"/>
      <c r="H776" s="20">
        <v>1</v>
      </c>
      <c r="I776" s="126">
        <f t="shared" si="55"/>
        <v>0</v>
      </c>
      <c r="J776" s="38">
        <f t="shared" si="56"/>
        <v>0</v>
      </c>
      <c r="K776" s="80"/>
      <c r="L776" s="82"/>
    </row>
    <row r="777" spans="2:12" s="1" customFormat="1" ht="12.95" customHeight="1" x14ac:dyDescent="0.15">
      <c r="B777" s="16">
        <v>13</v>
      </c>
      <c r="C777" s="17"/>
      <c r="D777" s="24"/>
      <c r="E777" s="24"/>
      <c r="F777" s="129"/>
      <c r="G777" s="20"/>
      <c r="H777" s="20">
        <v>1</v>
      </c>
      <c r="I777" s="126">
        <f t="shared" si="55"/>
        <v>0</v>
      </c>
      <c r="J777" s="38">
        <f t="shared" si="56"/>
        <v>0</v>
      </c>
      <c r="K777" s="80"/>
      <c r="L777" s="82"/>
    </row>
    <row r="778" spans="2:12" s="1" customFormat="1" ht="12.95" customHeight="1" x14ac:dyDescent="0.15">
      <c r="B778" s="16">
        <v>14</v>
      </c>
      <c r="C778" s="17"/>
      <c r="D778" s="24"/>
      <c r="E778" s="24"/>
      <c r="F778" s="129"/>
      <c r="G778" s="20"/>
      <c r="H778" s="20">
        <v>1</v>
      </c>
      <c r="I778" s="126">
        <f t="shared" si="55"/>
        <v>0</v>
      </c>
      <c r="J778" s="38">
        <f t="shared" si="56"/>
        <v>0</v>
      </c>
      <c r="K778" s="80"/>
      <c r="L778" s="82"/>
    </row>
    <row r="779" spans="2:12" s="1" customFormat="1" ht="12.95" customHeight="1" x14ac:dyDescent="0.15">
      <c r="B779" s="16">
        <v>15</v>
      </c>
      <c r="C779" s="17"/>
      <c r="D779" s="24"/>
      <c r="E779" s="24"/>
      <c r="F779" s="129"/>
      <c r="G779" s="20"/>
      <c r="H779" s="20">
        <v>1</v>
      </c>
      <c r="I779" s="126">
        <f t="shared" si="55"/>
        <v>0</v>
      </c>
      <c r="J779" s="38">
        <f t="shared" si="56"/>
        <v>0</v>
      </c>
      <c r="K779" s="80"/>
      <c r="L779" s="82"/>
    </row>
    <row r="780" spans="2:12" s="1" customFormat="1" ht="12.95" customHeight="1" x14ac:dyDescent="0.15">
      <c r="B780" s="16">
        <v>16</v>
      </c>
      <c r="C780" s="17"/>
      <c r="D780" s="24"/>
      <c r="E780" s="24"/>
      <c r="F780" s="129"/>
      <c r="G780" s="20"/>
      <c r="H780" s="20">
        <v>1</v>
      </c>
      <c r="I780" s="126">
        <f t="shared" si="55"/>
        <v>0</v>
      </c>
      <c r="J780" s="38">
        <f t="shared" si="56"/>
        <v>0</v>
      </c>
      <c r="K780" s="80"/>
      <c r="L780" s="82"/>
    </row>
    <row r="781" spans="2:12" s="1" customFormat="1" ht="12.95" customHeight="1" x14ac:dyDescent="0.15">
      <c r="B781" s="16">
        <v>17</v>
      </c>
      <c r="C781" s="17"/>
      <c r="D781" s="24"/>
      <c r="E781" s="24"/>
      <c r="F781" s="129"/>
      <c r="G781" s="20"/>
      <c r="H781" s="20">
        <v>1</v>
      </c>
      <c r="I781" s="126">
        <f t="shared" si="55"/>
        <v>0</v>
      </c>
      <c r="J781" s="38">
        <f t="shared" si="56"/>
        <v>0</v>
      </c>
      <c r="K781" s="80"/>
      <c r="L781" s="82"/>
    </row>
    <row r="782" spans="2:12" s="1" customFormat="1" ht="12.95" customHeight="1" x14ac:dyDescent="0.15">
      <c r="B782" s="16">
        <v>18</v>
      </c>
      <c r="C782" s="17"/>
      <c r="D782" s="24"/>
      <c r="E782" s="24"/>
      <c r="F782" s="129"/>
      <c r="G782" s="20"/>
      <c r="H782" s="20">
        <v>1</v>
      </c>
      <c r="I782" s="126">
        <f t="shared" si="55"/>
        <v>0</v>
      </c>
      <c r="J782" s="38">
        <f t="shared" si="56"/>
        <v>0</v>
      </c>
      <c r="K782" s="80"/>
      <c r="L782" s="82"/>
    </row>
    <row r="783" spans="2:12" s="1" customFormat="1" ht="12.95" customHeight="1" x14ac:dyDescent="0.15">
      <c r="B783" s="16">
        <v>19</v>
      </c>
      <c r="C783" s="17"/>
      <c r="D783" s="24"/>
      <c r="E783" s="24"/>
      <c r="F783" s="129"/>
      <c r="G783" s="20"/>
      <c r="H783" s="20">
        <v>1</v>
      </c>
      <c r="I783" s="126">
        <f t="shared" si="55"/>
        <v>0</v>
      </c>
      <c r="J783" s="38">
        <f t="shared" si="56"/>
        <v>0</v>
      </c>
      <c r="K783" s="80"/>
      <c r="L783" s="82"/>
    </row>
    <row r="784" spans="2:12" s="1" customFormat="1" ht="12.95" customHeight="1" x14ac:dyDescent="0.15">
      <c r="B784" s="16">
        <v>20</v>
      </c>
      <c r="C784" s="17"/>
      <c r="D784" s="24"/>
      <c r="E784" s="24"/>
      <c r="F784" s="129"/>
      <c r="G784" s="20"/>
      <c r="H784" s="20">
        <v>1</v>
      </c>
      <c r="I784" s="126">
        <f t="shared" si="55"/>
        <v>0</v>
      </c>
      <c r="J784" s="38">
        <f t="shared" si="56"/>
        <v>0</v>
      </c>
      <c r="K784" s="80"/>
      <c r="L784" s="82"/>
    </row>
    <row r="785" spans="2:20" s="1" customFormat="1" ht="12.95" customHeight="1" x14ac:dyDescent="0.15">
      <c r="B785" s="16"/>
      <c r="C785" s="17"/>
      <c r="D785" s="24"/>
      <c r="E785" s="24"/>
      <c r="F785" s="129"/>
      <c r="G785" s="20"/>
      <c r="H785" s="20"/>
      <c r="I785" s="126"/>
      <c r="J785" s="38"/>
      <c r="K785" s="80"/>
      <c r="L785" s="82"/>
    </row>
    <row r="786" spans="2:20" s="1" customFormat="1" ht="12.95" customHeight="1" x14ac:dyDescent="0.15">
      <c r="B786" s="16"/>
      <c r="C786" s="17"/>
      <c r="D786" s="24"/>
      <c r="E786" s="24"/>
      <c r="F786" s="129"/>
      <c r="G786" s="20"/>
      <c r="H786" s="20"/>
      <c r="I786" s="126"/>
      <c r="J786" s="38"/>
      <c r="K786" s="80"/>
      <c r="L786" s="82"/>
    </row>
    <row r="787" spans="2:20" s="1" customFormat="1" ht="12.95" customHeight="1" x14ac:dyDescent="0.15">
      <c r="B787" s="16"/>
      <c r="C787" s="22" t="s">
        <v>132</v>
      </c>
      <c r="D787" s="24"/>
      <c r="E787" s="24"/>
      <c r="F787" s="129"/>
      <c r="G787" s="20"/>
      <c r="H787" s="20"/>
      <c r="I787" s="126"/>
      <c r="J787" s="38"/>
      <c r="K787" s="80"/>
      <c r="L787" s="82"/>
    </row>
    <row r="788" spans="2:20" s="1" customFormat="1" ht="12.95" customHeight="1" x14ac:dyDescent="0.15">
      <c r="B788" s="16">
        <v>1</v>
      </c>
      <c r="C788" s="17"/>
      <c r="D788" s="24"/>
      <c r="E788" s="24"/>
      <c r="F788" s="129"/>
      <c r="G788" s="20"/>
      <c r="H788" s="20">
        <v>1</v>
      </c>
      <c r="I788" s="126">
        <f t="shared" ref="I788:I807" si="57">J788*$C$32</f>
        <v>0</v>
      </c>
      <c r="J788" s="38">
        <f t="shared" ref="J788:J807" si="58">(F788*G788*H788)/$C$32</f>
        <v>0</v>
      </c>
      <c r="K788" s="80"/>
      <c r="L788" s="82"/>
    </row>
    <row r="789" spans="2:20" s="1" customFormat="1" ht="12.95" customHeight="1" x14ac:dyDescent="0.15">
      <c r="B789" s="16">
        <v>2</v>
      </c>
      <c r="C789" s="17"/>
      <c r="D789" s="24"/>
      <c r="E789" s="24"/>
      <c r="F789" s="129"/>
      <c r="G789" s="20"/>
      <c r="H789" s="20">
        <v>1</v>
      </c>
      <c r="I789" s="126">
        <f t="shared" si="57"/>
        <v>0</v>
      </c>
      <c r="J789" s="38">
        <f t="shared" si="58"/>
        <v>0</v>
      </c>
      <c r="K789" s="80"/>
      <c r="L789" s="82"/>
    </row>
    <row r="790" spans="2:20" s="1" customFormat="1" ht="12.95" customHeight="1" x14ac:dyDescent="0.15">
      <c r="B790" s="16">
        <v>3</v>
      </c>
      <c r="C790" s="17"/>
      <c r="D790" s="24"/>
      <c r="E790" s="24"/>
      <c r="F790" s="129"/>
      <c r="G790" s="20"/>
      <c r="H790" s="20">
        <v>1</v>
      </c>
      <c r="I790" s="126">
        <f t="shared" si="57"/>
        <v>0</v>
      </c>
      <c r="J790" s="38">
        <f t="shared" si="58"/>
        <v>0</v>
      </c>
      <c r="K790" s="80"/>
      <c r="L790" s="82"/>
    </row>
    <row r="791" spans="2:20" s="1" customFormat="1" ht="12.95" customHeight="1" x14ac:dyDescent="0.15">
      <c r="B791" s="16">
        <v>4</v>
      </c>
      <c r="C791" s="17"/>
      <c r="D791" s="24"/>
      <c r="E791" s="24"/>
      <c r="F791" s="129"/>
      <c r="G791" s="20"/>
      <c r="H791" s="20">
        <v>1</v>
      </c>
      <c r="I791" s="126">
        <f t="shared" si="57"/>
        <v>0</v>
      </c>
      <c r="J791" s="38">
        <f t="shared" si="58"/>
        <v>0</v>
      </c>
      <c r="K791" s="80"/>
      <c r="L791" s="82"/>
    </row>
    <row r="792" spans="2:20" s="1" customFormat="1" ht="12.95" customHeight="1" x14ac:dyDescent="0.15">
      <c r="B792" s="16">
        <v>5</v>
      </c>
      <c r="C792" s="17"/>
      <c r="D792" s="24"/>
      <c r="E792" s="24"/>
      <c r="F792" s="129"/>
      <c r="G792" s="20"/>
      <c r="H792" s="20">
        <v>1</v>
      </c>
      <c r="I792" s="126">
        <f t="shared" si="57"/>
        <v>0</v>
      </c>
      <c r="J792" s="38">
        <f t="shared" si="58"/>
        <v>0</v>
      </c>
      <c r="K792" s="80"/>
      <c r="L792" s="82"/>
    </row>
    <row r="793" spans="2:20" s="1" customFormat="1" ht="12.95" customHeight="1" x14ac:dyDescent="0.15">
      <c r="B793" s="16">
        <v>6</v>
      </c>
      <c r="C793" s="17"/>
      <c r="D793" s="24"/>
      <c r="E793" s="24"/>
      <c r="F793" s="129"/>
      <c r="G793" s="20"/>
      <c r="H793" s="20">
        <v>1</v>
      </c>
      <c r="I793" s="126">
        <f t="shared" si="57"/>
        <v>0</v>
      </c>
      <c r="J793" s="38">
        <f t="shared" si="58"/>
        <v>0</v>
      </c>
      <c r="K793" s="80"/>
      <c r="L793" s="82"/>
    </row>
    <row r="794" spans="2:20" s="1" customFormat="1" ht="12.95" customHeight="1" x14ac:dyDescent="0.15">
      <c r="B794" s="16">
        <v>7</v>
      </c>
      <c r="C794" s="17"/>
      <c r="D794" s="24"/>
      <c r="E794" s="24"/>
      <c r="F794" s="129"/>
      <c r="G794" s="20"/>
      <c r="H794" s="20">
        <v>1</v>
      </c>
      <c r="I794" s="126">
        <f t="shared" si="57"/>
        <v>0</v>
      </c>
      <c r="J794" s="38">
        <f t="shared" si="58"/>
        <v>0</v>
      </c>
      <c r="K794" s="80"/>
      <c r="L794" s="82"/>
    </row>
    <row r="795" spans="2:20" s="1" customFormat="1" ht="12.95" customHeight="1" x14ac:dyDescent="0.15">
      <c r="B795" s="16">
        <v>8</v>
      </c>
      <c r="C795" s="17"/>
      <c r="D795" s="24"/>
      <c r="E795" s="24"/>
      <c r="F795" s="129"/>
      <c r="G795" s="20"/>
      <c r="H795" s="20">
        <v>1</v>
      </c>
      <c r="I795" s="126">
        <f t="shared" si="57"/>
        <v>0</v>
      </c>
      <c r="J795" s="38">
        <f t="shared" si="58"/>
        <v>0</v>
      </c>
      <c r="K795" s="80"/>
      <c r="L795" s="82"/>
    </row>
    <row r="796" spans="2:20" s="1" customFormat="1" ht="12.95" customHeight="1" x14ac:dyDescent="0.15">
      <c r="B796" s="16">
        <v>9</v>
      </c>
      <c r="C796" s="17"/>
      <c r="D796" s="24"/>
      <c r="E796" s="24"/>
      <c r="F796" s="129"/>
      <c r="G796" s="20"/>
      <c r="H796" s="20">
        <v>1</v>
      </c>
      <c r="I796" s="126">
        <f t="shared" si="57"/>
        <v>0</v>
      </c>
      <c r="J796" s="38">
        <f t="shared" si="58"/>
        <v>0</v>
      </c>
      <c r="K796" s="80"/>
      <c r="L796" s="82"/>
    </row>
    <row r="797" spans="2:20" s="1" customFormat="1" ht="12.95" customHeight="1" x14ac:dyDescent="0.15">
      <c r="B797" s="16">
        <v>10</v>
      </c>
      <c r="C797" s="17"/>
      <c r="D797" s="24"/>
      <c r="E797" s="24"/>
      <c r="F797" s="129"/>
      <c r="G797" s="20"/>
      <c r="H797" s="20">
        <v>1</v>
      </c>
      <c r="I797" s="126">
        <f t="shared" si="57"/>
        <v>0</v>
      </c>
      <c r="J797" s="38">
        <f t="shared" si="58"/>
        <v>0</v>
      </c>
      <c r="K797" s="80"/>
      <c r="L797" s="82"/>
    </row>
    <row r="798" spans="2:20" s="1" customFormat="1" ht="12.95" customHeight="1" x14ac:dyDescent="0.15">
      <c r="B798" s="16">
        <v>11</v>
      </c>
      <c r="C798" s="44"/>
      <c r="D798" s="18"/>
      <c r="E798" s="18"/>
      <c r="F798" s="129"/>
      <c r="G798" s="20"/>
      <c r="H798" s="20">
        <v>1</v>
      </c>
      <c r="I798" s="126">
        <f t="shared" si="57"/>
        <v>0</v>
      </c>
      <c r="J798" s="21">
        <f t="shared" si="58"/>
        <v>0</v>
      </c>
      <c r="K798" s="80"/>
      <c r="L798" s="82"/>
      <c r="M798" s="10"/>
      <c r="N798" s="10"/>
      <c r="O798" s="10"/>
      <c r="P798" s="10"/>
      <c r="Q798" s="43"/>
      <c r="R798" s="10"/>
      <c r="T798" s="10" t="s">
        <v>169</v>
      </c>
    </row>
    <row r="799" spans="2:20" s="1" customFormat="1" ht="12.95" customHeight="1" x14ac:dyDescent="0.15">
      <c r="B799" s="16">
        <v>12</v>
      </c>
      <c r="C799" s="45"/>
      <c r="D799" s="18"/>
      <c r="E799" s="18"/>
      <c r="F799" s="130"/>
      <c r="G799" s="20"/>
      <c r="H799" s="20">
        <v>1</v>
      </c>
      <c r="I799" s="126">
        <f t="shared" si="57"/>
        <v>0</v>
      </c>
      <c r="J799" s="21">
        <f t="shared" si="58"/>
        <v>0</v>
      </c>
      <c r="K799" s="80"/>
      <c r="L799" s="82"/>
      <c r="M799" s="10"/>
      <c r="N799" s="10"/>
      <c r="O799" s="10"/>
      <c r="P799" s="10"/>
      <c r="Q799" s="43"/>
      <c r="R799" s="10"/>
      <c r="T799" s="10" t="s">
        <v>170</v>
      </c>
    </row>
    <row r="800" spans="2:20" s="1" customFormat="1" ht="12.95" customHeight="1" x14ac:dyDescent="0.15">
      <c r="B800" s="16">
        <v>13</v>
      </c>
      <c r="C800" s="44"/>
      <c r="D800" s="18"/>
      <c r="E800" s="18"/>
      <c r="F800" s="129"/>
      <c r="G800" s="20"/>
      <c r="H800" s="20">
        <v>1</v>
      </c>
      <c r="I800" s="126">
        <f t="shared" si="57"/>
        <v>0</v>
      </c>
      <c r="J800" s="21">
        <f t="shared" si="58"/>
        <v>0</v>
      </c>
      <c r="K800" s="80"/>
      <c r="L800" s="82"/>
      <c r="M800" s="10"/>
      <c r="N800" s="10"/>
      <c r="O800" s="10"/>
      <c r="P800" s="10"/>
      <c r="Q800" s="43"/>
      <c r="R800" s="10"/>
      <c r="T800" s="10" t="s">
        <v>171</v>
      </c>
    </row>
    <row r="801" spans="2:20" s="1" customFormat="1" ht="12.95" customHeight="1" x14ac:dyDescent="0.15">
      <c r="B801" s="16">
        <v>14</v>
      </c>
      <c r="C801" s="44"/>
      <c r="D801" s="18"/>
      <c r="E801" s="18"/>
      <c r="F801" s="129"/>
      <c r="G801" s="20"/>
      <c r="H801" s="20">
        <v>1</v>
      </c>
      <c r="I801" s="126">
        <f t="shared" si="57"/>
        <v>0</v>
      </c>
      <c r="J801" s="21">
        <f t="shared" si="58"/>
        <v>0</v>
      </c>
      <c r="K801" s="80"/>
      <c r="L801" s="82"/>
      <c r="M801" s="10"/>
      <c r="N801" s="10"/>
      <c r="O801" s="10"/>
      <c r="P801" s="10"/>
      <c r="Q801" s="43"/>
      <c r="R801" s="10"/>
      <c r="T801" s="10"/>
    </row>
    <row r="802" spans="2:20" s="1" customFormat="1" ht="12.95" customHeight="1" x14ac:dyDescent="0.15">
      <c r="B802" s="16">
        <v>15</v>
      </c>
      <c r="C802" s="44"/>
      <c r="D802" s="18"/>
      <c r="E802" s="18"/>
      <c r="F802" s="129"/>
      <c r="G802" s="20"/>
      <c r="H802" s="20">
        <v>1</v>
      </c>
      <c r="I802" s="126">
        <f t="shared" si="57"/>
        <v>0</v>
      </c>
      <c r="J802" s="21">
        <f t="shared" si="58"/>
        <v>0</v>
      </c>
      <c r="K802" s="80"/>
      <c r="L802" s="82"/>
      <c r="M802" s="10"/>
      <c r="N802" s="10"/>
      <c r="O802" s="10"/>
      <c r="P802" s="10"/>
      <c r="Q802" s="43"/>
      <c r="R802" s="10"/>
      <c r="T802" s="10"/>
    </row>
    <row r="803" spans="2:20" s="1" customFormat="1" ht="12.95" customHeight="1" x14ac:dyDescent="0.15">
      <c r="B803" s="16">
        <v>16</v>
      </c>
      <c r="C803" s="44"/>
      <c r="D803" s="18"/>
      <c r="E803" s="18"/>
      <c r="F803" s="129"/>
      <c r="G803" s="20"/>
      <c r="H803" s="20">
        <v>1</v>
      </c>
      <c r="I803" s="126">
        <f t="shared" si="57"/>
        <v>0</v>
      </c>
      <c r="J803" s="21">
        <f t="shared" si="58"/>
        <v>0</v>
      </c>
      <c r="K803" s="80"/>
      <c r="L803" s="82"/>
      <c r="M803" s="10"/>
      <c r="N803" s="10"/>
      <c r="O803" s="10"/>
      <c r="P803" s="10"/>
      <c r="Q803" s="43"/>
      <c r="R803" s="10"/>
      <c r="T803" s="10"/>
    </row>
    <row r="804" spans="2:20" s="1" customFormat="1" ht="12.95" customHeight="1" x14ac:dyDescent="0.15">
      <c r="B804" s="16">
        <v>17</v>
      </c>
      <c r="C804" s="44"/>
      <c r="D804" s="18"/>
      <c r="E804" s="18"/>
      <c r="F804" s="129"/>
      <c r="G804" s="20"/>
      <c r="H804" s="20">
        <v>1</v>
      </c>
      <c r="I804" s="126">
        <f t="shared" si="57"/>
        <v>0</v>
      </c>
      <c r="J804" s="21">
        <f t="shared" si="58"/>
        <v>0</v>
      </c>
      <c r="K804" s="80"/>
      <c r="L804" s="82"/>
      <c r="M804" s="10"/>
      <c r="N804" s="10"/>
      <c r="O804" s="10"/>
      <c r="P804" s="10"/>
      <c r="Q804" s="43"/>
      <c r="R804" s="10"/>
      <c r="T804" s="10"/>
    </row>
    <row r="805" spans="2:20" s="1" customFormat="1" ht="12.95" customHeight="1" x14ac:dyDescent="0.15">
      <c r="B805" s="16">
        <v>18</v>
      </c>
      <c r="C805" s="44"/>
      <c r="D805" s="18"/>
      <c r="E805" s="18"/>
      <c r="F805" s="129"/>
      <c r="G805" s="20"/>
      <c r="H805" s="20">
        <v>1</v>
      </c>
      <c r="I805" s="126">
        <f t="shared" si="57"/>
        <v>0</v>
      </c>
      <c r="J805" s="78">
        <f t="shared" si="58"/>
        <v>0</v>
      </c>
      <c r="K805" s="111"/>
      <c r="L805" s="119"/>
      <c r="M805" s="10"/>
      <c r="N805" s="10"/>
      <c r="O805" s="10"/>
      <c r="P805" s="10"/>
      <c r="Q805" s="43"/>
      <c r="R805" s="10"/>
      <c r="T805" s="10"/>
    </row>
    <row r="806" spans="2:20" s="1" customFormat="1" ht="12.95" customHeight="1" x14ac:dyDescent="0.15">
      <c r="B806" s="16">
        <v>19</v>
      </c>
      <c r="C806" s="44"/>
      <c r="D806" s="18"/>
      <c r="E806" s="18"/>
      <c r="F806" s="129"/>
      <c r="G806" s="20"/>
      <c r="H806" s="20">
        <v>1</v>
      </c>
      <c r="I806" s="254">
        <f t="shared" si="57"/>
        <v>0</v>
      </c>
      <c r="J806" s="94">
        <f t="shared" si="58"/>
        <v>0</v>
      </c>
      <c r="K806" s="82"/>
      <c r="L806" s="82"/>
      <c r="M806" s="10"/>
      <c r="N806" s="10"/>
      <c r="O806" s="10"/>
      <c r="P806" s="10"/>
      <c r="Q806" s="43"/>
      <c r="R806" s="10"/>
      <c r="T806" s="10"/>
    </row>
    <row r="807" spans="2:20" s="1" customFormat="1" ht="12.95" customHeight="1" x14ac:dyDescent="0.15">
      <c r="B807" s="16">
        <v>20</v>
      </c>
      <c r="C807" s="44"/>
      <c r="D807" s="18"/>
      <c r="E807" s="18"/>
      <c r="F807" s="129"/>
      <c r="G807" s="20"/>
      <c r="H807" s="20">
        <v>1</v>
      </c>
      <c r="I807" s="254">
        <f t="shared" si="57"/>
        <v>0</v>
      </c>
      <c r="J807" s="94">
        <f t="shared" si="58"/>
        <v>0</v>
      </c>
      <c r="K807" s="82"/>
      <c r="L807" s="82"/>
      <c r="M807" s="10"/>
      <c r="N807" s="10"/>
      <c r="O807" s="10"/>
      <c r="P807" s="10"/>
      <c r="Q807" s="43"/>
      <c r="R807" s="10"/>
      <c r="T807" s="10"/>
    </row>
    <row r="808" spans="2:20" s="1" customFormat="1" ht="12.95" customHeight="1" x14ac:dyDescent="0.15">
      <c r="B808" s="16"/>
      <c r="C808" s="11"/>
      <c r="D808" s="18"/>
      <c r="E808" s="18"/>
      <c r="F808" s="129"/>
      <c r="G808" s="20"/>
      <c r="H808" s="20"/>
      <c r="I808" s="255"/>
      <c r="J808" s="94"/>
      <c r="K808" s="82"/>
      <c r="L808" s="82"/>
      <c r="M808" s="10"/>
      <c r="N808" s="10"/>
      <c r="O808" s="10"/>
      <c r="P808" s="10"/>
      <c r="Q808" s="43"/>
      <c r="R808" s="10"/>
      <c r="T808" s="10"/>
    </row>
    <row r="809" spans="2:20" s="1" customFormat="1" ht="12.75" x14ac:dyDescent="0.15">
      <c r="B809" s="83"/>
      <c r="C809" s="98"/>
      <c r="D809" s="99"/>
      <c r="E809" s="98"/>
      <c r="F809" s="127">
        <f>SUM(F750:F808)</f>
        <v>0</v>
      </c>
      <c r="G809" s="100"/>
      <c r="H809" s="252"/>
      <c r="I809" s="256">
        <f>SUM(I751:I808)</f>
        <v>0</v>
      </c>
      <c r="J809" s="257">
        <f>SUM(J751:J808)</f>
        <v>0</v>
      </c>
    </row>
    <row r="810" spans="2:20" s="1" customFormat="1" ht="12.75" x14ac:dyDescent="0.15">
      <c r="B810" s="82"/>
      <c r="C810" s="102"/>
      <c r="D810" s="103"/>
      <c r="E810" s="102" t="s">
        <v>147</v>
      </c>
      <c r="F810" s="128">
        <f>100/115*F809</f>
        <v>0</v>
      </c>
      <c r="G810" s="104"/>
      <c r="H810" s="253" t="s">
        <v>147</v>
      </c>
      <c r="I810" s="128">
        <f>100/115*I809</f>
        <v>0</v>
      </c>
      <c r="J810" s="106"/>
    </row>
    <row r="811" spans="2:20" s="1" customFormat="1" ht="12.75" x14ac:dyDescent="0.15"/>
    <row r="812" spans="2:20" s="1" customFormat="1" ht="12.75" x14ac:dyDescent="0.15"/>
    <row r="813" spans="2:20" s="1" customFormat="1" ht="12.75" x14ac:dyDescent="0.15"/>
    <row r="814" spans="2:20" s="1" customFormat="1" ht="12.75" x14ac:dyDescent="0.15"/>
    <row r="815" spans="2:20" s="1" customFormat="1" ht="12.75" x14ac:dyDescent="0.15"/>
    <row r="816" spans="2:20" s="1" customFormat="1" ht="12.75" x14ac:dyDescent="0.15"/>
    <row r="817" s="1" customFormat="1" ht="12.75" x14ac:dyDescent="0.15"/>
    <row r="818" s="1" customFormat="1" ht="12.75" x14ac:dyDescent="0.15"/>
    <row r="819" s="1" customFormat="1" ht="12.75" x14ac:dyDescent="0.15"/>
    <row r="820" s="1" customFormat="1" ht="12.75" x14ac:dyDescent="0.15"/>
    <row r="821" s="1" customFormat="1" ht="12.75" x14ac:dyDescent="0.15"/>
    <row r="822" s="1" customFormat="1" ht="12.75" x14ac:dyDescent="0.15"/>
    <row r="823" s="1" customFormat="1" ht="12.75" x14ac:dyDescent="0.15"/>
    <row r="824" s="1" customFormat="1" ht="12.75" x14ac:dyDescent="0.15"/>
    <row r="825" s="1" customFormat="1" ht="12.75" x14ac:dyDescent="0.15"/>
    <row r="826" s="1" customFormat="1" ht="12.75" x14ac:dyDescent="0.15"/>
    <row r="827" s="1" customFormat="1" ht="12.75" x14ac:dyDescent="0.15"/>
    <row r="828" s="1" customFormat="1" ht="12.75" x14ac:dyDescent="0.15"/>
    <row r="829" s="1" customFormat="1" ht="12.75" x14ac:dyDescent="0.15"/>
    <row r="830" s="1" customFormat="1" ht="12.75" x14ac:dyDescent="0.15"/>
    <row r="831" s="1" customFormat="1" ht="12.75" x14ac:dyDescent="0.15"/>
    <row r="832" s="1" customFormat="1" ht="12.75" x14ac:dyDescent="0.15"/>
    <row r="833" s="1" customFormat="1" ht="12.75" x14ac:dyDescent="0.15"/>
    <row r="834" s="1" customFormat="1" ht="12.75" x14ac:dyDescent="0.15"/>
    <row r="835" s="1" customFormat="1" ht="12.75" x14ac:dyDescent="0.15"/>
    <row r="836" s="1" customFormat="1" ht="12.75" x14ac:dyDescent="0.15"/>
    <row r="837" s="1" customFormat="1" ht="12.75" x14ac:dyDescent="0.15"/>
    <row r="838" s="1" customFormat="1" ht="12.75" x14ac:dyDescent="0.15"/>
    <row r="839" s="1" customFormat="1" ht="12.75" x14ac:dyDescent="0.15"/>
    <row r="840" s="1" customFormat="1" ht="12.75" x14ac:dyDescent="0.15"/>
    <row r="841" s="1" customFormat="1" ht="12.75" x14ac:dyDescent="0.15"/>
    <row r="842" s="1" customFormat="1" ht="12.75" x14ac:dyDescent="0.15"/>
    <row r="843" s="1" customFormat="1" ht="12.75" x14ac:dyDescent="0.15"/>
    <row r="844" s="1" customFormat="1" ht="12.75" x14ac:dyDescent="0.15"/>
    <row r="845" s="1" customFormat="1" ht="12.75" x14ac:dyDescent="0.15"/>
    <row r="846" s="1" customFormat="1" ht="12.75" x14ac:dyDescent="0.15"/>
    <row r="847" s="1" customFormat="1" ht="12.75" x14ac:dyDescent="0.15"/>
    <row r="848" s="1" customFormat="1" ht="12.75" x14ac:dyDescent="0.15"/>
    <row r="849" s="1" customFormat="1" ht="12.75" x14ac:dyDescent="0.15"/>
    <row r="850" s="1" customFormat="1" ht="12.75" x14ac:dyDescent="0.15"/>
    <row r="851" s="1" customFormat="1" ht="12.75" x14ac:dyDescent="0.15"/>
    <row r="852" s="1" customFormat="1" ht="12.75" x14ac:dyDescent="0.15"/>
    <row r="853" s="1" customFormat="1" ht="12.75" x14ac:dyDescent="0.15"/>
    <row r="854" s="1" customFormat="1" ht="12.75" x14ac:dyDescent="0.15"/>
    <row r="855" s="1" customFormat="1" ht="12.75" x14ac:dyDescent="0.15"/>
    <row r="856" s="1" customFormat="1" ht="12.75" x14ac:dyDescent="0.15"/>
    <row r="857" s="1" customFormat="1" ht="12.75" x14ac:dyDescent="0.15"/>
    <row r="858" s="1" customFormat="1" ht="12.75" x14ac:dyDescent="0.15"/>
    <row r="859" s="1" customFormat="1" ht="12.75" x14ac:dyDescent="0.15"/>
    <row r="860" s="1" customFormat="1" ht="12.75" x14ac:dyDescent="0.15"/>
    <row r="861" s="1" customFormat="1" ht="12.75" x14ac:dyDescent="0.15"/>
    <row r="862" s="1" customFormat="1" ht="12.75" x14ac:dyDescent="0.15"/>
    <row r="863" s="1" customFormat="1" ht="12.75" x14ac:dyDescent="0.15"/>
    <row r="864" s="1" customFormat="1" ht="12.75" x14ac:dyDescent="0.15"/>
    <row r="865" spans="12:12" s="1" customFormat="1" ht="12.75" x14ac:dyDescent="0.15"/>
    <row r="866" spans="12:12" s="1" customFormat="1" ht="12.75" x14ac:dyDescent="0.15"/>
    <row r="867" spans="12:12" s="1" customFormat="1" ht="12.75" x14ac:dyDescent="0.15"/>
    <row r="868" spans="12:12" s="1" customFormat="1" ht="12.75" x14ac:dyDescent="0.15"/>
    <row r="869" spans="12:12" s="1" customFormat="1" ht="12.75" x14ac:dyDescent="0.15"/>
    <row r="870" spans="12:12" s="1" customFormat="1" ht="12.75" x14ac:dyDescent="0.15"/>
    <row r="871" spans="12:12" s="1" customFormat="1" ht="12.75" x14ac:dyDescent="0.15"/>
    <row r="872" spans="12:12" s="1" customFormat="1" ht="12.75" x14ac:dyDescent="0.15"/>
    <row r="873" spans="12:12" x14ac:dyDescent="0.2">
      <c r="L873"/>
    </row>
    <row r="874" spans="12:12" x14ac:dyDescent="0.2">
      <c r="L874"/>
    </row>
    <row r="875" spans="12:12" x14ac:dyDescent="0.2">
      <c r="L875"/>
    </row>
    <row r="876" spans="12:12" x14ac:dyDescent="0.2">
      <c r="L876"/>
    </row>
    <row r="877" spans="12:12" x14ac:dyDescent="0.2">
      <c r="L877"/>
    </row>
    <row r="878" spans="12:12" x14ac:dyDescent="0.2">
      <c r="L878"/>
    </row>
    <row r="879" spans="12:12" x14ac:dyDescent="0.2">
      <c r="L879"/>
    </row>
    <row r="880" spans="12:12" x14ac:dyDescent="0.2">
      <c r="L880"/>
    </row>
    <row r="881" spans="12:12" x14ac:dyDescent="0.2">
      <c r="L881"/>
    </row>
    <row r="882" spans="12:12" x14ac:dyDescent="0.2">
      <c r="L882"/>
    </row>
    <row r="883" spans="12:12" x14ac:dyDescent="0.2">
      <c r="L883"/>
    </row>
    <row r="884" spans="12:12" x14ac:dyDescent="0.2">
      <c r="L884"/>
    </row>
    <row r="885" spans="12:12" x14ac:dyDescent="0.2">
      <c r="L885"/>
    </row>
    <row r="886" spans="12:12" x14ac:dyDescent="0.2">
      <c r="L886"/>
    </row>
    <row r="887" spans="12:12" x14ac:dyDescent="0.2">
      <c r="L887"/>
    </row>
    <row r="888" spans="12:12" x14ac:dyDescent="0.2">
      <c r="L888"/>
    </row>
    <row r="889" spans="12:12" x14ac:dyDescent="0.2">
      <c r="L889"/>
    </row>
    <row r="890" spans="12:12" x14ac:dyDescent="0.2">
      <c r="L890"/>
    </row>
    <row r="891" spans="12:12" x14ac:dyDescent="0.2">
      <c r="L891"/>
    </row>
    <row r="892" spans="12:12" x14ac:dyDescent="0.2">
      <c r="L892"/>
    </row>
    <row r="893" spans="12:12" x14ac:dyDescent="0.2">
      <c r="L893"/>
    </row>
    <row r="894" spans="12:12" x14ac:dyDescent="0.2">
      <c r="L894"/>
    </row>
    <row r="895" spans="12:12" x14ac:dyDescent="0.2">
      <c r="L895"/>
    </row>
    <row r="896" spans="12:12" x14ac:dyDescent="0.2">
      <c r="L896"/>
    </row>
    <row r="897" spans="12:12" x14ac:dyDescent="0.2">
      <c r="L897"/>
    </row>
    <row r="898" spans="12:12" x14ac:dyDescent="0.2">
      <c r="L898"/>
    </row>
    <row r="899" spans="12:12" x14ac:dyDescent="0.2">
      <c r="L899"/>
    </row>
    <row r="900" spans="12:12" x14ac:dyDescent="0.2">
      <c r="L900"/>
    </row>
    <row r="901" spans="12:12" x14ac:dyDescent="0.2">
      <c r="L901"/>
    </row>
    <row r="902" spans="12:12" x14ac:dyDescent="0.2">
      <c r="L902"/>
    </row>
    <row r="903" spans="12:12" x14ac:dyDescent="0.2">
      <c r="L903"/>
    </row>
    <row r="904" spans="12:12" x14ac:dyDescent="0.2">
      <c r="L904"/>
    </row>
    <row r="905" spans="12:12" x14ac:dyDescent="0.2">
      <c r="L905"/>
    </row>
    <row r="906" spans="12:12" x14ac:dyDescent="0.2">
      <c r="L906"/>
    </row>
    <row r="907" spans="12:12" x14ac:dyDescent="0.2">
      <c r="L907"/>
    </row>
    <row r="908" spans="12:12" x14ac:dyDescent="0.2">
      <c r="L908"/>
    </row>
    <row r="909" spans="12:12" x14ac:dyDescent="0.2">
      <c r="L909"/>
    </row>
    <row r="910" spans="12:12" x14ac:dyDescent="0.2">
      <c r="L910"/>
    </row>
    <row r="911" spans="12:12" x14ac:dyDescent="0.2">
      <c r="L911"/>
    </row>
    <row r="912" spans="12:12" x14ac:dyDescent="0.2">
      <c r="L912"/>
    </row>
    <row r="913" spans="12:12" x14ac:dyDescent="0.2">
      <c r="L913"/>
    </row>
    <row r="914" spans="12:12" x14ac:dyDescent="0.2">
      <c r="L914"/>
    </row>
    <row r="915" spans="12:12" x14ac:dyDescent="0.2">
      <c r="L915"/>
    </row>
    <row r="916" spans="12:12" x14ac:dyDescent="0.2">
      <c r="L916"/>
    </row>
    <row r="917" spans="12:12" x14ac:dyDescent="0.2">
      <c r="L917"/>
    </row>
    <row r="918" spans="12:12" x14ac:dyDescent="0.2">
      <c r="L918"/>
    </row>
    <row r="919" spans="12:12" x14ac:dyDescent="0.2">
      <c r="L919"/>
    </row>
    <row r="920" spans="12:12" x14ac:dyDescent="0.2">
      <c r="L920"/>
    </row>
    <row r="921" spans="12:12" x14ac:dyDescent="0.2">
      <c r="L921"/>
    </row>
    <row r="922" spans="12:12" x14ac:dyDescent="0.2">
      <c r="L922"/>
    </row>
    <row r="923" spans="12:12" x14ac:dyDescent="0.2">
      <c r="L923"/>
    </row>
    <row r="924" spans="12:12" x14ac:dyDescent="0.2">
      <c r="L924"/>
    </row>
    <row r="925" spans="12:12" x14ac:dyDescent="0.2">
      <c r="L925"/>
    </row>
    <row r="926" spans="12:12" x14ac:dyDescent="0.2">
      <c r="L926"/>
    </row>
    <row r="927" spans="12:12" x14ac:dyDescent="0.2">
      <c r="L927"/>
    </row>
    <row r="928" spans="12:12" x14ac:dyDescent="0.2">
      <c r="L928"/>
    </row>
    <row r="929" spans="12:12" x14ac:dyDescent="0.2">
      <c r="L929"/>
    </row>
    <row r="930" spans="12:12" x14ac:dyDescent="0.2">
      <c r="L930"/>
    </row>
    <row r="931" spans="12:12" x14ac:dyDescent="0.2">
      <c r="L931"/>
    </row>
    <row r="932" spans="12:12" x14ac:dyDescent="0.2">
      <c r="L932"/>
    </row>
    <row r="933" spans="12:12" x14ac:dyDescent="0.2">
      <c r="L933"/>
    </row>
    <row r="934" spans="12:12" x14ac:dyDescent="0.2">
      <c r="L934"/>
    </row>
    <row r="935" spans="12:12" x14ac:dyDescent="0.2">
      <c r="L935"/>
    </row>
    <row r="936" spans="12:12" x14ac:dyDescent="0.2">
      <c r="L936"/>
    </row>
    <row r="937" spans="12:12" x14ac:dyDescent="0.2">
      <c r="L937"/>
    </row>
    <row r="938" spans="12:12" x14ac:dyDescent="0.2">
      <c r="L938"/>
    </row>
    <row r="939" spans="12:12" x14ac:dyDescent="0.2">
      <c r="L939"/>
    </row>
    <row r="940" spans="12:12" x14ac:dyDescent="0.2">
      <c r="L940"/>
    </row>
    <row r="941" spans="12:12" x14ac:dyDescent="0.2">
      <c r="L941"/>
    </row>
    <row r="942" spans="12:12" x14ac:dyDescent="0.2">
      <c r="L942"/>
    </row>
    <row r="943" spans="12:12" x14ac:dyDescent="0.2">
      <c r="L943"/>
    </row>
    <row r="944" spans="12:12" x14ac:dyDescent="0.2">
      <c r="L944"/>
    </row>
    <row r="945" spans="12:12" x14ac:dyDescent="0.2">
      <c r="L945"/>
    </row>
    <row r="946" spans="12:12" x14ac:dyDescent="0.2">
      <c r="L946"/>
    </row>
    <row r="947" spans="12:12" x14ac:dyDescent="0.2">
      <c r="L947"/>
    </row>
    <row r="948" spans="12:12" x14ac:dyDescent="0.2">
      <c r="L948"/>
    </row>
    <row r="949" spans="12:12" x14ac:dyDescent="0.2">
      <c r="L949"/>
    </row>
    <row r="950" spans="12:12" x14ac:dyDescent="0.2">
      <c r="L950"/>
    </row>
    <row r="951" spans="12:12" x14ac:dyDescent="0.2">
      <c r="L951"/>
    </row>
    <row r="952" spans="12:12" x14ac:dyDescent="0.2">
      <c r="L952"/>
    </row>
    <row r="953" spans="12:12" x14ac:dyDescent="0.2">
      <c r="L953"/>
    </row>
    <row r="954" spans="12:12" x14ac:dyDescent="0.2">
      <c r="L954"/>
    </row>
    <row r="955" spans="12:12" x14ac:dyDescent="0.2">
      <c r="L955"/>
    </row>
    <row r="956" spans="12:12" x14ac:dyDescent="0.2">
      <c r="L956"/>
    </row>
    <row r="957" spans="12:12" x14ac:dyDescent="0.2">
      <c r="L957"/>
    </row>
    <row r="958" spans="12:12" x14ac:dyDescent="0.2">
      <c r="L958"/>
    </row>
    <row r="959" spans="12:12" x14ac:dyDescent="0.2">
      <c r="L959"/>
    </row>
    <row r="960" spans="12:12" x14ac:dyDescent="0.2">
      <c r="L960"/>
    </row>
    <row r="961" spans="12:12" x14ac:dyDescent="0.2">
      <c r="L961"/>
    </row>
    <row r="962" spans="12:12" x14ac:dyDescent="0.2">
      <c r="L962"/>
    </row>
    <row r="963" spans="12:12" x14ac:dyDescent="0.2">
      <c r="L963"/>
    </row>
    <row r="964" spans="12:12" x14ac:dyDescent="0.2">
      <c r="L964"/>
    </row>
    <row r="965" spans="12:12" x14ac:dyDescent="0.2">
      <c r="L965"/>
    </row>
    <row r="966" spans="12:12" x14ac:dyDescent="0.2">
      <c r="L966"/>
    </row>
    <row r="967" spans="12:12" x14ac:dyDescent="0.2">
      <c r="L967"/>
    </row>
    <row r="968" spans="12:12" x14ac:dyDescent="0.2">
      <c r="L968"/>
    </row>
    <row r="969" spans="12:12" x14ac:dyDescent="0.2">
      <c r="L969"/>
    </row>
    <row r="970" spans="12:12" x14ac:dyDescent="0.2">
      <c r="L970"/>
    </row>
    <row r="971" spans="12:12" x14ac:dyDescent="0.2">
      <c r="L971"/>
    </row>
    <row r="972" spans="12:12" x14ac:dyDescent="0.2">
      <c r="L972"/>
    </row>
    <row r="973" spans="12:12" x14ac:dyDescent="0.2">
      <c r="L973"/>
    </row>
    <row r="974" spans="12:12" x14ac:dyDescent="0.2">
      <c r="L974"/>
    </row>
    <row r="975" spans="12:12" x14ac:dyDescent="0.2">
      <c r="L975"/>
    </row>
    <row r="976" spans="12:12" x14ac:dyDescent="0.2">
      <c r="L976"/>
    </row>
    <row r="977" spans="12:12" x14ac:dyDescent="0.2">
      <c r="L977"/>
    </row>
    <row r="978" spans="12:12" x14ac:dyDescent="0.2">
      <c r="L978"/>
    </row>
    <row r="979" spans="12:12" x14ac:dyDescent="0.2">
      <c r="L979"/>
    </row>
    <row r="980" spans="12:12" x14ac:dyDescent="0.2">
      <c r="L980"/>
    </row>
    <row r="981" spans="12:12" x14ac:dyDescent="0.2">
      <c r="L981"/>
    </row>
    <row r="982" spans="12:12" x14ac:dyDescent="0.2">
      <c r="L982"/>
    </row>
    <row r="983" spans="12:12" x14ac:dyDescent="0.2">
      <c r="L983"/>
    </row>
    <row r="984" spans="12:12" x14ac:dyDescent="0.2">
      <c r="L984"/>
    </row>
    <row r="985" spans="12:12" x14ac:dyDescent="0.2">
      <c r="L985"/>
    </row>
    <row r="986" spans="12:12" x14ac:dyDescent="0.2">
      <c r="L986"/>
    </row>
    <row r="987" spans="12:12" x14ac:dyDescent="0.2">
      <c r="L987"/>
    </row>
    <row r="988" spans="12:12" x14ac:dyDescent="0.2">
      <c r="L988"/>
    </row>
    <row r="989" spans="12:12" x14ac:dyDescent="0.2">
      <c r="L989"/>
    </row>
    <row r="990" spans="12:12" x14ac:dyDescent="0.2">
      <c r="L990"/>
    </row>
    <row r="991" spans="12:12" x14ac:dyDescent="0.2">
      <c r="L991"/>
    </row>
    <row r="992" spans="12:12" x14ac:dyDescent="0.2">
      <c r="L992"/>
    </row>
    <row r="993" spans="12:12" x14ac:dyDescent="0.2">
      <c r="L993"/>
    </row>
    <row r="994" spans="12:12" x14ac:dyDescent="0.2">
      <c r="L994"/>
    </row>
    <row r="995" spans="12:12" x14ac:dyDescent="0.2">
      <c r="L995"/>
    </row>
    <row r="996" spans="12:12" x14ac:dyDescent="0.2">
      <c r="L996"/>
    </row>
    <row r="997" spans="12:12" x14ac:dyDescent="0.2">
      <c r="L997"/>
    </row>
    <row r="998" spans="12:12" x14ac:dyDescent="0.2">
      <c r="L998"/>
    </row>
    <row r="999" spans="12:12" x14ac:dyDescent="0.2">
      <c r="L999"/>
    </row>
    <row r="1000" spans="12:12" x14ac:dyDescent="0.2">
      <c r="L1000"/>
    </row>
    <row r="1001" spans="12:12" x14ac:dyDescent="0.2">
      <c r="L1001"/>
    </row>
    <row r="1002" spans="12:12" x14ac:dyDescent="0.2">
      <c r="L1002"/>
    </row>
    <row r="1003" spans="12:12" x14ac:dyDescent="0.2">
      <c r="L1003"/>
    </row>
    <row r="1004" spans="12:12" x14ac:dyDescent="0.2">
      <c r="L1004"/>
    </row>
    <row r="1005" spans="12:12" x14ac:dyDescent="0.2">
      <c r="L1005"/>
    </row>
    <row r="1006" spans="12:12" x14ac:dyDescent="0.2">
      <c r="L1006"/>
    </row>
    <row r="1007" spans="12:12" x14ac:dyDescent="0.2">
      <c r="L1007"/>
    </row>
    <row r="1008" spans="12:12" x14ac:dyDescent="0.2">
      <c r="L1008"/>
    </row>
    <row r="1009" spans="12:12" x14ac:dyDescent="0.2">
      <c r="L1009"/>
    </row>
    <row r="1010" spans="12:12" x14ac:dyDescent="0.2">
      <c r="L1010"/>
    </row>
    <row r="1011" spans="12:12" x14ac:dyDescent="0.2">
      <c r="L1011"/>
    </row>
    <row r="1012" spans="12:12" x14ac:dyDescent="0.2">
      <c r="L1012"/>
    </row>
    <row r="1013" spans="12:12" x14ac:dyDescent="0.2">
      <c r="L1013"/>
    </row>
    <row r="1014" spans="12:12" x14ac:dyDescent="0.2">
      <c r="L1014"/>
    </row>
    <row r="1015" spans="12:12" x14ac:dyDescent="0.2">
      <c r="L1015"/>
    </row>
    <row r="1016" spans="12:12" x14ac:dyDescent="0.2">
      <c r="L1016"/>
    </row>
    <row r="1017" spans="12:12" x14ac:dyDescent="0.2">
      <c r="L1017"/>
    </row>
    <row r="1018" spans="12:12" x14ac:dyDescent="0.2">
      <c r="L1018"/>
    </row>
    <row r="1019" spans="12:12" x14ac:dyDescent="0.2">
      <c r="L1019"/>
    </row>
    <row r="1020" spans="12:12" x14ac:dyDescent="0.2">
      <c r="L1020"/>
    </row>
    <row r="1021" spans="12:12" x14ac:dyDescent="0.2">
      <c r="L1021"/>
    </row>
    <row r="1022" spans="12:12" x14ac:dyDescent="0.2">
      <c r="L1022"/>
    </row>
    <row r="1023" spans="12:12" x14ac:dyDescent="0.2">
      <c r="L1023"/>
    </row>
    <row r="1024" spans="12:12" x14ac:dyDescent="0.2">
      <c r="L1024"/>
    </row>
    <row r="1025" spans="12:12" x14ac:dyDescent="0.2">
      <c r="L1025"/>
    </row>
    <row r="1026" spans="12:12" x14ac:dyDescent="0.2">
      <c r="L1026"/>
    </row>
    <row r="1027" spans="12:12" x14ac:dyDescent="0.2">
      <c r="L1027"/>
    </row>
    <row r="1028" spans="12:12" x14ac:dyDescent="0.2">
      <c r="L1028"/>
    </row>
    <row r="1029" spans="12:12" x14ac:dyDescent="0.2">
      <c r="L1029"/>
    </row>
    <row r="1030" spans="12:12" x14ac:dyDescent="0.2">
      <c r="L1030"/>
    </row>
    <row r="1031" spans="12:12" x14ac:dyDescent="0.2">
      <c r="L1031"/>
    </row>
    <row r="1032" spans="12:12" x14ac:dyDescent="0.2">
      <c r="L1032"/>
    </row>
    <row r="1033" spans="12:12" x14ac:dyDescent="0.2">
      <c r="L1033"/>
    </row>
    <row r="1034" spans="12:12" x14ac:dyDescent="0.2">
      <c r="L1034"/>
    </row>
    <row r="1035" spans="12:12" x14ac:dyDescent="0.2">
      <c r="L1035"/>
    </row>
    <row r="1036" spans="12:12" x14ac:dyDescent="0.2">
      <c r="L1036"/>
    </row>
    <row r="1037" spans="12:12" x14ac:dyDescent="0.2">
      <c r="L1037"/>
    </row>
    <row r="1038" spans="12:12" x14ac:dyDescent="0.2">
      <c r="L1038"/>
    </row>
    <row r="1039" spans="12:12" x14ac:dyDescent="0.2">
      <c r="L1039"/>
    </row>
    <row r="1040" spans="12:12" x14ac:dyDescent="0.2">
      <c r="L1040"/>
    </row>
    <row r="1041" spans="12:12" x14ac:dyDescent="0.2">
      <c r="L1041"/>
    </row>
    <row r="1042" spans="12:12" x14ac:dyDescent="0.2">
      <c r="L1042"/>
    </row>
    <row r="1043" spans="12:12" x14ac:dyDescent="0.2">
      <c r="L1043"/>
    </row>
    <row r="1044" spans="12:12" x14ac:dyDescent="0.2">
      <c r="L1044"/>
    </row>
    <row r="1045" spans="12:12" x14ac:dyDescent="0.2">
      <c r="L1045"/>
    </row>
    <row r="1046" spans="12:12" x14ac:dyDescent="0.2">
      <c r="L1046"/>
    </row>
    <row r="1047" spans="12:12" x14ac:dyDescent="0.2">
      <c r="L1047"/>
    </row>
    <row r="1048" spans="12:12" x14ac:dyDescent="0.2">
      <c r="L1048"/>
    </row>
    <row r="1049" spans="12:12" x14ac:dyDescent="0.2">
      <c r="L1049"/>
    </row>
    <row r="1050" spans="12:12" x14ac:dyDescent="0.2">
      <c r="L1050"/>
    </row>
    <row r="1051" spans="12:12" x14ac:dyDescent="0.2">
      <c r="L1051"/>
    </row>
    <row r="1052" spans="12:12" x14ac:dyDescent="0.2">
      <c r="L1052"/>
    </row>
    <row r="1053" spans="12:12" x14ac:dyDescent="0.2">
      <c r="L1053"/>
    </row>
    <row r="1054" spans="12:12" x14ac:dyDescent="0.2">
      <c r="L1054"/>
    </row>
    <row r="1055" spans="12:12" x14ac:dyDescent="0.2">
      <c r="L1055"/>
    </row>
    <row r="1056" spans="12:12" x14ac:dyDescent="0.2">
      <c r="L1056"/>
    </row>
    <row r="1057" spans="12:12" x14ac:dyDescent="0.2">
      <c r="L1057"/>
    </row>
    <row r="1058" spans="12:12" x14ac:dyDescent="0.2">
      <c r="L1058"/>
    </row>
    <row r="1059" spans="12:12" x14ac:dyDescent="0.2">
      <c r="L1059"/>
    </row>
    <row r="1060" spans="12:12" x14ac:dyDescent="0.2">
      <c r="L1060"/>
    </row>
    <row r="1061" spans="12:12" x14ac:dyDescent="0.2">
      <c r="L1061"/>
    </row>
    <row r="1062" spans="12:12" x14ac:dyDescent="0.2">
      <c r="L1062"/>
    </row>
    <row r="1063" spans="12:12" x14ac:dyDescent="0.2">
      <c r="L1063"/>
    </row>
    <row r="1064" spans="12:12" x14ac:dyDescent="0.2">
      <c r="L1064"/>
    </row>
    <row r="1065" spans="12:12" x14ac:dyDescent="0.2">
      <c r="L1065"/>
    </row>
    <row r="1066" spans="12:12" x14ac:dyDescent="0.2">
      <c r="L1066"/>
    </row>
    <row r="1067" spans="12:12" x14ac:dyDescent="0.2">
      <c r="L1067"/>
    </row>
    <row r="1068" spans="12:12" x14ac:dyDescent="0.2">
      <c r="L1068"/>
    </row>
    <row r="1069" spans="12:12" x14ac:dyDescent="0.2">
      <c r="L1069"/>
    </row>
    <row r="1070" spans="12:12" x14ac:dyDescent="0.2">
      <c r="L1070"/>
    </row>
    <row r="1071" spans="12:12" x14ac:dyDescent="0.2">
      <c r="L1071"/>
    </row>
    <row r="1072" spans="12:12" x14ac:dyDescent="0.2">
      <c r="L1072"/>
    </row>
    <row r="1073" spans="12:12" x14ac:dyDescent="0.2">
      <c r="L1073"/>
    </row>
    <row r="1074" spans="12:12" x14ac:dyDescent="0.2">
      <c r="L1074"/>
    </row>
    <row r="1075" spans="12:12" x14ac:dyDescent="0.2">
      <c r="L1075"/>
    </row>
    <row r="1076" spans="12:12" x14ac:dyDescent="0.2">
      <c r="L1076"/>
    </row>
    <row r="1077" spans="12:12" x14ac:dyDescent="0.2">
      <c r="L1077"/>
    </row>
    <row r="1078" spans="12:12" x14ac:dyDescent="0.2">
      <c r="L1078"/>
    </row>
    <row r="1079" spans="12:12" x14ac:dyDescent="0.2">
      <c r="L1079"/>
    </row>
    <row r="1080" spans="12:12" x14ac:dyDescent="0.2">
      <c r="L1080"/>
    </row>
    <row r="1081" spans="12:12" x14ac:dyDescent="0.2">
      <c r="L1081"/>
    </row>
    <row r="1082" spans="12:12" x14ac:dyDescent="0.2">
      <c r="L1082"/>
    </row>
    <row r="1083" spans="12:12" x14ac:dyDescent="0.2">
      <c r="L1083"/>
    </row>
    <row r="1084" spans="12:12" x14ac:dyDescent="0.2">
      <c r="L1084"/>
    </row>
    <row r="1085" spans="12:12" x14ac:dyDescent="0.2">
      <c r="L1085"/>
    </row>
    <row r="1086" spans="12:12" x14ac:dyDescent="0.2">
      <c r="L1086"/>
    </row>
    <row r="1087" spans="12:12" x14ac:dyDescent="0.2">
      <c r="L1087"/>
    </row>
    <row r="1088" spans="12:12" x14ac:dyDescent="0.2">
      <c r="L1088"/>
    </row>
    <row r="1089" spans="12:12" x14ac:dyDescent="0.2">
      <c r="L1089"/>
    </row>
    <row r="1090" spans="12:12" x14ac:dyDescent="0.2">
      <c r="L1090"/>
    </row>
    <row r="1091" spans="12:12" x14ac:dyDescent="0.2">
      <c r="L1091"/>
    </row>
    <row r="1092" spans="12:12" x14ac:dyDescent="0.2">
      <c r="L1092"/>
    </row>
    <row r="1093" spans="12:12" x14ac:dyDescent="0.2">
      <c r="L1093"/>
    </row>
    <row r="1094" spans="12:12" x14ac:dyDescent="0.2">
      <c r="L1094"/>
    </row>
    <row r="1095" spans="12:12" x14ac:dyDescent="0.2">
      <c r="L1095"/>
    </row>
    <row r="1096" spans="12:12" x14ac:dyDescent="0.2">
      <c r="L1096"/>
    </row>
    <row r="1097" spans="12:12" x14ac:dyDescent="0.2">
      <c r="L1097"/>
    </row>
    <row r="1098" spans="12:12" x14ac:dyDescent="0.2">
      <c r="L1098"/>
    </row>
    <row r="1099" spans="12:12" x14ac:dyDescent="0.2">
      <c r="L1099"/>
    </row>
    <row r="1100" spans="12:12" x14ac:dyDescent="0.2">
      <c r="L1100"/>
    </row>
    <row r="1101" spans="12:12" x14ac:dyDescent="0.2">
      <c r="L1101"/>
    </row>
    <row r="1102" spans="12:12" x14ac:dyDescent="0.2">
      <c r="L1102"/>
    </row>
    <row r="1103" spans="12:12" x14ac:dyDescent="0.2">
      <c r="L1103"/>
    </row>
    <row r="1104" spans="12:12" x14ac:dyDescent="0.2">
      <c r="L1104"/>
    </row>
    <row r="1105" spans="12:12" x14ac:dyDescent="0.2">
      <c r="L1105"/>
    </row>
    <row r="1106" spans="12:12" x14ac:dyDescent="0.2">
      <c r="L1106"/>
    </row>
    <row r="1107" spans="12:12" x14ac:dyDescent="0.2">
      <c r="L1107"/>
    </row>
    <row r="1108" spans="12:12" x14ac:dyDescent="0.2">
      <c r="L1108"/>
    </row>
    <row r="1109" spans="12:12" x14ac:dyDescent="0.2">
      <c r="L1109"/>
    </row>
    <row r="1110" spans="12:12" x14ac:dyDescent="0.2">
      <c r="L1110"/>
    </row>
    <row r="1111" spans="12:12" x14ac:dyDescent="0.2">
      <c r="L1111"/>
    </row>
    <row r="1112" spans="12:12" x14ac:dyDescent="0.2">
      <c r="L1112"/>
    </row>
    <row r="1113" spans="12:12" x14ac:dyDescent="0.2">
      <c r="L1113"/>
    </row>
    <row r="1114" spans="12:12" x14ac:dyDescent="0.2">
      <c r="L1114"/>
    </row>
    <row r="1115" spans="12:12" x14ac:dyDescent="0.2">
      <c r="L1115"/>
    </row>
    <row r="1116" spans="12:12" x14ac:dyDescent="0.2">
      <c r="L1116"/>
    </row>
    <row r="1117" spans="12:12" x14ac:dyDescent="0.2">
      <c r="L1117"/>
    </row>
    <row r="1118" spans="12:12" x14ac:dyDescent="0.2">
      <c r="L1118"/>
    </row>
    <row r="1119" spans="12:12" x14ac:dyDescent="0.2">
      <c r="L1119"/>
    </row>
    <row r="1120" spans="12:12" x14ac:dyDescent="0.2">
      <c r="L1120"/>
    </row>
    <row r="1121" spans="12:12" x14ac:dyDescent="0.2">
      <c r="L1121"/>
    </row>
    <row r="1122" spans="12:12" x14ac:dyDescent="0.2">
      <c r="L1122"/>
    </row>
    <row r="1123" spans="12:12" x14ac:dyDescent="0.2">
      <c r="L1123"/>
    </row>
    <row r="1124" spans="12:12" x14ac:dyDescent="0.2">
      <c r="L1124"/>
    </row>
    <row r="1125" spans="12:12" x14ac:dyDescent="0.2">
      <c r="L1125"/>
    </row>
    <row r="1126" spans="12:12" x14ac:dyDescent="0.2">
      <c r="L1126"/>
    </row>
    <row r="1127" spans="12:12" x14ac:dyDescent="0.2">
      <c r="L1127"/>
    </row>
    <row r="1128" spans="12:12" x14ac:dyDescent="0.2">
      <c r="L1128"/>
    </row>
    <row r="1129" spans="12:12" x14ac:dyDescent="0.2">
      <c r="L1129"/>
    </row>
    <row r="1130" spans="12:12" x14ac:dyDescent="0.2">
      <c r="L1130"/>
    </row>
    <row r="1131" spans="12:12" x14ac:dyDescent="0.2">
      <c r="L1131"/>
    </row>
    <row r="1132" spans="12:12" x14ac:dyDescent="0.2">
      <c r="L1132"/>
    </row>
    <row r="1133" spans="12:12" x14ac:dyDescent="0.2">
      <c r="L1133"/>
    </row>
    <row r="1134" spans="12:12" x14ac:dyDescent="0.2">
      <c r="L1134"/>
    </row>
    <row r="1135" spans="12:12" x14ac:dyDescent="0.2">
      <c r="L1135"/>
    </row>
    <row r="1136" spans="12:12" x14ac:dyDescent="0.2">
      <c r="L1136"/>
    </row>
    <row r="1137" spans="12:12" x14ac:dyDescent="0.2">
      <c r="L1137"/>
    </row>
    <row r="1138" spans="12:12" x14ac:dyDescent="0.2">
      <c r="L1138"/>
    </row>
    <row r="1139" spans="12:12" x14ac:dyDescent="0.2">
      <c r="L1139"/>
    </row>
    <row r="1140" spans="12:12" x14ac:dyDescent="0.2">
      <c r="L1140"/>
    </row>
    <row r="1141" spans="12:12" x14ac:dyDescent="0.2">
      <c r="L1141"/>
    </row>
    <row r="1142" spans="12:12" x14ac:dyDescent="0.2">
      <c r="L1142"/>
    </row>
    <row r="1143" spans="12:12" x14ac:dyDescent="0.2">
      <c r="L1143"/>
    </row>
    <row r="1144" spans="12:12" x14ac:dyDescent="0.2">
      <c r="L1144"/>
    </row>
    <row r="1145" spans="12:12" x14ac:dyDescent="0.2">
      <c r="L1145"/>
    </row>
    <row r="1146" spans="12:12" x14ac:dyDescent="0.2">
      <c r="L1146"/>
    </row>
    <row r="1147" spans="12:12" x14ac:dyDescent="0.2">
      <c r="L1147"/>
    </row>
    <row r="1148" spans="12:12" x14ac:dyDescent="0.2">
      <c r="L1148"/>
    </row>
    <row r="1149" spans="12:12" x14ac:dyDescent="0.2">
      <c r="L1149"/>
    </row>
    <row r="1150" spans="12:12" x14ac:dyDescent="0.2">
      <c r="L1150"/>
    </row>
    <row r="1151" spans="12:12" x14ac:dyDescent="0.2">
      <c r="L1151"/>
    </row>
    <row r="1152" spans="12:12" x14ac:dyDescent="0.2">
      <c r="L1152"/>
    </row>
    <row r="1153" spans="12:12" x14ac:dyDescent="0.2">
      <c r="L1153"/>
    </row>
    <row r="1154" spans="12:12" x14ac:dyDescent="0.2">
      <c r="L1154"/>
    </row>
    <row r="1155" spans="12:12" x14ac:dyDescent="0.2">
      <c r="L1155"/>
    </row>
    <row r="1156" spans="12:12" x14ac:dyDescent="0.2">
      <c r="L1156"/>
    </row>
    <row r="1157" spans="12:12" x14ac:dyDescent="0.2">
      <c r="L1157"/>
    </row>
    <row r="1158" spans="12:12" x14ac:dyDescent="0.2">
      <c r="L1158"/>
    </row>
    <row r="1159" spans="12:12" x14ac:dyDescent="0.2">
      <c r="L1159"/>
    </row>
    <row r="1160" spans="12:12" x14ac:dyDescent="0.2">
      <c r="L1160"/>
    </row>
    <row r="1161" spans="12:12" x14ac:dyDescent="0.2">
      <c r="L1161"/>
    </row>
    <row r="1162" spans="12:12" x14ac:dyDescent="0.2">
      <c r="L1162"/>
    </row>
    <row r="1163" spans="12:12" x14ac:dyDescent="0.2">
      <c r="L1163"/>
    </row>
    <row r="1164" spans="12:12" x14ac:dyDescent="0.2">
      <c r="L1164"/>
    </row>
    <row r="1165" spans="12:12" x14ac:dyDescent="0.2">
      <c r="L1165"/>
    </row>
    <row r="1166" spans="12:12" x14ac:dyDescent="0.2">
      <c r="L1166"/>
    </row>
    <row r="1167" spans="12:12" x14ac:dyDescent="0.2">
      <c r="L1167"/>
    </row>
    <row r="1168" spans="12:12" x14ac:dyDescent="0.2">
      <c r="L1168"/>
    </row>
    <row r="1169" spans="12:12" x14ac:dyDescent="0.2">
      <c r="L1169"/>
    </row>
    <row r="1170" spans="12:12" x14ac:dyDescent="0.2">
      <c r="L1170"/>
    </row>
    <row r="1171" spans="12:12" x14ac:dyDescent="0.2">
      <c r="L1171"/>
    </row>
    <row r="1172" spans="12:12" x14ac:dyDescent="0.2">
      <c r="L1172"/>
    </row>
    <row r="1173" spans="12:12" x14ac:dyDescent="0.2">
      <c r="L1173"/>
    </row>
    <row r="1174" spans="12:12" x14ac:dyDescent="0.2">
      <c r="L1174"/>
    </row>
    <row r="1175" spans="12:12" x14ac:dyDescent="0.2">
      <c r="L1175"/>
    </row>
    <row r="1176" spans="12:12" x14ac:dyDescent="0.2">
      <c r="L1176"/>
    </row>
    <row r="1177" spans="12:12" x14ac:dyDescent="0.2">
      <c r="L1177"/>
    </row>
    <row r="1178" spans="12:12" x14ac:dyDescent="0.2">
      <c r="L1178"/>
    </row>
    <row r="1179" spans="12:12" x14ac:dyDescent="0.2">
      <c r="L1179"/>
    </row>
    <row r="1180" spans="12:12" x14ac:dyDescent="0.2">
      <c r="L1180"/>
    </row>
    <row r="1181" spans="12:12" x14ac:dyDescent="0.2">
      <c r="L1181"/>
    </row>
    <row r="1182" spans="12:12" x14ac:dyDescent="0.2">
      <c r="L1182"/>
    </row>
    <row r="1183" spans="12:12" x14ac:dyDescent="0.2">
      <c r="L1183"/>
    </row>
    <row r="1184" spans="12:12" x14ac:dyDescent="0.2">
      <c r="L1184"/>
    </row>
    <row r="1185" spans="12:12" x14ac:dyDescent="0.2">
      <c r="L1185"/>
    </row>
    <row r="1186" spans="12:12" x14ac:dyDescent="0.2">
      <c r="L1186"/>
    </row>
    <row r="1187" spans="12:12" x14ac:dyDescent="0.2">
      <c r="L1187"/>
    </row>
    <row r="1188" spans="12:12" x14ac:dyDescent="0.2">
      <c r="L1188"/>
    </row>
    <row r="1189" spans="12:12" x14ac:dyDescent="0.2">
      <c r="L1189"/>
    </row>
    <row r="1190" spans="12:12" x14ac:dyDescent="0.2">
      <c r="L1190"/>
    </row>
    <row r="1191" spans="12:12" x14ac:dyDescent="0.2">
      <c r="L1191"/>
    </row>
    <row r="1192" spans="12:12" x14ac:dyDescent="0.2">
      <c r="L1192"/>
    </row>
    <row r="1193" spans="12:12" x14ac:dyDescent="0.2">
      <c r="L1193"/>
    </row>
    <row r="1194" spans="12:12" x14ac:dyDescent="0.2">
      <c r="L1194"/>
    </row>
    <row r="1195" spans="12:12" x14ac:dyDescent="0.2">
      <c r="L1195"/>
    </row>
    <row r="1196" spans="12:12" x14ac:dyDescent="0.2">
      <c r="L1196"/>
    </row>
    <row r="1197" spans="12:12" x14ac:dyDescent="0.2">
      <c r="L1197"/>
    </row>
    <row r="1198" spans="12:12" x14ac:dyDescent="0.2">
      <c r="L1198"/>
    </row>
    <row r="1199" spans="12:12" x14ac:dyDescent="0.2">
      <c r="L1199"/>
    </row>
    <row r="1200" spans="12:12" x14ac:dyDescent="0.2">
      <c r="L1200"/>
    </row>
    <row r="1201" spans="12:12" x14ac:dyDescent="0.2">
      <c r="L1201"/>
    </row>
    <row r="1202" spans="12:12" x14ac:dyDescent="0.2">
      <c r="L1202"/>
    </row>
    <row r="1203" spans="12:12" x14ac:dyDescent="0.2">
      <c r="L1203"/>
    </row>
    <row r="1204" spans="12:12" x14ac:dyDescent="0.2">
      <c r="L1204"/>
    </row>
    <row r="1205" spans="12:12" x14ac:dyDescent="0.2">
      <c r="L1205"/>
    </row>
    <row r="1206" spans="12:12" x14ac:dyDescent="0.2">
      <c r="L1206"/>
    </row>
    <row r="1207" spans="12:12" x14ac:dyDescent="0.2">
      <c r="L1207"/>
    </row>
    <row r="1208" spans="12:12" x14ac:dyDescent="0.2">
      <c r="L1208"/>
    </row>
    <row r="1209" spans="12:12" x14ac:dyDescent="0.2">
      <c r="L1209"/>
    </row>
    <row r="1210" spans="12:12" x14ac:dyDescent="0.2">
      <c r="L1210"/>
    </row>
    <row r="1211" spans="12:12" x14ac:dyDescent="0.2">
      <c r="L1211"/>
    </row>
    <row r="1212" spans="12:12" x14ac:dyDescent="0.2">
      <c r="L1212"/>
    </row>
    <row r="1213" spans="12:12" x14ac:dyDescent="0.2">
      <c r="L1213"/>
    </row>
    <row r="1214" spans="12:12" x14ac:dyDescent="0.2">
      <c r="L1214"/>
    </row>
    <row r="1215" spans="12:12" x14ac:dyDescent="0.2">
      <c r="L1215"/>
    </row>
    <row r="1216" spans="12:12" x14ac:dyDescent="0.2">
      <c r="L1216"/>
    </row>
    <row r="1217" spans="12:12" x14ac:dyDescent="0.2">
      <c r="L1217"/>
    </row>
    <row r="1218" spans="12:12" x14ac:dyDescent="0.2">
      <c r="L1218"/>
    </row>
    <row r="1219" spans="12:12" x14ac:dyDescent="0.2">
      <c r="L1219"/>
    </row>
    <row r="1220" spans="12:12" x14ac:dyDescent="0.2">
      <c r="L1220"/>
    </row>
    <row r="1221" spans="12:12" x14ac:dyDescent="0.2">
      <c r="L1221"/>
    </row>
    <row r="1222" spans="12:12" x14ac:dyDescent="0.2">
      <c r="L1222"/>
    </row>
    <row r="1223" spans="12:12" x14ac:dyDescent="0.2">
      <c r="L1223"/>
    </row>
    <row r="1224" spans="12:12" x14ac:dyDescent="0.2">
      <c r="L1224"/>
    </row>
    <row r="1225" spans="12:12" x14ac:dyDescent="0.2">
      <c r="L1225"/>
    </row>
    <row r="1226" spans="12:12" x14ac:dyDescent="0.2">
      <c r="L1226"/>
    </row>
    <row r="1227" spans="12:12" x14ac:dyDescent="0.2">
      <c r="L1227"/>
    </row>
    <row r="1228" spans="12:12" x14ac:dyDescent="0.2">
      <c r="L1228"/>
    </row>
    <row r="1229" spans="12:12" x14ac:dyDescent="0.2">
      <c r="L1229"/>
    </row>
    <row r="1230" spans="12:12" x14ac:dyDescent="0.2">
      <c r="L1230"/>
    </row>
    <row r="1231" spans="12:12" x14ac:dyDescent="0.2">
      <c r="L1231"/>
    </row>
    <row r="1232" spans="12:12" x14ac:dyDescent="0.2">
      <c r="L1232"/>
    </row>
    <row r="1233" spans="12:12" x14ac:dyDescent="0.2">
      <c r="L1233"/>
    </row>
    <row r="1234" spans="12:12" x14ac:dyDescent="0.2">
      <c r="L1234"/>
    </row>
    <row r="1235" spans="12:12" x14ac:dyDescent="0.2">
      <c r="L1235"/>
    </row>
    <row r="1236" spans="12:12" x14ac:dyDescent="0.2">
      <c r="L1236"/>
    </row>
    <row r="1237" spans="12:12" x14ac:dyDescent="0.2">
      <c r="L1237"/>
    </row>
    <row r="1238" spans="12:12" x14ac:dyDescent="0.2">
      <c r="L1238"/>
    </row>
    <row r="1239" spans="12:12" x14ac:dyDescent="0.2">
      <c r="L1239"/>
    </row>
    <row r="1240" spans="12:12" x14ac:dyDescent="0.2">
      <c r="L1240"/>
    </row>
    <row r="1241" spans="12:12" x14ac:dyDescent="0.2">
      <c r="L1241"/>
    </row>
    <row r="1242" spans="12:12" x14ac:dyDescent="0.2">
      <c r="L1242"/>
    </row>
    <row r="1243" spans="12:12" x14ac:dyDescent="0.2">
      <c r="L1243"/>
    </row>
    <row r="1244" spans="12:12" x14ac:dyDescent="0.2">
      <c r="L1244"/>
    </row>
    <row r="1245" spans="12:12" x14ac:dyDescent="0.2">
      <c r="L1245"/>
    </row>
    <row r="1246" spans="12:12" x14ac:dyDescent="0.2">
      <c r="L1246"/>
    </row>
    <row r="1247" spans="12:12" x14ac:dyDescent="0.2">
      <c r="L1247"/>
    </row>
    <row r="1248" spans="12:12" x14ac:dyDescent="0.2">
      <c r="L1248"/>
    </row>
    <row r="1249" spans="12:12" x14ac:dyDescent="0.2">
      <c r="L1249"/>
    </row>
    <row r="1250" spans="12:12" x14ac:dyDescent="0.2">
      <c r="L1250"/>
    </row>
    <row r="1251" spans="12:12" x14ac:dyDescent="0.2">
      <c r="L1251"/>
    </row>
    <row r="1252" spans="12:12" x14ac:dyDescent="0.2">
      <c r="L1252"/>
    </row>
    <row r="1253" spans="12:12" x14ac:dyDescent="0.2">
      <c r="L1253"/>
    </row>
    <row r="1254" spans="12:12" x14ac:dyDescent="0.2">
      <c r="L1254"/>
    </row>
    <row r="1255" spans="12:12" x14ac:dyDescent="0.2">
      <c r="L1255"/>
    </row>
    <row r="1256" spans="12:12" x14ac:dyDescent="0.2">
      <c r="L1256"/>
    </row>
    <row r="1257" spans="12:12" x14ac:dyDescent="0.2">
      <c r="L1257"/>
    </row>
    <row r="1258" spans="12:12" x14ac:dyDescent="0.2">
      <c r="L1258"/>
    </row>
    <row r="1259" spans="12:12" x14ac:dyDescent="0.2">
      <c r="L1259"/>
    </row>
    <row r="1260" spans="12:12" x14ac:dyDescent="0.2">
      <c r="L1260"/>
    </row>
    <row r="1261" spans="12:12" x14ac:dyDescent="0.2">
      <c r="L1261"/>
    </row>
    <row r="1262" spans="12:12" x14ac:dyDescent="0.2">
      <c r="L1262"/>
    </row>
    <row r="1263" spans="12:12" x14ac:dyDescent="0.2">
      <c r="L1263"/>
    </row>
    <row r="1264" spans="12:12" x14ac:dyDescent="0.2">
      <c r="L1264"/>
    </row>
    <row r="1265" spans="12:12" x14ac:dyDescent="0.2">
      <c r="L1265"/>
    </row>
    <row r="1266" spans="12:12" x14ac:dyDescent="0.2">
      <c r="L1266"/>
    </row>
    <row r="1267" spans="12:12" x14ac:dyDescent="0.2">
      <c r="L1267"/>
    </row>
    <row r="1268" spans="12:12" x14ac:dyDescent="0.2">
      <c r="L1268"/>
    </row>
    <row r="1269" spans="12:12" x14ac:dyDescent="0.2">
      <c r="L1269"/>
    </row>
    <row r="1270" spans="12:12" x14ac:dyDescent="0.2">
      <c r="L1270"/>
    </row>
    <row r="1271" spans="12:12" x14ac:dyDescent="0.2">
      <c r="L1271"/>
    </row>
    <row r="1272" spans="12:12" x14ac:dyDescent="0.2">
      <c r="L1272"/>
    </row>
    <row r="1273" spans="12:12" x14ac:dyDescent="0.2">
      <c r="L1273"/>
    </row>
    <row r="1274" spans="12:12" x14ac:dyDescent="0.2">
      <c r="L1274"/>
    </row>
    <row r="1275" spans="12:12" x14ac:dyDescent="0.2">
      <c r="L1275"/>
    </row>
    <row r="1276" spans="12:12" x14ac:dyDescent="0.2">
      <c r="L1276"/>
    </row>
    <row r="1277" spans="12:12" x14ac:dyDescent="0.2">
      <c r="L1277"/>
    </row>
    <row r="1278" spans="12:12" x14ac:dyDescent="0.2">
      <c r="L1278"/>
    </row>
    <row r="1279" spans="12:12" x14ac:dyDescent="0.2">
      <c r="L1279"/>
    </row>
    <row r="1280" spans="12:12" x14ac:dyDescent="0.2">
      <c r="L1280"/>
    </row>
    <row r="1281" spans="12:12" x14ac:dyDescent="0.2">
      <c r="L1281"/>
    </row>
    <row r="1282" spans="12:12" x14ac:dyDescent="0.2">
      <c r="L1282"/>
    </row>
    <row r="1283" spans="12:12" x14ac:dyDescent="0.2">
      <c r="L1283"/>
    </row>
    <row r="1284" spans="12:12" x14ac:dyDescent="0.2">
      <c r="L1284"/>
    </row>
    <row r="1285" spans="12:12" x14ac:dyDescent="0.2">
      <c r="L1285"/>
    </row>
    <row r="1286" spans="12:12" x14ac:dyDescent="0.2">
      <c r="L1286"/>
    </row>
    <row r="1287" spans="12:12" x14ac:dyDescent="0.2">
      <c r="L1287"/>
    </row>
    <row r="1288" spans="12:12" x14ac:dyDescent="0.2">
      <c r="L1288"/>
    </row>
    <row r="1289" spans="12:12" x14ac:dyDescent="0.2">
      <c r="L1289"/>
    </row>
    <row r="1290" spans="12:12" x14ac:dyDescent="0.2">
      <c r="L1290"/>
    </row>
    <row r="1291" spans="12:12" x14ac:dyDescent="0.2">
      <c r="L1291"/>
    </row>
    <row r="1292" spans="12:12" x14ac:dyDescent="0.2">
      <c r="L1292"/>
    </row>
    <row r="1293" spans="12:12" x14ac:dyDescent="0.2">
      <c r="L1293"/>
    </row>
    <row r="1294" spans="12:12" x14ac:dyDescent="0.2">
      <c r="L1294"/>
    </row>
    <row r="1295" spans="12:12" x14ac:dyDescent="0.2">
      <c r="L1295"/>
    </row>
    <row r="1296" spans="12:12" x14ac:dyDescent="0.2">
      <c r="L1296"/>
    </row>
    <row r="1297" spans="12:12" x14ac:dyDescent="0.2">
      <c r="L1297"/>
    </row>
    <row r="1298" spans="12:12" x14ac:dyDescent="0.2">
      <c r="L1298"/>
    </row>
    <row r="1299" spans="12:12" x14ac:dyDescent="0.2">
      <c r="L1299"/>
    </row>
    <row r="1300" spans="12:12" x14ac:dyDescent="0.2">
      <c r="L1300"/>
    </row>
    <row r="1301" spans="12:12" x14ac:dyDescent="0.2">
      <c r="L1301"/>
    </row>
    <row r="1302" spans="12:12" x14ac:dyDescent="0.2">
      <c r="L1302"/>
    </row>
    <row r="1303" spans="12:12" x14ac:dyDescent="0.2">
      <c r="L1303"/>
    </row>
    <row r="1304" spans="12:12" x14ac:dyDescent="0.2">
      <c r="L1304"/>
    </row>
    <row r="1305" spans="12:12" x14ac:dyDescent="0.2">
      <c r="L1305"/>
    </row>
    <row r="1306" spans="12:12" x14ac:dyDescent="0.2">
      <c r="L1306"/>
    </row>
    <row r="1307" spans="12:12" x14ac:dyDescent="0.2">
      <c r="L1307"/>
    </row>
    <row r="1308" spans="12:12" x14ac:dyDescent="0.2">
      <c r="L1308"/>
    </row>
    <row r="1309" spans="12:12" x14ac:dyDescent="0.2">
      <c r="L1309"/>
    </row>
    <row r="1310" spans="12:12" x14ac:dyDescent="0.2">
      <c r="L1310"/>
    </row>
    <row r="1311" spans="12:12" x14ac:dyDescent="0.2">
      <c r="L1311"/>
    </row>
    <row r="1312" spans="12:12" x14ac:dyDescent="0.2">
      <c r="L1312"/>
    </row>
    <row r="1313" spans="12:12" x14ac:dyDescent="0.2">
      <c r="L1313"/>
    </row>
    <row r="1314" spans="12:12" x14ac:dyDescent="0.2">
      <c r="L1314"/>
    </row>
    <row r="1315" spans="12:12" x14ac:dyDescent="0.2">
      <c r="L1315"/>
    </row>
    <row r="1316" spans="12:12" x14ac:dyDescent="0.2">
      <c r="L1316"/>
    </row>
    <row r="1317" spans="12:12" x14ac:dyDescent="0.2">
      <c r="L1317"/>
    </row>
    <row r="1318" spans="12:12" x14ac:dyDescent="0.2">
      <c r="L1318"/>
    </row>
    <row r="1319" spans="12:12" x14ac:dyDescent="0.2">
      <c r="L1319"/>
    </row>
    <row r="1320" spans="12:12" x14ac:dyDescent="0.2">
      <c r="L1320"/>
    </row>
    <row r="1321" spans="12:12" x14ac:dyDescent="0.2">
      <c r="L1321"/>
    </row>
    <row r="1322" spans="12:12" x14ac:dyDescent="0.2">
      <c r="L1322"/>
    </row>
    <row r="1323" spans="12:12" x14ac:dyDescent="0.2">
      <c r="L1323"/>
    </row>
    <row r="1324" spans="12:12" x14ac:dyDescent="0.2">
      <c r="L1324"/>
    </row>
    <row r="1325" spans="12:12" x14ac:dyDescent="0.2">
      <c r="L1325"/>
    </row>
    <row r="1326" spans="12:12" x14ac:dyDescent="0.2">
      <c r="L1326"/>
    </row>
    <row r="1327" spans="12:12" x14ac:dyDescent="0.2">
      <c r="L1327"/>
    </row>
    <row r="1328" spans="12:12" x14ac:dyDescent="0.2">
      <c r="L1328"/>
    </row>
    <row r="1329" spans="12:12" x14ac:dyDescent="0.2">
      <c r="L1329"/>
    </row>
    <row r="1330" spans="12:12" x14ac:dyDescent="0.2">
      <c r="L1330"/>
    </row>
    <row r="1331" spans="12:12" x14ac:dyDescent="0.2">
      <c r="L1331"/>
    </row>
    <row r="1332" spans="12:12" x14ac:dyDescent="0.2">
      <c r="L1332"/>
    </row>
    <row r="1333" spans="12:12" x14ac:dyDescent="0.2">
      <c r="L1333"/>
    </row>
    <row r="1334" spans="12:12" x14ac:dyDescent="0.2">
      <c r="L1334"/>
    </row>
    <row r="1335" spans="12:12" x14ac:dyDescent="0.2">
      <c r="L1335"/>
    </row>
    <row r="1336" spans="12:12" x14ac:dyDescent="0.2">
      <c r="L1336"/>
    </row>
    <row r="1337" spans="12:12" x14ac:dyDescent="0.2">
      <c r="L1337"/>
    </row>
    <row r="1338" spans="12:12" x14ac:dyDescent="0.2">
      <c r="L1338"/>
    </row>
    <row r="1339" spans="12:12" x14ac:dyDescent="0.2">
      <c r="L1339"/>
    </row>
    <row r="1340" spans="12:12" x14ac:dyDescent="0.2">
      <c r="L1340"/>
    </row>
    <row r="1341" spans="12:12" x14ac:dyDescent="0.2">
      <c r="L1341"/>
    </row>
    <row r="1342" spans="12:12" x14ac:dyDescent="0.2">
      <c r="L1342"/>
    </row>
    <row r="1343" spans="12:12" x14ac:dyDescent="0.2">
      <c r="L1343"/>
    </row>
    <row r="1344" spans="12:12" x14ac:dyDescent="0.2">
      <c r="L1344"/>
    </row>
    <row r="1345" spans="12:12" x14ac:dyDescent="0.2">
      <c r="L1345"/>
    </row>
    <row r="1346" spans="12:12" x14ac:dyDescent="0.2">
      <c r="L1346"/>
    </row>
    <row r="1347" spans="12:12" x14ac:dyDescent="0.2">
      <c r="L1347"/>
    </row>
    <row r="1348" spans="12:12" x14ac:dyDescent="0.2">
      <c r="L1348"/>
    </row>
    <row r="1349" spans="12:12" x14ac:dyDescent="0.2">
      <c r="L1349"/>
    </row>
    <row r="1350" spans="12:12" x14ac:dyDescent="0.2">
      <c r="L1350"/>
    </row>
    <row r="1351" spans="12:12" x14ac:dyDescent="0.2">
      <c r="L1351"/>
    </row>
    <row r="1352" spans="12:12" x14ac:dyDescent="0.2">
      <c r="L1352"/>
    </row>
    <row r="1353" spans="12:12" x14ac:dyDescent="0.2">
      <c r="L1353"/>
    </row>
    <row r="1354" spans="12:12" x14ac:dyDescent="0.2">
      <c r="L1354"/>
    </row>
    <row r="1355" spans="12:12" x14ac:dyDescent="0.2">
      <c r="L1355"/>
    </row>
    <row r="1356" spans="12:12" x14ac:dyDescent="0.2">
      <c r="L1356"/>
    </row>
    <row r="1357" spans="12:12" x14ac:dyDescent="0.2">
      <c r="L1357"/>
    </row>
    <row r="1358" spans="12:12" x14ac:dyDescent="0.2">
      <c r="L1358"/>
    </row>
    <row r="1359" spans="12:12" x14ac:dyDescent="0.2">
      <c r="L1359"/>
    </row>
    <row r="1360" spans="12:12" x14ac:dyDescent="0.2">
      <c r="L1360"/>
    </row>
    <row r="1361" spans="12:12" x14ac:dyDescent="0.2">
      <c r="L1361"/>
    </row>
    <row r="1362" spans="12:12" x14ac:dyDescent="0.2">
      <c r="L1362"/>
    </row>
    <row r="1363" spans="12:12" x14ac:dyDescent="0.2">
      <c r="L1363"/>
    </row>
    <row r="1364" spans="12:12" x14ac:dyDescent="0.2">
      <c r="L1364"/>
    </row>
    <row r="1365" spans="12:12" x14ac:dyDescent="0.2">
      <c r="L1365"/>
    </row>
    <row r="1366" spans="12:12" x14ac:dyDescent="0.2">
      <c r="L1366"/>
    </row>
    <row r="1367" spans="12:12" x14ac:dyDescent="0.2">
      <c r="L1367"/>
    </row>
    <row r="1368" spans="12:12" x14ac:dyDescent="0.2">
      <c r="L1368"/>
    </row>
    <row r="1369" spans="12:12" x14ac:dyDescent="0.2">
      <c r="L1369"/>
    </row>
    <row r="1370" spans="12:12" x14ac:dyDescent="0.2">
      <c r="L1370"/>
    </row>
    <row r="1371" spans="12:12" x14ac:dyDescent="0.2">
      <c r="L1371"/>
    </row>
    <row r="1372" spans="12:12" x14ac:dyDescent="0.2">
      <c r="L1372"/>
    </row>
    <row r="1373" spans="12:12" x14ac:dyDescent="0.2">
      <c r="L1373"/>
    </row>
    <row r="1374" spans="12:12" x14ac:dyDescent="0.2">
      <c r="L1374"/>
    </row>
    <row r="1375" spans="12:12" x14ac:dyDescent="0.2">
      <c r="L1375"/>
    </row>
    <row r="1376" spans="12:12" x14ac:dyDescent="0.2">
      <c r="L1376"/>
    </row>
    <row r="1377" spans="12:12" x14ac:dyDescent="0.2">
      <c r="L1377"/>
    </row>
    <row r="1378" spans="12:12" x14ac:dyDescent="0.2">
      <c r="L1378"/>
    </row>
    <row r="1379" spans="12:12" x14ac:dyDescent="0.2">
      <c r="L1379"/>
    </row>
    <row r="1380" spans="12:12" x14ac:dyDescent="0.2">
      <c r="L1380"/>
    </row>
    <row r="1381" spans="12:12" x14ac:dyDescent="0.2">
      <c r="L1381"/>
    </row>
    <row r="1382" spans="12:12" x14ac:dyDescent="0.2">
      <c r="L1382"/>
    </row>
    <row r="1383" spans="12:12" x14ac:dyDescent="0.2">
      <c r="L1383"/>
    </row>
    <row r="1384" spans="12:12" x14ac:dyDescent="0.2">
      <c r="L1384"/>
    </row>
    <row r="1385" spans="12:12" x14ac:dyDescent="0.2">
      <c r="L1385"/>
    </row>
    <row r="1386" spans="12:12" x14ac:dyDescent="0.2">
      <c r="L1386"/>
    </row>
    <row r="1387" spans="12:12" x14ac:dyDescent="0.2">
      <c r="L1387"/>
    </row>
    <row r="1388" spans="12:12" x14ac:dyDescent="0.2">
      <c r="L1388"/>
    </row>
    <row r="1389" spans="12:12" x14ac:dyDescent="0.2">
      <c r="L1389"/>
    </row>
    <row r="1390" spans="12:12" x14ac:dyDescent="0.2">
      <c r="L1390"/>
    </row>
    <row r="1391" spans="12:12" x14ac:dyDescent="0.2">
      <c r="L1391"/>
    </row>
    <row r="1392" spans="12:12" x14ac:dyDescent="0.2">
      <c r="L1392"/>
    </row>
    <row r="1393" spans="12:12" x14ac:dyDescent="0.2">
      <c r="L1393"/>
    </row>
    <row r="1394" spans="12:12" x14ac:dyDescent="0.2">
      <c r="L1394"/>
    </row>
    <row r="1395" spans="12:12" x14ac:dyDescent="0.2">
      <c r="L1395"/>
    </row>
    <row r="1396" spans="12:12" x14ac:dyDescent="0.2">
      <c r="L1396"/>
    </row>
    <row r="1397" spans="12:12" x14ac:dyDescent="0.2">
      <c r="L1397"/>
    </row>
    <row r="1398" spans="12:12" x14ac:dyDescent="0.2">
      <c r="L1398"/>
    </row>
    <row r="1399" spans="12:12" x14ac:dyDescent="0.2">
      <c r="L1399"/>
    </row>
    <row r="1400" spans="12:12" x14ac:dyDescent="0.2">
      <c r="L1400"/>
    </row>
    <row r="1401" spans="12:12" x14ac:dyDescent="0.2">
      <c r="L1401"/>
    </row>
    <row r="1402" spans="12:12" x14ac:dyDescent="0.2">
      <c r="L1402"/>
    </row>
    <row r="1403" spans="12:12" x14ac:dyDescent="0.2">
      <c r="L1403"/>
    </row>
    <row r="1404" spans="12:12" x14ac:dyDescent="0.2">
      <c r="L1404"/>
    </row>
    <row r="1405" spans="12:12" x14ac:dyDescent="0.2">
      <c r="L1405"/>
    </row>
    <row r="1406" spans="12:12" x14ac:dyDescent="0.2">
      <c r="L1406"/>
    </row>
    <row r="1407" spans="12:12" x14ac:dyDescent="0.2">
      <c r="L1407"/>
    </row>
    <row r="1408" spans="12:12" x14ac:dyDescent="0.2">
      <c r="L1408"/>
    </row>
    <row r="1409" spans="12:12" x14ac:dyDescent="0.2">
      <c r="L1409"/>
    </row>
    <row r="1410" spans="12:12" x14ac:dyDescent="0.2">
      <c r="L1410"/>
    </row>
    <row r="1411" spans="12:12" x14ac:dyDescent="0.2">
      <c r="L1411"/>
    </row>
    <row r="1412" spans="12:12" x14ac:dyDescent="0.2">
      <c r="L1412"/>
    </row>
    <row r="1413" spans="12:12" x14ac:dyDescent="0.2">
      <c r="L1413"/>
    </row>
    <row r="1414" spans="12:12" x14ac:dyDescent="0.2">
      <c r="L1414"/>
    </row>
    <row r="1415" spans="12:12" x14ac:dyDescent="0.2">
      <c r="L1415"/>
    </row>
    <row r="1416" spans="12:12" x14ac:dyDescent="0.2">
      <c r="L1416"/>
    </row>
    <row r="1417" spans="12:12" x14ac:dyDescent="0.2">
      <c r="L1417"/>
    </row>
    <row r="1418" spans="12:12" x14ac:dyDescent="0.2">
      <c r="L1418"/>
    </row>
    <row r="1419" spans="12:12" x14ac:dyDescent="0.2">
      <c r="L1419"/>
    </row>
    <row r="1420" spans="12:12" x14ac:dyDescent="0.2">
      <c r="L1420"/>
    </row>
    <row r="1421" spans="12:12" x14ac:dyDescent="0.2">
      <c r="L1421"/>
    </row>
    <row r="1422" spans="12:12" x14ac:dyDescent="0.2">
      <c r="L1422"/>
    </row>
    <row r="1423" spans="12:12" x14ac:dyDescent="0.2">
      <c r="L1423"/>
    </row>
    <row r="1424" spans="12:12" x14ac:dyDescent="0.2">
      <c r="L1424"/>
    </row>
    <row r="1425" spans="12:12" x14ac:dyDescent="0.2">
      <c r="L1425"/>
    </row>
    <row r="1426" spans="12:12" x14ac:dyDescent="0.2">
      <c r="L1426"/>
    </row>
    <row r="1427" spans="12:12" x14ac:dyDescent="0.2">
      <c r="L1427"/>
    </row>
    <row r="1428" spans="12:12" x14ac:dyDescent="0.2">
      <c r="L1428"/>
    </row>
    <row r="1429" spans="12:12" x14ac:dyDescent="0.2">
      <c r="L1429"/>
    </row>
    <row r="1430" spans="12:12" x14ac:dyDescent="0.2">
      <c r="L1430"/>
    </row>
    <row r="1431" spans="12:12" x14ac:dyDescent="0.2">
      <c r="L1431"/>
    </row>
    <row r="1432" spans="12:12" x14ac:dyDescent="0.2">
      <c r="L1432"/>
    </row>
    <row r="1433" spans="12:12" x14ac:dyDescent="0.2">
      <c r="L1433"/>
    </row>
    <row r="1434" spans="12:12" x14ac:dyDescent="0.2">
      <c r="L1434"/>
    </row>
    <row r="1435" spans="12:12" x14ac:dyDescent="0.2">
      <c r="L1435"/>
    </row>
    <row r="1436" spans="12:12" x14ac:dyDescent="0.2">
      <c r="L1436"/>
    </row>
    <row r="1437" spans="12:12" x14ac:dyDescent="0.2">
      <c r="L1437"/>
    </row>
    <row r="1438" spans="12:12" x14ac:dyDescent="0.2">
      <c r="L1438"/>
    </row>
    <row r="1439" spans="12:12" x14ac:dyDescent="0.2">
      <c r="L1439"/>
    </row>
    <row r="1440" spans="12:12" x14ac:dyDescent="0.2">
      <c r="L1440"/>
    </row>
    <row r="1441" spans="12:12" x14ac:dyDescent="0.2">
      <c r="L1441"/>
    </row>
    <row r="1442" spans="12:12" x14ac:dyDescent="0.2">
      <c r="L1442"/>
    </row>
    <row r="1443" spans="12:12" x14ac:dyDescent="0.2">
      <c r="L1443"/>
    </row>
    <row r="1444" spans="12:12" x14ac:dyDescent="0.2">
      <c r="L1444"/>
    </row>
    <row r="1445" spans="12:12" x14ac:dyDescent="0.2">
      <c r="L1445"/>
    </row>
    <row r="1446" spans="12:12" x14ac:dyDescent="0.2">
      <c r="L1446"/>
    </row>
    <row r="1447" spans="12:12" x14ac:dyDescent="0.2">
      <c r="L1447"/>
    </row>
    <row r="1448" spans="12:12" x14ac:dyDescent="0.2">
      <c r="L1448"/>
    </row>
    <row r="1449" spans="12:12" x14ac:dyDescent="0.2">
      <c r="L1449"/>
    </row>
    <row r="1450" spans="12:12" x14ac:dyDescent="0.2">
      <c r="L1450"/>
    </row>
    <row r="1451" spans="12:12" x14ac:dyDescent="0.2">
      <c r="L1451"/>
    </row>
    <row r="1452" spans="12:12" x14ac:dyDescent="0.2">
      <c r="L1452"/>
    </row>
    <row r="1453" spans="12:12" x14ac:dyDescent="0.2">
      <c r="L1453"/>
    </row>
    <row r="1454" spans="12:12" x14ac:dyDescent="0.2">
      <c r="L1454"/>
    </row>
    <row r="1455" spans="12:12" x14ac:dyDescent="0.2">
      <c r="L1455"/>
    </row>
    <row r="1456" spans="12:12" x14ac:dyDescent="0.2">
      <c r="L1456"/>
    </row>
    <row r="1457" spans="12:12" x14ac:dyDescent="0.2">
      <c r="L1457"/>
    </row>
    <row r="1458" spans="12:12" x14ac:dyDescent="0.2">
      <c r="L1458"/>
    </row>
    <row r="1459" spans="12:12" x14ac:dyDescent="0.2">
      <c r="L1459"/>
    </row>
    <row r="1460" spans="12:12" x14ac:dyDescent="0.2">
      <c r="L1460"/>
    </row>
    <row r="1461" spans="12:12" x14ac:dyDescent="0.2">
      <c r="L1461"/>
    </row>
    <row r="1462" spans="12:12" x14ac:dyDescent="0.2">
      <c r="L1462"/>
    </row>
    <row r="1463" spans="12:12" x14ac:dyDescent="0.2">
      <c r="L1463"/>
    </row>
    <row r="1464" spans="12:12" x14ac:dyDescent="0.2">
      <c r="L1464"/>
    </row>
    <row r="1465" spans="12:12" x14ac:dyDescent="0.2">
      <c r="L1465"/>
    </row>
    <row r="1466" spans="12:12" x14ac:dyDescent="0.2">
      <c r="L1466"/>
    </row>
  </sheetData>
  <mergeCells count="144">
    <mergeCell ref="J745:L745"/>
    <mergeCell ref="D746:E746"/>
    <mergeCell ref="D747:E747"/>
    <mergeCell ref="D748:E748"/>
    <mergeCell ref="D676:E676"/>
    <mergeCell ref="D677:E677"/>
    <mergeCell ref="D678:E678"/>
    <mergeCell ref="D679:E679"/>
    <mergeCell ref="C745:D745"/>
    <mergeCell ref="E745:I745"/>
    <mergeCell ref="D606:E606"/>
    <mergeCell ref="D607:E607"/>
    <mergeCell ref="D608:E608"/>
    <mergeCell ref="C675:D675"/>
    <mergeCell ref="E675:I675"/>
    <mergeCell ref="J675:L675"/>
    <mergeCell ref="J535:L535"/>
    <mergeCell ref="D536:E536"/>
    <mergeCell ref="D537:E537"/>
    <mergeCell ref="D538:E538"/>
    <mergeCell ref="C605:D605"/>
    <mergeCell ref="E605:I605"/>
    <mergeCell ref="J605:L605"/>
    <mergeCell ref="D466:E466"/>
    <mergeCell ref="D467:E467"/>
    <mergeCell ref="D468:E468"/>
    <mergeCell ref="C470:E470"/>
    <mergeCell ref="C535:D535"/>
    <mergeCell ref="E535:I535"/>
    <mergeCell ref="D398:E398"/>
    <mergeCell ref="D399:E399"/>
    <mergeCell ref="C400:E400"/>
    <mergeCell ref="C465:D465"/>
    <mergeCell ref="E465:I465"/>
    <mergeCell ref="J465:L465"/>
    <mergeCell ref="C361:E361"/>
    <mergeCell ref="C395:D395"/>
    <mergeCell ref="E395:I395"/>
    <mergeCell ref="J395:L395"/>
    <mergeCell ref="D396:E396"/>
    <mergeCell ref="D397:E397"/>
    <mergeCell ref="J325:L325"/>
    <mergeCell ref="D326:E326"/>
    <mergeCell ref="D327:E327"/>
    <mergeCell ref="D328:E328"/>
    <mergeCell ref="D329:E329"/>
    <mergeCell ref="C330:E330"/>
    <mergeCell ref="D257:E257"/>
    <mergeCell ref="D258:E258"/>
    <mergeCell ref="D259:E259"/>
    <mergeCell ref="D278:E278"/>
    <mergeCell ref="C325:D325"/>
    <mergeCell ref="E325:I325"/>
    <mergeCell ref="D189:E189"/>
    <mergeCell ref="C190:E190"/>
    <mergeCell ref="C255:D255"/>
    <mergeCell ref="E255:I255"/>
    <mergeCell ref="J255:L255"/>
    <mergeCell ref="D256:E256"/>
    <mergeCell ref="C185:D185"/>
    <mergeCell ref="E185:I185"/>
    <mergeCell ref="J185:L185"/>
    <mergeCell ref="D186:E186"/>
    <mergeCell ref="D187:E187"/>
    <mergeCell ref="D188:E188"/>
    <mergeCell ref="C159:E159"/>
    <mergeCell ref="D162:E162"/>
    <mergeCell ref="C163:E163"/>
    <mergeCell ref="D164:E164"/>
    <mergeCell ref="D165:E165"/>
    <mergeCell ref="D166:E166"/>
    <mergeCell ref="D123:E123"/>
    <mergeCell ref="D124:E124"/>
    <mergeCell ref="D134:E134"/>
    <mergeCell ref="D135:E135"/>
    <mergeCell ref="D157:E157"/>
    <mergeCell ref="D158:E158"/>
    <mergeCell ref="J116:L116"/>
    <mergeCell ref="D117:E117"/>
    <mergeCell ref="D118:E118"/>
    <mergeCell ref="D119:E119"/>
    <mergeCell ref="D120:E120"/>
    <mergeCell ref="C121:E121"/>
    <mergeCell ref="D75:E75"/>
    <mergeCell ref="C76:E76"/>
    <mergeCell ref="D92:E92"/>
    <mergeCell ref="D93:E93"/>
    <mergeCell ref="C116:D116"/>
    <mergeCell ref="E116:I116"/>
    <mergeCell ref="C71:D71"/>
    <mergeCell ref="E71:I71"/>
    <mergeCell ref="J71:L71"/>
    <mergeCell ref="D72:E72"/>
    <mergeCell ref="D73:E73"/>
    <mergeCell ref="D74:E74"/>
    <mergeCell ref="D31:E31"/>
    <mergeCell ref="D32:E32"/>
    <mergeCell ref="D33:E33"/>
    <mergeCell ref="D34:E34"/>
    <mergeCell ref="C35:E35"/>
    <mergeCell ref="D43:E43"/>
    <mergeCell ref="B22:C22"/>
    <mergeCell ref="B23:C23"/>
    <mergeCell ref="B24:C24"/>
    <mergeCell ref="B25:F25"/>
    <mergeCell ref="G25:L25"/>
    <mergeCell ref="C30:D30"/>
    <mergeCell ref="E30:I30"/>
    <mergeCell ref="J30:L30"/>
    <mergeCell ref="C18:D18"/>
    <mergeCell ref="E18:F18"/>
    <mergeCell ref="G18:J18"/>
    <mergeCell ref="K18:L18"/>
    <mergeCell ref="B20:L20"/>
    <mergeCell ref="B21:C21"/>
    <mergeCell ref="C16:D16"/>
    <mergeCell ref="E16:F16"/>
    <mergeCell ref="G16:J16"/>
    <mergeCell ref="K16:L16"/>
    <mergeCell ref="C17:D17"/>
    <mergeCell ref="E17:F17"/>
    <mergeCell ref="G17:J17"/>
    <mergeCell ref="K17:L17"/>
    <mergeCell ref="B14:C14"/>
    <mergeCell ref="D14:F14"/>
    <mergeCell ref="G14:I14"/>
    <mergeCell ref="J14:L14"/>
    <mergeCell ref="C15:D15"/>
    <mergeCell ref="E15:F15"/>
    <mergeCell ref="G15:J15"/>
    <mergeCell ref="K15:L15"/>
    <mergeCell ref="B8:L8"/>
    <mergeCell ref="C9:L9"/>
    <mergeCell ref="C10:L10"/>
    <mergeCell ref="B11:F11"/>
    <mergeCell ref="G11:L11"/>
    <mergeCell ref="B12:F12"/>
    <mergeCell ref="G12:L12"/>
    <mergeCell ref="B3:E3"/>
    <mergeCell ref="F3:L7"/>
    <mergeCell ref="B4:E4"/>
    <mergeCell ref="B5:E5"/>
    <mergeCell ref="B6:E6"/>
    <mergeCell ref="B7:E7"/>
  </mergeCells>
  <dataValidations count="13">
    <dataValidation allowBlank="1" showInputMessage="1" showErrorMessage="1" promptTitle="Annual Fees Budget" prompt="Enter the team members annual fees budget. Get this from your Capacity Planner (Wize Step 7.)" sqref="E16" xr:uid="{2C56B38E-B48D-4DFD-837A-6DF8F2E3B223}"/>
    <dataValidation allowBlank="1" showInputMessage="1" showErrorMessage="1" promptTitle="Notes" prompt="Make any notes about this job. For example if training is needed for the Team Member or the level of quality of the bookkeeping." sqref="D164:E178 D162:E162 D798:E808 D34:E34 D120:E120 D189:E189 D329:E329 D399:E399 D679:E700 D75:E75 D469:E469 D490:E490 D193:E222 D401:E423 D259:E271 D331:E351 D567:E570 D578:E593 D704:E738 D497:E528 D362:E388 D479:E488 D471:E475 D477:E477 D598:E598 D541:E545 D560:E560 D549:E558 D547:E547 D636:E640 D612:E615 D629:E629 D619:E627 D617:E617 D123:E158 D224:E248 D275:E318 D433:E458 D647:E668 D751:E776 D37:E63 D78:E92" xr:uid="{1E42F749-79BA-48EA-907D-23E291378310}"/>
    <dataValidation allowBlank="1" showInputMessage="1" showErrorMessage="1" promptTitle="Pricing or Efficiency Override" prompt="Some jobs are priced high &amp; others the bookkeeping maybe done by your firm and be well prepared. So to complete them based on a charge out rate would allow far too many hours. To reduce hours drop below100%. Training on the job,would increase above 100%." sqref="H493:H528 H259:H318 H469:H491 H541:H561 H612:H630 H120:H178 H189:H248 H329:H388 H399:H458 H563:H598 H632:H668 H679:H738 H751:H808 H34:H63 H75:H109" xr:uid="{830EED23-6744-43EA-BE08-AB6CB0BDB5AD}"/>
    <dataValidation allowBlank="1" showInputMessage="1" showErrorMessage="1" promptTitle="Team Member Completion %" prompt="This will be 100% if the team member can complete all the job without help. 80% if most of it. This will depend on the job complexity, the team member's ability and experience, whether or not they have done it before and the quality of the bookkeeping. " sqref="H492 G329:G388 H562 G598 H631 G120:G178 G189:G248 G259:G318 G399:G458 G469:G528 G541:G593 G612:G668 G679:G738 G751:G808 G34:G63 G75:G109" xr:uid="{076ABD34-D0F1-4DA0-B0C7-C9760D68BB85}"/>
    <dataValidation allowBlank="1" showInputMessage="1" showErrorMessage="1" promptTitle="Job Price or Fees Charged" prompt="Enter the job price or Fees charged to the client." sqref="F94:F96 F800:F808 F477 F277 F428:F448 F356:F388 F329:F354 F399:F426 F479:F506 F469:F475 F541:F545 F547 F598 F617 F612:F615 F34:F36 F120:F178 F189:F248 F259:F275 F279:F318 F510:F528 F549:F593 F619:F668 F679:F704 F706:F738 F751:F798 F43:F63 F75:F92" xr:uid="{57080B84-2561-4818-8DDF-6A7C754158F8}"/>
    <dataValidation allowBlank="1" showInputMessage="1" showErrorMessage="1" promptTitle="Entity Group or Client Name" prompt="Enter the Entity Group name or the Client Name or Job name." sqref="C59 C164:C178 C162 C267:C271 C142 C34 C120 C189 C259 C329 C399 C668 C679 C75 C407:C423 C497:C506 C205:C222 C598 C686:C700 C99:C102 C104:C108 C229 C567:C570 C200 C233:C248 C433:C448 C337:C351 C549:C558 C511:C528 C318 C479:C488 C477 C547 C636:C640 C619:C627 C617 C123:C134 C144:C158 C224:C227 C757:C776 C37:C57 C78:C90" xr:uid="{826DC555-CB83-4967-8C32-12AF15C1F753}"/>
    <dataValidation allowBlank="1" showInputMessage="1" showErrorMessage="1" promptTitle="Month" prompt="Enter the first month of your financial year" sqref="E30 E71 E116 E185 E255 E325 E395 E465 E535 E605 E675 E745" xr:uid="{DD682494-E96D-4241-97AD-0A3BBCAB7592}"/>
    <dataValidation allowBlank="1" showInputMessage="1" showErrorMessage="1" promptTitle="Hours Per Day" prompt="Please enter the hours per day this team member works" sqref="G32 G73 G118 G187 G257 G327 G397 G467 G537 G607 G677 G747" xr:uid="{B8361F81-7A46-47D9-A4DC-309894EC4F88}"/>
    <dataValidation allowBlank="1" showInputMessage="1" showErrorMessage="1" promptTitle="Productivity %" prompt="Please enter this team members productivity %." sqref="F32 F73 F118 F187 F257 F327 F397 F467 F537 F607 F677 F747" xr:uid="{709EAC5B-FD40-4EED-AB26-46D91753DCCE}"/>
    <dataValidation allowBlank="1" showInputMessage="1" showErrorMessage="1" promptTitle="Working Days In Month" prompt="Please enter the working days for this month, taking into account any annual leave, public holidays or training days away from working days." sqref="D32:E32 D73:E73 D118:E118 D187:E187 D257:E257 D327:E327 D397:E397 D467:E467 D537:E537 D607:E607 D677:E677 D747:E747" xr:uid="{EC1F8AAF-8696-4A4D-AEB1-6290685B1812}"/>
    <dataValidation allowBlank="1" showInputMessage="1" showErrorMessage="1" promptTitle="Charge Out Rate" prompt="Please enter the charge out rate for this team member, per your capacity plan." sqref="C32 C73 C118 C187 C257 C327 C397 C467 C537 C607 C677 C747" xr:uid="{D0C457F2-BA29-4F25-9345-6B5DE8E0575F}"/>
    <dataValidation allowBlank="1" showInputMessage="1" showErrorMessage="1" promptTitle="Name" prompt="Please enter the team members name._x000a_" sqref="D14" xr:uid="{3F0FC8AA-68D4-451E-9997-B80336991CF8}"/>
    <dataValidation allowBlank="1" showInputMessage="1" showErrorMessage="1" promptTitle="Input The Team Name" prompt="Some Firms have team names for fun and identification. If you have a team name please enter it here." sqref="E13" xr:uid="{8DD476F0-ACA6-49F6-9A65-C5285526FA3D}"/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6014-A869-4ABB-9802-7C870D00EB82}">
  <sheetPr>
    <tabColor rgb="FF00B050"/>
  </sheetPr>
  <dimension ref="B1:T1466"/>
  <sheetViews>
    <sheetView topLeftCell="A72" workbookViewId="0">
      <selection activeCell="F50" sqref="F50"/>
    </sheetView>
  </sheetViews>
  <sheetFormatPr defaultRowHeight="15" x14ac:dyDescent="0.2"/>
  <cols>
    <col min="2" max="2" width="3.765625" bestFit="1" customWidth="1"/>
    <col min="3" max="3" width="19.234375" customWidth="1"/>
    <col min="4" max="4" width="11.97265625" customWidth="1"/>
    <col min="5" max="5" width="13.1796875" customWidth="1"/>
    <col min="6" max="6" width="17.62109375" bestFit="1" customWidth="1"/>
    <col min="7" max="7" width="12.375" customWidth="1"/>
    <col min="8" max="8" width="13.5859375" customWidth="1"/>
    <col min="9" max="9" width="15.87109375" customWidth="1"/>
    <col min="10" max="10" width="11.97265625" customWidth="1"/>
    <col min="11" max="11" width="14.125" customWidth="1"/>
    <col min="12" max="12" width="19.50390625" style="118" customWidth="1"/>
  </cols>
  <sheetData>
    <row r="1" spans="2:12" x14ac:dyDescent="0.2">
      <c r="L1"/>
    </row>
    <row r="2" spans="2:12" s="1" customFormat="1" ht="12.75" x14ac:dyDescent="0.15"/>
    <row r="3" spans="2:12" s="1" customFormat="1" ht="22.5" customHeight="1" x14ac:dyDescent="0.15">
      <c r="B3" s="347"/>
      <c r="C3" s="347"/>
      <c r="D3" s="347"/>
      <c r="E3" s="347"/>
      <c r="F3" s="348" t="s">
        <v>79</v>
      </c>
      <c r="G3" s="349"/>
      <c r="H3" s="349"/>
      <c r="I3" s="349"/>
      <c r="J3" s="349"/>
      <c r="K3" s="349"/>
      <c r="L3" s="350"/>
    </row>
    <row r="4" spans="2:12" s="1" customFormat="1" ht="13.35" customHeight="1" x14ac:dyDescent="0.15">
      <c r="B4" s="357"/>
      <c r="C4" s="358"/>
      <c r="D4" s="358"/>
      <c r="E4" s="359"/>
      <c r="F4" s="351"/>
      <c r="G4" s="352"/>
      <c r="H4" s="352"/>
      <c r="I4" s="352"/>
      <c r="J4" s="352"/>
      <c r="K4" s="352"/>
      <c r="L4" s="353"/>
    </row>
    <row r="5" spans="2:12" s="1" customFormat="1" ht="13.35" customHeight="1" x14ac:dyDescent="0.15">
      <c r="B5" s="357"/>
      <c r="C5" s="358"/>
      <c r="D5" s="358"/>
      <c r="E5" s="359"/>
      <c r="F5" s="351"/>
      <c r="G5" s="352"/>
      <c r="H5" s="352"/>
      <c r="I5" s="352"/>
      <c r="J5" s="352"/>
      <c r="K5" s="352"/>
      <c r="L5" s="353"/>
    </row>
    <row r="6" spans="2:12" s="1" customFormat="1" ht="13.35" customHeight="1" x14ac:dyDescent="0.15">
      <c r="B6" s="357"/>
      <c r="C6" s="358"/>
      <c r="D6" s="358"/>
      <c r="E6" s="359"/>
      <c r="F6" s="351"/>
      <c r="G6" s="352"/>
      <c r="H6" s="352"/>
      <c r="I6" s="352"/>
      <c r="J6" s="352"/>
      <c r="K6" s="352"/>
      <c r="L6" s="353"/>
    </row>
    <row r="7" spans="2:12" s="1" customFormat="1" ht="27.75" customHeight="1" x14ac:dyDescent="0.15">
      <c r="B7" s="360"/>
      <c r="C7" s="361"/>
      <c r="D7" s="361"/>
      <c r="E7" s="362"/>
      <c r="F7" s="354"/>
      <c r="G7" s="355"/>
      <c r="H7" s="355"/>
      <c r="I7" s="355"/>
      <c r="J7" s="355"/>
      <c r="K7" s="355"/>
      <c r="L7" s="356"/>
    </row>
    <row r="8" spans="2:12" s="1" customFormat="1" ht="25.5" x14ac:dyDescent="0.15">
      <c r="B8" s="331" t="s">
        <v>80</v>
      </c>
      <c r="C8" s="332"/>
      <c r="D8" s="332"/>
      <c r="E8" s="332"/>
      <c r="F8" s="332"/>
      <c r="G8" s="332"/>
      <c r="H8" s="332"/>
      <c r="I8" s="332"/>
      <c r="J8" s="332"/>
      <c r="K8" s="332"/>
      <c r="L8" s="333"/>
    </row>
    <row r="9" spans="2:12" s="1" customFormat="1" ht="25.5" x14ac:dyDescent="0.15">
      <c r="B9" s="3"/>
      <c r="C9" s="334"/>
      <c r="D9" s="334"/>
      <c r="E9" s="334"/>
      <c r="F9" s="334"/>
      <c r="G9" s="334"/>
      <c r="H9" s="334"/>
      <c r="I9" s="334"/>
      <c r="J9" s="334"/>
      <c r="K9" s="334"/>
      <c r="L9" s="335"/>
    </row>
    <row r="10" spans="2:12" s="4" customFormat="1" ht="25.5" x14ac:dyDescent="0.15">
      <c r="B10" s="3"/>
      <c r="C10" s="336" t="s">
        <v>81</v>
      </c>
      <c r="D10" s="336"/>
      <c r="E10" s="336"/>
      <c r="F10" s="336"/>
      <c r="G10" s="336"/>
      <c r="H10" s="336"/>
      <c r="I10" s="336"/>
      <c r="J10" s="336"/>
      <c r="K10" s="337"/>
      <c r="L10" s="338"/>
    </row>
    <row r="11" spans="2:12" s="5" customFormat="1" ht="16.350000000000001" customHeight="1" x14ac:dyDescent="0.2">
      <c r="B11" s="339" t="s">
        <v>82</v>
      </c>
      <c r="C11" s="340"/>
      <c r="D11" s="340"/>
      <c r="E11" s="340"/>
      <c r="F11" s="341"/>
      <c r="G11" s="342" t="s">
        <v>172</v>
      </c>
      <c r="H11" s="343"/>
      <c r="I11" s="343"/>
      <c r="J11" s="343"/>
      <c r="K11" s="343"/>
      <c r="L11" s="344"/>
    </row>
    <row r="12" spans="2:12" s="5" customFormat="1" ht="16.350000000000001" customHeight="1" x14ac:dyDescent="0.2">
      <c r="B12" s="345" t="s">
        <v>84</v>
      </c>
      <c r="C12" s="345"/>
      <c r="D12" s="345"/>
      <c r="E12" s="345"/>
      <c r="F12" s="345"/>
      <c r="G12" s="346" t="s">
        <v>232</v>
      </c>
      <c r="H12" s="346"/>
      <c r="I12" s="346"/>
      <c r="J12" s="346"/>
      <c r="K12" s="346"/>
      <c r="L12" s="346"/>
    </row>
    <row r="13" spans="2:12" s="5" customFormat="1" ht="16.350000000000001" customHeight="1" x14ac:dyDescent="0.2">
      <c r="B13" s="240"/>
      <c r="C13" s="237"/>
      <c r="D13" s="237"/>
      <c r="E13" s="238"/>
      <c r="F13" s="238"/>
      <c r="G13" s="238"/>
      <c r="H13" s="238"/>
      <c r="I13" s="238"/>
      <c r="J13" s="238"/>
      <c r="L13" s="241"/>
    </row>
    <row r="14" spans="2:12" s="5" customFormat="1" ht="15.4" customHeight="1" x14ac:dyDescent="0.2">
      <c r="B14" s="373" t="s">
        <v>86</v>
      </c>
      <c r="C14" s="373"/>
      <c r="D14" s="374" t="s">
        <v>233</v>
      </c>
      <c r="E14" s="374"/>
      <c r="F14" s="374"/>
      <c r="G14" s="373" t="s">
        <v>88</v>
      </c>
      <c r="H14" s="373"/>
      <c r="I14" s="373"/>
      <c r="J14" s="374" t="s">
        <v>175</v>
      </c>
      <c r="K14" s="374"/>
      <c r="L14" s="374"/>
    </row>
    <row r="15" spans="2:12" s="1" customFormat="1" ht="14.25" customHeight="1" x14ac:dyDescent="0.15">
      <c r="B15" s="236"/>
      <c r="C15" s="375" t="s">
        <v>90</v>
      </c>
      <c r="D15" s="375"/>
      <c r="E15" s="376" t="s">
        <v>91</v>
      </c>
      <c r="F15" s="376"/>
      <c r="G15" s="377" t="s">
        <v>90</v>
      </c>
      <c r="H15" s="377"/>
      <c r="I15" s="377"/>
      <c r="J15" s="377"/>
      <c r="K15" s="378" t="s">
        <v>92</v>
      </c>
      <c r="L15" s="378"/>
    </row>
    <row r="16" spans="2:12" s="1" customFormat="1" ht="13.5" customHeight="1" x14ac:dyDescent="0.15">
      <c r="B16" s="82"/>
      <c r="C16" s="363" t="s">
        <v>93</v>
      </c>
      <c r="D16" s="364"/>
      <c r="E16" s="365">
        <f>54720*12</f>
        <v>656640</v>
      </c>
      <c r="F16" s="366"/>
      <c r="G16" s="363" t="s">
        <v>94</v>
      </c>
      <c r="H16" s="367"/>
      <c r="I16" s="367"/>
      <c r="J16" s="364"/>
      <c r="K16" s="368">
        <f>E16/C32</f>
        <v>1459.2</v>
      </c>
      <c r="L16" s="369"/>
    </row>
    <row r="17" spans="2:12" s="1" customFormat="1" ht="13.5" customHeight="1" x14ac:dyDescent="0.15">
      <c r="B17" s="82"/>
      <c r="C17" s="370" t="s">
        <v>95</v>
      </c>
      <c r="D17" s="370"/>
      <c r="E17" s="371" t="e">
        <f>+I65+I110+I179+I249+I319+I389+I459+I529+I599+I669+I739+I809</f>
        <v>#VALUE!</v>
      </c>
      <c r="F17" s="371"/>
      <c r="G17" s="370" t="s">
        <v>96</v>
      </c>
      <c r="H17" s="370"/>
      <c r="I17" s="370"/>
      <c r="J17" s="370"/>
      <c r="K17" s="372" t="e">
        <f>+J65+J110+J179+J249+J319+J389+J459+J529+J599+J669+J739+J809</f>
        <v>#VALUE!</v>
      </c>
      <c r="L17" s="372"/>
    </row>
    <row r="18" spans="2:12" s="1" customFormat="1" ht="12.75" customHeight="1" x14ac:dyDescent="0.15">
      <c r="B18" s="82"/>
      <c r="C18" s="370" t="s">
        <v>97</v>
      </c>
      <c r="D18" s="370"/>
      <c r="E18" s="383" t="e">
        <f>E17-E16</f>
        <v>#VALUE!</v>
      </c>
      <c r="F18" s="383"/>
      <c r="G18" s="370" t="s">
        <v>97</v>
      </c>
      <c r="H18" s="370"/>
      <c r="I18" s="370"/>
      <c r="J18" s="370"/>
      <c r="K18" s="384" t="e">
        <f>K17-K16</f>
        <v>#VALUE!</v>
      </c>
      <c r="L18" s="384"/>
    </row>
    <row r="19" spans="2:12" s="1" customFormat="1" ht="12.75" x14ac:dyDescent="0.15">
      <c r="B19" s="244"/>
      <c r="C19" s="225"/>
      <c r="D19" s="243"/>
      <c r="G19" s="225"/>
      <c r="H19" s="225"/>
      <c r="I19" s="225"/>
      <c r="J19" s="228"/>
      <c r="L19" s="246"/>
    </row>
    <row r="20" spans="2:12" s="1" customFormat="1" ht="14.25" customHeight="1" x14ac:dyDescent="0.15">
      <c r="B20" s="385" t="s">
        <v>98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</row>
    <row r="21" spans="2:12" s="1" customFormat="1" ht="12.75" x14ac:dyDescent="0.15">
      <c r="B21" s="386"/>
      <c r="C21" s="387"/>
      <c r="D21" s="245" t="s">
        <v>99</v>
      </c>
      <c r="E21" s="6" t="e">
        <f>J32</f>
        <v>#VALUE!</v>
      </c>
      <c r="F21" s="234" t="s">
        <v>100</v>
      </c>
      <c r="G21" s="6">
        <f>+J187</f>
        <v>121.60000000000001</v>
      </c>
      <c r="H21" s="234" t="s">
        <v>101</v>
      </c>
      <c r="I21" s="6">
        <f>+J397</f>
        <v>134.4</v>
      </c>
      <c r="J21" s="234" t="s">
        <v>102</v>
      </c>
      <c r="K21" s="6">
        <f>+J607</f>
        <v>147.20000000000002</v>
      </c>
      <c r="L21" s="82"/>
    </row>
    <row r="22" spans="2:12" s="1" customFormat="1" ht="12.75" x14ac:dyDescent="0.15">
      <c r="B22" s="386"/>
      <c r="C22" s="387"/>
      <c r="D22" s="235" t="s">
        <v>103</v>
      </c>
      <c r="E22" s="6">
        <f>+J74</f>
        <v>18.998129468599018</v>
      </c>
      <c r="F22" s="234" t="s">
        <v>104</v>
      </c>
      <c r="G22" s="6">
        <f>+J257</f>
        <v>140.80000000000001</v>
      </c>
      <c r="H22" s="234" t="s">
        <v>105</v>
      </c>
      <c r="I22" s="6">
        <f>J467</f>
        <v>134.4</v>
      </c>
      <c r="J22" s="234" t="s">
        <v>106</v>
      </c>
      <c r="K22" s="6">
        <f>+J677</f>
        <v>128</v>
      </c>
      <c r="L22" s="82"/>
    </row>
    <row r="23" spans="2:12" s="1" customFormat="1" ht="12.75" x14ac:dyDescent="0.15">
      <c r="B23" s="386"/>
      <c r="C23" s="387"/>
      <c r="D23" s="235" t="s">
        <v>107</v>
      </c>
      <c r="E23" s="6">
        <f>+J118</f>
        <v>134.4</v>
      </c>
      <c r="F23" s="234" t="s">
        <v>108</v>
      </c>
      <c r="G23" s="6">
        <f>+J327</f>
        <v>128</v>
      </c>
      <c r="H23" s="234" t="s">
        <v>109</v>
      </c>
      <c r="I23" s="6">
        <f>+J537</f>
        <v>134.4</v>
      </c>
      <c r="J23" s="234" t="s">
        <v>110</v>
      </c>
      <c r="K23" s="6">
        <f>+J747</f>
        <v>128</v>
      </c>
      <c r="L23" s="82"/>
    </row>
    <row r="24" spans="2:12" s="1" customFormat="1" ht="12.75" x14ac:dyDescent="0.15">
      <c r="B24" s="386"/>
      <c r="C24" s="387"/>
      <c r="D24" s="235"/>
      <c r="E24" s="6"/>
      <c r="F24" s="234"/>
      <c r="G24" s="6"/>
      <c r="H24" s="234"/>
      <c r="I24" s="6"/>
      <c r="J24" s="234"/>
      <c r="K24" s="6"/>
      <c r="L24" s="82"/>
    </row>
    <row r="25" spans="2:12" s="1" customFormat="1" ht="13.5" customHeight="1" x14ac:dyDescent="0.15">
      <c r="B25" s="385" t="s">
        <v>111</v>
      </c>
      <c r="C25" s="385"/>
      <c r="D25" s="385"/>
      <c r="E25" s="385"/>
      <c r="F25" s="385"/>
      <c r="G25" s="379" t="e">
        <f>SUM(E21:E23)+SUM(G21:G23)+SUM(I21:I23)+SUM(K21:K23)</f>
        <v>#VALUE!</v>
      </c>
      <c r="H25" s="379"/>
      <c r="I25" s="379"/>
      <c r="J25" s="379"/>
      <c r="K25" s="379"/>
      <c r="L25" s="379"/>
    </row>
    <row r="26" spans="2:12" s="1" customFormat="1" ht="13.5" customHeight="1" x14ac:dyDescent="0.15">
      <c r="C26" s="225"/>
      <c r="D26" s="226"/>
      <c r="G26" s="227"/>
      <c r="H26" s="227"/>
      <c r="I26" s="227"/>
      <c r="J26" s="228"/>
    </row>
    <row r="27" spans="2:12" s="1" customFormat="1" ht="13.5" customHeight="1" x14ac:dyDescent="0.15">
      <c r="C27" s="225"/>
      <c r="D27" s="226"/>
      <c r="G27" s="227"/>
      <c r="H27" s="227"/>
      <c r="I27" s="227"/>
      <c r="J27" s="228"/>
    </row>
    <row r="28" spans="2:12" s="1" customFormat="1" ht="13.5" customHeight="1" x14ac:dyDescent="0.15">
      <c r="C28" s="225"/>
      <c r="D28" s="226"/>
      <c r="G28" s="227"/>
      <c r="H28" s="227"/>
      <c r="I28" s="227"/>
      <c r="J28" s="228"/>
    </row>
    <row r="29" spans="2:12" s="1" customFormat="1" ht="13.5" customHeight="1" x14ac:dyDescent="0.15">
      <c r="C29" s="225"/>
      <c r="D29" s="226"/>
      <c r="G29" s="227"/>
      <c r="H29" s="227"/>
      <c r="I29" s="227"/>
      <c r="J29" s="228"/>
    </row>
    <row r="30" spans="2:12" s="247" customFormat="1" ht="32.25" x14ac:dyDescent="0.4">
      <c r="B30" s="248"/>
      <c r="C30" s="380" t="s">
        <v>112</v>
      </c>
      <c r="D30" s="380"/>
      <c r="E30" s="381" t="s">
        <v>113</v>
      </c>
      <c r="F30" s="381"/>
      <c r="G30" s="381"/>
      <c r="H30" s="381"/>
      <c r="I30" s="381"/>
      <c r="J30" s="382">
        <v>2026</v>
      </c>
      <c r="K30" s="382"/>
      <c r="L30" s="382"/>
    </row>
    <row r="31" spans="2:12" s="1" customFormat="1" ht="22.5" x14ac:dyDescent="0.15">
      <c r="B31" s="82"/>
      <c r="C31" s="102" t="s">
        <v>114</v>
      </c>
      <c r="D31" s="388" t="s">
        <v>115</v>
      </c>
      <c r="E31" s="388"/>
      <c r="F31" s="102" t="s">
        <v>116</v>
      </c>
      <c r="G31" s="102" t="s">
        <v>117</v>
      </c>
      <c r="H31" s="102" t="s">
        <v>118</v>
      </c>
      <c r="I31" s="102" t="s">
        <v>119</v>
      </c>
      <c r="J31" s="102" t="s">
        <v>120</v>
      </c>
      <c r="K31" s="82"/>
      <c r="L31" s="82"/>
    </row>
    <row r="32" spans="2:12" s="1" customFormat="1" ht="12.75" x14ac:dyDescent="0.15">
      <c r="B32" s="82"/>
      <c r="C32" s="229">
        <v>450</v>
      </c>
      <c r="D32" s="389">
        <v>21</v>
      </c>
      <c r="E32" s="389"/>
      <c r="F32" s="7">
        <v>0.8</v>
      </c>
      <c r="G32" s="8">
        <v>8</v>
      </c>
      <c r="H32" s="142">
        <f>D32*G32*F32</f>
        <v>134.4</v>
      </c>
      <c r="I32" s="66" t="e">
        <f>I65</f>
        <v>#VALUE!</v>
      </c>
      <c r="J32" s="143" t="e">
        <f>H32-J65</f>
        <v>#VALUE!</v>
      </c>
      <c r="K32" s="82"/>
      <c r="L32" s="82"/>
    </row>
    <row r="33" spans="2:12" s="1" customFormat="1" ht="33.75" x14ac:dyDescent="0.15">
      <c r="B33" s="120"/>
      <c r="C33" s="230" t="s">
        <v>121</v>
      </c>
      <c r="D33" s="390" t="s">
        <v>122</v>
      </c>
      <c r="E33" s="390"/>
      <c r="F33" s="231" t="s">
        <v>123</v>
      </c>
      <c r="G33" s="232" t="s">
        <v>124</v>
      </c>
      <c r="H33" s="233" t="s">
        <v>125</v>
      </c>
      <c r="I33" s="233" t="s">
        <v>126</v>
      </c>
      <c r="J33" s="232" t="s">
        <v>127</v>
      </c>
      <c r="K33" s="123" t="s">
        <v>128</v>
      </c>
      <c r="L33" s="114" t="s">
        <v>129</v>
      </c>
    </row>
    <row r="34" spans="2:12" s="1" customFormat="1" ht="12.75" x14ac:dyDescent="0.15">
      <c r="B34" s="82"/>
      <c r="C34" s="89"/>
      <c r="D34" s="391"/>
      <c r="E34" s="391"/>
      <c r="F34" s="184"/>
      <c r="G34" s="92"/>
      <c r="H34" s="92"/>
      <c r="I34" s="93"/>
      <c r="J34" s="94"/>
      <c r="K34" s="82"/>
      <c r="L34" s="82"/>
    </row>
    <row r="35" spans="2:12" s="1" customFormat="1" ht="12.75" x14ac:dyDescent="0.15">
      <c r="B35" s="82"/>
      <c r="C35" s="392" t="s">
        <v>130</v>
      </c>
      <c r="D35" s="392"/>
      <c r="E35" s="392"/>
      <c r="F35" s="184"/>
      <c r="G35" s="92"/>
      <c r="H35" s="92"/>
      <c r="I35" s="93"/>
      <c r="J35" s="94"/>
      <c r="K35" s="82"/>
      <c r="L35" s="82"/>
    </row>
    <row r="36" spans="2:12" s="1" customFormat="1" ht="12.75" x14ac:dyDescent="0.15">
      <c r="B36" s="82"/>
      <c r="C36" s="167" t="s">
        <v>131</v>
      </c>
      <c r="D36" s="167"/>
      <c r="E36" s="167"/>
      <c r="F36" s="184"/>
      <c r="G36" s="92"/>
      <c r="H36" s="92"/>
      <c r="I36" s="93"/>
      <c r="J36" s="94"/>
      <c r="K36" s="82"/>
      <c r="L36" s="82"/>
    </row>
    <row r="37" spans="2:12" s="1" customFormat="1" ht="12.75" customHeight="1" x14ac:dyDescent="0.15">
      <c r="B37" s="82">
        <v>1</v>
      </c>
      <c r="C37" s="203" t="s">
        <v>50</v>
      </c>
      <c r="D37" s="90"/>
      <c r="E37" s="90"/>
      <c r="F37" s="429">
        <v>2943</v>
      </c>
      <c r="G37" s="92">
        <v>0.4</v>
      </c>
      <c r="H37" s="92">
        <v>1</v>
      </c>
      <c r="I37" s="218">
        <f>J37*$C$32</f>
        <v>1177.2</v>
      </c>
      <c r="J37" s="94">
        <f t="shared" ref="J37:J41" si="0">(F37*G37*H37)/$C$32</f>
        <v>2.6160000000000001</v>
      </c>
      <c r="K37" s="82"/>
      <c r="L37" s="82"/>
    </row>
    <row r="38" spans="2:12" s="1" customFormat="1" ht="12.75" customHeight="1" x14ac:dyDescent="0.15">
      <c r="B38" s="82">
        <v>2</v>
      </c>
      <c r="C38" s="203" t="s">
        <v>49</v>
      </c>
      <c r="D38" s="90"/>
      <c r="E38" s="90"/>
      <c r="F38" s="429">
        <v>2028.52</v>
      </c>
      <c r="G38" s="92">
        <v>0.40000000000000013</v>
      </c>
      <c r="H38" s="92">
        <v>1</v>
      </c>
      <c r="I38" s="218">
        <f>J38*$C$32</f>
        <v>811.40800000000024</v>
      </c>
      <c r="J38" s="94">
        <f t="shared" si="0"/>
        <v>1.8031288888888894</v>
      </c>
      <c r="K38" s="82"/>
      <c r="L38" s="82"/>
    </row>
    <row r="39" spans="2:12" s="1" customFormat="1" ht="12.75" customHeight="1" x14ac:dyDescent="0.15">
      <c r="B39" s="82">
        <v>3</v>
      </c>
      <c r="C39" s="203" t="s">
        <v>56</v>
      </c>
      <c r="D39" s="90"/>
      <c r="E39" s="90"/>
      <c r="F39" s="429">
        <v>1890</v>
      </c>
      <c r="G39" s="92">
        <v>0.40000000000000008</v>
      </c>
      <c r="H39" s="92">
        <v>1</v>
      </c>
      <c r="I39" s="218">
        <f>J39*$C$32</f>
        <v>756.00000000000011</v>
      </c>
      <c r="J39" s="94">
        <f t="shared" si="0"/>
        <v>1.6800000000000002</v>
      </c>
      <c r="K39" s="82"/>
      <c r="L39" s="82"/>
    </row>
    <row r="40" spans="2:12" s="1" customFormat="1" ht="12.75" customHeight="1" x14ac:dyDescent="0.15">
      <c r="B40" s="82">
        <v>4</v>
      </c>
      <c r="C40" s="203" t="s">
        <v>53</v>
      </c>
      <c r="D40" s="90"/>
      <c r="E40" s="90"/>
      <c r="F40" s="429">
        <v>3888</v>
      </c>
      <c r="G40" s="92">
        <v>0.4</v>
      </c>
      <c r="H40" s="92">
        <v>1</v>
      </c>
      <c r="I40" s="218">
        <f t="shared" ref="I40:I41" si="1">J40*$C$32</f>
        <v>1555.2</v>
      </c>
      <c r="J40" s="94">
        <f t="shared" si="0"/>
        <v>3.456</v>
      </c>
      <c r="K40" s="82"/>
      <c r="L40" s="82"/>
    </row>
    <row r="41" spans="2:12" s="1" customFormat="1" ht="12.75" customHeight="1" x14ac:dyDescent="0.15">
      <c r="B41" s="82">
        <v>5</v>
      </c>
      <c r="C41" s="203" t="s">
        <v>54</v>
      </c>
      <c r="D41" s="90"/>
      <c r="E41" s="90"/>
      <c r="F41" s="429">
        <v>2916</v>
      </c>
      <c r="G41" s="92">
        <v>0.40000000000000013</v>
      </c>
      <c r="H41" s="92">
        <v>1</v>
      </c>
      <c r="I41" s="218">
        <f t="shared" si="1"/>
        <v>1166.4000000000003</v>
      </c>
      <c r="J41" s="94">
        <f t="shared" si="0"/>
        <v>2.5920000000000005</v>
      </c>
      <c r="K41" s="82"/>
      <c r="L41" s="82"/>
    </row>
    <row r="42" spans="2:12" s="1" customFormat="1" ht="12.75" customHeight="1" x14ac:dyDescent="0.15">
      <c r="B42" s="82">
        <v>6</v>
      </c>
      <c r="C42" s="203" t="s">
        <v>59</v>
      </c>
      <c r="D42" s="90"/>
      <c r="E42" s="90"/>
      <c r="F42" s="429">
        <v>2303.5043479999999</v>
      </c>
      <c r="G42" s="92">
        <v>0.33357870614273316</v>
      </c>
      <c r="H42" s="92">
        <v>0</v>
      </c>
      <c r="I42" s="218">
        <f>J42*$C$32</f>
        <v>0</v>
      </c>
      <c r="J42" s="94">
        <f>(F42*G42*H42)/$C$32</f>
        <v>0</v>
      </c>
      <c r="K42" s="82"/>
      <c r="L42" s="82"/>
    </row>
    <row r="43" spans="2:12" s="1" customFormat="1" ht="12.75" customHeight="1" x14ac:dyDescent="0.15">
      <c r="B43" s="82">
        <v>7</v>
      </c>
      <c r="C43" s="430" t="s">
        <v>52</v>
      </c>
      <c r="D43" s="90"/>
      <c r="E43" s="90"/>
      <c r="F43" s="429">
        <v>2916</v>
      </c>
      <c r="G43" s="92">
        <v>0.40000000000000013</v>
      </c>
      <c r="H43" s="92">
        <v>1</v>
      </c>
      <c r="I43" s="218">
        <f>J43*$C$32</f>
        <v>1166.4000000000003</v>
      </c>
      <c r="J43" s="94">
        <f>(F43*G43*H43)/$C$32</f>
        <v>2.5920000000000005</v>
      </c>
      <c r="K43" s="82"/>
      <c r="L43" s="82"/>
    </row>
    <row r="44" spans="2:12" s="322" customFormat="1" ht="12.75" customHeight="1" x14ac:dyDescent="0.15">
      <c r="B44" s="82">
        <v>8</v>
      </c>
      <c r="C44" s="430" t="s">
        <v>47</v>
      </c>
      <c r="D44" s="321"/>
      <c r="E44" s="321"/>
      <c r="F44" s="429">
        <v>1572.1</v>
      </c>
      <c r="G44" s="92">
        <v>0.40000110624669866</v>
      </c>
      <c r="H44" s="92">
        <v>1</v>
      </c>
      <c r="I44" s="218">
        <f>J44*$C$32</f>
        <v>628.84173913043492</v>
      </c>
      <c r="J44" s="94">
        <f>(F44*G44*H44)/$C$32</f>
        <v>1.397426086956522</v>
      </c>
      <c r="K44" s="82"/>
      <c r="L44" s="82"/>
    </row>
    <row r="45" spans="2:12" s="322" customFormat="1" ht="12.75" customHeight="1" x14ac:dyDescent="0.15">
      <c r="B45" s="82">
        <v>9</v>
      </c>
      <c r="C45" s="430" t="s">
        <v>234</v>
      </c>
      <c r="D45" s="321"/>
      <c r="E45" s="321"/>
      <c r="F45" s="429">
        <v>5352.48</v>
      </c>
      <c r="G45" s="92">
        <v>0.40000000000000008</v>
      </c>
      <c r="H45" s="92">
        <v>1</v>
      </c>
      <c r="I45" s="218">
        <f>J45*$C$32</f>
        <v>2140.9920000000002</v>
      </c>
      <c r="J45" s="94">
        <f>(F45*G45*H45)/$C$32</f>
        <v>4.7577600000000002</v>
      </c>
      <c r="K45" s="82"/>
      <c r="L45" s="82"/>
    </row>
    <row r="46" spans="2:12" s="322" customFormat="1" ht="12.75" customHeight="1" x14ac:dyDescent="0.15">
      <c r="B46" s="82"/>
      <c r="C46" s="431"/>
      <c r="D46" s="432"/>
      <c r="E46" s="432"/>
      <c r="F46" s="433"/>
      <c r="G46" s="434"/>
      <c r="H46" s="92"/>
      <c r="I46" s="218"/>
      <c r="J46" s="94"/>
      <c r="K46" s="82"/>
      <c r="L46" s="82"/>
    </row>
    <row r="47" spans="2:12" s="322" customFormat="1" ht="12.75" customHeight="1" x14ac:dyDescent="0.15">
      <c r="B47" s="82"/>
      <c r="C47" s="431"/>
      <c r="D47" s="432"/>
      <c r="E47" s="432"/>
      <c r="F47" s="433"/>
      <c r="G47" s="434"/>
      <c r="H47" s="92"/>
      <c r="I47" s="218"/>
      <c r="J47" s="94"/>
      <c r="K47" s="82"/>
      <c r="L47" s="82"/>
    </row>
    <row r="48" spans="2:12" s="1" customFormat="1" ht="14.25" x14ac:dyDescent="0.15">
      <c r="B48" s="82"/>
      <c r="C48" s="167" t="s">
        <v>150</v>
      </c>
      <c r="D48" s="90"/>
      <c r="E48" s="90"/>
      <c r="F48" s="429"/>
      <c r="G48" s="92"/>
      <c r="H48" s="92"/>
      <c r="I48" s="168"/>
      <c r="J48" s="94"/>
      <c r="K48" s="82"/>
      <c r="L48" s="115"/>
    </row>
    <row r="49" spans="2:12" s="1" customFormat="1" ht="14.25" x14ac:dyDescent="0.15">
      <c r="B49" s="82">
        <v>1</v>
      </c>
      <c r="C49" s="435" t="s">
        <v>279</v>
      </c>
      <c r="D49" s="432"/>
      <c r="E49" s="432"/>
      <c r="F49" s="429" t="s">
        <v>280</v>
      </c>
      <c r="G49" s="436">
        <v>0.4</v>
      </c>
      <c r="H49" s="92">
        <v>1</v>
      </c>
      <c r="I49" s="168" t="e">
        <f t="shared" ref="I49:I63" si="2">J49*$C$32</f>
        <v>#VALUE!</v>
      </c>
      <c r="J49" s="94" t="e">
        <f t="shared" ref="J49:J63" si="3">(F49*G49*H49)/$C$32</f>
        <v>#VALUE!</v>
      </c>
      <c r="K49" s="82"/>
      <c r="L49" s="115"/>
    </row>
    <row r="50" spans="2:12" s="1" customFormat="1" ht="14.25" x14ac:dyDescent="0.15">
      <c r="B50" s="82">
        <v>2</v>
      </c>
      <c r="C50" s="435"/>
      <c r="D50" s="432"/>
      <c r="E50" s="437"/>
      <c r="F50" s="429">
        <v>9200</v>
      </c>
      <c r="G50" s="92">
        <v>0.9</v>
      </c>
      <c r="H50" s="92">
        <v>1</v>
      </c>
      <c r="I50" s="168">
        <f t="shared" si="2"/>
        <v>8280</v>
      </c>
      <c r="J50" s="94">
        <f t="shared" si="3"/>
        <v>18.399999999999999</v>
      </c>
      <c r="K50" s="82"/>
      <c r="L50" s="115"/>
    </row>
    <row r="51" spans="2:12" s="1" customFormat="1" ht="14.25" x14ac:dyDescent="0.15">
      <c r="B51" s="82">
        <v>6</v>
      </c>
      <c r="C51" s="89"/>
      <c r="D51" s="90"/>
      <c r="E51" s="90"/>
      <c r="F51" s="223"/>
      <c r="G51" s="92"/>
      <c r="H51" s="92">
        <v>1</v>
      </c>
      <c r="I51" s="168">
        <f t="shared" si="2"/>
        <v>0</v>
      </c>
      <c r="J51" s="94">
        <f t="shared" si="3"/>
        <v>0</v>
      </c>
      <c r="K51" s="82"/>
      <c r="L51" s="115"/>
    </row>
    <row r="52" spans="2:12" s="1" customFormat="1" ht="14.25" x14ac:dyDescent="0.15">
      <c r="B52" s="82">
        <v>7</v>
      </c>
      <c r="C52" s="89"/>
      <c r="D52" s="90"/>
      <c r="E52" s="90"/>
      <c r="F52" s="223"/>
      <c r="G52" s="92"/>
      <c r="H52" s="92">
        <v>1</v>
      </c>
      <c r="I52" s="168">
        <f t="shared" si="2"/>
        <v>0</v>
      </c>
      <c r="J52" s="94">
        <f t="shared" si="3"/>
        <v>0</v>
      </c>
      <c r="K52" s="82"/>
      <c r="L52" s="115"/>
    </row>
    <row r="53" spans="2:12" s="1" customFormat="1" ht="14.25" x14ac:dyDescent="0.15">
      <c r="B53" s="82">
        <v>8</v>
      </c>
      <c r="C53" s="89"/>
      <c r="D53" s="90"/>
      <c r="E53" s="90"/>
      <c r="F53" s="223"/>
      <c r="G53" s="92"/>
      <c r="H53" s="92">
        <v>1</v>
      </c>
      <c r="I53" s="168">
        <f t="shared" si="2"/>
        <v>0</v>
      </c>
      <c r="J53" s="94">
        <f t="shared" si="3"/>
        <v>0</v>
      </c>
      <c r="K53" s="82"/>
      <c r="L53" s="115"/>
    </row>
    <row r="54" spans="2:12" s="1" customFormat="1" ht="14.25" x14ac:dyDescent="0.15">
      <c r="B54" s="82">
        <v>9</v>
      </c>
      <c r="C54" s="89"/>
      <c r="D54" s="90"/>
      <c r="E54" s="90"/>
      <c r="F54" s="223"/>
      <c r="G54" s="92"/>
      <c r="H54" s="92">
        <v>1</v>
      </c>
      <c r="I54" s="168">
        <f t="shared" si="2"/>
        <v>0</v>
      </c>
      <c r="J54" s="94">
        <f t="shared" si="3"/>
        <v>0</v>
      </c>
      <c r="K54" s="82"/>
      <c r="L54" s="115"/>
    </row>
    <row r="55" spans="2:12" s="1" customFormat="1" ht="14.25" x14ac:dyDescent="0.15">
      <c r="B55" s="82">
        <v>10</v>
      </c>
      <c r="C55" s="89"/>
      <c r="D55" s="90"/>
      <c r="E55" s="90"/>
      <c r="F55" s="223"/>
      <c r="G55" s="92"/>
      <c r="H55" s="92">
        <v>1</v>
      </c>
      <c r="I55" s="168">
        <f t="shared" si="2"/>
        <v>0</v>
      </c>
      <c r="J55" s="94">
        <f t="shared" si="3"/>
        <v>0</v>
      </c>
      <c r="K55" s="82"/>
      <c r="L55" s="115"/>
    </row>
    <row r="56" spans="2:12" s="1" customFormat="1" ht="14.25" x14ac:dyDescent="0.15">
      <c r="B56" s="82">
        <v>11</v>
      </c>
      <c r="C56" s="89"/>
      <c r="D56" s="90"/>
      <c r="E56" s="90"/>
      <c r="F56" s="223"/>
      <c r="G56" s="92"/>
      <c r="H56" s="92">
        <v>1</v>
      </c>
      <c r="I56" s="168">
        <f t="shared" si="2"/>
        <v>0</v>
      </c>
      <c r="J56" s="94">
        <f t="shared" si="3"/>
        <v>0</v>
      </c>
      <c r="K56" s="82"/>
      <c r="L56" s="115"/>
    </row>
    <row r="57" spans="2:12" s="1" customFormat="1" ht="14.25" x14ac:dyDescent="0.15">
      <c r="B57" s="82">
        <v>12</v>
      </c>
      <c r="C57" s="89"/>
      <c r="D57" s="169"/>
      <c r="E57" s="169"/>
      <c r="F57" s="223"/>
      <c r="G57" s="214"/>
      <c r="H57" s="92">
        <v>1</v>
      </c>
      <c r="I57" s="218">
        <f t="shared" si="2"/>
        <v>0</v>
      </c>
      <c r="J57" s="94">
        <f t="shared" si="3"/>
        <v>0</v>
      </c>
      <c r="K57" s="82"/>
      <c r="L57" s="82"/>
    </row>
    <row r="58" spans="2:12" s="1" customFormat="1" ht="14.25" x14ac:dyDescent="0.15">
      <c r="B58" s="82">
        <v>13</v>
      </c>
      <c r="C58" s="89"/>
      <c r="D58" s="90"/>
      <c r="E58" s="90"/>
      <c r="F58" s="223"/>
      <c r="G58" s="214"/>
      <c r="H58" s="92">
        <v>1</v>
      </c>
      <c r="I58" s="218">
        <f t="shared" si="2"/>
        <v>0</v>
      </c>
      <c r="J58" s="94">
        <f t="shared" si="3"/>
        <v>0</v>
      </c>
      <c r="K58" s="82"/>
      <c r="L58" s="115"/>
    </row>
    <row r="59" spans="2:12" s="1" customFormat="1" ht="14.25" x14ac:dyDescent="0.15">
      <c r="B59" s="82">
        <v>14</v>
      </c>
      <c r="C59" s="203"/>
      <c r="D59" s="90"/>
      <c r="E59" s="90"/>
      <c r="F59" s="223"/>
      <c r="G59" s="214"/>
      <c r="H59" s="92">
        <v>1</v>
      </c>
      <c r="I59" s="218">
        <f t="shared" si="2"/>
        <v>0</v>
      </c>
      <c r="J59" s="94">
        <f t="shared" si="3"/>
        <v>0</v>
      </c>
      <c r="K59" s="82"/>
      <c r="L59" s="115"/>
    </row>
    <row r="60" spans="2:12" s="1" customFormat="1" ht="14.25" x14ac:dyDescent="0.15">
      <c r="B60" s="82">
        <v>16</v>
      </c>
      <c r="C60" s="203"/>
      <c r="D60" s="90"/>
      <c r="E60" s="90"/>
      <c r="F60" s="223"/>
      <c r="G60" s="214"/>
      <c r="H60" s="92">
        <v>1</v>
      </c>
      <c r="I60" s="218">
        <f t="shared" si="2"/>
        <v>0</v>
      </c>
      <c r="J60" s="94">
        <f t="shared" si="3"/>
        <v>0</v>
      </c>
      <c r="K60" s="82"/>
      <c r="L60" s="115"/>
    </row>
    <row r="61" spans="2:12" s="1" customFormat="1" ht="14.25" x14ac:dyDescent="0.15">
      <c r="B61" s="82">
        <v>17</v>
      </c>
      <c r="C61" s="203"/>
      <c r="D61" s="90"/>
      <c r="E61" s="90"/>
      <c r="F61" s="223"/>
      <c r="G61" s="214"/>
      <c r="H61" s="92">
        <v>1</v>
      </c>
      <c r="I61" s="218">
        <f t="shared" si="2"/>
        <v>0</v>
      </c>
      <c r="J61" s="94">
        <f t="shared" si="3"/>
        <v>0</v>
      </c>
      <c r="K61" s="82"/>
      <c r="L61" s="115"/>
    </row>
    <row r="62" spans="2:12" s="1" customFormat="1" ht="14.25" x14ac:dyDescent="0.15">
      <c r="B62" s="82">
        <v>19</v>
      </c>
      <c r="C62" s="203"/>
      <c r="D62" s="90"/>
      <c r="E62" s="90"/>
      <c r="F62" s="223"/>
      <c r="G62" s="214"/>
      <c r="H62" s="92">
        <v>1</v>
      </c>
      <c r="I62" s="218">
        <f t="shared" si="2"/>
        <v>0</v>
      </c>
      <c r="J62" s="94">
        <f t="shared" si="3"/>
        <v>0</v>
      </c>
      <c r="K62" s="82"/>
      <c r="L62" s="115"/>
    </row>
    <row r="63" spans="2:12" s="1" customFormat="1" ht="14.25" x14ac:dyDescent="0.15">
      <c r="B63" s="82">
        <v>20</v>
      </c>
      <c r="C63" s="203"/>
      <c r="D63" s="90"/>
      <c r="E63" s="90"/>
      <c r="F63" s="223"/>
      <c r="G63" s="214"/>
      <c r="H63" s="92">
        <v>1</v>
      </c>
      <c r="I63" s="218">
        <f t="shared" si="2"/>
        <v>0</v>
      </c>
      <c r="J63" s="94">
        <f t="shared" si="3"/>
        <v>0</v>
      </c>
      <c r="K63" s="82"/>
      <c r="L63" s="115"/>
    </row>
    <row r="64" spans="2:12" s="1" customFormat="1" ht="14.25" x14ac:dyDescent="0.15">
      <c r="B64" s="82"/>
      <c r="C64" s="203"/>
      <c r="D64" s="90"/>
      <c r="E64" s="90"/>
      <c r="F64" s="223"/>
      <c r="G64" s="92"/>
      <c r="H64" s="92"/>
      <c r="I64" s="168"/>
      <c r="J64" s="94"/>
      <c r="K64" s="82"/>
      <c r="L64" s="115"/>
    </row>
    <row r="65" spans="2:12" s="1" customFormat="1" ht="14.25" x14ac:dyDescent="0.15">
      <c r="B65" s="82"/>
      <c r="C65" s="102"/>
      <c r="D65" s="103"/>
      <c r="E65" s="102"/>
      <c r="F65" s="224">
        <f>SUM(F37:F64)</f>
        <v>35009.604347999993</v>
      </c>
      <c r="G65" s="104"/>
      <c r="H65" s="105"/>
      <c r="I65" s="128" t="e">
        <f>SUM(I35:I64)</f>
        <v>#VALUE!</v>
      </c>
      <c r="J65" s="106" t="e">
        <f>SUM(J34:J64)</f>
        <v>#VALUE!</v>
      </c>
      <c r="K65" s="82"/>
      <c r="L65" s="115"/>
    </row>
    <row r="66" spans="2:12" s="1" customFormat="1" ht="14.25" x14ac:dyDescent="0.15">
      <c r="B66" s="82"/>
      <c r="C66" s="102"/>
      <c r="D66" s="103"/>
      <c r="E66" s="102" t="s">
        <v>147</v>
      </c>
      <c r="F66" s="224">
        <f>100/115*F65</f>
        <v>30443.134215652168</v>
      </c>
      <c r="G66" s="104"/>
      <c r="H66" s="105" t="s">
        <v>147</v>
      </c>
      <c r="I66" s="128" t="e">
        <f>100/115*I65</f>
        <v>#VALUE!</v>
      </c>
      <c r="J66" s="257"/>
      <c r="L66" s="222"/>
    </row>
    <row r="67" spans="2:12" s="1" customFormat="1" ht="14.25" x14ac:dyDescent="0.15">
      <c r="B67" s="82"/>
      <c r="C67" s="102"/>
      <c r="D67" s="103"/>
      <c r="E67" s="102"/>
      <c r="F67" s="224"/>
      <c r="G67" s="104"/>
      <c r="H67" s="105"/>
      <c r="I67" s="128"/>
      <c r="J67" s="106"/>
      <c r="L67" s="222"/>
    </row>
    <row r="68" spans="2:12" s="1" customFormat="1" ht="14.25" x14ac:dyDescent="0.15">
      <c r="L68" s="222"/>
    </row>
    <row r="69" spans="2:12" s="1" customFormat="1" ht="14.25" x14ac:dyDescent="0.15">
      <c r="L69" s="222"/>
    </row>
    <row r="70" spans="2:12" s="1" customFormat="1" ht="14.25" x14ac:dyDescent="0.15">
      <c r="L70" s="222"/>
    </row>
    <row r="71" spans="2:12" s="1" customFormat="1" ht="14.25" x14ac:dyDescent="0.15">
      <c r="L71" s="222"/>
    </row>
    <row r="72" spans="2:12" s="247" customFormat="1" ht="32.25" x14ac:dyDescent="0.4">
      <c r="B72" s="248"/>
      <c r="C72" s="380" t="s">
        <v>112</v>
      </c>
      <c r="D72" s="380"/>
      <c r="E72" s="381" t="s">
        <v>148</v>
      </c>
      <c r="F72" s="381"/>
      <c r="G72" s="381"/>
      <c r="H72" s="381"/>
      <c r="I72" s="381"/>
      <c r="J72" s="382">
        <v>2026</v>
      </c>
      <c r="K72" s="382"/>
      <c r="L72" s="382"/>
    </row>
    <row r="73" spans="2:12" s="1" customFormat="1" ht="22.5" x14ac:dyDescent="0.15">
      <c r="B73" s="82"/>
      <c r="C73" s="102" t="s">
        <v>114</v>
      </c>
      <c r="D73" s="388" t="s">
        <v>115</v>
      </c>
      <c r="E73" s="388"/>
      <c r="F73" s="102" t="s">
        <v>116</v>
      </c>
      <c r="G73" s="102" t="s">
        <v>117</v>
      </c>
      <c r="H73" s="102" t="s">
        <v>118</v>
      </c>
      <c r="I73" s="102" t="s">
        <v>119</v>
      </c>
      <c r="J73" s="102" t="s">
        <v>120</v>
      </c>
      <c r="K73" s="82"/>
      <c r="L73" s="82"/>
    </row>
    <row r="74" spans="2:12" s="1" customFormat="1" ht="12.75" x14ac:dyDescent="0.15">
      <c r="B74" s="82"/>
      <c r="C74" s="66">
        <f>C32</f>
        <v>450</v>
      </c>
      <c r="D74" s="389">
        <v>20</v>
      </c>
      <c r="E74" s="389"/>
      <c r="F74" s="13">
        <f>F32</f>
        <v>0.8</v>
      </c>
      <c r="G74" s="14">
        <f>G32</f>
        <v>8</v>
      </c>
      <c r="H74" s="142">
        <f>D74*G74*F74</f>
        <v>128</v>
      </c>
      <c r="I74" s="66">
        <f>I110</f>
        <v>49050.841739130439</v>
      </c>
      <c r="J74" s="143">
        <f>H74-J110</f>
        <v>18.998129468599018</v>
      </c>
      <c r="K74" s="82"/>
      <c r="L74" s="82"/>
    </row>
    <row r="75" spans="2:12" s="1" customFormat="1" ht="33.75" x14ac:dyDescent="0.15">
      <c r="B75" s="82"/>
      <c r="C75" s="167" t="s">
        <v>121</v>
      </c>
      <c r="D75" s="395" t="s">
        <v>122</v>
      </c>
      <c r="E75" s="395"/>
      <c r="F75" s="177" t="s">
        <v>123</v>
      </c>
      <c r="G75" s="178" t="s">
        <v>124</v>
      </c>
      <c r="H75" s="179" t="s">
        <v>125</v>
      </c>
      <c r="I75" s="180" t="s">
        <v>126</v>
      </c>
      <c r="J75" s="178" t="s">
        <v>127</v>
      </c>
      <c r="K75" s="114" t="s">
        <v>128</v>
      </c>
      <c r="L75" s="114" t="s">
        <v>129</v>
      </c>
    </row>
    <row r="76" spans="2:12" s="1" customFormat="1" ht="12.75" x14ac:dyDescent="0.15">
      <c r="B76" s="82"/>
      <c r="C76" s="89"/>
      <c r="D76" s="391"/>
      <c r="E76" s="391"/>
      <c r="F76" s="184"/>
      <c r="G76" s="92"/>
      <c r="H76" s="92"/>
      <c r="I76" s="168"/>
      <c r="J76" s="185"/>
      <c r="K76" s="82"/>
      <c r="L76" s="82"/>
    </row>
    <row r="77" spans="2:12" s="1" customFormat="1" ht="12.75" x14ac:dyDescent="0.15">
      <c r="B77" s="82"/>
      <c r="C77" s="392" t="s">
        <v>130</v>
      </c>
      <c r="D77" s="392"/>
      <c r="E77" s="392"/>
      <c r="F77" s="184"/>
      <c r="G77" s="92"/>
      <c r="H77" s="92"/>
      <c r="I77" s="168"/>
      <c r="J77" s="185"/>
      <c r="K77" s="82"/>
      <c r="L77" s="82"/>
    </row>
    <row r="78" spans="2:12" s="1" customFormat="1" ht="12.75" x14ac:dyDescent="0.15">
      <c r="B78" s="82"/>
      <c r="C78" s="167" t="s">
        <v>149</v>
      </c>
      <c r="D78" s="167"/>
      <c r="E78" s="167"/>
      <c r="F78" s="168"/>
      <c r="G78" s="92"/>
      <c r="H78" s="92"/>
      <c r="I78" s="168"/>
      <c r="J78" s="185"/>
      <c r="K78" s="82"/>
      <c r="L78" s="82"/>
    </row>
    <row r="79" spans="2:12" s="1" customFormat="1" ht="12.75" customHeight="1" x14ac:dyDescent="0.15">
      <c r="B79" s="82">
        <v>1</v>
      </c>
      <c r="C79" s="203" t="s">
        <v>50</v>
      </c>
      <c r="D79" s="90"/>
      <c r="E79" s="90"/>
      <c r="F79" s="168">
        <v>2943</v>
      </c>
      <c r="G79" s="92">
        <v>0.4</v>
      </c>
      <c r="H79" s="92">
        <v>1</v>
      </c>
      <c r="I79" s="218">
        <f>J79*$C$32</f>
        <v>1177.2</v>
      </c>
      <c r="J79" s="94">
        <f t="shared" ref="J79:J86" si="4">(F79*G79*H79)/$C$32</f>
        <v>2.6160000000000001</v>
      </c>
      <c r="K79" s="82"/>
      <c r="L79" s="82"/>
    </row>
    <row r="80" spans="2:12" s="1" customFormat="1" ht="12.75" customHeight="1" x14ac:dyDescent="0.15">
      <c r="B80" s="82">
        <v>2</v>
      </c>
      <c r="C80" s="203" t="s">
        <v>49</v>
      </c>
      <c r="D80" s="90"/>
      <c r="E80" s="90"/>
      <c r="F80" s="168">
        <v>2028.52</v>
      </c>
      <c r="G80" s="92">
        <v>0.40000000000000013</v>
      </c>
      <c r="H80" s="92">
        <v>1</v>
      </c>
      <c r="I80" s="218">
        <f>J80*$C$32</f>
        <v>811.40800000000024</v>
      </c>
      <c r="J80" s="94">
        <f t="shared" si="4"/>
        <v>1.8031288888888894</v>
      </c>
      <c r="K80" s="82"/>
      <c r="L80" s="82"/>
    </row>
    <row r="81" spans="2:12" s="1" customFormat="1" ht="12.75" customHeight="1" x14ac:dyDescent="0.15">
      <c r="B81" s="82">
        <v>3</v>
      </c>
      <c r="C81" s="203" t="s">
        <v>56</v>
      </c>
      <c r="D81" s="90"/>
      <c r="E81" s="90"/>
      <c r="F81" s="168">
        <v>1890</v>
      </c>
      <c r="G81" s="92">
        <v>0.40000000000000008</v>
      </c>
      <c r="H81" s="92">
        <v>1</v>
      </c>
      <c r="I81" s="218">
        <f t="shared" ref="I81:I86" si="5">J81*$C$32</f>
        <v>756.00000000000011</v>
      </c>
      <c r="J81" s="94">
        <f t="shared" si="4"/>
        <v>1.6800000000000002</v>
      </c>
      <c r="K81" s="82"/>
      <c r="L81" s="82"/>
    </row>
    <row r="82" spans="2:12" s="1" customFormat="1" ht="12.75" customHeight="1" x14ac:dyDescent="0.15">
      <c r="B82" s="82">
        <v>4</v>
      </c>
      <c r="C82" s="203" t="s">
        <v>53</v>
      </c>
      <c r="D82" s="90"/>
      <c r="E82" s="90"/>
      <c r="F82" s="168">
        <v>3888</v>
      </c>
      <c r="G82" s="92">
        <v>0.4</v>
      </c>
      <c r="H82" s="92">
        <v>1</v>
      </c>
      <c r="I82" s="218">
        <f t="shared" si="5"/>
        <v>1555.2</v>
      </c>
      <c r="J82" s="94">
        <f t="shared" si="4"/>
        <v>3.456</v>
      </c>
      <c r="K82" s="82"/>
      <c r="L82" s="82"/>
    </row>
    <row r="83" spans="2:12" s="1" customFormat="1" ht="12.75" customHeight="1" x14ac:dyDescent="0.15">
      <c r="B83" s="82">
        <v>5</v>
      </c>
      <c r="C83" s="203" t="s">
        <v>54</v>
      </c>
      <c r="D83" s="90"/>
      <c r="E83" s="90"/>
      <c r="F83" s="168">
        <v>2916</v>
      </c>
      <c r="G83" s="92">
        <v>0.40000000000000013</v>
      </c>
      <c r="H83" s="92">
        <v>1</v>
      </c>
      <c r="I83" s="218">
        <f t="shared" si="5"/>
        <v>1166.4000000000003</v>
      </c>
      <c r="J83" s="94">
        <f t="shared" si="4"/>
        <v>2.5920000000000005</v>
      </c>
      <c r="K83" s="82"/>
      <c r="L83" s="82"/>
    </row>
    <row r="84" spans="2:12" s="1" customFormat="1" ht="12.75" customHeight="1" x14ac:dyDescent="0.15">
      <c r="B84" s="82">
        <v>6</v>
      </c>
      <c r="C84" s="203" t="s">
        <v>59</v>
      </c>
      <c r="D84" s="90"/>
      <c r="E84" s="90"/>
      <c r="F84" s="168">
        <v>2303.5043479999999</v>
      </c>
      <c r="G84" s="92">
        <v>0.33357870614273316</v>
      </c>
      <c r="H84" s="92">
        <v>1</v>
      </c>
      <c r="I84" s="218">
        <f t="shared" si="5"/>
        <v>768.40000000000009</v>
      </c>
      <c r="J84" s="94">
        <f t="shared" si="4"/>
        <v>1.7075555555555557</v>
      </c>
      <c r="K84" s="82"/>
      <c r="L84" s="82"/>
    </row>
    <row r="85" spans="2:12" s="1" customFormat="1" ht="12.75" customHeight="1" x14ac:dyDescent="0.15">
      <c r="B85" s="82">
        <v>7</v>
      </c>
      <c r="C85" s="203" t="s">
        <v>52</v>
      </c>
      <c r="D85" s="90"/>
      <c r="E85" s="90"/>
      <c r="F85" s="168">
        <v>2916</v>
      </c>
      <c r="G85" s="92">
        <v>0.40000000000000013</v>
      </c>
      <c r="H85" s="92">
        <v>1</v>
      </c>
      <c r="I85" s="218">
        <f t="shared" si="5"/>
        <v>1166.4000000000003</v>
      </c>
      <c r="J85" s="94">
        <f t="shared" si="4"/>
        <v>2.5920000000000005</v>
      </c>
      <c r="K85" s="82"/>
      <c r="L85" s="82"/>
    </row>
    <row r="86" spans="2:12" s="1" customFormat="1" ht="12.75" customHeight="1" x14ac:dyDescent="0.15">
      <c r="B86" s="82">
        <v>8</v>
      </c>
      <c r="C86" s="203" t="s">
        <v>47</v>
      </c>
      <c r="D86" s="90"/>
      <c r="E86" s="90"/>
      <c r="F86" s="168">
        <v>1572.1</v>
      </c>
      <c r="G86" s="92">
        <v>0.40000110624669866</v>
      </c>
      <c r="H86" s="92">
        <v>1</v>
      </c>
      <c r="I86" s="218">
        <f t="shared" si="5"/>
        <v>628.84173913043492</v>
      </c>
      <c r="J86" s="94">
        <f t="shared" si="4"/>
        <v>1.397426086956522</v>
      </c>
      <c r="K86" s="82"/>
      <c r="L86" s="82"/>
    </row>
    <row r="87" spans="2:12" s="1" customFormat="1" ht="12.75" customHeight="1" x14ac:dyDescent="0.15">
      <c r="B87" s="82">
        <v>9</v>
      </c>
      <c r="C87" s="203" t="s">
        <v>234</v>
      </c>
      <c r="D87" s="90"/>
      <c r="E87" s="90"/>
      <c r="F87" s="168">
        <v>5352.48</v>
      </c>
      <c r="G87" s="92">
        <v>0.40000000000000008</v>
      </c>
      <c r="H87" s="92">
        <v>1</v>
      </c>
      <c r="I87" s="218">
        <f t="shared" ref="I87" si="6">J87*$C$32</f>
        <v>2140.9920000000002</v>
      </c>
      <c r="J87" s="94">
        <f t="shared" ref="J87" si="7">(F87*G87*H87)/$C$32</f>
        <v>4.7577600000000002</v>
      </c>
      <c r="K87" s="82"/>
      <c r="L87" s="82"/>
    </row>
    <row r="88" spans="2:12" s="1" customFormat="1" ht="14.25" x14ac:dyDescent="0.15">
      <c r="B88" s="82"/>
      <c r="C88" s="188"/>
      <c r="D88" s="206"/>
      <c r="E88" s="206"/>
      <c r="F88" s="218"/>
      <c r="G88" s="212"/>
      <c r="H88" s="92"/>
      <c r="I88" s="168"/>
      <c r="J88" s="94"/>
      <c r="K88" s="82"/>
      <c r="L88" s="115"/>
    </row>
    <row r="89" spans="2:12" s="1" customFormat="1" ht="14.25" x14ac:dyDescent="0.15">
      <c r="B89" s="82"/>
      <c r="C89" s="188"/>
      <c r="D89" s="206"/>
      <c r="E89" s="206"/>
      <c r="F89" s="218"/>
      <c r="G89" s="212"/>
      <c r="H89" s="92"/>
      <c r="I89" s="168"/>
      <c r="J89" s="94"/>
      <c r="K89" s="82"/>
      <c r="L89" s="115"/>
    </row>
    <row r="90" spans="2:12" s="1" customFormat="1" ht="14.25" x14ac:dyDescent="0.15">
      <c r="B90" s="82"/>
      <c r="C90" s="167" t="s">
        <v>150</v>
      </c>
      <c r="D90" s="90"/>
      <c r="E90" s="90"/>
      <c r="F90" s="168"/>
      <c r="G90" s="92"/>
      <c r="H90" s="92"/>
      <c r="I90" s="168"/>
      <c r="J90" s="94"/>
      <c r="K90" s="82"/>
      <c r="L90" s="115"/>
    </row>
    <row r="91" spans="2:12" s="1" customFormat="1" ht="14.25" x14ac:dyDescent="0.15">
      <c r="B91" s="82">
        <v>1</v>
      </c>
      <c r="C91" s="189" t="s">
        <v>235</v>
      </c>
      <c r="D91" s="206" t="s">
        <v>236</v>
      </c>
      <c r="E91" s="206"/>
      <c r="F91" s="168">
        <v>76500</v>
      </c>
      <c r="G91" s="214">
        <v>0.4</v>
      </c>
      <c r="H91" s="92">
        <v>1</v>
      </c>
      <c r="I91" s="218">
        <f t="shared" ref="I91:I99" si="8">J91*$C$32</f>
        <v>30600</v>
      </c>
      <c r="J91" s="94">
        <f>(F91*G91*H91)/$C$32</f>
        <v>68</v>
      </c>
      <c r="K91" s="82"/>
      <c r="L91" s="115"/>
    </row>
    <row r="92" spans="2:12" s="1" customFormat="1" ht="12.75" x14ac:dyDescent="0.15">
      <c r="B92" s="82">
        <v>2</v>
      </c>
      <c r="C92" s="189" t="s">
        <v>235</v>
      </c>
      <c r="D92" s="206" t="s">
        <v>237</v>
      </c>
      <c r="E92" s="315"/>
      <c r="F92" s="168">
        <v>9200</v>
      </c>
      <c r="G92" s="92">
        <v>0.9</v>
      </c>
      <c r="H92" s="92">
        <v>1</v>
      </c>
      <c r="I92" s="168">
        <f t="shared" si="8"/>
        <v>8280</v>
      </c>
      <c r="J92" s="185">
        <f t="shared" ref="J92:J99" si="9">(F92*G92*H92)/$C$32</f>
        <v>18.399999999999999</v>
      </c>
      <c r="K92" s="82"/>
      <c r="L92" s="82"/>
    </row>
    <row r="93" spans="2:12" s="1" customFormat="1" ht="12.75" x14ac:dyDescent="0.15">
      <c r="B93" s="82">
        <v>3</v>
      </c>
      <c r="C93" s="189"/>
      <c r="D93" s="206"/>
      <c r="E93" s="206"/>
      <c r="F93" s="168"/>
      <c r="G93" s="92"/>
      <c r="H93" s="92">
        <v>1</v>
      </c>
      <c r="I93" s="168">
        <f t="shared" si="8"/>
        <v>0</v>
      </c>
      <c r="J93" s="185">
        <f t="shared" si="9"/>
        <v>0</v>
      </c>
      <c r="K93" s="82"/>
      <c r="L93" s="82"/>
    </row>
    <row r="94" spans="2:12" s="1" customFormat="1" ht="12.75" x14ac:dyDescent="0.15">
      <c r="B94" s="82">
        <v>4</v>
      </c>
      <c r="C94" s="189"/>
      <c r="D94" s="206"/>
      <c r="E94" s="206"/>
      <c r="F94" s="168"/>
      <c r="G94" s="92"/>
      <c r="H94" s="92">
        <v>1</v>
      </c>
      <c r="I94" s="168">
        <f t="shared" si="8"/>
        <v>0</v>
      </c>
      <c r="J94" s="185">
        <f t="shared" si="9"/>
        <v>0</v>
      </c>
      <c r="K94" s="82"/>
      <c r="L94" s="82"/>
    </row>
    <row r="95" spans="2:12" s="1" customFormat="1" ht="12.75" x14ac:dyDescent="0.15">
      <c r="B95" s="82">
        <v>5</v>
      </c>
      <c r="C95" s="189"/>
      <c r="D95" s="206"/>
      <c r="E95" s="206"/>
      <c r="F95" s="168"/>
      <c r="G95" s="92"/>
      <c r="H95" s="92">
        <v>1</v>
      </c>
      <c r="I95" s="168">
        <f t="shared" si="8"/>
        <v>0</v>
      </c>
      <c r="J95" s="185">
        <f t="shared" si="9"/>
        <v>0</v>
      </c>
      <c r="K95" s="82"/>
      <c r="L95" s="82"/>
    </row>
    <row r="96" spans="2:12" s="1" customFormat="1" ht="12.75" x14ac:dyDescent="0.15">
      <c r="B96" s="82">
        <v>7</v>
      </c>
      <c r="C96" s="189"/>
      <c r="D96" s="206"/>
      <c r="E96" s="206"/>
      <c r="F96" s="168"/>
      <c r="G96" s="92"/>
      <c r="H96" s="92">
        <v>1</v>
      </c>
      <c r="I96" s="168">
        <f t="shared" si="8"/>
        <v>0</v>
      </c>
      <c r="J96" s="185">
        <f t="shared" si="9"/>
        <v>0</v>
      </c>
      <c r="K96" s="82"/>
      <c r="L96" s="82"/>
    </row>
    <row r="97" spans="2:12" s="1" customFormat="1" ht="12.75" x14ac:dyDescent="0.15">
      <c r="B97" s="82">
        <v>8</v>
      </c>
      <c r="C97" s="189"/>
      <c r="D97" s="206"/>
      <c r="E97" s="206"/>
      <c r="F97" s="168"/>
      <c r="G97" s="92"/>
      <c r="H97" s="92">
        <v>1</v>
      </c>
      <c r="I97" s="168">
        <f t="shared" si="8"/>
        <v>0</v>
      </c>
      <c r="J97" s="185">
        <f t="shared" si="9"/>
        <v>0</v>
      </c>
      <c r="K97" s="82"/>
      <c r="L97" s="82"/>
    </row>
    <row r="98" spans="2:12" s="1" customFormat="1" ht="12.75" x14ac:dyDescent="0.15">
      <c r="B98" s="82">
        <v>9</v>
      </c>
      <c r="C98" s="189"/>
      <c r="D98" s="206"/>
      <c r="E98" s="206"/>
      <c r="F98" s="168"/>
      <c r="G98" s="92"/>
      <c r="H98" s="92">
        <v>1</v>
      </c>
      <c r="I98" s="168">
        <f t="shared" si="8"/>
        <v>0</v>
      </c>
      <c r="J98" s="185">
        <f t="shared" si="9"/>
        <v>0</v>
      </c>
      <c r="K98" s="82"/>
      <c r="L98" s="82"/>
    </row>
    <row r="99" spans="2:12" s="1" customFormat="1" ht="12.75" x14ac:dyDescent="0.15">
      <c r="B99" s="82">
        <v>10</v>
      </c>
      <c r="C99" s="189"/>
      <c r="D99" s="206"/>
      <c r="E99" s="206"/>
      <c r="F99" s="168"/>
      <c r="G99" s="92"/>
      <c r="H99" s="92">
        <v>1</v>
      </c>
      <c r="I99" s="168">
        <f t="shared" si="8"/>
        <v>0</v>
      </c>
      <c r="J99" s="185">
        <f t="shared" si="9"/>
        <v>0</v>
      </c>
      <c r="K99" s="82"/>
      <c r="L99" s="82"/>
    </row>
    <row r="100" spans="2:12" s="1" customFormat="1" ht="12.75" x14ac:dyDescent="0.15">
      <c r="B100" s="82">
        <v>11</v>
      </c>
      <c r="C100" s="189"/>
      <c r="D100" s="206"/>
      <c r="E100" s="206"/>
      <c r="F100" s="168"/>
      <c r="G100" s="92"/>
      <c r="H100" s="92">
        <v>1</v>
      </c>
      <c r="I100" s="168"/>
      <c r="J100" s="185"/>
      <c r="K100" s="82"/>
      <c r="L100" s="82"/>
    </row>
    <row r="101" spans="2:12" s="1" customFormat="1" ht="12.75" x14ac:dyDescent="0.15">
      <c r="B101" s="82">
        <v>12</v>
      </c>
      <c r="C101" s="189"/>
      <c r="D101" s="206"/>
      <c r="E101" s="206"/>
      <c r="F101" s="168"/>
      <c r="G101" s="92"/>
      <c r="H101" s="92">
        <v>1</v>
      </c>
      <c r="I101" s="168"/>
      <c r="J101" s="185"/>
      <c r="K101" s="82"/>
      <c r="L101" s="82"/>
    </row>
    <row r="102" spans="2:12" s="1" customFormat="1" ht="12.75" x14ac:dyDescent="0.15">
      <c r="B102" s="82">
        <v>14</v>
      </c>
      <c r="C102" s="189"/>
      <c r="D102" s="206"/>
      <c r="E102" s="206"/>
      <c r="F102" s="168"/>
      <c r="G102" s="92"/>
      <c r="H102" s="92">
        <v>1</v>
      </c>
      <c r="I102" s="168">
        <f t="shared" ref="I102:I108" si="10">J102*$C$32</f>
        <v>0</v>
      </c>
      <c r="J102" s="185">
        <f t="shared" ref="J102:J103" si="11">(F102*G102*H102)/$C$32</f>
        <v>0</v>
      </c>
      <c r="K102" s="82"/>
      <c r="L102" s="82"/>
    </row>
    <row r="103" spans="2:12" s="1" customFormat="1" ht="12.75" x14ac:dyDescent="0.15">
      <c r="B103" s="82">
        <v>15</v>
      </c>
      <c r="C103" s="189"/>
      <c r="D103" s="206"/>
      <c r="E103" s="206"/>
      <c r="F103" s="168"/>
      <c r="G103" s="92"/>
      <c r="H103" s="92">
        <v>1</v>
      </c>
      <c r="I103" s="168">
        <f t="shared" si="10"/>
        <v>0</v>
      </c>
      <c r="J103" s="185">
        <f t="shared" si="11"/>
        <v>0</v>
      </c>
      <c r="K103" s="82"/>
      <c r="L103" s="82"/>
    </row>
    <row r="104" spans="2:12" s="1" customFormat="1" ht="12.75" x14ac:dyDescent="0.15">
      <c r="B104" s="82">
        <v>16</v>
      </c>
      <c r="C104" s="189"/>
      <c r="D104" s="206"/>
      <c r="E104" s="206"/>
      <c r="F104" s="168"/>
      <c r="G104" s="92"/>
      <c r="H104" s="92">
        <v>1</v>
      </c>
      <c r="I104" s="168">
        <f t="shared" si="10"/>
        <v>0</v>
      </c>
      <c r="J104" s="185">
        <f>(F104*G104*H104)/$C$32</f>
        <v>0</v>
      </c>
      <c r="K104" s="82"/>
      <c r="L104" s="82"/>
    </row>
    <row r="105" spans="2:12" s="1" customFormat="1" ht="12.75" x14ac:dyDescent="0.15">
      <c r="B105" s="82">
        <v>17</v>
      </c>
      <c r="C105" s="189"/>
      <c r="D105" s="206"/>
      <c r="E105" s="206"/>
      <c r="F105" s="168"/>
      <c r="G105" s="92"/>
      <c r="H105" s="92">
        <v>1</v>
      </c>
      <c r="I105" s="168">
        <f t="shared" si="10"/>
        <v>0</v>
      </c>
      <c r="J105" s="185">
        <f>(F105*G105*H105)/$C$32</f>
        <v>0</v>
      </c>
      <c r="K105" s="82"/>
      <c r="L105" s="82"/>
    </row>
    <row r="106" spans="2:12" s="1" customFormat="1" ht="12.75" x14ac:dyDescent="0.15">
      <c r="B106" s="82">
        <v>18</v>
      </c>
      <c r="C106" s="189"/>
      <c r="D106" s="206"/>
      <c r="E106" s="206"/>
      <c r="F106" s="168"/>
      <c r="G106" s="92"/>
      <c r="H106" s="92">
        <v>1</v>
      </c>
      <c r="I106" s="168">
        <f t="shared" si="10"/>
        <v>0</v>
      </c>
      <c r="J106" s="185">
        <f>(F106*G106*H106)/$C$32</f>
        <v>0</v>
      </c>
      <c r="K106" s="242"/>
      <c r="L106" s="82"/>
    </row>
    <row r="107" spans="2:12" s="1" customFormat="1" ht="12.75" x14ac:dyDescent="0.15">
      <c r="B107" s="82">
        <v>19</v>
      </c>
      <c r="C107" s="189"/>
      <c r="D107" s="206"/>
      <c r="E107" s="206"/>
      <c r="F107" s="168"/>
      <c r="G107" s="92"/>
      <c r="H107" s="92">
        <v>1</v>
      </c>
      <c r="I107" s="168">
        <f t="shared" si="10"/>
        <v>0</v>
      </c>
      <c r="J107" s="185">
        <f>(F107*G107*H107)/$C$32</f>
        <v>0</v>
      </c>
      <c r="K107" s="215"/>
      <c r="L107" s="82"/>
    </row>
    <row r="108" spans="2:12" s="1" customFormat="1" ht="12.75" x14ac:dyDescent="0.15">
      <c r="B108" s="82">
        <v>20</v>
      </c>
      <c r="C108" s="189"/>
      <c r="D108" s="206"/>
      <c r="E108" s="206"/>
      <c r="F108" s="168"/>
      <c r="G108" s="92"/>
      <c r="H108" s="92">
        <v>1</v>
      </c>
      <c r="I108" s="168">
        <f t="shared" si="10"/>
        <v>0</v>
      </c>
      <c r="J108" s="185">
        <f>(F108*G108*H108)/$C$32</f>
        <v>0</v>
      </c>
      <c r="K108" s="82"/>
      <c r="L108" s="82"/>
    </row>
    <row r="109" spans="2:12" s="1" customFormat="1" ht="12.75" x14ac:dyDescent="0.15">
      <c r="B109" s="82"/>
      <c r="C109" s="189"/>
      <c r="D109" s="206"/>
      <c r="E109" s="206"/>
      <c r="F109" s="168"/>
      <c r="G109" s="92"/>
      <c r="H109" s="92"/>
      <c r="I109" s="168"/>
      <c r="J109" s="185"/>
      <c r="K109" s="82"/>
      <c r="L109" s="82"/>
    </row>
    <row r="110" spans="2:12" s="1" customFormat="1" ht="12.75" x14ac:dyDescent="0.15">
      <c r="B110" s="82"/>
      <c r="C110" s="102"/>
      <c r="D110" s="103"/>
      <c r="E110" s="102"/>
      <c r="F110" s="128">
        <f>SUM(F77:F109)</f>
        <v>111509.60434799999</v>
      </c>
      <c r="G110" s="104"/>
      <c r="H110" s="105"/>
      <c r="I110" s="128">
        <f>SUM(I79:I109)</f>
        <v>49050.841739130439</v>
      </c>
      <c r="J110" s="257">
        <f>SUM(J76:J109)</f>
        <v>109.00187053140098</v>
      </c>
    </row>
    <row r="111" spans="2:12" s="1" customFormat="1" ht="12.75" x14ac:dyDescent="0.15">
      <c r="B111" s="82"/>
      <c r="C111" s="102"/>
      <c r="D111" s="103"/>
      <c r="E111" s="102" t="s">
        <v>147</v>
      </c>
      <c r="F111" s="128">
        <f>100/115*F110</f>
        <v>96964.873346086955</v>
      </c>
      <c r="G111" s="104"/>
      <c r="H111" s="105" t="s">
        <v>147</v>
      </c>
      <c r="I111" s="128">
        <f>100/115*I110</f>
        <v>42652.905860113424</v>
      </c>
      <c r="J111" s="106"/>
    </row>
    <row r="112" spans="2:12" s="1" customFormat="1" ht="12.75" x14ac:dyDescent="0.15"/>
    <row r="113" spans="2:12" s="1" customFormat="1" ht="12.75" x14ac:dyDescent="0.15"/>
    <row r="114" spans="2:12" s="1" customFormat="1" ht="12.75" x14ac:dyDescent="0.15"/>
    <row r="115" spans="2:12" s="1" customFormat="1" ht="12.75" x14ac:dyDescent="0.15"/>
    <row r="116" spans="2:12" s="247" customFormat="1" ht="32.25" x14ac:dyDescent="0.4">
      <c r="B116" s="248"/>
      <c r="C116" s="380" t="s">
        <v>112</v>
      </c>
      <c r="D116" s="380"/>
      <c r="E116" s="428" t="s">
        <v>151</v>
      </c>
      <c r="F116" s="428"/>
      <c r="G116" s="428"/>
      <c r="H116" s="428"/>
      <c r="I116" s="428"/>
      <c r="J116" s="382">
        <v>2026</v>
      </c>
      <c r="K116" s="382"/>
      <c r="L116" s="382"/>
    </row>
    <row r="117" spans="2:12" s="1" customFormat="1" ht="22.5" x14ac:dyDescent="0.15">
      <c r="B117" s="82"/>
      <c r="C117" s="102" t="s">
        <v>114</v>
      </c>
      <c r="D117" s="388" t="s">
        <v>115</v>
      </c>
      <c r="E117" s="388"/>
      <c r="F117" s="102" t="s">
        <v>116</v>
      </c>
      <c r="G117" s="102" t="s">
        <v>117</v>
      </c>
      <c r="H117" s="102" t="s">
        <v>118</v>
      </c>
      <c r="I117" s="102" t="s">
        <v>119</v>
      </c>
      <c r="J117" s="102" t="s">
        <v>120</v>
      </c>
      <c r="K117" s="82"/>
      <c r="L117" s="82"/>
    </row>
    <row r="118" spans="2:12" s="1" customFormat="1" ht="12.75" x14ac:dyDescent="0.15">
      <c r="B118" s="2"/>
      <c r="C118" s="220">
        <f>C74</f>
        <v>450</v>
      </c>
      <c r="D118" s="399">
        <v>21</v>
      </c>
      <c r="E118" s="399"/>
      <c r="F118" s="208">
        <f>F74</f>
        <v>0.8</v>
      </c>
      <c r="G118" s="209">
        <f>G74</f>
        <v>8</v>
      </c>
      <c r="H118" s="210">
        <f>D118*G118*F118</f>
        <v>134.4</v>
      </c>
      <c r="I118" s="216">
        <f>I179</f>
        <v>0</v>
      </c>
      <c r="J118" s="211">
        <f>H118-J179</f>
        <v>134.4</v>
      </c>
      <c r="K118" s="120"/>
      <c r="L118" s="120"/>
    </row>
    <row r="119" spans="2:12" s="1" customFormat="1" ht="33.75" x14ac:dyDescent="0.15">
      <c r="B119" s="2"/>
      <c r="C119" s="167" t="s">
        <v>121</v>
      </c>
      <c r="D119" s="395" t="s">
        <v>122</v>
      </c>
      <c r="E119" s="395"/>
      <c r="F119" s="177" t="s">
        <v>123</v>
      </c>
      <c r="G119" s="198" t="s">
        <v>124</v>
      </c>
      <c r="H119" s="15" t="s">
        <v>125</v>
      </c>
      <c r="I119" s="217" t="s">
        <v>126</v>
      </c>
      <c r="J119" s="178" t="s">
        <v>127</v>
      </c>
      <c r="K119" s="114" t="s">
        <v>128</v>
      </c>
      <c r="L119" s="114" t="s">
        <v>129</v>
      </c>
    </row>
    <row r="120" spans="2:12" s="1" customFormat="1" ht="12.75" x14ac:dyDescent="0.15">
      <c r="B120" s="2"/>
      <c r="C120" s="89"/>
      <c r="D120" s="391"/>
      <c r="E120" s="391"/>
      <c r="F120" s="91"/>
      <c r="G120" s="199"/>
      <c r="H120" s="9"/>
      <c r="I120" s="218"/>
      <c r="J120" s="94"/>
      <c r="K120" s="82"/>
      <c r="L120" s="82"/>
    </row>
    <row r="121" spans="2:12" s="1" customFormat="1" ht="13.35" customHeight="1" x14ac:dyDescent="0.15">
      <c r="B121" s="2"/>
      <c r="C121" s="392" t="s">
        <v>130</v>
      </c>
      <c r="D121" s="392"/>
      <c r="E121" s="392"/>
      <c r="F121" s="184"/>
      <c r="G121" s="200"/>
      <c r="H121" s="9"/>
      <c r="I121" s="218"/>
      <c r="J121" s="94"/>
      <c r="K121" s="82"/>
      <c r="L121" s="82"/>
    </row>
    <row r="122" spans="2:12" s="1" customFormat="1" ht="13.35" customHeight="1" x14ac:dyDescent="0.15">
      <c r="B122" s="2"/>
      <c r="C122" s="167" t="s">
        <v>152</v>
      </c>
      <c r="D122" s="167"/>
      <c r="E122" s="167"/>
      <c r="F122" s="168"/>
      <c r="G122" s="200"/>
      <c r="H122" s="9"/>
      <c r="I122" s="218"/>
      <c r="J122" s="94"/>
      <c r="K122" s="82"/>
      <c r="L122" s="82"/>
    </row>
    <row r="123" spans="2:12" s="1" customFormat="1" ht="12.75" customHeight="1" x14ac:dyDescent="0.15">
      <c r="B123" s="2">
        <v>1</v>
      </c>
      <c r="C123" s="203"/>
      <c r="D123" s="391"/>
      <c r="E123" s="391"/>
      <c r="F123" s="168"/>
      <c r="G123" s="200"/>
      <c r="H123" s="9">
        <v>1</v>
      </c>
      <c r="I123" s="218">
        <f>J123*$C$32</f>
        <v>0</v>
      </c>
      <c r="J123" s="94">
        <f t="shared" ref="J123:J177" si="12">(F123*G123*H123)/$C$32</f>
        <v>0</v>
      </c>
      <c r="K123" s="82"/>
      <c r="L123" s="82"/>
    </row>
    <row r="124" spans="2:12" s="1" customFormat="1" ht="12.75" customHeight="1" x14ac:dyDescent="0.15">
      <c r="B124" s="2">
        <v>2</v>
      </c>
      <c r="C124" s="203"/>
      <c r="D124" s="391"/>
      <c r="E124" s="391"/>
      <c r="F124" s="168"/>
      <c r="G124" s="200"/>
      <c r="H124" s="9">
        <v>1</v>
      </c>
      <c r="I124" s="218">
        <f>J124*$C$32</f>
        <v>0</v>
      </c>
      <c r="J124" s="94">
        <f t="shared" si="12"/>
        <v>0</v>
      </c>
      <c r="K124" s="82"/>
      <c r="L124" s="82"/>
    </row>
    <row r="125" spans="2:12" s="1" customFormat="1" ht="12.75" customHeight="1" x14ac:dyDescent="0.15">
      <c r="B125" s="2">
        <v>3</v>
      </c>
      <c r="C125" s="203"/>
      <c r="D125" s="90"/>
      <c r="E125" s="90"/>
      <c r="F125" s="168"/>
      <c r="G125" s="200"/>
      <c r="H125" s="9">
        <v>1</v>
      </c>
      <c r="I125" s="218">
        <f t="shared" ref="I125:I177" si="13">J125*$C$32</f>
        <v>0</v>
      </c>
      <c r="J125" s="94">
        <f t="shared" si="12"/>
        <v>0</v>
      </c>
      <c r="K125" s="82"/>
      <c r="L125" s="82"/>
    </row>
    <row r="126" spans="2:12" s="1" customFormat="1" ht="12.75" customHeight="1" x14ac:dyDescent="0.15">
      <c r="B126" s="2">
        <v>4</v>
      </c>
      <c r="C126" s="203"/>
      <c r="D126" s="90"/>
      <c r="E126" s="90"/>
      <c r="F126" s="168"/>
      <c r="G126" s="200"/>
      <c r="H126" s="9">
        <v>1</v>
      </c>
      <c r="I126" s="218">
        <f t="shared" si="13"/>
        <v>0</v>
      </c>
      <c r="J126" s="94">
        <f t="shared" si="12"/>
        <v>0</v>
      </c>
      <c r="K126" s="82"/>
      <c r="L126" s="82"/>
    </row>
    <row r="127" spans="2:12" s="1" customFormat="1" ht="12.75" customHeight="1" x14ac:dyDescent="0.15">
      <c r="B127" s="2">
        <v>5</v>
      </c>
      <c r="C127" s="203"/>
      <c r="D127" s="90"/>
      <c r="E127" s="90"/>
      <c r="F127" s="168"/>
      <c r="G127" s="200"/>
      <c r="H127" s="9">
        <v>1</v>
      </c>
      <c r="I127" s="218">
        <f t="shared" si="13"/>
        <v>0</v>
      </c>
      <c r="J127" s="94">
        <f t="shared" si="12"/>
        <v>0</v>
      </c>
      <c r="K127" s="82"/>
      <c r="L127" s="82"/>
    </row>
    <row r="128" spans="2:12" s="1" customFormat="1" ht="12.75" customHeight="1" x14ac:dyDescent="0.15">
      <c r="B128" s="2">
        <v>6</v>
      </c>
      <c r="C128" s="203"/>
      <c r="D128" s="90"/>
      <c r="E128" s="90"/>
      <c r="F128" s="168"/>
      <c r="G128" s="200"/>
      <c r="H128" s="9">
        <v>1</v>
      </c>
      <c r="I128" s="218">
        <f t="shared" si="13"/>
        <v>0</v>
      </c>
      <c r="J128" s="94">
        <f t="shared" si="12"/>
        <v>0</v>
      </c>
      <c r="K128" s="82"/>
      <c r="L128" s="82"/>
    </row>
    <row r="129" spans="2:12" s="1" customFormat="1" ht="12.75" customHeight="1" x14ac:dyDescent="0.15">
      <c r="B129" s="2">
        <v>7</v>
      </c>
      <c r="C129" s="203"/>
      <c r="D129" s="90"/>
      <c r="E129" s="90"/>
      <c r="F129" s="168"/>
      <c r="G129" s="200"/>
      <c r="H129" s="9">
        <v>1</v>
      </c>
      <c r="I129" s="218">
        <f t="shared" si="13"/>
        <v>0</v>
      </c>
      <c r="J129" s="94">
        <f t="shared" si="12"/>
        <v>0</v>
      </c>
      <c r="K129" s="82"/>
      <c r="L129" s="82"/>
    </row>
    <row r="130" spans="2:12" s="1" customFormat="1" ht="12.75" customHeight="1" x14ac:dyDescent="0.15">
      <c r="B130" s="2">
        <v>8</v>
      </c>
      <c r="C130" s="203"/>
      <c r="D130" s="90"/>
      <c r="E130" s="90"/>
      <c r="F130" s="168"/>
      <c r="G130" s="200"/>
      <c r="H130" s="9">
        <v>1</v>
      </c>
      <c r="I130" s="218">
        <f t="shared" si="13"/>
        <v>0</v>
      </c>
      <c r="J130" s="94">
        <f t="shared" si="12"/>
        <v>0</v>
      </c>
      <c r="K130" s="82"/>
      <c r="L130" s="82"/>
    </row>
    <row r="131" spans="2:12" s="1" customFormat="1" ht="12.75" customHeight="1" x14ac:dyDescent="0.15">
      <c r="B131" s="2">
        <v>9</v>
      </c>
      <c r="C131" s="203"/>
      <c r="D131" s="90"/>
      <c r="E131" s="90"/>
      <c r="F131" s="168"/>
      <c r="G131" s="200"/>
      <c r="H131" s="9">
        <v>1</v>
      </c>
      <c r="I131" s="218">
        <f t="shared" si="13"/>
        <v>0</v>
      </c>
      <c r="J131" s="94">
        <f t="shared" si="12"/>
        <v>0</v>
      </c>
      <c r="K131" s="82"/>
      <c r="L131" s="82"/>
    </row>
    <row r="132" spans="2:12" s="1" customFormat="1" ht="12.75" customHeight="1" x14ac:dyDescent="0.15">
      <c r="B132" s="2">
        <v>10</v>
      </c>
      <c r="C132" s="203"/>
      <c r="D132" s="90"/>
      <c r="E132" s="90"/>
      <c r="F132" s="168"/>
      <c r="G132" s="200"/>
      <c r="H132" s="9">
        <v>1</v>
      </c>
      <c r="I132" s="218">
        <f t="shared" si="13"/>
        <v>0</v>
      </c>
      <c r="J132" s="94">
        <f t="shared" si="12"/>
        <v>0</v>
      </c>
      <c r="K132" s="82"/>
      <c r="L132" s="82"/>
    </row>
    <row r="133" spans="2:12" s="1" customFormat="1" ht="12.75" customHeight="1" x14ac:dyDescent="0.15">
      <c r="B133" s="2"/>
      <c r="C133" s="203"/>
      <c r="D133" s="90"/>
      <c r="E133" s="90"/>
      <c r="F133" s="168"/>
      <c r="G133" s="200"/>
      <c r="H133" s="9">
        <v>1</v>
      </c>
      <c r="I133" s="218">
        <f t="shared" si="13"/>
        <v>0</v>
      </c>
      <c r="J133" s="94">
        <f t="shared" si="12"/>
        <v>0</v>
      </c>
      <c r="K133" s="82"/>
      <c r="L133" s="82"/>
    </row>
    <row r="134" spans="2:12" s="1" customFormat="1" ht="12.75" customHeight="1" x14ac:dyDescent="0.15">
      <c r="B134" s="2"/>
      <c r="C134" s="203"/>
      <c r="D134" s="391"/>
      <c r="E134" s="391"/>
      <c r="F134" s="168"/>
      <c r="G134" s="200"/>
      <c r="H134" s="9"/>
      <c r="I134" s="218"/>
      <c r="J134" s="94"/>
      <c r="K134" s="82"/>
      <c r="L134" s="82"/>
    </row>
    <row r="135" spans="2:12" s="1" customFormat="1" ht="12.75" customHeight="1" x14ac:dyDescent="0.15">
      <c r="B135" s="2"/>
      <c r="C135" s="187" t="s">
        <v>153</v>
      </c>
      <c r="D135" s="391"/>
      <c r="E135" s="391"/>
      <c r="F135" s="168"/>
      <c r="G135" s="200"/>
      <c r="H135" s="9"/>
      <c r="I135" s="218"/>
      <c r="J135" s="94"/>
      <c r="K135" s="82"/>
      <c r="L135" s="82"/>
    </row>
    <row r="136" spans="2:12" s="1" customFormat="1" ht="15" customHeight="1" x14ac:dyDescent="0.15">
      <c r="B136" s="2">
        <v>1</v>
      </c>
      <c r="C136" s="188"/>
      <c r="D136" s="204"/>
      <c r="E136" s="204"/>
      <c r="F136" s="168"/>
      <c r="G136" s="200"/>
      <c r="H136" s="9">
        <v>1</v>
      </c>
      <c r="I136" s="218">
        <f t="shared" si="13"/>
        <v>0</v>
      </c>
      <c r="J136" s="94">
        <f t="shared" si="12"/>
        <v>0</v>
      </c>
      <c r="K136" s="82"/>
      <c r="L136" s="82"/>
    </row>
    <row r="137" spans="2:12" s="1" customFormat="1" ht="13.35" customHeight="1" x14ac:dyDescent="0.15">
      <c r="B137" s="2">
        <v>2</v>
      </c>
      <c r="C137" s="188"/>
      <c r="D137" s="204"/>
      <c r="E137" s="204"/>
      <c r="F137" s="168"/>
      <c r="G137" s="200"/>
      <c r="H137" s="9">
        <v>1</v>
      </c>
      <c r="I137" s="218">
        <f t="shared" si="13"/>
        <v>0</v>
      </c>
      <c r="J137" s="94">
        <f t="shared" si="12"/>
        <v>0</v>
      </c>
      <c r="K137" s="82"/>
      <c r="L137" s="82"/>
    </row>
    <row r="138" spans="2:12" s="1" customFormat="1" ht="13.35" customHeight="1" x14ac:dyDescent="0.15">
      <c r="B138" s="2">
        <v>3</v>
      </c>
      <c r="C138" s="189"/>
      <c r="D138" s="204"/>
      <c r="E138" s="204"/>
      <c r="F138" s="168"/>
      <c r="G138" s="200"/>
      <c r="H138" s="9">
        <v>1</v>
      </c>
      <c r="I138" s="218">
        <f t="shared" si="13"/>
        <v>0</v>
      </c>
      <c r="J138" s="94">
        <f t="shared" si="12"/>
        <v>0</v>
      </c>
      <c r="K138" s="82"/>
      <c r="L138" s="82"/>
    </row>
    <row r="139" spans="2:12" s="1" customFormat="1" ht="13.35" customHeight="1" x14ac:dyDescent="0.15">
      <c r="B139" s="2">
        <v>5</v>
      </c>
      <c r="C139" s="188"/>
      <c r="D139" s="205"/>
      <c r="E139" s="205"/>
      <c r="F139" s="168"/>
      <c r="G139" s="200"/>
      <c r="H139" s="9">
        <v>1</v>
      </c>
      <c r="I139" s="218">
        <f t="shared" si="13"/>
        <v>0</v>
      </c>
      <c r="J139" s="94">
        <f t="shared" si="12"/>
        <v>0</v>
      </c>
      <c r="K139" s="82"/>
      <c r="L139" s="82"/>
    </row>
    <row r="140" spans="2:12" s="1" customFormat="1" ht="13.35" customHeight="1" x14ac:dyDescent="0.15">
      <c r="B140" s="2">
        <v>6</v>
      </c>
      <c r="C140" s="188"/>
      <c r="D140" s="204"/>
      <c r="E140" s="204"/>
      <c r="F140" s="168"/>
      <c r="G140" s="200"/>
      <c r="H140" s="9">
        <v>1</v>
      </c>
      <c r="I140" s="218">
        <f t="shared" si="13"/>
        <v>0</v>
      </c>
      <c r="J140" s="94">
        <f t="shared" si="12"/>
        <v>0</v>
      </c>
      <c r="K140" s="82"/>
      <c r="L140" s="82"/>
    </row>
    <row r="141" spans="2:12" s="1" customFormat="1" ht="13.35" customHeight="1" x14ac:dyDescent="0.15">
      <c r="B141" s="2">
        <v>7</v>
      </c>
      <c r="C141" s="188"/>
      <c r="D141" s="204"/>
      <c r="E141" s="204"/>
      <c r="F141" s="168"/>
      <c r="G141" s="200"/>
      <c r="H141" s="9">
        <v>1</v>
      </c>
      <c r="I141" s="168">
        <f t="shared" si="13"/>
        <v>0</v>
      </c>
      <c r="J141" s="94">
        <f t="shared" si="12"/>
        <v>0</v>
      </c>
      <c r="K141" s="82"/>
      <c r="L141" s="82"/>
    </row>
    <row r="142" spans="2:12" s="1" customFormat="1" ht="13.35" customHeight="1" x14ac:dyDescent="0.15">
      <c r="B142" s="2">
        <v>8</v>
      </c>
      <c r="C142" s="188"/>
      <c r="D142" s="206"/>
      <c r="E142" s="206"/>
      <c r="F142" s="168"/>
      <c r="G142" s="200"/>
      <c r="H142" s="9">
        <v>1</v>
      </c>
      <c r="I142" s="168">
        <f t="shared" si="13"/>
        <v>0</v>
      </c>
      <c r="J142" s="94">
        <f t="shared" si="12"/>
        <v>0</v>
      </c>
      <c r="K142" s="82"/>
      <c r="L142" s="82"/>
    </row>
    <row r="143" spans="2:12" s="1" customFormat="1" ht="13.35" customHeight="1" x14ac:dyDescent="0.15">
      <c r="B143" s="2">
        <v>9</v>
      </c>
      <c r="C143" s="113"/>
      <c r="D143" s="206"/>
      <c r="E143" s="206"/>
      <c r="F143" s="168"/>
      <c r="G143" s="200"/>
      <c r="H143" s="9">
        <v>1</v>
      </c>
      <c r="I143" s="168">
        <f>J143*$C$32</f>
        <v>0</v>
      </c>
      <c r="J143" s="94">
        <f t="shared" si="12"/>
        <v>0</v>
      </c>
      <c r="K143" s="82"/>
      <c r="L143" s="82"/>
    </row>
    <row r="144" spans="2:12" s="1" customFormat="1" ht="13.35" customHeight="1" x14ac:dyDescent="0.15">
      <c r="B144" s="2">
        <v>10</v>
      </c>
      <c r="C144" s="188"/>
      <c r="D144" s="204"/>
      <c r="E144" s="204"/>
      <c r="F144" s="168"/>
      <c r="G144" s="200"/>
      <c r="H144" s="9">
        <v>1</v>
      </c>
      <c r="I144" s="168">
        <f t="shared" si="13"/>
        <v>0</v>
      </c>
      <c r="J144" s="94">
        <f t="shared" si="12"/>
        <v>0</v>
      </c>
      <c r="K144" s="82"/>
      <c r="L144" s="82"/>
    </row>
    <row r="145" spans="2:12" s="1" customFormat="1" ht="13.35" customHeight="1" x14ac:dyDescent="0.15">
      <c r="B145" s="2">
        <v>11</v>
      </c>
      <c r="C145" s="188"/>
      <c r="D145" s="204"/>
      <c r="E145" s="204"/>
      <c r="F145" s="168"/>
      <c r="G145" s="200"/>
      <c r="H145" s="9">
        <v>1</v>
      </c>
      <c r="I145" s="168">
        <f t="shared" si="13"/>
        <v>0</v>
      </c>
      <c r="J145" s="94">
        <f t="shared" si="12"/>
        <v>0</v>
      </c>
      <c r="K145" s="82"/>
      <c r="L145" s="82"/>
    </row>
    <row r="146" spans="2:12" s="1" customFormat="1" ht="13.35" customHeight="1" x14ac:dyDescent="0.15">
      <c r="B146" s="2">
        <v>12</v>
      </c>
      <c r="C146" s="188"/>
      <c r="D146" s="204"/>
      <c r="E146" s="204"/>
      <c r="F146" s="168"/>
      <c r="G146" s="200"/>
      <c r="H146" s="9">
        <v>1</v>
      </c>
      <c r="I146" s="168">
        <f t="shared" si="13"/>
        <v>0</v>
      </c>
      <c r="J146" s="94">
        <f t="shared" si="12"/>
        <v>0</v>
      </c>
      <c r="K146" s="82"/>
      <c r="L146" s="82"/>
    </row>
    <row r="147" spans="2:12" s="1" customFormat="1" ht="13.35" customHeight="1" x14ac:dyDescent="0.15">
      <c r="B147" s="2">
        <v>13</v>
      </c>
      <c r="C147" s="188"/>
      <c r="D147" s="204"/>
      <c r="E147" s="204"/>
      <c r="F147" s="168"/>
      <c r="G147" s="200"/>
      <c r="H147" s="9">
        <v>1</v>
      </c>
      <c r="I147" s="168">
        <f t="shared" si="13"/>
        <v>0</v>
      </c>
      <c r="J147" s="94">
        <f t="shared" si="12"/>
        <v>0</v>
      </c>
      <c r="K147" s="82"/>
      <c r="L147" s="82"/>
    </row>
    <row r="148" spans="2:12" s="1" customFormat="1" ht="13.35" customHeight="1" x14ac:dyDescent="0.15">
      <c r="B148" s="2">
        <v>14</v>
      </c>
      <c r="C148" s="188"/>
      <c r="D148" s="204"/>
      <c r="E148" s="204"/>
      <c r="F148" s="168"/>
      <c r="G148" s="200"/>
      <c r="H148" s="9">
        <v>1</v>
      </c>
      <c r="I148" s="168">
        <f t="shared" si="13"/>
        <v>0</v>
      </c>
      <c r="J148" s="94">
        <f t="shared" si="12"/>
        <v>0</v>
      </c>
      <c r="K148" s="82"/>
      <c r="L148" s="82"/>
    </row>
    <row r="149" spans="2:12" s="1" customFormat="1" ht="13.35" customHeight="1" x14ac:dyDescent="0.15">
      <c r="B149" s="2">
        <v>15</v>
      </c>
      <c r="C149" s="189"/>
      <c r="D149" s="204"/>
      <c r="E149" s="206"/>
      <c r="F149" s="168"/>
      <c r="G149" s="200"/>
      <c r="H149" s="9">
        <v>1</v>
      </c>
      <c r="I149" s="168">
        <f t="shared" si="13"/>
        <v>0</v>
      </c>
      <c r="J149" s="94">
        <f t="shared" si="12"/>
        <v>0</v>
      </c>
      <c r="K149" s="82"/>
      <c r="L149" s="82"/>
    </row>
    <row r="150" spans="2:12" s="1" customFormat="1" ht="13.35" customHeight="1" x14ac:dyDescent="0.15">
      <c r="B150" s="2">
        <v>16</v>
      </c>
      <c r="C150" s="189"/>
      <c r="D150" s="206"/>
      <c r="E150" s="206"/>
      <c r="F150" s="168"/>
      <c r="G150" s="200"/>
      <c r="H150" s="9">
        <v>1</v>
      </c>
      <c r="I150" s="168">
        <f t="shared" si="13"/>
        <v>0</v>
      </c>
      <c r="J150" s="94">
        <f t="shared" si="12"/>
        <v>0</v>
      </c>
      <c r="K150" s="82"/>
      <c r="L150" s="82"/>
    </row>
    <row r="151" spans="2:12" s="1" customFormat="1" ht="14.45" customHeight="1" x14ac:dyDescent="0.15">
      <c r="B151" s="2">
        <v>17</v>
      </c>
      <c r="C151" s="189"/>
      <c r="D151" s="206"/>
      <c r="E151" s="206"/>
      <c r="F151" s="219"/>
      <c r="G151" s="200"/>
      <c r="H151" s="9">
        <v>1</v>
      </c>
      <c r="I151" s="168">
        <f t="shared" si="13"/>
        <v>0</v>
      </c>
      <c r="J151" s="94">
        <f t="shared" si="12"/>
        <v>0</v>
      </c>
      <c r="K151" s="82"/>
      <c r="L151" s="82"/>
    </row>
    <row r="152" spans="2:12" s="1" customFormat="1" ht="13.35" customHeight="1" x14ac:dyDescent="0.15">
      <c r="B152" s="2">
        <v>18</v>
      </c>
      <c r="C152" s="189"/>
      <c r="D152" s="206"/>
      <c r="E152" s="206"/>
      <c r="F152" s="168"/>
      <c r="G152" s="200"/>
      <c r="H152" s="9">
        <v>1</v>
      </c>
      <c r="I152" s="168">
        <f t="shared" si="13"/>
        <v>0</v>
      </c>
      <c r="J152" s="94">
        <f t="shared" si="12"/>
        <v>0</v>
      </c>
      <c r="K152" s="82"/>
      <c r="L152" s="82"/>
    </row>
    <row r="153" spans="2:12" s="1" customFormat="1" ht="13.35" customHeight="1" x14ac:dyDescent="0.15">
      <c r="B153" s="2">
        <v>19</v>
      </c>
      <c r="C153" s="189"/>
      <c r="D153" s="206"/>
      <c r="E153" s="206"/>
      <c r="F153" s="168"/>
      <c r="G153" s="200"/>
      <c r="H153" s="9">
        <v>1</v>
      </c>
      <c r="I153" s="168">
        <f t="shared" si="13"/>
        <v>0</v>
      </c>
      <c r="J153" s="94">
        <f t="shared" si="12"/>
        <v>0</v>
      </c>
      <c r="K153" s="82"/>
      <c r="L153" s="82"/>
    </row>
    <row r="154" spans="2:12" s="1" customFormat="1" ht="13.35" customHeight="1" x14ac:dyDescent="0.15">
      <c r="B154" s="2">
        <v>20</v>
      </c>
      <c r="C154" s="189"/>
      <c r="D154" s="206"/>
      <c r="E154" s="206"/>
      <c r="F154" s="168"/>
      <c r="G154" s="200"/>
      <c r="H154" s="9">
        <v>1</v>
      </c>
      <c r="I154" s="168">
        <f t="shared" si="13"/>
        <v>0</v>
      </c>
      <c r="J154" s="94">
        <f t="shared" si="12"/>
        <v>0</v>
      </c>
      <c r="K154" s="82"/>
      <c r="L154" s="82"/>
    </row>
    <row r="155" spans="2:12" s="1" customFormat="1" ht="12.75" x14ac:dyDescent="0.15">
      <c r="B155" s="2"/>
      <c r="C155" s="89"/>
      <c r="D155" s="90"/>
      <c r="E155" s="90"/>
      <c r="F155" s="168"/>
      <c r="G155" s="200"/>
      <c r="H155" s="9"/>
      <c r="I155" s="168"/>
      <c r="J155" s="94"/>
      <c r="K155" s="82"/>
      <c r="L155" s="82"/>
    </row>
    <row r="156" spans="2:12" s="1" customFormat="1" ht="12.75" x14ac:dyDescent="0.15">
      <c r="B156" s="2"/>
      <c r="C156" s="203"/>
      <c r="D156" s="169"/>
      <c r="E156" s="169"/>
      <c r="F156" s="168"/>
      <c r="G156" s="200"/>
      <c r="H156" s="9"/>
      <c r="I156" s="168"/>
      <c r="J156" s="94"/>
      <c r="K156" s="82"/>
      <c r="L156" s="82"/>
    </row>
    <row r="157" spans="2:12" s="1" customFormat="1" ht="12.75" x14ac:dyDescent="0.15">
      <c r="B157" s="2"/>
      <c r="C157" s="167" t="s">
        <v>154</v>
      </c>
      <c r="D157" s="391"/>
      <c r="E157" s="391"/>
      <c r="F157" s="168"/>
      <c r="G157" s="200"/>
      <c r="H157" s="9"/>
      <c r="I157" s="168"/>
      <c r="J157" s="94"/>
      <c r="K157" s="82"/>
      <c r="L157" s="82"/>
    </row>
    <row r="158" spans="2:12" s="1" customFormat="1" ht="12.75" x14ac:dyDescent="0.15">
      <c r="B158" s="2">
        <v>1</v>
      </c>
      <c r="C158" s="207"/>
      <c r="D158" s="391"/>
      <c r="E158" s="391"/>
      <c r="F158" s="168"/>
      <c r="G158" s="200"/>
      <c r="H158" s="9">
        <v>1</v>
      </c>
      <c r="I158" s="168">
        <f t="shared" si="13"/>
        <v>0</v>
      </c>
      <c r="J158" s="94">
        <f t="shared" si="12"/>
        <v>0</v>
      </c>
      <c r="K158" s="82"/>
      <c r="L158" s="82"/>
    </row>
    <row r="159" spans="2:12" s="1" customFormat="1" ht="12.75" x14ac:dyDescent="0.15">
      <c r="B159" s="2">
        <v>2</v>
      </c>
      <c r="C159" s="403"/>
      <c r="D159" s="403"/>
      <c r="E159" s="403"/>
      <c r="F159" s="168"/>
      <c r="G159" s="200"/>
      <c r="H159" s="9">
        <v>1</v>
      </c>
      <c r="I159" s="168">
        <f t="shared" si="13"/>
        <v>0</v>
      </c>
      <c r="J159" s="94">
        <f t="shared" si="12"/>
        <v>0</v>
      </c>
      <c r="K159" s="82"/>
      <c r="L159" s="82"/>
    </row>
    <row r="160" spans="2:12" s="1" customFormat="1" ht="12.75" x14ac:dyDescent="0.15">
      <c r="B160" s="2">
        <f>B159+1</f>
        <v>3</v>
      </c>
      <c r="C160" s="183"/>
      <c r="D160" s="89"/>
      <c r="E160" s="89"/>
      <c r="F160" s="168"/>
      <c r="G160" s="200"/>
      <c r="H160" s="9">
        <v>1</v>
      </c>
      <c r="I160" s="168">
        <f t="shared" si="13"/>
        <v>0</v>
      </c>
      <c r="J160" s="94">
        <f t="shared" si="12"/>
        <v>0</v>
      </c>
      <c r="K160" s="82"/>
      <c r="L160" s="82"/>
    </row>
    <row r="161" spans="2:12" s="1" customFormat="1" ht="12.75" x14ac:dyDescent="0.15">
      <c r="B161" s="2">
        <f>B160+1</f>
        <v>4</v>
      </c>
      <c r="C161" s="89"/>
      <c r="D161" s="89"/>
      <c r="E161" s="89"/>
      <c r="F161" s="168"/>
      <c r="G161" s="200"/>
      <c r="H161" s="9">
        <v>1</v>
      </c>
      <c r="I161" s="168">
        <f t="shared" si="13"/>
        <v>0</v>
      </c>
      <c r="J161" s="94">
        <f t="shared" si="12"/>
        <v>0</v>
      </c>
      <c r="K161" s="82"/>
      <c r="L161" s="82"/>
    </row>
    <row r="162" spans="2:12" s="1" customFormat="1" ht="12.75" x14ac:dyDescent="0.15">
      <c r="B162" s="2">
        <f>B161+1</f>
        <v>5</v>
      </c>
      <c r="C162" s="89"/>
      <c r="D162" s="391"/>
      <c r="E162" s="391"/>
      <c r="F162" s="168"/>
      <c r="G162" s="200"/>
      <c r="H162" s="9">
        <v>1</v>
      </c>
      <c r="I162" s="168">
        <f t="shared" si="13"/>
        <v>0</v>
      </c>
      <c r="J162" s="94">
        <f t="shared" si="12"/>
        <v>0</v>
      </c>
      <c r="K162" s="82"/>
      <c r="L162" s="82"/>
    </row>
    <row r="163" spans="2:12" s="1" customFormat="1" ht="12.75" x14ac:dyDescent="0.15">
      <c r="B163" s="2">
        <f>B162+1</f>
        <v>6</v>
      </c>
      <c r="C163" s="392"/>
      <c r="D163" s="392"/>
      <c r="E163" s="392"/>
      <c r="F163" s="168"/>
      <c r="G163" s="200"/>
      <c r="H163" s="9">
        <v>1</v>
      </c>
      <c r="I163" s="168">
        <f t="shared" si="13"/>
        <v>0</v>
      </c>
      <c r="J163" s="94">
        <f t="shared" si="12"/>
        <v>0</v>
      </c>
      <c r="K163" s="82"/>
      <c r="L163" s="82"/>
    </row>
    <row r="164" spans="2:12" s="1" customFormat="1" ht="12.75" x14ac:dyDescent="0.15">
      <c r="B164" s="2">
        <f t="shared" ref="B164:B166" si="14">B163+1</f>
        <v>7</v>
      </c>
      <c r="C164" s="183"/>
      <c r="D164" s="391"/>
      <c r="E164" s="391"/>
      <c r="F164" s="168"/>
      <c r="G164" s="200"/>
      <c r="H164" s="9">
        <v>1</v>
      </c>
      <c r="I164" s="168">
        <f t="shared" si="13"/>
        <v>0</v>
      </c>
      <c r="J164" s="94">
        <f t="shared" si="12"/>
        <v>0</v>
      </c>
      <c r="K164" s="82"/>
      <c r="L164" s="82"/>
    </row>
    <row r="165" spans="2:12" s="1" customFormat="1" ht="12.75" x14ac:dyDescent="0.15">
      <c r="B165" s="2">
        <f t="shared" si="14"/>
        <v>8</v>
      </c>
      <c r="C165" s="183"/>
      <c r="D165" s="391"/>
      <c r="E165" s="391"/>
      <c r="F165" s="168"/>
      <c r="G165" s="200"/>
      <c r="H165" s="9">
        <v>1</v>
      </c>
      <c r="I165" s="168">
        <f t="shared" si="13"/>
        <v>0</v>
      </c>
      <c r="J165" s="94">
        <f t="shared" si="12"/>
        <v>0</v>
      </c>
      <c r="K165" s="82"/>
      <c r="L165" s="82"/>
    </row>
    <row r="166" spans="2:12" s="1" customFormat="1" ht="12.75" x14ac:dyDescent="0.15">
      <c r="B166" s="2">
        <f t="shared" si="14"/>
        <v>9</v>
      </c>
      <c r="C166" s="183"/>
      <c r="D166" s="391"/>
      <c r="E166" s="391"/>
      <c r="F166" s="168"/>
      <c r="G166" s="200"/>
      <c r="H166" s="9">
        <v>1</v>
      </c>
      <c r="I166" s="168">
        <f t="shared" si="13"/>
        <v>0</v>
      </c>
      <c r="J166" s="94">
        <f t="shared" si="12"/>
        <v>0</v>
      </c>
      <c r="K166" s="82"/>
      <c r="L166" s="82"/>
    </row>
    <row r="167" spans="2:12" s="1" customFormat="1" ht="12.75" x14ac:dyDescent="0.15">
      <c r="B167" s="2">
        <v>10</v>
      </c>
      <c r="C167" s="183"/>
      <c r="D167" s="90"/>
      <c r="E167" s="90"/>
      <c r="F167" s="168"/>
      <c r="G167" s="200"/>
      <c r="H167" s="9">
        <v>1</v>
      </c>
      <c r="I167" s="168">
        <f t="shared" si="13"/>
        <v>0</v>
      </c>
      <c r="J167" s="94">
        <f t="shared" si="12"/>
        <v>0</v>
      </c>
      <c r="K167" s="82"/>
      <c r="L167" s="82"/>
    </row>
    <row r="168" spans="2:12" s="1" customFormat="1" ht="12.75" x14ac:dyDescent="0.15">
      <c r="B168" s="2">
        <v>11</v>
      </c>
      <c r="C168" s="183"/>
      <c r="D168" s="90"/>
      <c r="E168" s="90"/>
      <c r="F168" s="168"/>
      <c r="G168" s="200"/>
      <c r="H168" s="9">
        <v>1</v>
      </c>
      <c r="I168" s="168">
        <f t="shared" si="13"/>
        <v>0</v>
      </c>
      <c r="J168" s="94">
        <f t="shared" si="12"/>
        <v>0</v>
      </c>
      <c r="K168" s="82"/>
      <c r="L168" s="82"/>
    </row>
    <row r="169" spans="2:12" s="1" customFormat="1" ht="12.75" x14ac:dyDescent="0.15">
      <c r="B169" s="2">
        <v>12</v>
      </c>
      <c r="C169" s="183"/>
      <c r="D169" s="90"/>
      <c r="E169" s="90"/>
      <c r="F169" s="168"/>
      <c r="G169" s="200"/>
      <c r="H169" s="9">
        <v>1</v>
      </c>
      <c r="I169" s="168">
        <f t="shared" si="13"/>
        <v>0</v>
      </c>
      <c r="J169" s="94">
        <f t="shared" si="12"/>
        <v>0</v>
      </c>
      <c r="K169" s="82"/>
      <c r="L169" s="82"/>
    </row>
    <row r="170" spans="2:12" s="1" customFormat="1" ht="12.75" x14ac:dyDescent="0.15">
      <c r="B170" s="2">
        <v>13</v>
      </c>
      <c r="C170" s="183"/>
      <c r="D170" s="90"/>
      <c r="E170" s="90"/>
      <c r="F170" s="168"/>
      <c r="G170" s="200"/>
      <c r="H170" s="9">
        <v>1</v>
      </c>
      <c r="I170" s="168">
        <f t="shared" si="13"/>
        <v>0</v>
      </c>
      <c r="J170" s="94">
        <f t="shared" si="12"/>
        <v>0</v>
      </c>
      <c r="K170" s="82"/>
      <c r="L170" s="82"/>
    </row>
    <row r="171" spans="2:12" s="1" customFormat="1" ht="12.75" x14ac:dyDescent="0.15">
      <c r="B171" s="2">
        <v>14</v>
      </c>
      <c r="C171" s="183"/>
      <c r="D171" s="90"/>
      <c r="E171" s="90"/>
      <c r="F171" s="168"/>
      <c r="G171" s="200"/>
      <c r="H171" s="9">
        <v>1</v>
      </c>
      <c r="I171" s="168">
        <f t="shared" si="13"/>
        <v>0</v>
      </c>
      <c r="J171" s="94">
        <f t="shared" si="12"/>
        <v>0</v>
      </c>
      <c r="K171" s="82"/>
      <c r="L171" s="82"/>
    </row>
    <row r="172" spans="2:12" s="1" customFormat="1" ht="12.75" x14ac:dyDescent="0.15">
      <c r="B172" s="2">
        <v>15</v>
      </c>
      <c r="C172" s="183"/>
      <c r="D172" s="90"/>
      <c r="E172" s="90"/>
      <c r="F172" s="168"/>
      <c r="G172" s="200"/>
      <c r="H172" s="9">
        <v>1</v>
      </c>
      <c r="I172" s="168">
        <f t="shared" si="13"/>
        <v>0</v>
      </c>
      <c r="J172" s="94">
        <f t="shared" si="12"/>
        <v>0</v>
      </c>
      <c r="K172" s="82"/>
      <c r="L172" s="82"/>
    </row>
    <row r="173" spans="2:12" s="1" customFormat="1" ht="12.75" x14ac:dyDescent="0.15">
      <c r="B173" s="2">
        <v>16</v>
      </c>
      <c r="C173" s="183"/>
      <c r="D173" s="90"/>
      <c r="E173" s="90"/>
      <c r="F173" s="168"/>
      <c r="G173" s="200"/>
      <c r="H173" s="9">
        <v>1</v>
      </c>
      <c r="I173" s="168">
        <f t="shared" si="13"/>
        <v>0</v>
      </c>
      <c r="J173" s="94">
        <f t="shared" si="12"/>
        <v>0</v>
      </c>
      <c r="K173" s="82"/>
      <c r="L173" s="82"/>
    </row>
    <row r="174" spans="2:12" s="1" customFormat="1" ht="12.75" x14ac:dyDescent="0.15">
      <c r="B174" s="2">
        <v>17</v>
      </c>
      <c r="C174" s="183"/>
      <c r="D174" s="90"/>
      <c r="E174" s="90"/>
      <c r="F174" s="168"/>
      <c r="G174" s="200"/>
      <c r="H174" s="9">
        <v>1</v>
      </c>
      <c r="I174" s="168">
        <f t="shared" si="13"/>
        <v>0</v>
      </c>
      <c r="J174" s="94">
        <f t="shared" si="12"/>
        <v>0</v>
      </c>
      <c r="K174" s="82"/>
      <c r="L174" s="82"/>
    </row>
    <row r="175" spans="2:12" s="1" customFormat="1" ht="12.75" x14ac:dyDescent="0.15">
      <c r="B175" s="2">
        <v>18</v>
      </c>
      <c r="C175" s="183"/>
      <c r="D175" s="90"/>
      <c r="E175" s="90"/>
      <c r="F175" s="168"/>
      <c r="G175" s="200"/>
      <c r="H175" s="9">
        <v>1</v>
      </c>
      <c r="I175" s="168">
        <f t="shared" si="13"/>
        <v>0</v>
      </c>
      <c r="J175" s="94">
        <f t="shared" si="12"/>
        <v>0</v>
      </c>
      <c r="K175" s="82"/>
      <c r="L175" s="82"/>
    </row>
    <row r="176" spans="2:12" s="1" customFormat="1" ht="12.75" x14ac:dyDescent="0.15">
      <c r="B176" s="2">
        <v>19</v>
      </c>
      <c r="C176" s="183"/>
      <c r="D176" s="90"/>
      <c r="E176" s="90"/>
      <c r="F176" s="168"/>
      <c r="G176" s="201"/>
      <c r="H176" s="197">
        <v>1</v>
      </c>
      <c r="I176" s="168">
        <f t="shared" si="13"/>
        <v>0</v>
      </c>
      <c r="J176" s="94">
        <f t="shared" si="12"/>
        <v>0</v>
      </c>
      <c r="K176" s="82"/>
      <c r="L176" s="82"/>
    </row>
    <row r="177" spans="2:12" s="1" customFormat="1" ht="12.75" x14ac:dyDescent="0.15">
      <c r="B177" s="112">
        <v>20</v>
      </c>
      <c r="C177" s="183"/>
      <c r="D177" s="90"/>
      <c r="E177" s="90"/>
      <c r="F177" s="168"/>
      <c r="G177" s="202"/>
      <c r="H177" s="92">
        <v>1</v>
      </c>
      <c r="I177" s="168">
        <f t="shared" si="13"/>
        <v>0</v>
      </c>
      <c r="J177" s="94">
        <f t="shared" si="12"/>
        <v>0</v>
      </c>
      <c r="K177" s="82"/>
      <c r="L177" s="82"/>
    </row>
    <row r="178" spans="2:12" s="1" customFormat="1" ht="12.75" x14ac:dyDescent="0.15">
      <c r="B178" s="82"/>
      <c r="C178" s="183"/>
      <c r="D178" s="90"/>
      <c r="E178" s="90"/>
      <c r="F178" s="168"/>
      <c r="G178" s="92"/>
      <c r="H178" s="92"/>
      <c r="I178" s="168"/>
      <c r="J178" s="94"/>
      <c r="K178" s="82"/>
      <c r="L178" s="82"/>
    </row>
    <row r="179" spans="2:12" s="1" customFormat="1" ht="12.75" x14ac:dyDescent="0.15">
      <c r="B179" s="82"/>
      <c r="C179" s="102"/>
      <c r="D179" s="103"/>
      <c r="E179" s="102"/>
      <c r="F179" s="128">
        <f>SUM(F120:F178)</f>
        <v>0</v>
      </c>
      <c r="G179" s="104"/>
      <c r="H179" s="105"/>
      <c r="I179" s="128">
        <f>SUM(I121:I178)</f>
        <v>0</v>
      </c>
      <c r="J179" s="257">
        <f>SUM(J120:J178)</f>
        <v>0</v>
      </c>
    </row>
    <row r="180" spans="2:12" s="1" customFormat="1" ht="12.75" x14ac:dyDescent="0.15">
      <c r="B180" s="82"/>
      <c r="C180" s="102"/>
      <c r="D180" s="103"/>
      <c r="E180" s="102" t="s">
        <v>147</v>
      </c>
      <c r="F180" s="128">
        <f>100/115*F179</f>
        <v>0</v>
      </c>
      <c r="G180" s="104"/>
      <c r="H180" s="105" t="s">
        <v>147</v>
      </c>
      <c r="I180" s="128">
        <f>100/115*I179</f>
        <v>0</v>
      </c>
      <c r="J180" s="106"/>
    </row>
    <row r="181" spans="2:12" s="1" customFormat="1" ht="12.75" x14ac:dyDescent="0.15"/>
    <row r="182" spans="2:12" s="1" customFormat="1" ht="12.75" x14ac:dyDescent="0.15"/>
    <row r="183" spans="2:12" s="1" customFormat="1" ht="12.75" x14ac:dyDescent="0.15"/>
    <row r="184" spans="2:12" s="1" customFormat="1" ht="12.75" x14ac:dyDescent="0.15"/>
    <row r="185" spans="2:12" s="247" customFormat="1" ht="32.25" x14ac:dyDescent="0.4">
      <c r="B185" s="248"/>
      <c r="C185" s="380" t="s">
        <v>112</v>
      </c>
      <c r="D185" s="380"/>
      <c r="E185" s="428" t="s">
        <v>155</v>
      </c>
      <c r="F185" s="428"/>
      <c r="G185" s="428"/>
      <c r="H185" s="428"/>
      <c r="I185" s="428"/>
      <c r="J185" s="382">
        <v>2026</v>
      </c>
      <c r="K185" s="382"/>
      <c r="L185" s="382"/>
    </row>
    <row r="186" spans="2:12" s="1" customFormat="1" ht="22.5" x14ac:dyDescent="0.15">
      <c r="B186" s="82"/>
      <c r="C186" s="102" t="s">
        <v>114</v>
      </c>
      <c r="D186" s="388" t="s">
        <v>115</v>
      </c>
      <c r="E186" s="388"/>
      <c r="F186" s="102" t="s">
        <v>116</v>
      </c>
      <c r="G186" s="102" t="s">
        <v>117</v>
      </c>
      <c r="H186" s="102" t="s">
        <v>118</v>
      </c>
      <c r="I186" s="102" t="s">
        <v>119</v>
      </c>
      <c r="J186" s="102" t="s">
        <v>120</v>
      </c>
      <c r="K186" s="82"/>
      <c r="L186" s="82"/>
    </row>
    <row r="187" spans="2:12" s="1" customFormat="1" ht="12.75" x14ac:dyDescent="0.15">
      <c r="B187" s="82"/>
      <c r="C187" s="66">
        <f>C118</f>
        <v>450</v>
      </c>
      <c r="D187" s="389">
        <v>19</v>
      </c>
      <c r="E187" s="389"/>
      <c r="F187" s="13">
        <f>F118</f>
        <v>0.8</v>
      </c>
      <c r="G187" s="14">
        <f>G118</f>
        <v>8</v>
      </c>
      <c r="H187" s="142">
        <f>D187*G187*F187</f>
        <v>121.60000000000001</v>
      </c>
      <c r="I187" s="66">
        <f>I249</f>
        <v>0</v>
      </c>
      <c r="J187" s="143">
        <f>H187-J249</f>
        <v>121.60000000000001</v>
      </c>
      <c r="K187" s="82"/>
      <c r="L187" s="82"/>
    </row>
    <row r="188" spans="2:12" s="1" customFormat="1" ht="33.75" x14ac:dyDescent="0.15">
      <c r="B188" s="82"/>
      <c r="C188" s="167" t="s">
        <v>121</v>
      </c>
      <c r="D188" s="395" t="s">
        <v>122</v>
      </c>
      <c r="E188" s="395"/>
      <c r="F188" s="177" t="s">
        <v>123</v>
      </c>
      <c r="G188" s="178" t="s">
        <v>124</v>
      </c>
      <c r="H188" s="179" t="s">
        <v>125</v>
      </c>
      <c r="I188" s="180" t="s">
        <v>126</v>
      </c>
      <c r="J188" s="178" t="s">
        <v>127</v>
      </c>
      <c r="K188" s="114" t="s">
        <v>128</v>
      </c>
      <c r="L188" s="114" t="s">
        <v>129</v>
      </c>
    </row>
    <row r="189" spans="2:12" s="1" customFormat="1" ht="12.75" x14ac:dyDescent="0.15">
      <c r="B189" s="79"/>
      <c r="C189" s="193"/>
      <c r="D189" s="406"/>
      <c r="E189" s="406"/>
      <c r="F189" s="194"/>
      <c r="G189" s="195"/>
      <c r="H189" s="196"/>
      <c r="I189" s="176"/>
      <c r="J189" s="88"/>
      <c r="K189" s="79"/>
      <c r="L189" s="120"/>
    </row>
    <row r="190" spans="2:12" s="1" customFormat="1" ht="12.75" x14ac:dyDescent="0.15">
      <c r="B190" s="80"/>
      <c r="C190" s="392" t="s">
        <v>130</v>
      </c>
      <c r="D190" s="392"/>
      <c r="E190" s="392"/>
      <c r="F190" s="184"/>
      <c r="G190" s="92"/>
      <c r="H190" s="163"/>
      <c r="I190" s="126"/>
      <c r="J190" s="21"/>
      <c r="K190" s="80"/>
      <c r="L190" s="82"/>
    </row>
    <row r="191" spans="2:12" s="1" customFormat="1" ht="12.75" x14ac:dyDescent="0.15">
      <c r="B191" s="80"/>
      <c r="C191" s="167" t="s">
        <v>149</v>
      </c>
      <c r="D191" s="167"/>
      <c r="E191" s="167"/>
      <c r="F191" s="168"/>
      <c r="G191" s="92"/>
      <c r="H191" s="163"/>
      <c r="I191" s="126"/>
      <c r="J191" s="21"/>
      <c r="K191" s="80"/>
      <c r="L191" s="82"/>
    </row>
    <row r="192" spans="2:12" s="1" customFormat="1" ht="12.75" x14ac:dyDescent="0.15">
      <c r="B192" s="80">
        <v>1</v>
      </c>
      <c r="C192" s="89"/>
      <c r="D192" s="167"/>
      <c r="E192" s="167"/>
      <c r="F192" s="168"/>
      <c r="G192" s="92"/>
      <c r="H192" s="163">
        <v>1</v>
      </c>
      <c r="I192" s="126">
        <f>J192*$C$32</f>
        <v>0</v>
      </c>
      <c r="J192" s="21">
        <f>(F192*G192*H192)/$C$32</f>
        <v>0</v>
      </c>
      <c r="K192" s="80"/>
      <c r="L192" s="82"/>
    </row>
    <row r="193" spans="2:12" s="1" customFormat="1" ht="12.75" customHeight="1" x14ac:dyDescent="0.15">
      <c r="B193" s="80">
        <v>2</v>
      </c>
      <c r="C193" s="187"/>
      <c r="D193" s="90"/>
      <c r="E193" s="90"/>
      <c r="F193" s="168"/>
      <c r="G193" s="92"/>
      <c r="H193" s="163">
        <v>1</v>
      </c>
      <c r="I193" s="126">
        <f>J193*$C$32</f>
        <v>0</v>
      </c>
      <c r="J193" s="21">
        <f>(F193*G193*H193)/$C$32</f>
        <v>0</v>
      </c>
      <c r="K193" s="80"/>
      <c r="L193" s="82"/>
    </row>
    <row r="194" spans="2:12" s="1" customFormat="1" ht="12.75" customHeight="1" x14ac:dyDescent="0.15">
      <c r="B194" s="80">
        <v>3</v>
      </c>
      <c r="C194" s="188"/>
      <c r="D194" s="169"/>
      <c r="E194" s="169"/>
      <c r="F194" s="168"/>
      <c r="G194" s="92"/>
      <c r="H194" s="163">
        <v>1</v>
      </c>
      <c r="I194" s="126">
        <f t="shared" ref="I194:I224" si="15">J194*$C$32</f>
        <v>0</v>
      </c>
      <c r="J194" s="21">
        <f t="shared" ref="J194:J224" si="16">(F194*G194*H194)/$C$32</f>
        <v>0</v>
      </c>
      <c r="K194" s="80"/>
      <c r="L194" s="82"/>
    </row>
    <row r="195" spans="2:12" s="1" customFormat="1" ht="12.75" customHeight="1" x14ac:dyDescent="0.15">
      <c r="B195" s="80">
        <v>4</v>
      </c>
      <c r="C195" s="188"/>
      <c r="D195" s="169"/>
      <c r="E195" s="169"/>
      <c r="F195" s="168"/>
      <c r="G195" s="92"/>
      <c r="H195" s="163">
        <v>1</v>
      </c>
      <c r="I195" s="126">
        <f t="shared" si="15"/>
        <v>0</v>
      </c>
      <c r="J195" s="21">
        <f t="shared" si="16"/>
        <v>0</v>
      </c>
      <c r="K195" s="80"/>
      <c r="L195" s="82"/>
    </row>
    <row r="196" spans="2:12" s="1" customFormat="1" ht="12.75" customHeight="1" x14ac:dyDescent="0.15">
      <c r="B196" s="80">
        <v>5</v>
      </c>
      <c r="C196" s="189"/>
      <c r="D196" s="169"/>
      <c r="E196" s="169"/>
      <c r="F196" s="168"/>
      <c r="G196" s="92"/>
      <c r="H196" s="163">
        <v>1</v>
      </c>
      <c r="I196" s="126">
        <f t="shared" si="15"/>
        <v>0</v>
      </c>
      <c r="J196" s="21">
        <f t="shared" si="16"/>
        <v>0</v>
      </c>
      <c r="K196" s="80"/>
      <c r="L196" s="82"/>
    </row>
    <row r="197" spans="2:12" s="1" customFormat="1" ht="12.75" customHeight="1" x14ac:dyDescent="0.15">
      <c r="B197" s="80">
        <v>6</v>
      </c>
      <c r="C197" s="188"/>
      <c r="D197" s="190"/>
      <c r="E197" s="190"/>
      <c r="F197" s="168"/>
      <c r="G197" s="92"/>
      <c r="H197" s="163">
        <v>1</v>
      </c>
      <c r="I197" s="126">
        <f t="shared" si="15"/>
        <v>0</v>
      </c>
      <c r="J197" s="21">
        <f t="shared" si="16"/>
        <v>0</v>
      </c>
      <c r="K197" s="80"/>
      <c r="L197" s="82"/>
    </row>
    <row r="198" spans="2:12" s="1" customFormat="1" ht="12.75" customHeight="1" x14ac:dyDescent="0.15">
      <c r="B198" s="80">
        <v>7</v>
      </c>
      <c r="C198" s="188"/>
      <c r="D198" s="169"/>
      <c r="E198" s="169"/>
      <c r="F198" s="168"/>
      <c r="G198" s="92"/>
      <c r="H198" s="163">
        <v>1</v>
      </c>
      <c r="I198" s="126">
        <f t="shared" si="15"/>
        <v>0</v>
      </c>
      <c r="J198" s="21">
        <f t="shared" si="16"/>
        <v>0</v>
      </c>
      <c r="K198" s="80"/>
      <c r="L198" s="82"/>
    </row>
    <row r="199" spans="2:12" s="1" customFormat="1" ht="12.75" customHeight="1" x14ac:dyDescent="0.15">
      <c r="B199" s="80">
        <v>8</v>
      </c>
      <c r="C199" s="188"/>
      <c r="D199" s="169"/>
      <c r="E199" s="169"/>
      <c r="F199" s="168"/>
      <c r="G199" s="92"/>
      <c r="H199" s="163">
        <v>1</v>
      </c>
      <c r="I199" s="192">
        <f t="shared" si="15"/>
        <v>0</v>
      </c>
      <c r="J199" s="21">
        <f t="shared" si="16"/>
        <v>0</v>
      </c>
      <c r="K199" s="80"/>
      <c r="L199" s="82"/>
    </row>
    <row r="200" spans="2:12" s="1" customFormat="1" ht="12.75" customHeight="1" x14ac:dyDescent="0.15">
      <c r="B200" s="80">
        <v>9</v>
      </c>
      <c r="C200" s="188"/>
      <c r="D200" s="90"/>
      <c r="E200" s="90"/>
      <c r="F200" s="168"/>
      <c r="G200" s="92"/>
      <c r="H200" s="163">
        <v>1</v>
      </c>
      <c r="I200" s="192">
        <f t="shared" si="15"/>
        <v>0</v>
      </c>
      <c r="J200" s="21">
        <f t="shared" si="16"/>
        <v>0</v>
      </c>
      <c r="K200" s="80"/>
      <c r="L200" s="82"/>
    </row>
    <row r="201" spans="2:12" s="1" customFormat="1" ht="12.75" x14ac:dyDescent="0.15">
      <c r="B201" s="80">
        <v>10</v>
      </c>
      <c r="C201" s="113"/>
      <c r="D201" s="90"/>
      <c r="E201" s="90"/>
      <c r="F201" s="168"/>
      <c r="G201" s="92"/>
      <c r="H201" s="163">
        <v>1</v>
      </c>
      <c r="I201" s="192">
        <f t="shared" si="15"/>
        <v>0</v>
      </c>
      <c r="J201" s="21">
        <f t="shared" si="16"/>
        <v>0</v>
      </c>
      <c r="K201" s="80"/>
      <c r="L201" s="82"/>
    </row>
    <row r="202" spans="2:12" s="1" customFormat="1" ht="12.75" x14ac:dyDescent="0.15">
      <c r="B202" s="80"/>
      <c r="C202" s="113"/>
      <c r="D202" s="90"/>
      <c r="E202" s="90"/>
      <c r="F202" s="168"/>
      <c r="G202" s="92"/>
      <c r="H202" s="163"/>
      <c r="I202" s="192"/>
      <c r="J202" s="21"/>
      <c r="K202" s="80"/>
      <c r="L202" s="82"/>
    </row>
    <row r="203" spans="2:12" s="1" customFormat="1" ht="12.75" x14ac:dyDescent="0.15">
      <c r="B203" s="80"/>
      <c r="C203" s="113"/>
      <c r="D203" s="90"/>
      <c r="E203" s="90"/>
      <c r="F203" s="168"/>
      <c r="G203" s="92"/>
      <c r="H203" s="163"/>
      <c r="I203" s="192"/>
      <c r="J203" s="21"/>
      <c r="K203" s="80"/>
      <c r="L203" s="82"/>
    </row>
    <row r="204" spans="2:12" s="1" customFormat="1" ht="12.75" x14ac:dyDescent="0.15">
      <c r="B204" s="80"/>
      <c r="C204" s="117" t="s">
        <v>156</v>
      </c>
      <c r="D204" s="90"/>
      <c r="E204" s="90"/>
      <c r="F204" s="168"/>
      <c r="G204" s="92"/>
      <c r="H204" s="163"/>
      <c r="I204" s="192"/>
      <c r="J204" s="21"/>
      <c r="K204" s="80"/>
      <c r="L204" s="82"/>
    </row>
    <row r="205" spans="2:12" s="1" customFormat="1" ht="12.75" x14ac:dyDescent="0.15">
      <c r="B205" s="80">
        <v>1</v>
      </c>
      <c r="C205" s="188"/>
      <c r="D205" s="169"/>
      <c r="E205" s="169"/>
      <c r="F205" s="168"/>
      <c r="G205" s="92"/>
      <c r="H205" s="163">
        <v>1</v>
      </c>
      <c r="I205" s="192">
        <f t="shared" si="15"/>
        <v>0</v>
      </c>
      <c r="J205" s="21">
        <f t="shared" si="16"/>
        <v>0</v>
      </c>
      <c r="K205" s="80"/>
      <c r="L205" s="82"/>
    </row>
    <row r="206" spans="2:12" s="1" customFormat="1" ht="12.75" x14ac:dyDescent="0.15">
      <c r="B206" s="80">
        <v>2</v>
      </c>
      <c r="C206" s="188"/>
      <c r="D206" s="169"/>
      <c r="E206" s="169"/>
      <c r="F206" s="168"/>
      <c r="G206" s="92"/>
      <c r="H206" s="163">
        <v>1</v>
      </c>
      <c r="I206" s="192">
        <f t="shared" si="15"/>
        <v>0</v>
      </c>
      <c r="J206" s="21">
        <f t="shared" si="16"/>
        <v>0</v>
      </c>
      <c r="K206" s="80"/>
      <c r="L206" s="82"/>
    </row>
    <row r="207" spans="2:12" s="1" customFormat="1" ht="12.75" x14ac:dyDescent="0.15">
      <c r="B207" s="80">
        <v>3</v>
      </c>
      <c r="C207" s="188"/>
      <c r="D207" s="169"/>
      <c r="E207" s="169"/>
      <c r="F207" s="168"/>
      <c r="G207" s="92"/>
      <c r="H207" s="163">
        <v>1</v>
      </c>
      <c r="I207" s="192">
        <f t="shared" si="15"/>
        <v>0</v>
      </c>
      <c r="J207" s="21">
        <f t="shared" si="16"/>
        <v>0</v>
      </c>
      <c r="K207" s="80"/>
      <c r="L207" s="82"/>
    </row>
    <row r="208" spans="2:12" s="1" customFormat="1" ht="13.5" customHeight="1" x14ac:dyDescent="0.15">
      <c r="B208" s="80">
        <v>4</v>
      </c>
      <c r="C208" s="188"/>
      <c r="D208" s="169"/>
      <c r="E208" s="169"/>
      <c r="F208" s="168"/>
      <c r="G208" s="92"/>
      <c r="H208" s="163">
        <v>1</v>
      </c>
      <c r="I208" s="192">
        <f t="shared" si="15"/>
        <v>0</v>
      </c>
      <c r="J208" s="21">
        <f t="shared" si="16"/>
        <v>0</v>
      </c>
      <c r="K208" s="80"/>
      <c r="L208" s="82"/>
    </row>
    <row r="209" spans="2:12" s="1" customFormat="1" ht="13.5" customHeight="1" x14ac:dyDescent="0.15">
      <c r="B209" s="80">
        <v>5</v>
      </c>
      <c r="C209" s="188"/>
      <c r="D209" s="169"/>
      <c r="E209" s="169"/>
      <c r="F209" s="168"/>
      <c r="G209" s="92"/>
      <c r="H209" s="163">
        <v>1</v>
      </c>
      <c r="I209" s="129">
        <f t="shared" si="15"/>
        <v>0</v>
      </c>
      <c r="J209" s="21">
        <f t="shared" si="16"/>
        <v>0</v>
      </c>
      <c r="K209" s="80"/>
      <c r="L209" s="82"/>
    </row>
    <row r="210" spans="2:12" s="1" customFormat="1" ht="13.5" customHeight="1" x14ac:dyDescent="0.15">
      <c r="B210" s="80">
        <v>6</v>
      </c>
      <c r="C210" s="189"/>
      <c r="D210" s="169"/>
      <c r="E210" s="90"/>
      <c r="F210" s="168"/>
      <c r="G210" s="92"/>
      <c r="H210" s="163">
        <v>1</v>
      </c>
      <c r="I210" s="129">
        <f t="shared" si="15"/>
        <v>0</v>
      </c>
      <c r="J210" s="21">
        <f t="shared" si="16"/>
        <v>0</v>
      </c>
      <c r="K210" s="80"/>
      <c r="L210" s="82"/>
    </row>
    <row r="211" spans="2:12" s="1" customFormat="1" ht="13.5" customHeight="1" x14ac:dyDescent="0.15">
      <c r="B211" s="80">
        <v>7</v>
      </c>
      <c r="C211" s="189"/>
      <c r="D211" s="90"/>
      <c r="E211" s="90"/>
      <c r="F211" s="168"/>
      <c r="G211" s="92"/>
      <c r="H211" s="163">
        <v>1</v>
      </c>
      <c r="I211" s="129">
        <f t="shared" si="15"/>
        <v>0</v>
      </c>
      <c r="J211" s="21">
        <f t="shared" si="16"/>
        <v>0</v>
      </c>
      <c r="K211" s="80"/>
      <c r="L211" s="82"/>
    </row>
    <row r="212" spans="2:12" s="1" customFormat="1" ht="13.5" customHeight="1" x14ac:dyDescent="0.15">
      <c r="B212" s="80">
        <v>8</v>
      </c>
      <c r="C212" s="189"/>
      <c r="D212" s="90"/>
      <c r="E212" s="90"/>
      <c r="F212" s="191"/>
      <c r="G212" s="92"/>
      <c r="H212" s="163">
        <v>1</v>
      </c>
      <c r="I212" s="129">
        <f t="shared" si="15"/>
        <v>0</v>
      </c>
      <c r="J212" s="21">
        <f t="shared" si="16"/>
        <v>0</v>
      </c>
      <c r="K212" s="80"/>
      <c r="L212" s="82"/>
    </row>
    <row r="213" spans="2:12" s="1" customFormat="1" ht="13.5" customHeight="1" x14ac:dyDescent="0.15">
      <c r="B213" s="80">
        <v>9</v>
      </c>
      <c r="C213" s="189"/>
      <c r="D213" s="90"/>
      <c r="E213" s="90"/>
      <c r="F213" s="168"/>
      <c r="G213" s="92"/>
      <c r="H213" s="163">
        <v>1</v>
      </c>
      <c r="I213" s="129">
        <f t="shared" si="15"/>
        <v>0</v>
      </c>
      <c r="J213" s="21">
        <f t="shared" si="16"/>
        <v>0</v>
      </c>
      <c r="K213" s="80"/>
      <c r="L213" s="82"/>
    </row>
    <row r="214" spans="2:12" s="1" customFormat="1" ht="13.5" customHeight="1" x14ac:dyDescent="0.15">
      <c r="B214" s="80">
        <v>10</v>
      </c>
      <c r="C214" s="189"/>
      <c r="D214" s="90"/>
      <c r="E214" s="90"/>
      <c r="F214" s="168"/>
      <c r="G214" s="92"/>
      <c r="H214" s="163">
        <v>1</v>
      </c>
      <c r="I214" s="129">
        <f t="shared" si="15"/>
        <v>0</v>
      </c>
      <c r="J214" s="21">
        <f t="shared" si="16"/>
        <v>0</v>
      </c>
      <c r="K214" s="80"/>
      <c r="L214" s="82"/>
    </row>
    <row r="215" spans="2:12" s="1" customFormat="1" ht="12.75" x14ac:dyDescent="0.15">
      <c r="B215" s="80">
        <v>11</v>
      </c>
      <c r="C215" s="189"/>
      <c r="D215" s="90"/>
      <c r="E215" s="90"/>
      <c r="F215" s="168"/>
      <c r="G215" s="92"/>
      <c r="H215" s="163">
        <v>1</v>
      </c>
      <c r="I215" s="129">
        <f t="shared" si="15"/>
        <v>0</v>
      </c>
      <c r="J215" s="21">
        <f t="shared" si="16"/>
        <v>0</v>
      </c>
      <c r="K215" s="80"/>
      <c r="L215" s="82"/>
    </row>
    <row r="216" spans="2:12" s="1" customFormat="1" ht="12.75" x14ac:dyDescent="0.15">
      <c r="B216" s="80">
        <v>12</v>
      </c>
      <c r="C216" s="189"/>
      <c r="D216" s="90"/>
      <c r="E216" s="90"/>
      <c r="F216" s="168"/>
      <c r="G216" s="92"/>
      <c r="H216" s="163">
        <v>1</v>
      </c>
      <c r="I216" s="129">
        <f t="shared" si="15"/>
        <v>0</v>
      </c>
      <c r="J216" s="21">
        <f t="shared" si="16"/>
        <v>0</v>
      </c>
      <c r="K216" s="80"/>
      <c r="L216" s="82"/>
    </row>
    <row r="217" spans="2:12" s="1" customFormat="1" ht="12.75" x14ac:dyDescent="0.15">
      <c r="B217" s="80">
        <v>13</v>
      </c>
      <c r="C217" s="189"/>
      <c r="D217" s="90"/>
      <c r="E217" s="90"/>
      <c r="F217" s="168"/>
      <c r="G217" s="92"/>
      <c r="H217" s="163">
        <v>1</v>
      </c>
      <c r="I217" s="129">
        <f t="shared" si="15"/>
        <v>0</v>
      </c>
      <c r="J217" s="21">
        <f t="shared" si="16"/>
        <v>0</v>
      </c>
      <c r="K217" s="80"/>
      <c r="L217" s="82"/>
    </row>
    <row r="218" spans="2:12" s="1" customFormat="1" ht="12.75" x14ac:dyDescent="0.15">
      <c r="B218" s="80">
        <v>14</v>
      </c>
      <c r="C218" s="189"/>
      <c r="D218" s="90"/>
      <c r="E218" s="90"/>
      <c r="F218" s="168"/>
      <c r="G218" s="92"/>
      <c r="H218" s="163">
        <v>1</v>
      </c>
      <c r="I218" s="129">
        <f t="shared" si="15"/>
        <v>0</v>
      </c>
      <c r="J218" s="21">
        <f t="shared" si="16"/>
        <v>0</v>
      </c>
      <c r="K218" s="80"/>
      <c r="L218" s="82"/>
    </row>
    <row r="219" spans="2:12" s="1" customFormat="1" ht="12.75" x14ac:dyDescent="0.15">
      <c r="B219" s="80">
        <v>15</v>
      </c>
      <c r="C219" s="189"/>
      <c r="D219" s="90"/>
      <c r="E219" s="90"/>
      <c r="F219" s="168"/>
      <c r="G219" s="92"/>
      <c r="H219" s="163">
        <v>1</v>
      </c>
      <c r="I219" s="129">
        <f t="shared" si="15"/>
        <v>0</v>
      </c>
      <c r="J219" s="21">
        <f t="shared" si="16"/>
        <v>0</v>
      </c>
      <c r="K219" s="80"/>
      <c r="L219" s="82"/>
    </row>
    <row r="220" spans="2:12" s="1" customFormat="1" ht="12.75" x14ac:dyDescent="0.15">
      <c r="B220" s="80">
        <v>16</v>
      </c>
      <c r="C220" s="189"/>
      <c r="D220" s="90"/>
      <c r="E220" s="90"/>
      <c r="F220" s="168"/>
      <c r="G220" s="92"/>
      <c r="H220" s="163">
        <v>1</v>
      </c>
      <c r="I220" s="129">
        <f t="shared" si="15"/>
        <v>0</v>
      </c>
      <c r="J220" s="21">
        <f t="shared" si="16"/>
        <v>0</v>
      </c>
      <c r="K220" s="80"/>
      <c r="L220" s="82"/>
    </row>
    <row r="221" spans="2:12" s="1" customFormat="1" ht="12.75" x14ac:dyDescent="0.15">
      <c r="B221" s="80">
        <v>17</v>
      </c>
      <c r="C221" s="189"/>
      <c r="D221" s="90"/>
      <c r="E221" s="90"/>
      <c r="F221" s="168"/>
      <c r="G221" s="92"/>
      <c r="H221" s="163">
        <v>1</v>
      </c>
      <c r="I221" s="129">
        <f t="shared" si="15"/>
        <v>0</v>
      </c>
      <c r="J221" s="21">
        <f t="shared" si="16"/>
        <v>0</v>
      </c>
      <c r="K221" s="80"/>
      <c r="L221" s="82"/>
    </row>
    <row r="222" spans="2:12" s="1" customFormat="1" ht="12.75" x14ac:dyDescent="0.15">
      <c r="B222" s="80">
        <v>18</v>
      </c>
      <c r="C222" s="189"/>
      <c r="D222" s="90"/>
      <c r="E222" s="90"/>
      <c r="F222" s="168"/>
      <c r="G222" s="92"/>
      <c r="H222" s="163">
        <v>1</v>
      </c>
      <c r="I222" s="129">
        <f t="shared" si="15"/>
        <v>0</v>
      </c>
      <c r="J222" s="21">
        <f t="shared" si="16"/>
        <v>0</v>
      </c>
      <c r="K222" s="80"/>
      <c r="L222" s="82"/>
    </row>
    <row r="223" spans="2:12" s="1" customFormat="1" ht="12.75" x14ac:dyDescent="0.15">
      <c r="B223" s="80">
        <v>19</v>
      </c>
      <c r="C223" s="188"/>
      <c r="D223" s="89"/>
      <c r="E223" s="89"/>
      <c r="F223" s="168"/>
      <c r="G223" s="92"/>
      <c r="H223" s="163">
        <v>1</v>
      </c>
      <c r="I223" s="129">
        <f t="shared" si="15"/>
        <v>0</v>
      </c>
      <c r="J223" s="21">
        <f t="shared" si="16"/>
        <v>0</v>
      </c>
      <c r="K223" s="80"/>
      <c r="L223" s="82"/>
    </row>
    <row r="224" spans="2:12" s="1" customFormat="1" ht="12.75" x14ac:dyDescent="0.15">
      <c r="B224" s="80">
        <v>20</v>
      </c>
      <c r="C224" s="188"/>
      <c r="D224" s="90"/>
      <c r="E224" s="90"/>
      <c r="F224" s="168"/>
      <c r="G224" s="92"/>
      <c r="H224" s="163">
        <v>1</v>
      </c>
      <c r="I224" s="129">
        <f t="shared" si="15"/>
        <v>0</v>
      </c>
      <c r="J224" s="21">
        <f t="shared" si="16"/>
        <v>0</v>
      </c>
      <c r="K224" s="80"/>
      <c r="L224" s="82"/>
    </row>
    <row r="225" spans="2:12" s="1" customFormat="1" ht="12.75" x14ac:dyDescent="0.15">
      <c r="B225" s="80"/>
      <c r="C225" s="188"/>
      <c r="D225" s="90"/>
      <c r="E225" s="90"/>
      <c r="F225" s="168"/>
      <c r="G225" s="92"/>
      <c r="H225" s="163"/>
      <c r="I225" s="129"/>
      <c r="J225" s="21"/>
      <c r="K225" s="80"/>
      <c r="L225" s="82"/>
    </row>
    <row r="226" spans="2:12" s="1" customFormat="1" ht="12.75" x14ac:dyDescent="0.15">
      <c r="B226" s="80"/>
      <c r="C226" s="188"/>
      <c r="D226" s="90"/>
      <c r="E226" s="90"/>
      <c r="F226" s="168"/>
      <c r="G226" s="92"/>
      <c r="H226" s="163"/>
      <c r="I226" s="129"/>
      <c r="J226" s="21"/>
      <c r="K226" s="80"/>
      <c r="L226" s="82"/>
    </row>
    <row r="227" spans="2:12" s="1" customFormat="1" ht="12.75" x14ac:dyDescent="0.15">
      <c r="B227" s="80"/>
      <c r="C227" s="167" t="s">
        <v>157</v>
      </c>
      <c r="D227" s="90"/>
      <c r="E227" s="90"/>
      <c r="F227" s="168"/>
      <c r="G227" s="92"/>
      <c r="H227" s="163"/>
      <c r="I227" s="129"/>
      <c r="J227" s="27"/>
      <c r="K227" s="80"/>
      <c r="L227" s="82"/>
    </row>
    <row r="228" spans="2:12" s="1" customFormat="1" ht="12.75" x14ac:dyDescent="0.15">
      <c r="B228" s="80">
        <v>1</v>
      </c>
      <c r="C228" s="89"/>
      <c r="D228" s="90"/>
      <c r="E228" s="90"/>
      <c r="F228" s="168"/>
      <c r="G228" s="92"/>
      <c r="H228" s="163">
        <v>1</v>
      </c>
      <c r="I228" s="129">
        <f t="shared" ref="I228:I247" si="17">J228*$C$32</f>
        <v>0</v>
      </c>
      <c r="J228" s="27">
        <f t="shared" ref="J228:J247" si="18">(F228*G228*H228)/$C$32</f>
        <v>0</v>
      </c>
      <c r="K228" s="80"/>
      <c r="L228" s="82"/>
    </row>
    <row r="229" spans="2:12" s="1" customFormat="1" ht="12.75" x14ac:dyDescent="0.15">
      <c r="B229" s="80">
        <v>2</v>
      </c>
      <c r="C229" s="183"/>
      <c r="D229" s="90"/>
      <c r="E229" s="90"/>
      <c r="F229" s="168"/>
      <c r="G229" s="92"/>
      <c r="H229" s="163">
        <v>1</v>
      </c>
      <c r="I229" s="129">
        <f t="shared" si="17"/>
        <v>0</v>
      </c>
      <c r="J229" s="27">
        <f t="shared" si="18"/>
        <v>0</v>
      </c>
      <c r="K229" s="80"/>
      <c r="L229" s="82"/>
    </row>
    <row r="230" spans="2:12" s="1" customFormat="1" ht="12.75" x14ac:dyDescent="0.15">
      <c r="B230" s="80">
        <v>3</v>
      </c>
      <c r="C230" s="89"/>
      <c r="D230" s="90"/>
      <c r="E230" s="90"/>
      <c r="F230" s="168"/>
      <c r="G230" s="92"/>
      <c r="H230" s="163">
        <v>1</v>
      </c>
      <c r="I230" s="129">
        <f t="shared" si="17"/>
        <v>0</v>
      </c>
      <c r="J230" s="27">
        <f t="shared" si="18"/>
        <v>0</v>
      </c>
      <c r="K230" s="80"/>
      <c r="L230" s="82"/>
    </row>
    <row r="231" spans="2:12" s="1" customFormat="1" ht="12.75" x14ac:dyDescent="0.15">
      <c r="B231" s="80">
        <v>4</v>
      </c>
      <c r="C231" s="169"/>
      <c r="D231" s="90"/>
      <c r="E231" s="90"/>
      <c r="F231" s="168"/>
      <c r="G231" s="92"/>
      <c r="H231" s="163">
        <v>1</v>
      </c>
      <c r="I231" s="129">
        <f t="shared" si="17"/>
        <v>0</v>
      </c>
      <c r="J231" s="27">
        <f t="shared" si="18"/>
        <v>0</v>
      </c>
      <c r="K231" s="80"/>
      <c r="L231" s="82"/>
    </row>
    <row r="232" spans="2:12" s="1" customFormat="1" ht="12.75" x14ac:dyDescent="0.15">
      <c r="B232" s="80">
        <v>5</v>
      </c>
      <c r="C232" s="183"/>
      <c r="D232" s="90"/>
      <c r="E232" s="90"/>
      <c r="F232" s="168"/>
      <c r="G232" s="92"/>
      <c r="H232" s="163">
        <v>1</v>
      </c>
      <c r="I232" s="129">
        <f t="shared" si="17"/>
        <v>0</v>
      </c>
      <c r="J232" s="27">
        <f t="shared" si="18"/>
        <v>0</v>
      </c>
      <c r="K232" s="80"/>
      <c r="L232" s="82"/>
    </row>
    <row r="233" spans="2:12" s="1" customFormat="1" ht="12.75" x14ac:dyDescent="0.15">
      <c r="B233" s="80">
        <v>6</v>
      </c>
      <c r="C233" s="89"/>
      <c r="D233" s="90"/>
      <c r="E233" s="90"/>
      <c r="F233" s="168"/>
      <c r="G233" s="92"/>
      <c r="H233" s="163">
        <v>1</v>
      </c>
      <c r="I233" s="129">
        <f t="shared" si="17"/>
        <v>0</v>
      </c>
      <c r="J233" s="27">
        <f t="shared" si="18"/>
        <v>0</v>
      </c>
      <c r="K233" s="80"/>
      <c r="L233" s="82"/>
    </row>
    <row r="234" spans="2:12" s="1" customFormat="1" ht="12.75" x14ac:dyDescent="0.15">
      <c r="B234" s="80">
        <v>7</v>
      </c>
      <c r="C234" s="183"/>
      <c r="D234" s="90"/>
      <c r="E234" s="90"/>
      <c r="F234" s="168"/>
      <c r="G234" s="92"/>
      <c r="H234" s="163">
        <v>1</v>
      </c>
      <c r="I234" s="129">
        <f t="shared" si="17"/>
        <v>0</v>
      </c>
      <c r="J234" s="27">
        <f t="shared" si="18"/>
        <v>0</v>
      </c>
      <c r="K234" s="80"/>
      <c r="L234" s="82"/>
    </row>
    <row r="235" spans="2:12" s="1" customFormat="1" ht="12.75" x14ac:dyDescent="0.15">
      <c r="B235" s="80">
        <v>8</v>
      </c>
      <c r="C235" s="183"/>
      <c r="D235" s="90"/>
      <c r="E235" s="90"/>
      <c r="F235" s="168"/>
      <c r="G235" s="92"/>
      <c r="H235" s="163">
        <v>1</v>
      </c>
      <c r="I235" s="129">
        <f t="shared" si="17"/>
        <v>0</v>
      </c>
      <c r="J235" s="27">
        <f t="shared" si="18"/>
        <v>0</v>
      </c>
      <c r="K235" s="80"/>
      <c r="L235" s="82"/>
    </row>
    <row r="236" spans="2:12" s="1" customFormat="1" ht="12.75" x14ac:dyDescent="0.15">
      <c r="B236" s="80">
        <v>9</v>
      </c>
      <c r="C236" s="183"/>
      <c r="D236" s="90"/>
      <c r="E236" s="90"/>
      <c r="F236" s="168"/>
      <c r="G236" s="92"/>
      <c r="H236" s="163">
        <v>1</v>
      </c>
      <c r="I236" s="129">
        <f t="shared" si="17"/>
        <v>0</v>
      </c>
      <c r="J236" s="27">
        <f t="shared" si="18"/>
        <v>0</v>
      </c>
      <c r="K236" s="80"/>
      <c r="L236" s="82"/>
    </row>
    <row r="237" spans="2:12" s="1" customFormat="1" ht="12.75" x14ac:dyDescent="0.15">
      <c r="B237" s="80">
        <v>10</v>
      </c>
      <c r="C237" s="183"/>
      <c r="D237" s="90"/>
      <c r="E237" s="90"/>
      <c r="F237" s="168"/>
      <c r="G237" s="92"/>
      <c r="H237" s="163">
        <v>1</v>
      </c>
      <c r="I237" s="129">
        <f t="shared" si="17"/>
        <v>0</v>
      </c>
      <c r="J237" s="27">
        <f t="shared" si="18"/>
        <v>0</v>
      </c>
      <c r="K237" s="80"/>
      <c r="L237" s="82"/>
    </row>
    <row r="238" spans="2:12" s="1" customFormat="1" ht="12.75" x14ac:dyDescent="0.15">
      <c r="B238" s="80">
        <v>11</v>
      </c>
      <c r="C238" s="183"/>
      <c r="D238" s="90"/>
      <c r="E238" s="90"/>
      <c r="F238" s="168"/>
      <c r="G238" s="92"/>
      <c r="H238" s="163">
        <v>1</v>
      </c>
      <c r="I238" s="129">
        <f t="shared" si="17"/>
        <v>0</v>
      </c>
      <c r="J238" s="27">
        <f t="shared" si="18"/>
        <v>0</v>
      </c>
      <c r="K238" s="80"/>
      <c r="L238" s="82"/>
    </row>
    <row r="239" spans="2:12" s="1" customFormat="1" ht="12.75" x14ac:dyDescent="0.15">
      <c r="B239" s="80">
        <v>12</v>
      </c>
      <c r="C239" s="183"/>
      <c r="D239" s="90"/>
      <c r="E239" s="90"/>
      <c r="F239" s="168"/>
      <c r="G239" s="92"/>
      <c r="H239" s="163">
        <v>1</v>
      </c>
      <c r="I239" s="129">
        <f t="shared" si="17"/>
        <v>0</v>
      </c>
      <c r="J239" s="27">
        <f t="shared" si="18"/>
        <v>0</v>
      </c>
      <c r="K239" s="80"/>
      <c r="L239" s="82"/>
    </row>
    <row r="240" spans="2:12" s="1" customFormat="1" ht="12.75" x14ac:dyDescent="0.15">
      <c r="B240" s="80">
        <v>13</v>
      </c>
      <c r="C240" s="183"/>
      <c r="D240" s="90"/>
      <c r="E240" s="90"/>
      <c r="F240" s="168"/>
      <c r="G240" s="92"/>
      <c r="H240" s="163">
        <v>1</v>
      </c>
      <c r="I240" s="129">
        <f t="shared" si="17"/>
        <v>0</v>
      </c>
      <c r="J240" s="27">
        <f t="shared" si="18"/>
        <v>0</v>
      </c>
      <c r="K240" s="80"/>
      <c r="L240" s="82"/>
    </row>
    <row r="241" spans="2:12" s="1" customFormat="1" ht="12.75" x14ac:dyDescent="0.15">
      <c r="B241" s="80">
        <v>14</v>
      </c>
      <c r="C241" s="183"/>
      <c r="D241" s="90"/>
      <c r="E241" s="90"/>
      <c r="F241" s="168"/>
      <c r="G241" s="92"/>
      <c r="H241" s="163">
        <v>1</v>
      </c>
      <c r="I241" s="129">
        <f t="shared" si="17"/>
        <v>0</v>
      </c>
      <c r="J241" s="27">
        <f t="shared" si="18"/>
        <v>0</v>
      </c>
      <c r="K241" s="80"/>
      <c r="L241" s="82"/>
    </row>
    <row r="242" spans="2:12" s="1" customFormat="1" ht="12.75" x14ac:dyDescent="0.15">
      <c r="B242" s="80">
        <v>15</v>
      </c>
      <c r="C242" s="183"/>
      <c r="D242" s="90"/>
      <c r="E242" s="90"/>
      <c r="F242" s="168"/>
      <c r="G242" s="92"/>
      <c r="H242" s="163">
        <v>1</v>
      </c>
      <c r="I242" s="129">
        <f t="shared" si="17"/>
        <v>0</v>
      </c>
      <c r="J242" s="27">
        <f t="shared" si="18"/>
        <v>0</v>
      </c>
      <c r="K242" s="80"/>
      <c r="L242" s="82"/>
    </row>
    <row r="243" spans="2:12" s="1" customFormat="1" ht="12.75" x14ac:dyDescent="0.15">
      <c r="B243" s="80">
        <v>16</v>
      </c>
      <c r="C243" s="183"/>
      <c r="D243" s="90"/>
      <c r="E243" s="90"/>
      <c r="F243" s="168"/>
      <c r="G243" s="92"/>
      <c r="H243" s="163">
        <v>1</v>
      </c>
      <c r="I243" s="129">
        <f t="shared" si="17"/>
        <v>0</v>
      </c>
      <c r="J243" s="27">
        <f t="shared" si="18"/>
        <v>0</v>
      </c>
      <c r="K243" s="80"/>
      <c r="L243" s="82"/>
    </row>
    <row r="244" spans="2:12" s="1" customFormat="1" ht="12.75" x14ac:dyDescent="0.15">
      <c r="B244" s="80">
        <v>17</v>
      </c>
      <c r="C244" s="183"/>
      <c r="D244" s="90"/>
      <c r="E244" s="90"/>
      <c r="F244" s="168"/>
      <c r="G244" s="92"/>
      <c r="H244" s="163">
        <v>1</v>
      </c>
      <c r="I244" s="129">
        <f t="shared" si="17"/>
        <v>0</v>
      </c>
      <c r="J244" s="27">
        <f t="shared" si="18"/>
        <v>0</v>
      </c>
      <c r="K244" s="80"/>
      <c r="L244" s="82"/>
    </row>
    <row r="245" spans="2:12" s="1" customFormat="1" ht="12.75" x14ac:dyDescent="0.15">
      <c r="B245" s="80">
        <v>18</v>
      </c>
      <c r="C245" s="183"/>
      <c r="D245" s="90"/>
      <c r="E245" s="90"/>
      <c r="F245" s="168"/>
      <c r="G245" s="92"/>
      <c r="H245" s="163">
        <v>1</v>
      </c>
      <c r="I245" s="132">
        <f t="shared" si="17"/>
        <v>0</v>
      </c>
      <c r="J245" s="182">
        <f t="shared" si="18"/>
        <v>0</v>
      </c>
      <c r="K245" s="111"/>
      <c r="L245" s="119"/>
    </row>
    <row r="246" spans="2:12" s="1" customFormat="1" ht="12.75" x14ac:dyDescent="0.15">
      <c r="B246" s="16">
        <v>19</v>
      </c>
      <c r="C246" s="186"/>
      <c r="D246" s="85"/>
      <c r="E246" s="85"/>
      <c r="F246" s="166"/>
      <c r="G246" s="87"/>
      <c r="H246" s="267">
        <v>1</v>
      </c>
      <c r="I246" s="168">
        <f t="shared" si="17"/>
        <v>0</v>
      </c>
      <c r="J246" s="185">
        <f t="shared" si="18"/>
        <v>0</v>
      </c>
      <c r="K246" s="82"/>
      <c r="L246" s="82"/>
    </row>
    <row r="247" spans="2:12" s="1" customFormat="1" ht="12.75" x14ac:dyDescent="0.15">
      <c r="B247" s="83">
        <v>20</v>
      </c>
      <c r="C247" s="181"/>
      <c r="D247" s="75"/>
      <c r="E247" s="75"/>
      <c r="F247" s="132"/>
      <c r="G247" s="77"/>
      <c r="H247" s="268">
        <v>1</v>
      </c>
      <c r="I247" s="168">
        <f t="shared" si="17"/>
        <v>0</v>
      </c>
      <c r="J247" s="185">
        <f t="shared" si="18"/>
        <v>0</v>
      </c>
      <c r="K247" s="82"/>
      <c r="L247" s="82"/>
    </row>
    <row r="248" spans="2:12" s="1" customFormat="1" ht="12.75" x14ac:dyDescent="0.15">
      <c r="B248" s="82"/>
      <c r="C248" s="183"/>
      <c r="D248" s="90"/>
      <c r="E248" s="90"/>
      <c r="F248" s="168"/>
      <c r="G248" s="92"/>
      <c r="H248" s="269"/>
      <c r="I248" s="168"/>
      <c r="J248" s="185"/>
      <c r="K248" s="82"/>
      <c r="L248" s="82"/>
    </row>
    <row r="249" spans="2:12" s="1" customFormat="1" ht="12.75" x14ac:dyDescent="0.15">
      <c r="B249" s="82"/>
      <c r="C249" s="102"/>
      <c r="D249" s="103"/>
      <c r="E249" s="102"/>
      <c r="F249" s="128">
        <f>SUM(F189:F248)</f>
        <v>0</v>
      </c>
      <c r="G249" s="104"/>
      <c r="H249" s="253"/>
      <c r="I249" s="128">
        <f>SUM(I190:I248)</f>
        <v>0</v>
      </c>
      <c r="J249" s="257">
        <f>SUM(J193:J234)</f>
        <v>0</v>
      </c>
    </row>
    <row r="250" spans="2:12" s="67" customFormat="1" ht="12.75" x14ac:dyDescent="0.15">
      <c r="B250" s="116"/>
      <c r="C250" s="114"/>
      <c r="D250" s="114"/>
      <c r="E250" s="114" t="s">
        <v>147</v>
      </c>
      <c r="F250" s="162">
        <f>100/115*F249</f>
        <v>0</v>
      </c>
      <c r="G250" s="161"/>
      <c r="H250" s="270" t="s">
        <v>147</v>
      </c>
      <c r="I250" s="162">
        <f>100/115*I249</f>
        <v>0</v>
      </c>
      <c r="J250" s="114"/>
    </row>
    <row r="251" spans="2:12" s="1" customFormat="1" ht="12.75" x14ac:dyDescent="0.15"/>
    <row r="252" spans="2:12" s="1" customFormat="1" ht="12.75" x14ac:dyDescent="0.15"/>
    <row r="253" spans="2:12" s="1" customFormat="1" ht="12.75" x14ac:dyDescent="0.15"/>
    <row r="254" spans="2:12" s="1" customFormat="1" ht="12.75" x14ac:dyDescent="0.15"/>
    <row r="255" spans="2:12" s="247" customFormat="1" ht="32.25" x14ac:dyDescent="0.4">
      <c r="B255" s="248"/>
      <c r="C255" s="380" t="s">
        <v>112</v>
      </c>
      <c r="D255" s="380"/>
      <c r="E255" s="428" t="s">
        <v>104</v>
      </c>
      <c r="F255" s="428"/>
      <c r="G255" s="428"/>
      <c r="H255" s="428"/>
      <c r="I255" s="428"/>
      <c r="J255" s="382">
        <v>2026</v>
      </c>
      <c r="K255" s="382"/>
      <c r="L255" s="382"/>
    </row>
    <row r="256" spans="2:12" s="1" customFormat="1" ht="22.5" x14ac:dyDescent="0.15">
      <c r="B256" s="82"/>
      <c r="C256" s="102" t="s">
        <v>114</v>
      </c>
      <c r="D256" s="388" t="s">
        <v>115</v>
      </c>
      <c r="E256" s="388"/>
      <c r="F256" s="102" t="s">
        <v>116</v>
      </c>
      <c r="G256" s="102" t="s">
        <v>117</v>
      </c>
      <c r="H256" s="102" t="s">
        <v>118</v>
      </c>
      <c r="I256" s="102" t="s">
        <v>119</v>
      </c>
      <c r="J256" s="102" t="s">
        <v>120</v>
      </c>
      <c r="K256" s="82"/>
      <c r="L256" s="82"/>
    </row>
    <row r="257" spans="2:14" s="1" customFormat="1" ht="12.75" x14ac:dyDescent="0.15">
      <c r="B257" s="82"/>
      <c r="C257" s="66">
        <f>C187</f>
        <v>450</v>
      </c>
      <c r="D257" s="389">
        <v>22</v>
      </c>
      <c r="E257" s="389"/>
      <c r="F257" s="13">
        <f>F187</f>
        <v>0.8</v>
      </c>
      <c r="G257" s="14">
        <f>G187</f>
        <v>8</v>
      </c>
      <c r="H257" s="142">
        <f>D257*G257*F257</f>
        <v>140.80000000000001</v>
      </c>
      <c r="I257" s="66">
        <f>I319</f>
        <v>0</v>
      </c>
      <c r="J257" s="143">
        <f>H257-J319</f>
        <v>140.80000000000001</v>
      </c>
      <c r="K257" s="82"/>
      <c r="L257" s="82"/>
    </row>
    <row r="258" spans="2:14" s="1" customFormat="1" ht="33.75" x14ac:dyDescent="0.15">
      <c r="B258" s="82"/>
      <c r="C258" s="167" t="s">
        <v>121</v>
      </c>
      <c r="D258" s="395" t="s">
        <v>122</v>
      </c>
      <c r="E258" s="395"/>
      <c r="F258" s="177" t="s">
        <v>123</v>
      </c>
      <c r="G258" s="178" t="s">
        <v>124</v>
      </c>
      <c r="H258" s="179" t="s">
        <v>125</v>
      </c>
      <c r="I258" s="180" t="s">
        <v>126</v>
      </c>
      <c r="J258" s="178" t="s">
        <v>127</v>
      </c>
      <c r="K258" s="114" t="s">
        <v>128</v>
      </c>
      <c r="L258" s="114" t="s">
        <v>129</v>
      </c>
    </row>
    <row r="259" spans="2:14" s="1" customFormat="1" ht="12.75" x14ac:dyDescent="0.15">
      <c r="B259" s="84"/>
      <c r="C259" s="81"/>
      <c r="D259" s="404"/>
      <c r="E259" s="404"/>
      <c r="F259" s="86"/>
      <c r="G259" s="87"/>
      <c r="H259" s="87"/>
      <c r="I259" s="176"/>
      <c r="J259" s="88"/>
      <c r="K259" s="79"/>
      <c r="L259" s="120"/>
    </row>
    <row r="260" spans="2:14" s="1" customFormat="1" ht="13.35" customHeight="1" x14ac:dyDescent="0.15">
      <c r="B260" s="16"/>
      <c r="C260" s="37" t="s">
        <v>158</v>
      </c>
      <c r="D260" s="24"/>
      <c r="E260" s="24"/>
      <c r="F260" s="129"/>
      <c r="G260" s="20"/>
      <c r="H260" s="20"/>
      <c r="I260" s="126"/>
      <c r="J260" s="38"/>
      <c r="K260" s="80"/>
      <c r="L260" s="82"/>
    </row>
    <row r="261" spans="2:14" s="1" customFormat="1" ht="13.35" customHeight="1" x14ac:dyDescent="0.15">
      <c r="B261" s="16"/>
      <c r="C261" s="37" t="s">
        <v>149</v>
      </c>
      <c r="D261" s="24"/>
      <c r="E261" s="24"/>
      <c r="F261" s="129"/>
      <c r="G261" s="20"/>
      <c r="H261" s="20"/>
      <c r="I261" s="126"/>
      <c r="J261" s="38"/>
      <c r="K261" s="80"/>
      <c r="L261" s="82"/>
    </row>
    <row r="262" spans="2:14" s="1" customFormat="1" ht="13.35" customHeight="1" x14ac:dyDescent="0.15">
      <c r="B262" s="16">
        <v>1</v>
      </c>
      <c r="C262" s="23"/>
      <c r="D262" s="24"/>
      <c r="E262" s="24"/>
      <c r="F262" s="129"/>
      <c r="G262" s="20"/>
      <c r="H262" s="20">
        <v>1</v>
      </c>
      <c r="I262" s="126">
        <f t="shared" ref="I262:I317" si="19">J262*$C$32</f>
        <v>0</v>
      </c>
      <c r="J262" s="38">
        <f t="shared" ref="J262:J277" si="20">(F262*G262*H262)/$C$32</f>
        <v>0</v>
      </c>
      <c r="K262" s="80"/>
      <c r="L262" s="82"/>
    </row>
    <row r="263" spans="2:14" s="1" customFormat="1" ht="13.35" customHeight="1" x14ac:dyDescent="0.15">
      <c r="B263" s="16">
        <v>2</v>
      </c>
      <c r="C263" s="23"/>
      <c r="D263" s="24"/>
      <c r="E263" s="24"/>
      <c r="F263" s="126"/>
      <c r="G263" s="20"/>
      <c r="H263" s="20">
        <v>1</v>
      </c>
      <c r="I263" s="126">
        <f t="shared" si="19"/>
        <v>0</v>
      </c>
      <c r="J263" s="38">
        <f t="shared" si="20"/>
        <v>0</v>
      </c>
      <c r="K263" s="80"/>
      <c r="L263" s="82"/>
    </row>
    <row r="264" spans="2:14" s="1" customFormat="1" ht="13.35" customHeight="1" x14ac:dyDescent="0.15">
      <c r="B264" s="16">
        <v>3</v>
      </c>
      <c r="C264" s="23"/>
      <c r="D264" s="25"/>
      <c r="E264" s="25"/>
      <c r="F264" s="129"/>
      <c r="G264" s="20"/>
      <c r="H264" s="20">
        <v>1</v>
      </c>
      <c r="I264" s="126">
        <f t="shared" si="19"/>
        <v>0</v>
      </c>
      <c r="J264" s="38">
        <f t="shared" si="20"/>
        <v>0</v>
      </c>
      <c r="K264" s="80"/>
      <c r="L264" s="82"/>
    </row>
    <row r="265" spans="2:14" s="1" customFormat="1" ht="13.35" customHeight="1" x14ac:dyDescent="0.15">
      <c r="B265" s="16">
        <v>4</v>
      </c>
      <c r="C265" s="23"/>
      <c r="D265" s="24"/>
      <c r="E265" s="24"/>
      <c r="F265" s="129"/>
      <c r="G265" s="20"/>
      <c r="H265" s="20">
        <v>1</v>
      </c>
      <c r="I265" s="126">
        <f t="shared" si="19"/>
        <v>0</v>
      </c>
      <c r="J265" s="38">
        <f t="shared" si="20"/>
        <v>0</v>
      </c>
      <c r="K265" s="80"/>
      <c r="L265" s="82"/>
    </row>
    <row r="266" spans="2:14" s="1" customFormat="1" ht="13.35" customHeight="1" x14ac:dyDescent="0.15">
      <c r="B266" s="16">
        <v>5</v>
      </c>
      <c r="C266" s="16"/>
      <c r="D266" s="18"/>
      <c r="E266" s="18"/>
      <c r="F266" s="129"/>
      <c r="G266" s="20"/>
      <c r="H266" s="20">
        <v>1</v>
      </c>
      <c r="I266" s="126">
        <f t="shared" si="19"/>
        <v>0</v>
      </c>
      <c r="J266" s="38">
        <f t="shared" si="20"/>
        <v>0</v>
      </c>
      <c r="K266" s="80"/>
      <c r="L266" s="82"/>
    </row>
    <row r="267" spans="2:14" s="1" customFormat="1" ht="13.35" customHeight="1" x14ac:dyDescent="0.15">
      <c r="B267" s="16">
        <v>6</v>
      </c>
      <c r="C267" s="17"/>
      <c r="D267" s="24"/>
      <c r="E267" s="24"/>
      <c r="F267" s="129"/>
      <c r="G267" s="20"/>
      <c r="H267" s="20">
        <v>1</v>
      </c>
      <c r="I267" s="126">
        <f t="shared" si="19"/>
        <v>0</v>
      </c>
      <c r="J267" s="38">
        <f t="shared" si="20"/>
        <v>0</v>
      </c>
      <c r="K267" s="80"/>
      <c r="L267" s="82"/>
    </row>
    <row r="268" spans="2:14" s="1" customFormat="1" ht="13.35" customHeight="1" x14ac:dyDescent="0.15">
      <c r="B268" s="16">
        <v>7</v>
      </c>
      <c r="C268" s="17"/>
      <c r="D268" s="24"/>
      <c r="E268" s="24"/>
      <c r="F268" s="129"/>
      <c r="G268" s="20"/>
      <c r="H268" s="20">
        <v>1</v>
      </c>
      <c r="I268" s="126">
        <f t="shared" si="19"/>
        <v>0</v>
      </c>
      <c r="J268" s="38">
        <f t="shared" si="20"/>
        <v>0</v>
      </c>
      <c r="K268" s="80"/>
      <c r="L268" s="82"/>
    </row>
    <row r="269" spans="2:14" s="1" customFormat="1" ht="13.35" customHeight="1" x14ac:dyDescent="0.15">
      <c r="B269" s="16">
        <v>8</v>
      </c>
      <c r="C269" s="17"/>
      <c r="D269" s="24"/>
      <c r="E269" s="24"/>
      <c r="F269" s="129"/>
      <c r="G269" s="20"/>
      <c r="H269" s="20">
        <v>1</v>
      </c>
      <c r="I269" s="126">
        <f t="shared" si="19"/>
        <v>0</v>
      </c>
      <c r="J269" s="38">
        <f t="shared" si="20"/>
        <v>0</v>
      </c>
      <c r="K269" s="80"/>
      <c r="L269" s="82"/>
    </row>
    <row r="270" spans="2:14" s="1" customFormat="1" ht="13.35" customHeight="1" x14ac:dyDescent="0.15">
      <c r="B270" s="16">
        <v>9</v>
      </c>
      <c r="C270" s="17"/>
      <c r="D270" s="24"/>
      <c r="E270" s="24"/>
      <c r="F270" s="129"/>
      <c r="G270" s="20"/>
      <c r="H270" s="20">
        <v>1</v>
      </c>
      <c r="I270" s="126">
        <f t="shared" si="19"/>
        <v>0</v>
      </c>
      <c r="J270" s="38">
        <f t="shared" si="20"/>
        <v>0</v>
      </c>
      <c r="K270" s="80"/>
      <c r="L270" s="82"/>
    </row>
    <row r="271" spans="2:14" s="1" customFormat="1" ht="13.35" customHeight="1" x14ac:dyDescent="0.15">
      <c r="B271" s="16">
        <v>10</v>
      </c>
      <c r="C271" s="17"/>
      <c r="D271" s="24"/>
      <c r="E271" s="24"/>
      <c r="F271" s="129"/>
      <c r="G271" s="20"/>
      <c r="H271" s="20">
        <v>1</v>
      </c>
      <c r="I271" s="126">
        <f t="shared" si="19"/>
        <v>0</v>
      </c>
      <c r="J271" s="38">
        <f t="shared" si="20"/>
        <v>0</v>
      </c>
      <c r="K271" s="80"/>
      <c r="L271" s="82"/>
    </row>
    <row r="272" spans="2:14" s="1" customFormat="1" ht="13.35" customHeight="1" x14ac:dyDescent="0.15">
      <c r="B272" s="16"/>
      <c r="C272" s="17"/>
      <c r="D272" s="24"/>
      <c r="E272" s="24"/>
      <c r="F272" s="129"/>
      <c r="G272" s="20"/>
      <c r="H272" s="20"/>
      <c r="I272" s="126"/>
      <c r="J272" s="38"/>
      <c r="K272" s="80"/>
      <c r="L272" s="82"/>
      <c r="N272" s="41"/>
    </row>
    <row r="273" spans="2:20" s="1" customFormat="1" ht="13.35" customHeight="1" x14ac:dyDescent="0.15">
      <c r="B273" s="16"/>
      <c r="C273" s="17"/>
      <c r="D273" s="24"/>
      <c r="E273" s="24"/>
      <c r="F273" s="129"/>
      <c r="G273" s="20"/>
      <c r="H273" s="20"/>
      <c r="I273" s="126"/>
      <c r="J273" s="21"/>
      <c r="K273" s="80"/>
      <c r="L273" s="82"/>
    </row>
    <row r="274" spans="2:20" s="1" customFormat="1" ht="13.35" customHeight="1" x14ac:dyDescent="0.15">
      <c r="B274" s="16"/>
      <c r="C274" s="22" t="s">
        <v>156</v>
      </c>
      <c r="D274" s="24"/>
      <c r="E274" s="24"/>
      <c r="F274" s="129"/>
      <c r="G274" s="20"/>
      <c r="H274" s="20"/>
      <c r="I274" s="126"/>
      <c r="J274" s="21"/>
      <c r="K274" s="80"/>
      <c r="L274" s="82"/>
    </row>
    <row r="275" spans="2:20" s="1" customFormat="1" ht="16.5" x14ac:dyDescent="0.15">
      <c r="B275" s="16">
        <v>1</v>
      </c>
      <c r="C275" s="44"/>
      <c r="D275" s="18"/>
      <c r="E275" s="18"/>
      <c r="F275" s="129"/>
      <c r="G275" s="20"/>
      <c r="H275" s="20">
        <v>1</v>
      </c>
      <c r="I275" s="126">
        <f t="shared" si="19"/>
        <v>0</v>
      </c>
      <c r="J275" s="38">
        <f t="shared" si="20"/>
        <v>0</v>
      </c>
      <c r="K275" s="80"/>
      <c r="L275" s="82"/>
      <c r="M275" s="10"/>
      <c r="N275" s="42"/>
      <c r="O275" s="10"/>
      <c r="P275" s="10"/>
      <c r="Q275" s="43"/>
      <c r="R275" s="10"/>
      <c r="T275" s="10"/>
    </row>
    <row r="276" spans="2:20" s="1" customFormat="1" ht="16.5" x14ac:dyDescent="0.15">
      <c r="B276" s="16">
        <v>2</v>
      </c>
      <c r="C276" s="45"/>
      <c r="D276" s="18"/>
      <c r="E276" s="18"/>
      <c r="F276" s="129"/>
      <c r="G276" s="20"/>
      <c r="H276" s="20">
        <v>1</v>
      </c>
      <c r="I276" s="126">
        <f>J276*$C$32</f>
        <v>0</v>
      </c>
      <c r="J276" s="38">
        <f t="shared" si="20"/>
        <v>0</v>
      </c>
      <c r="K276" s="80"/>
      <c r="L276" s="82"/>
      <c r="M276" s="10"/>
      <c r="N276" s="42"/>
      <c r="O276" s="10"/>
      <c r="P276" s="10"/>
      <c r="Q276" s="43"/>
      <c r="R276" s="10"/>
      <c r="T276" s="10"/>
    </row>
    <row r="277" spans="2:20" s="1" customFormat="1" ht="12.95" customHeight="1" x14ac:dyDescent="0.15">
      <c r="B277" s="16">
        <v>3</v>
      </c>
      <c r="C277" s="44"/>
      <c r="D277" s="18"/>
      <c r="E277" s="18"/>
      <c r="F277" s="129"/>
      <c r="G277" s="20"/>
      <c r="H277" s="20">
        <v>1</v>
      </c>
      <c r="I277" s="126">
        <f t="shared" si="19"/>
        <v>0</v>
      </c>
      <c r="J277" s="21">
        <f t="shared" si="20"/>
        <v>0</v>
      </c>
      <c r="K277" s="80"/>
      <c r="L277" s="82"/>
      <c r="M277" s="10"/>
      <c r="N277" s="42"/>
      <c r="O277" s="10"/>
      <c r="P277" s="10"/>
      <c r="Q277" s="43"/>
      <c r="R277" s="10"/>
      <c r="T277" s="10"/>
    </row>
    <row r="278" spans="2:20" s="1" customFormat="1" ht="14.25" x14ac:dyDescent="0.15">
      <c r="B278" s="16">
        <v>4</v>
      </c>
      <c r="C278" s="46"/>
      <c r="D278" s="405"/>
      <c r="E278" s="405"/>
      <c r="F278" s="129"/>
      <c r="G278" s="20"/>
      <c r="H278" s="20">
        <v>1</v>
      </c>
      <c r="I278" s="126">
        <f t="shared" si="19"/>
        <v>0</v>
      </c>
      <c r="J278" s="38">
        <f>(F279*G278*H278)/$C$32</f>
        <v>0</v>
      </c>
      <c r="K278" s="80"/>
      <c r="L278" s="82"/>
      <c r="M278" s="10"/>
      <c r="N278" s="42"/>
      <c r="O278" s="10"/>
      <c r="P278" s="10"/>
      <c r="Q278" s="43"/>
      <c r="R278" s="10"/>
      <c r="T278" s="10"/>
    </row>
    <row r="279" spans="2:20" s="1" customFormat="1" ht="14.25" x14ac:dyDescent="0.15">
      <c r="B279" s="16">
        <v>5</v>
      </c>
      <c r="C279" s="11"/>
      <c r="D279" s="18"/>
      <c r="E279" s="18"/>
      <c r="F279" s="129"/>
      <c r="G279" s="20"/>
      <c r="H279" s="20">
        <v>1</v>
      </c>
      <c r="I279" s="126">
        <f t="shared" si="19"/>
        <v>0</v>
      </c>
      <c r="J279" s="38">
        <f>(F281*G279*H279)/$C$32</f>
        <v>0</v>
      </c>
      <c r="K279" s="80"/>
      <c r="L279" s="82"/>
      <c r="M279" s="10"/>
      <c r="N279" s="42"/>
      <c r="O279" s="10"/>
      <c r="P279" s="10"/>
      <c r="Q279" s="43"/>
      <c r="R279" s="10"/>
      <c r="T279" s="10"/>
    </row>
    <row r="280" spans="2:20" s="1" customFormat="1" ht="14.25" x14ac:dyDescent="0.15">
      <c r="B280" s="16">
        <v>6</v>
      </c>
      <c r="C280" s="11"/>
      <c r="D280" s="18"/>
      <c r="E280" s="18"/>
      <c r="F280" s="129"/>
      <c r="G280" s="20"/>
      <c r="H280" s="20">
        <v>1</v>
      </c>
      <c r="I280" s="126">
        <f t="shared" si="19"/>
        <v>0</v>
      </c>
      <c r="J280" s="38">
        <f>(F282*G280*H280)/$C$32</f>
        <v>0</v>
      </c>
      <c r="K280" s="80"/>
      <c r="L280" s="82"/>
      <c r="M280" s="10"/>
      <c r="N280" s="42"/>
      <c r="O280" s="10"/>
      <c r="P280" s="10"/>
      <c r="Q280" s="43"/>
      <c r="R280" s="10"/>
      <c r="T280" s="10"/>
    </row>
    <row r="281" spans="2:20" s="1" customFormat="1" ht="16.5" x14ac:dyDescent="0.2">
      <c r="B281" s="16">
        <v>7</v>
      </c>
      <c r="C281" s="47"/>
      <c r="D281" s="18"/>
      <c r="E281" s="18"/>
      <c r="F281" s="129"/>
      <c r="G281" s="20"/>
      <c r="H281" s="20">
        <v>1</v>
      </c>
      <c r="I281" s="126">
        <f t="shared" si="19"/>
        <v>0</v>
      </c>
      <c r="J281" s="38">
        <f>(F283*G281*H281)/$C$32</f>
        <v>0</v>
      </c>
      <c r="K281" s="80"/>
      <c r="L281" s="82"/>
      <c r="M281" s="10"/>
      <c r="N281" s="42"/>
      <c r="O281" s="10"/>
      <c r="P281" s="10"/>
      <c r="Q281" s="43"/>
      <c r="R281" s="10"/>
      <c r="T281" s="10"/>
    </row>
    <row r="282" spans="2:20" s="1" customFormat="1" ht="14.25" x14ac:dyDescent="0.15">
      <c r="B282" s="16">
        <v>8</v>
      </c>
      <c r="C282" s="11"/>
      <c r="D282" s="18"/>
      <c r="E282" s="18"/>
      <c r="F282" s="129"/>
      <c r="G282" s="20"/>
      <c r="H282" s="20">
        <v>1</v>
      </c>
      <c r="I282" s="126">
        <f t="shared" si="19"/>
        <v>0</v>
      </c>
      <c r="J282" s="21">
        <f>(F284*G282*H282)/$C$32</f>
        <v>0</v>
      </c>
      <c r="K282" s="80"/>
      <c r="L282" s="82"/>
      <c r="M282" s="10"/>
      <c r="N282" s="42"/>
      <c r="O282" s="10"/>
      <c r="P282" s="10"/>
      <c r="Q282" s="43"/>
      <c r="R282" s="10"/>
      <c r="T282" s="10"/>
    </row>
    <row r="283" spans="2:20" s="1" customFormat="1" ht="14.25" x14ac:dyDescent="0.15">
      <c r="B283" s="16">
        <v>9</v>
      </c>
      <c r="C283" s="11"/>
      <c r="D283" s="18"/>
      <c r="E283" s="18"/>
      <c r="F283" s="129"/>
      <c r="G283" s="20"/>
      <c r="H283" s="20">
        <v>1</v>
      </c>
      <c r="I283" s="126">
        <f t="shared" si="19"/>
        <v>0</v>
      </c>
      <c r="J283" s="38">
        <f t="shared" ref="J283:J284" si="21">(F285*G283*H283)/$C$32</f>
        <v>0</v>
      </c>
      <c r="K283" s="80"/>
      <c r="L283" s="82"/>
      <c r="M283" s="10"/>
      <c r="N283" s="42"/>
      <c r="O283" s="10"/>
      <c r="P283" s="10"/>
      <c r="Q283" s="43"/>
      <c r="R283" s="10"/>
      <c r="T283" s="10"/>
    </row>
    <row r="284" spans="2:20" s="1" customFormat="1" ht="14.25" x14ac:dyDescent="0.15">
      <c r="B284" s="16">
        <v>10</v>
      </c>
      <c r="C284" s="11"/>
      <c r="D284" s="18"/>
      <c r="E284" s="18"/>
      <c r="F284" s="129"/>
      <c r="G284" s="20"/>
      <c r="H284" s="20">
        <v>1</v>
      </c>
      <c r="I284" s="126">
        <f t="shared" si="19"/>
        <v>0</v>
      </c>
      <c r="J284" s="38">
        <f t="shared" si="21"/>
        <v>0</v>
      </c>
      <c r="K284" s="80"/>
      <c r="L284" s="82"/>
      <c r="M284" s="10"/>
      <c r="N284" s="42"/>
      <c r="O284" s="10"/>
      <c r="P284" s="10"/>
      <c r="Q284" s="43"/>
      <c r="R284" s="10"/>
      <c r="T284" s="10"/>
    </row>
    <row r="285" spans="2:20" s="1" customFormat="1" ht="14.25" x14ac:dyDescent="0.15">
      <c r="B285" s="16">
        <v>11</v>
      </c>
      <c r="C285" s="11"/>
      <c r="D285" s="18"/>
      <c r="E285" s="18"/>
      <c r="F285" s="129"/>
      <c r="G285" s="20"/>
      <c r="H285" s="20">
        <v>1</v>
      </c>
      <c r="I285" s="126">
        <f t="shared" si="19"/>
        <v>0</v>
      </c>
      <c r="J285" s="38">
        <f t="shared" ref="J285:J317" si="22">(F285*G285*H285)/$C$32</f>
        <v>0</v>
      </c>
      <c r="K285" s="80"/>
      <c r="L285" s="82"/>
      <c r="M285" s="10"/>
      <c r="N285" s="42"/>
      <c r="O285" s="10"/>
      <c r="P285" s="10"/>
      <c r="Q285" s="43"/>
      <c r="R285" s="10"/>
      <c r="T285" s="10"/>
    </row>
    <row r="286" spans="2:20" s="1" customFormat="1" ht="14.25" x14ac:dyDescent="0.15">
      <c r="B286" s="16">
        <v>12</v>
      </c>
      <c r="C286" s="11"/>
      <c r="D286" s="18"/>
      <c r="E286" s="18"/>
      <c r="F286" s="129"/>
      <c r="G286" s="20"/>
      <c r="H286" s="20">
        <v>1</v>
      </c>
      <c r="I286" s="126">
        <f t="shared" si="19"/>
        <v>0</v>
      </c>
      <c r="J286" s="21">
        <f t="shared" si="22"/>
        <v>0</v>
      </c>
      <c r="K286" s="80"/>
      <c r="L286" s="82"/>
      <c r="M286" s="10"/>
      <c r="N286" s="42"/>
      <c r="O286" s="10"/>
      <c r="P286" s="10"/>
      <c r="Q286" s="43"/>
      <c r="R286" s="10"/>
      <c r="T286" s="10"/>
    </row>
    <row r="287" spans="2:20" s="1" customFormat="1" ht="14.25" x14ac:dyDescent="0.15">
      <c r="B287" s="16">
        <v>13</v>
      </c>
      <c r="C287" s="11"/>
      <c r="D287" s="18"/>
      <c r="E287" s="18"/>
      <c r="F287" s="129"/>
      <c r="G287" s="20"/>
      <c r="H287" s="20">
        <v>1</v>
      </c>
      <c r="I287" s="126">
        <f t="shared" si="19"/>
        <v>0</v>
      </c>
      <c r="J287" s="38">
        <f t="shared" si="22"/>
        <v>0</v>
      </c>
      <c r="K287" s="80"/>
      <c r="L287" s="82"/>
      <c r="M287" s="10"/>
      <c r="N287" s="42"/>
      <c r="O287" s="10"/>
      <c r="P287" s="10"/>
      <c r="Q287" s="43"/>
      <c r="R287" s="10"/>
      <c r="T287" s="10"/>
    </row>
    <row r="288" spans="2:20" s="1" customFormat="1" ht="14.25" x14ac:dyDescent="0.15">
      <c r="B288" s="16">
        <v>14</v>
      </c>
      <c r="C288" s="11"/>
      <c r="D288" s="18"/>
      <c r="E288" s="18"/>
      <c r="F288" s="129"/>
      <c r="G288" s="20"/>
      <c r="H288" s="20">
        <v>1</v>
      </c>
      <c r="I288" s="126">
        <f t="shared" si="19"/>
        <v>0</v>
      </c>
      <c r="J288" s="38">
        <f t="shared" si="22"/>
        <v>0</v>
      </c>
      <c r="K288" s="80"/>
      <c r="L288" s="82"/>
      <c r="M288" s="10"/>
      <c r="N288" s="42"/>
      <c r="O288" s="10"/>
      <c r="P288" s="10"/>
      <c r="Q288" s="43"/>
      <c r="R288" s="10"/>
      <c r="T288" s="10"/>
    </row>
    <row r="289" spans="2:20" s="1" customFormat="1" ht="14.25" x14ac:dyDescent="0.15">
      <c r="B289" s="16">
        <v>15</v>
      </c>
      <c r="C289" s="11"/>
      <c r="D289" s="18"/>
      <c r="E289" s="18"/>
      <c r="F289" s="129"/>
      <c r="G289" s="20"/>
      <c r="H289" s="20">
        <v>1</v>
      </c>
      <c r="I289" s="126">
        <f t="shared" si="19"/>
        <v>0</v>
      </c>
      <c r="J289" s="38">
        <f t="shared" si="22"/>
        <v>0</v>
      </c>
      <c r="K289" s="80"/>
      <c r="L289" s="82"/>
      <c r="M289" s="10"/>
      <c r="N289" s="42"/>
      <c r="O289" s="10"/>
      <c r="P289" s="10"/>
      <c r="Q289" s="43"/>
      <c r="R289" s="10"/>
      <c r="T289" s="10"/>
    </row>
    <row r="290" spans="2:20" s="1" customFormat="1" ht="14.25" x14ac:dyDescent="0.15">
      <c r="B290" s="16">
        <v>16</v>
      </c>
      <c r="C290" s="11"/>
      <c r="D290" s="18"/>
      <c r="E290" s="18"/>
      <c r="F290" s="129"/>
      <c r="G290" s="20"/>
      <c r="H290" s="20">
        <v>1</v>
      </c>
      <c r="I290" s="126">
        <f t="shared" si="19"/>
        <v>0</v>
      </c>
      <c r="J290" s="21">
        <f t="shared" si="22"/>
        <v>0</v>
      </c>
      <c r="K290" s="80"/>
      <c r="L290" s="82"/>
      <c r="M290" s="10"/>
      <c r="N290" s="42"/>
      <c r="O290" s="10"/>
      <c r="P290" s="10"/>
      <c r="Q290" s="43"/>
      <c r="R290" s="10"/>
      <c r="T290" s="10"/>
    </row>
    <row r="291" spans="2:20" s="1" customFormat="1" ht="14.25" x14ac:dyDescent="0.15">
      <c r="B291" s="16">
        <v>17</v>
      </c>
      <c r="C291" s="11"/>
      <c r="D291" s="18"/>
      <c r="E291" s="18"/>
      <c r="F291" s="129"/>
      <c r="G291" s="20"/>
      <c r="H291" s="20">
        <v>1</v>
      </c>
      <c r="I291" s="126">
        <f t="shared" si="19"/>
        <v>0</v>
      </c>
      <c r="J291" s="38">
        <f t="shared" si="22"/>
        <v>0</v>
      </c>
      <c r="K291" s="80"/>
      <c r="L291" s="82"/>
      <c r="M291" s="10"/>
      <c r="N291" s="42"/>
      <c r="O291" s="10"/>
      <c r="P291" s="10"/>
      <c r="Q291" s="43"/>
      <c r="R291" s="10"/>
      <c r="T291" s="10"/>
    </row>
    <row r="292" spans="2:20" s="1" customFormat="1" ht="14.25" x14ac:dyDescent="0.15">
      <c r="B292" s="16">
        <v>18</v>
      </c>
      <c r="C292" s="11"/>
      <c r="D292" s="18"/>
      <c r="E292" s="18"/>
      <c r="F292" s="129"/>
      <c r="G292" s="20"/>
      <c r="H292" s="20">
        <v>1</v>
      </c>
      <c r="I292" s="126">
        <f t="shared" si="19"/>
        <v>0</v>
      </c>
      <c r="J292" s="38">
        <f t="shared" si="22"/>
        <v>0</v>
      </c>
      <c r="K292" s="80"/>
      <c r="L292" s="82"/>
      <c r="M292" s="10"/>
      <c r="N292" s="42"/>
      <c r="O292" s="10"/>
      <c r="P292" s="10"/>
      <c r="Q292" s="43"/>
      <c r="R292" s="10"/>
      <c r="T292" s="10"/>
    </row>
    <row r="293" spans="2:20" s="1" customFormat="1" ht="14.25" x14ac:dyDescent="0.15">
      <c r="B293" s="16">
        <v>19</v>
      </c>
      <c r="C293" s="11"/>
      <c r="D293" s="18"/>
      <c r="E293" s="18"/>
      <c r="F293" s="129"/>
      <c r="G293" s="20"/>
      <c r="H293" s="20">
        <v>1</v>
      </c>
      <c r="I293" s="126">
        <f t="shared" si="19"/>
        <v>0</v>
      </c>
      <c r="J293" s="38">
        <f t="shared" si="22"/>
        <v>0</v>
      </c>
      <c r="K293" s="80"/>
      <c r="L293" s="82"/>
      <c r="M293" s="10"/>
      <c r="N293" s="42"/>
      <c r="O293" s="10"/>
      <c r="P293" s="10"/>
      <c r="Q293" s="43"/>
      <c r="R293" s="10"/>
      <c r="T293" s="10"/>
    </row>
    <row r="294" spans="2:20" s="1" customFormat="1" ht="14.25" x14ac:dyDescent="0.15">
      <c r="B294" s="16">
        <v>20</v>
      </c>
      <c r="C294" s="11"/>
      <c r="D294" s="18"/>
      <c r="E294" s="18"/>
      <c r="F294" s="129"/>
      <c r="G294" s="20"/>
      <c r="H294" s="20">
        <v>1</v>
      </c>
      <c r="I294" s="126">
        <f t="shared" si="19"/>
        <v>0</v>
      </c>
      <c r="J294" s="21">
        <f t="shared" si="22"/>
        <v>0</v>
      </c>
      <c r="K294" s="80"/>
      <c r="L294" s="82"/>
      <c r="M294" s="10"/>
      <c r="N294" s="42"/>
      <c r="O294" s="10"/>
      <c r="P294" s="10"/>
      <c r="Q294" s="43"/>
      <c r="R294" s="10"/>
      <c r="T294" s="10"/>
    </row>
    <row r="295" spans="2:20" s="1" customFormat="1" ht="14.25" x14ac:dyDescent="0.15">
      <c r="B295" s="16"/>
      <c r="C295" s="11"/>
      <c r="D295" s="18"/>
      <c r="E295" s="18"/>
      <c r="F295" s="129"/>
      <c r="G295" s="20"/>
      <c r="H295" s="20"/>
      <c r="I295" s="126"/>
      <c r="J295" s="21"/>
      <c r="K295" s="80"/>
      <c r="L295" s="82"/>
      <c r="M295" s="10"/>
      <c r="N295" s="42"/>
      <c r="O295" s="10"/>
      <c r="P295" s="10"/>
      <c r="Q295" s="43"/>
      <c r="R295" s="10"/>
      <c r="T295" s="10"/>
    </row>
    <row r="296" spans="2:20" s="1" customFormat="1" ht="14.25" x14ac:dyDescent="0.15">
      <c r="B296" s="16"/>
      <c r="C296" s="11"/>
      <c r="D296" s="18"/>
      <c r="E296" s="18"/>
      <c r="F296" s="129"/>
      <c r="G296" s="20"/>
      <c r="H296" s="20"/>
      <c r="I296" s="126"/>
      <c r="J296" s="21"/>
      <c r="K296" s="80"/>
      <c r="L296" s="82"/>
      <c r="M296" s="10"/>
      <c r="N296" s="42"/>
      <c r="O296" s="10"/>
      <c r="P296" s="10"/>
      <c r="Q296" s="43"/>
      <c r="R296" s="10"/>
      <c r="T296" s="10"/>
    </row>
    <row r="297" spans="2:20" s="1" customFormat="1" ht="14.25" x14ac:dyDescent="0.15">
      <c r="B297" s="16"/>
      <c r="C297" s="46" t="s">
        <v>159</v>
      </c>
      <c r="D297" s="18"/>
      <c r="E297" s="18"/>
      <c r="F297" s="129"/>
      <c r="G297" s="20"/>
      <c r="H297" s="20"/>
      <c r="I297" s="126"/>
      <c r="J297" s="21"/>
      <c r="K297" s="80"/>
      <c r="L297" s="82"/>
      <c r="M297" s="10"/>
      <c r="N297" s="10"/>
      <c r="O297" s="10"/>
      <c r="P297" s="10"/>
      <c r="Q297" s="43"/>
      <c r="R297" s="10"/>
      <c r="T297" s="10"/>
    </row>
    <row r="298" spans="2:20" s="1" customFormat="1" ht="14.25" x14ac:dyDescent="0.15">
      <c r="B298" s="16">
        <v>1</v>
      </c>
      <c r="C298" s="11"/>
      <c r="D298" s="18"/>
      <c r="E298" s="18"/>
      <c r="F298" s="129"/>
      <c r="G298" s="20"/>
      <c r="H298" s="20">
        <v>1</v>
      </c>
      <c r="I298" s="126">
        <f t="shared" si="19"/>
        <v>0</v>
      </c>
      <c r="J298" s="21">
        <f t="shared" si="22"/>
        <v>0</v>
      </c>
      <c r="K298" s="80"/>
      <c r="L298" s="82"/>
      <c r="M298" s="10"/>
      <c r="N298" s="10"/>
      <c r="O298" s="10"/>
      <c r="P298" s="10"/>
      <c r="Q298" s="43"/>
      <c r="R298" s="10"/>
      <c r="T298" s="10"/>
    </row>
    <row r="299" spans="2:20" s="1" customFormat="1" ht="14.25" x14ac:dyDescent="0.15">
      <c r="B299" s="16">
        <v>2</v>
      </c>
      <c r="C299" s="11"/>
      <c r="D299" s="18"/>
      <c r="E299" s="18"/>
      <c r="F299" s="129"/>
      <c r="G299" s="20"/>
      <c r="H299" s="20">
        <v>1</v>
      </c>
      <c r="I299" s="126">
        <f t="shared" si="19"/>
        <v>0</v>
      </c>
      <c r="J299" s="21">
        <f t="shared" si="22"/>
        <v>0</v>
      </c>
      <c r="K299" s="80"/>
      <c r="L299" s="82"/>
      <c r="M299" s="10"/>
      <c r="N299" s="10"/>
      <c r="O299" s="10"/>
      <c r="P299" s="10"/>
      <c r="Q299" s="43"/>
      <c r="R299" s="10"/>
      <c r="T299" s="10"/>
    </row>
    <row r="300" spans="2:20" s="1" customFormat="1" ht="14.25" x14ac:dyDescent="0.15">
      <c r="B300" s="16">
        <v>3</v>
      </c>
      <c r="C300" s="11"/>
      <c r="D300" s="18"/>
      <c r="E300" s="18"/>
      <c r="F300" s="129"/>
      <c r="G300" s="20"/>
      <c r="H300" s="20">
        <v>1</v>
      </c>
      <c r="I300" s="126">
        <f t="shared" si="19"/>
        <v>0</v>
      </c>
      <c r="J300" s="21">
        <f t="shared" si="22"/>
        <v>0</v>
      </c>
      <c r="K300" s="80"/>
      <c r="L300" s="82"/>
      <c r="M300" s="10"/>
      <c r="N300" s="10"/>
      <c r="O300" s="10"/>
      <c r="P300" s="10"/>
      <c r="Q300" s="43"/>
      <c r="R300" s="10"/>
      <c r="T300" s="10"/>
    </row>
    <row r="301" spans="2:20" s="1" customFormat="1" ht="14.25" x14ac:dyDescent="0.15">
      <c r="B301" s="16">
        <v>4</v>
      </c>
      <c r="C301" s="11"/>
      <c r="D301" s="18"/>
      <c r="E301" s="18"/>
      <c r="F301" s="129"/>
      <c r="G301" s="20"/>
      <c r="H301" s="20">
        <v>1</v>
      </c>
      <c r="I301" s="126">
        <f t="shared" si="19"/>
        <v>0</v>
      </c>
      <c r="J301" s="21">
        <f t="shared" si="22"/>
        <v>0</v>
      </c>
      <c r="K301" s="80"/>
      <c r="L301" s="82"/>
      <c r="M301" s="10"/>
      <c r="N301" s="10"/>
      <c r="O301" s="10"/>
      <c r="P301" s="10"/>
      <c r="Q301" s="43"/>
      <c r="R301" s="10"/>
      <c r="T301" s="10"/>
    </row>
    <row r="302" spans="2:20" s="1" customFormat="1" ht="14.25" x14ac:dyDescent="0.15">
      <c r="B302" s="16">
        <v>5</v>
      </c>
      <c r="C302" s="11"/>
      <c r="D302" s="18"/>
      <c r="E302" s="18"/>
      <c r="F302" s="129"/>
      <c r="G302" s="20"/>
      <c r="H302" s="20">
        <v>1</v>
      </c>
      <c r="I302" s="126">
        <f t="shared" si="19"/>
        <v>0</v>
      </c>
      <c r="J302" s="21">
        <f t="shared" si="22"/>
        <v>0</v>
      </c>
      <c r="K302" s="80"/>
      <c r="L302" s="82"/>
      <c r="M302" s="10"/>
      <c r="N302" s="10"/>
      <c r="O302" s="10"/>
      <c r="P302" s="10"/>
      <c r="Q302" s="43"/>
      <c r="R302" s="10"/>
      <c r="T302" s="10"/>
    </row>
    <row r="303" spans="2:20" s="1" customFormat="1" ht="14.25" x14ac:dyDescent="0.15">
      <c r="B303" s="16">
        <v>6</v>
      </c>
      <c r="C303" s="11"/>
      <c r="D303" s="18"/>
      <c r="E303" s="18"/>
      <c r="F303" s="129"/>
      <c r="G303" s="20"/>
      <c r="H303" s="20">
        <v>1</v>
      </c>
      <c r="I303" s="126">
        <f t="shared" si="19"/>
        <v>0</v>
      </c>
      <c r="J303" s="21">
        <f t="shared" si="22"/>
        <v>0</v>
      </c>
      <c r="K303" s="80"/>
      <c r="L303" s="82"/>
      <c r="M303" s="10"/>
      <c r="N303" s="10"/>
      <c r="O303" s="10"/>
      <c r="P303" s="10"/>
      <c r="Q303" s="43"/>
      <c r="R303" s="10"/>
      <c r="T303" s="10"/>
    </row>
    <row r="304" spans="2:20" s="1" customFormat="1" ht="14.25" x14ac:dyDescent="0.15">
      <c r="B304" s="16">
        <v>7</v>
      </c>
      <c r="C304" s="11"/>
      <c r="D304" s="18"/>
      <c r="E304" s="18"/>
      <c r="F304" s="129"/>
      <c r="G304" s="20"/>
      <c r="H304" s="20">
        <v>1</v>
      </c>
      <c r="I304" s="126">
        <f t="shared" si="19"/>
        <v>0</v>
      </c>
      <c r="J304" s="21">
        <f t="shared" si="22"/>
        <v>0</v>
      </c>
      <c r="K304" s="80"/>
      <c r="L304" s="82"/>
      <c r="M304" s="10"/>
      <c r="N304" s="10"/>
      <c r="O304" s="10"/>
      <c r="P304" s="10"/>
      <c r="Q304" s="43"/>
      <c r="R304" s="10"/>
      <c r="T304" s="10"/>
    </row>
    <row r="305" spans="2:20" s="1" customFormat="1" ht="14.25" x14ac:dyDescent="0.15">
      <c r="B305" s="16">
        <v>8</v>
      </c>
      <c r="C305" s="11"/>
      <c r="D305" s="18"/>
      <c r="E305" s="18"/>
      <c r="F305" s="129"/>
      <c r="G305" s="20"/>
      <c r="H305" s="20">
        <v>1</v>
      </c>
      <c r="I305" s="126">
        <f t="shared" si="19"/>
        <v>0</v>
      </c>
      <c r="J305" s="21">
        <f t="shared" si="22"/>
        <v>0</v>
      </c>
      <c r="K305" s="80"/>
      <c r="L305" s="82"/>
      <c r="M305" s="10"/>
      <c r="N305" s="10"/>
      <c r="O305" s="10"/>
      <c r="P305" s="10"/>
      <c r="Q305" s="43"/>
      <c r="R305" s="10"/>
      <c r="T305" s="10"/>
    </row>
    <row r="306" spans="2:20" s="1" customFormat="1" ht="14.25" x14ac:dyDescent="0.15">
      <c r="B306" s="16">
        <v>9</v>
      </c>
      <c r="C306" s="11"/>
      <c r="D306" s="18"/>
      <c r="E306" s="18"/>
      <c r="F306" s="129"/>
      <c r="G306" s="20"/>
      <c r="H306" s="20">
        <v>1</v>
      </c>
      <c r="I306" s="126">
        <f t="shared" si="19"/>
        <v>0</v>
      </c>
      <c r="J306" s="21">
        <f t="shared" si="22"/>
        <v>0</v>
      </c>
      <c r="K306" s="80"/>
      <c r="L306" s="82"/>
      <c r="M306" s="10"/>
      <c r="N306" s="10"/>
      <c r="O306" s="10"/>
      <c r="P306" s="10"/>
      <c r="Q306" s="43"/>
      <c r="R306" s="10"/>
      <c r="T306" s="10"/>
    </row>
    <row r="307" spans="2:20" s="1" customFormat="1" ht="14.25" x14ac:dyDescent="0.15">
      <c r="B307" s="16">
        <v>10</v>
      </c>
      <c r="C307" s="11"/>
      <c r="D307" s="18"/>
      <c r="E307" s="18"/>
      <c r="F307" s="129"/>
      <c r="G307" s="20"/>
      <c r="H307" s="20">
        <v>1</v>
      </c>
      <c r="I307" s="126">
        <f t="shared" si="19"/>
        <v>0</v>
      </c>
      <c r="J307" s="21">
        <f t="shared" si="22"/>
        <v>0</v>
      </c>
      <c r="K307" s="80"/>
      <c r="L307" s="82"/>
      <c r="M307" s="10"/>
      <c r="N307" s="10"/>
      <c r="O307" s="10"/>
      <c r="P307" s="10"/>
      <c r="Q307" s="43"/>
      <c r="R307" s="10"/>
      <c r="T307" s="10"/>
    </row>
    <row r="308" spans="2:20" s="1" customFormat="1" ht="14.25" x14ac:dyDescent="0.15">
      <c r="B308" s="16">
        <v>11</v>
      </c>
      <c r="C308" s="11"/>
      <c r="D308" s="18"/>
      <c r="E308" s="18"/>
      <c r="F308" s="129"/>
      <c r="G308" s="20"/>
      <c r="H308" s="20">
        <v>1</v>
      </c>
      <c r="I308" s="126">
        <f t="shared" si="19"/>
        <v>0</v>
      </c>
      <c r="J308" s="21">
        <f t="shared" si="22"/>
        <v>0</v>
      </c>
      <c r="K308" s="80"/>
      <c r="L308" s="82"/>
      <c r="M308" s="10"/>
      <c r="N308" s="10"/>
      <c r="O308" s="10"/>
      <c r="P308" s="10"/>
      <c r="Q308" s="43"/>
      <c r="R308" s="10"/>
      <c r="T308" s="10"/>
    </row>
    <row r="309" spans="2:20" s="1" customFormat="1" ht="14.25" x14ac:dyDescent="0.15">
      <c r="B309" s="16">
        <v>12</v>
      </c>
      <c r="C309" s="11"/>
      <c r="D309" s="18"/>
      <c r="E309" s="18"/>
      <c r="F309" s="129"/>
      <c r="G309" s="20"/>
      <c r="H309" s="20">
        <v>1</v>
      </c>
      <c r="I309" s="126">
        <f t="shared" si="19"/>
        <v>0</v>
      </c>
      <c r="J309" s="21">
        <f t="shared" si="22"/>
        <v>0</v>
      </c>
      <c r="K309" s="80"/>
      <c r="L309" s="82"/>
      <c r="M309" s="10"/>
      <c r="N309" s="10"/>
      <c r="O309" s="10"/>
      <c r="P309" s="10"/>
      <c r="Q309" s="43"/>
      <c r="R309" s="10"/>
      <c r="T309" s="10"/>
    </row>
    <row r="310" spans="2:20" s="1" customFormat="1" ht="14.25" x14ac:dyDescent="0.15">
      <c r="B310" s="16">
        <v>13</v>
      </c>
      <c r="C310" s="11"/>
      <c r="D310" s="18"/>
      <c r="E310" s="18"/>
      <c r="F310" s="129"/>
      <c r="G310" s="20"/>
      <c r="H310" s="20">
        <v>1</v>
      </c>
      <c r="I310" s="126">
        <f t="shared" si="19"/>
        <v>0</v>
      </c>
      <c r="J310" s="21">
        <f t="shared" si="22"/>
        <v>0</v>
      </c>
      <c r="K310" s="80"/>
      <c r="L310" s="82"/>
      <c r="M310" s="10"/>
      <c r="N310" s="10"/>
      <c r="O310" s="10"/>
      <c r="P310" s="10"/>
      <c r="Q310" s="43"/>
      <c r="R310" s="10"/>
      <c r="T310" s="10"/>
    </row>
    <row r="311" spans="2:20" s="1" customFormat="1" ht="14.25" x14ac:dyDescent="0.15">
      <c r="B311" s="16">
        <v>14</v>
      </c>
      <c r="C311" s="11"/>
      <c r="D311" s="18"/>
      <c r="E311" s="18"/>
      <c r="F311" s="129"/>
      <c r="G311" s="20"/>
      <c r="H311" s="20">
        <v>1</v>
      </c>
      <c r="I311" s="126">
        <f t="shared" si="19"/>
        <v>0</v>
      </c>
      <c r="J311" s="21">
        <f t="shared" si="22"/>
        <v>0</v>
      </c>
      <c r="K311" s="80"/>
      <c r="L311" s="82"/>
      <c r="M311" s="10"/>
      <c r="N311" s="10"/>
      <c r="O311" s="10"/>
      <c r="P311" s="10"/>
      <c r="Q311" s="43"/>
      <c r="R311" s="10"/>
      <c r="T311" s="10"/>
    </row>
    <row r="312" spans="2:20" s="1" customFormat="1" ht="14.25" x14ac:dyDescent="0.15">
      <c r="B312" s="16">
        <v>15</v>
      </c>
      <c r="C312" s="11"/>
      <c r="D312" s="18"/>
      <c r="E312" s="18"/>
      <c r="F312" s="129"/>
      <c r="G312" s="20"/>
      <c r="H312" s="20">
        <v>1</v>
      </c>
      <c r="I312" s="126">
        <f t="shared" si="19"/>
        <v>0</v>
      </c>
      <c r="J312" s="21">
        <f t="shared" si="22"/>
        <v>0</v>
      </c>
      <c r="K312" s="80"/>
      <c r="L312" s="82"/>
      <c r="M312" s="10"/>
      <c r="N312" s="10"/>
      <c r="O312" s="10"/>
      <c r="P312" s="10"/>
      <c r="Q312" s="43"/>
      <c r="R312" s="10"/>
      <c r="T312" s="10"/>
    </row>
    <row r="313" spans="2:20" s="1" customFormat="1" ht="14.25" x14ac:dyDescent="0.15">
      <c r="B313" s="16">
        <v>16</v>
      </c>
      <c r="C313" s="11"/>
      <c r="D313" s="18"/>
      <c r="E313" s="18"/>
      <c r="F313" s="129"/>
      <c r="G313" s="20"/>
      <c r="H313" s="20">
        <v>1</v>
      </c>
      <c r="I313" s="126">
        <f t="shared" si="19"/>
        <v>0</v>
      </c>
      <c r="J313" s="21">
        <f t="shared" si="22"/>
        <v>0</v>
      </c>
      <c r="K313" s="80"/>
      <c r="L313" s="82"/>
      <c r="M313" s="10"/>
      <c r="N313" s="10"/>
      <c r="O313" s="10"/>
      <c r="P313" s="10"/>
      <c r="Q313" s="43"/>
      <c r="R313" s="10"/>
      <c r="T313" s="10"/>
    </row>
    <row r="314" spans="2:20" s="1" customFormat="1" ht="14.25" x14ac:dyDescent="0.15">
      <c r="B314" s="16">
        <v>17</v>
      </c>
      <c r="C314" s="11"/>
      <c r="D314" s="18"/>
      <c r="E314" s="18"/>
      <c r="F314" s="129"/>
      <c r="G314" s="20"/>
      <c r="H314" s="20">
        <v>1</v>
      </c>
      <c r="I314" s="126">
        <f t="shared" si="19"/>
        <v>0</v>
      </c>
      <c r="J314" s="21">
        <f t="shared" si="22"/>
        <v>0</v>
      </c>
      <c r="K314" s="80"/>
      <c r="L314" s="82"/>
      <c r="M314" s="10"/>
      <c r="N314" s="10"/>
      <c r="O314" s="10"/>
      <c r="P314" s="10"/>
      <c r="Q314" s="43"/>
      <c r="R314" s="10"/>
      <c r="T314" s="10"/>
    </row>
    <row r="315" spans="2:20" s="1" customFormat="1" ht="14.25" x14ac:dyDescent="0.15">
      <c r="B315" s="16">
        <v>18</v>
      </c>
      <c r="C315" s="11"/>
      <c r="D315" s="18"/>
      <c r="E315" s="18"/>
      <c r="F315" s="129"/>
      <c r="G315" s="20"/>
      <c r="H315" s="20">
        <v>1</v>
      </c>
      <c r="I315" s="126">
        <f t="shared" si="19"/>
        <v>0</v>
      </c>
      <c r="J315" s="78">
        <f t="shared" si="22"/>
        <v>0</v>
      </c>
      <c r="K315" s="111"/>
      <c r="L315" s="119"/>
      <c r="M315" s="10"/>
      <c r="N315" s="10"/>
      <c r="O315" s="10"/>
      <c r="P315" s="10"/>
      <c r="Q315" s="43"/>
      <c r="R315" s="10"/>
      <c r="T315" s="10"/>
    </row>
    <row r="316" spans="2:20" s="1" customFormat="1" ht="14.25" x14ac:dyDescent="0.15">
      <c r="B316" s="16">
        <v>19</v>
      </c>
      <c r="C316" s="11"/>
      <c r="D316" s="18"/>
      <c r="E316" s="18"/>
      <c r="F316" s="129"/>
      <c r="G316" s="20"/>
      <c r="H316" s="20">
        <v>1</v>
      </c>
      <c r="I316" s="254">
        <f t="shared" si="19"/>
        <v>0</v>
      </c>
      <c r="J316" s="94">
        <f t="shared" si="22"/>
        <v>0</v>
      </c>
      <c r="K316" s="82"/>
      <c r="L316" s="82"/>
      <c r="M316" s="10"/>
      <c r="N316" s="10"/>
      <c r="O316" s="10"/>
      <c r="P316" s="10"/>
      <c r="Q316" s="43"/>
      <c r="R316" s="10"/>
      <c r="T316" s="10"/>
    </row>
    <row r="317" spans="2:20" s="1" customFormat="1" ht="14.25" x14ac:dyDescent="0.15">
      <c r="B317" s="16">
        <v>20</v>
      </c>
      <c r="C317" s="11"/>
      <c r="D317" s="18"/>
      <c r="E317" s="18"/>
      <c r="F317" s="129"/>
      <c r="G317" s="20"/>
      <c r="H317" s="20">
        <v>1</v>
      </c>
      <c r="I317" s="254">
        <f t="shared" si="19"/>
        <v>0</v>
      </c>
      <c r="J317" s="94">
        <f t="shared" si="22"/>
        <v>0</v>
      </c>
      <c r="K317" s="82"/>
      <c r="L317" s="82"/>
      <c r="M317" s="10"/>
      <c r="N317" s="10"/>
      <c r="O317" s="10"/>
      <c r="P317" s="10"/>
      <c r="Q317" s="43"/>
      <c r="R317" s="10"/>
      <c r="T317" s="10"/>
    </row>
    <row r="318" spans="2:20" s="1" customFormat="1" ht="14.25" x14ac:dyDescent="0.15">
      <c r="B318" s="83"/>
      <c r="C318" s="160"/>
      <c r="D318" s="75"/>
      <c r="E318" s="75"/>
      <c r="F318" s="132"/>
      <c r="G318" s="77"/>
      <c r="H318" s="77"/>
      <c r="I318" s="255"/>
      <c r="J318" s="94"/>
      <c r="K318" s="82"/>
      <c r="L318" s="82"/>
      <c r="M318" s="10"/>
      <c r="N318" s="10"/>
      <c r="O318" s="10"/>
      <c r="P318" s="10"/>
      <c r="Q318" s="43"/>
      <c r="R318" s="10"/>
      <c r="T318" s="10"/>
    </row>
    <row r="319" spans="2:20" s="1" customFormat="1" ht="14.25" x14ac:dyDescent="0.15">
      <c r="B319" s="82"/>
      <c r="C319" s="102"/>
      <c r="D319" s="103"/>
      <c r="E319" s="102"/>
      <c r="F319" s="128">
        <f>SUM(F259:F318)</f>
        <v>0</v>
      </c>
      <c r="G319" s="104"/>
      <c r="H319" s="105"/>
      <c r="I319" s="256">
        <f>SUM(I260:I318)</f>
        <v>0</v>
      </c>
      <c r="J319" s="257">
        <f>SUM(J259:J278)</f>
        <v>0</v>
      </c>
      <c r="M319" s="10"/>
      <c r="N319" s="10"/>
      <c r="O319" s="10"/>
      <c r="P319" s="10"/>
      <c r="Q319" s="43"/>
      <c r="R319" s="10"/>
      <c r="T319" s="10"/>
    </row>
    <row r="320" spans="2:20" s="67" customFormat="1" ht="14.25" x14ac:dyDescent="0.15">
      <c r="B320" s="116"/>
      <c r="C320" s="114"/>
      <c r="D320" s="114"/>
      <c r="E320" s="114" t="s">
        <v>147</v>
      </c>
      <c r="F320" s="162">
        <f>100/115*F319</f>
        <v>0</v>
      </c>
      <c r="G320" s="161"/>
      <c r="H320" s="161" t="s">
        <v>147</v>
      </c>
      <c r="I320" s="264">
        <f>100/115*I319</f>
        <v>0</v>
      </c>
      <c r="J320" s="114"/>
      <c r="M320" s="68"/>
      <c r="N320" s="68"/>
      <c r="O320" s="68"/>
      <c r="P320" s="68"/>
      <c r="Q320" s="69"/>
      <c r="R320" s="68"/>
      <c r="T320" s="68"/>
    </row>
    <row r="321" spans="2:20" s="1" customFormat="1" ht="14.25" x14ac:dyDescent="0.15">
      <c r="M321" s="10"/>
      <c r="N321" s="10"/>
      <c r="O321" s="10"/>
      <c r="P321" s="10"/>
      <c r="Q321" s="43"/>
      <c r="R321" s="10"/>
      <c r="T321" s="10"/>
    </row>
    <row r="322" spans="2:20" s="1" customFormat="1" ht="14.25" x14ac:dyDescent="0.15">
      <c r="M322" s="10"/>
      <c r="N322" s="10"/>
      <c r="O322" s="10"/>
      <c r="P322" s="10"/>
      <c r="Q322" s="43"/>
      <c r="R322" s="10"/>
      <c r="T322" s="10"/>
    </row>
    <row r="323" spans="2:20" s="1" customFormat="1" ht="14.25" x14ac:dyDescent="0.15">
      <c r="M323" s="10"/>
      <c r="N323" s="10"/>
      <c r="O323" s="10"/>
      <c r="P323" s="10"/>
      <c r="Q323" s="43"/>
      <c r="R323" s="10"/>
      <c r="T323" s="10"/>
    </row>
    <row r="324" spans="2:20" s="1" customFormat="1" ht="14.25" x14ac:dyDescent="0.15">
      <c r="M324" s="10"/>
      <c r="N324" s="10"/>
      <c r="O324" s="10"/>
      <c r="P324" s="10"/>
      <c r="Q324" s="43"/>
      <c r="R324" s="10"/>
      <c r="T324" s="10"/>
    </row>
    <row r="325" spans="2:20" s="247" customFormat="1" ht="32.25" x14ac:dyDescent="0.4">
      <c r="B325" s="248"/>
      <c r="C325" s="380" t="s">
        <v>112</v>
      </c>
      <c r="D325" s="380"/>
      <c r="E325" s="428" t="s">
        <v>108</v>
      </c>
      <c r="F325" s="428"/>
      <c r="G325" s="428"/>
      <c r="H325" s="428"/>
      <c r="I325" s="428"/>
      <c r="J325" s="382">
        <v>2026</v>
      </c>
      <c r="K325" s="382"/>
      <c r="L325" s="382"/>
      <c r="M325" s="249"/>
      <c r="N325" s="249"/>
      <c r="O325" s="249"/>
      <c r="P325" s="249"/>
      <c r="Q325" s="250"/>
      <c r="R325" s="249"/>
      <c r="T325" s="249"/>
    </row>
    <row r="326" spans="2:20" s="1" customFormat="1" ht="22.5" x14ac:dyDescent="0.15">
      <c r="B326" s="82"/>
      <c r="C326" s="102" t="s">
        <v>114</v>
      </c>
      <c r="D326" s="388" t="s">
        <v>115</v>
      </c>
      <c r="E326" s="388"/>
      <c r="F326" s="102" t="s">
        <v>116</v>
      </c>
      <c r="G326" s="102" t="s">
        <v>117</v>
      </c>
      <c r="H326" s="102" t="s">
        <v>118</v>
      </c>
      <c r="I326" s="102" t="s">
        <v>119</v>
      </c>
      <c r="J326" s="102" t="s">
        <v>120</v>
      </c>
      <c r="K326" s="82"/>
      <c r="L326" s="82"/>
      <c r="M326" s="10"/>
      <c r="N326" s="10"/>
      <c r="O326" s="10"/>
      <c r="P326" s="10"/>
      <c r="Q326" s="43"/>
      <c r="R326" s="10"/>
      <c r="T326" s="10"/>
    </row>
    <row r="327" spans="2:20" s="1" customFormat="1" ht="14.25" x14ac:dyDescent="0.15">
      <c r="B327" s="82"/>
      <c r="C327" s="66">
        <f>C257</f>
        <v>450</v>
      </c>
      <c r="D327" s="389">
        <v>20</v>
      </c>
      <c r="E327" s="389"/>
      <c r="F327" s="13">
        <f>F257</f>
        <v>0.8</v>
      </c>
      <c r="G327" s="14">
        <f>G257</f>
        <v>8</v>
      </c>
      <c r="H327" s="142">
        <f>D327*G327*F327</f>
        <v>128</v>
      </c>
      <c r="I327" s="66">
        <f>I389</f>
        <v>0</v>
      </c>
      <c r="J327" s="143">
        <f>H327-J389</f>
        <v>128</v>
      </c>
      <c r="K327" s="82"/>
      <c r="L327" s="82"/>
      <c r="M327" s="10"/>
      <c r="N327" s="10"/>
      <c r="O327" s="10"/>
      <c r="P327" s="10"/>
      <c r="Q327" s="43"/>
      <c r="R327" s="10"/>
      <c r="T327" s="10"/>
    </row>
    <row r="328" spans="2:20" s="1" customFormat="1" ht="33.75" x14ac:dyDescent="0.15">
      <c r="B328" s="82"/>
      <c r="C328" s="167" t="s">
        <v>121</v>
      </c>
      <c r="D328" s="395" t="s">
        <v>122</v>
      </c>
      <c r="E328" s="395"/>
      <c r="F328" s="177" t="s">
        <v>123</v>
      </c>
      <c r="G328" s="178" t="s">
        <v>124</v>
      </c>
      <c r="H328" s="179" t="s">
        <v>125</v>
      </c>
      <c r="I328" s="180" t="s">
        <v>126</v>
      </c>
      <c r="J328" s="178" t="s">
        <v>127</v>
      </c>
      <c r="K328" s="114" t="s">
        <v>128</v>
      </c>
      <c r="L328" s="114" t="s">
        <v>129</v>
      </c>
      <c r="M328" s="10"/>
      <c r="N328" s="10"/>
      <c r="O328" s="10"/>
      <c r="P328" s="10"/>
      <c r="Q328" s="43"/>
      <c r="R328" s="10"/>
      <c r="T328" s="10"/>
    </row>
    <row r="329" spans="2:20" s="1" customFormat="1" ht="14.25" x14ac:dyDescent="0.15">
      <c r="B329" s="84"/>
      <c r="C329" s="81"/>
      <c r="D329" s="404"/>
      <c r="E329" s="404"/>
      <c r="F329" s="175"/>
      <c r="G329" s="87"/>
      <c r="H329" s="87"/>
      <c r="I329" s="176"/>
      <c r="J329" s="88"/>
      <c r="K329" s="79"/>
      <c r="L329" s="120"/>
      <c r="M329" s="10"/>
      <c r="N329" s="10"/>
      <c r="O329" s="10"/>
      <c r="P329" s="10"/>
      <c r="Q329" s="43"/>
      <c r="R329" s="10"/>
      <c r="T329" s="10"/>
    </row>
    <row r="330" spans="2:20" s="1" customFormat="1" ht="12.95" customHeight="1" x14ac:dyDescent="0.15">
      <c r="B330" s="16"/>
      <c r="C330" s="411" t="s">
        <v>130</v>
      </c>
      <c r="D330" s="411"/>
      <c r="E330" s="411"/>
      <c r="F330" s="129"/>
      <c r="G330" s="20"/>
      <c r="H330" s="20"/>
      <c r="I330" s="126"/>
      <c r="J330" s="21"/>
      <c r="K330" s="80"/>
      <c r="L330" s="82"/>
      <c r="M330" s="10"/>
      <c r="N330" s="10"/>
      <c r="O330" s="10"/>
      <c r="P330" s="10"/>
      <c r="Q330" s="43"/>
      <c r="R330" s="10"/>
      <c r="T330" s="10"/>
    </row>
    <row r="331" spans="2:20" s="1" customFormat="1" ht="12.95" customHeight="1" x14ac:dyDescent="0.15">
      <c r="B331" s="16"/>
      <c r="C331" s="37" t="s">
        <v>149</v>
      </c>
      <c r="D331" s="24"/>
      <c r="E331" s="24"/>
      <c r="F331" s="129"/>
      <c r="G331" s="20"/>
      <c r="H331" s="20">
        <v>1</v>
      </c>
      <c r="I331" s="126">
        <f>J331*$C$32</f>
        <v>0</v>
      </c>
      <c r="J331" s="38">
        <f t="shared" ref="J331:J349" si="23">(F331*G331*H331)/$C$32</f>
        <v>0</v>
      </c>
      <c r="K331" s="80"/>
      <c r="L331" s="82"/>
    </row>
    <row r="332" spans="2:20" s="1" customFormat="1" ht="12.95" customHeight="1" x14ac:dyDescent="0.15">
      <c r="B332" s="16">
        <v>1</v>
      </c>
      <c r="C332" s="23"/>
      <c r="D332" s="24"/>
      <c r="E332" s="24"/>
      <c r="F332" s="129"/>
      <c r="G332" s="20"/>
      <c r="H332" s="20">
        <v>1</v>
      </c>
      <c r="I332" s="126">
        <f t="shared" ref="I332:I361" si="24">J332*$C$32</f>
        <v>0</v>
      </c>
      <c r="J332" s="38">
        <f t="shared" si="23"/>
        <v>0</v>
      </c>
      <c r="K332" s="80"/>
      <c r="L332" s="82"/>
    </row>
    <row r="333" spans="2:20" s="1" customFormat="1" ht="12.95" customHeight="1" x14ac:dyDescent="0.15">
      <c r="B333" s="16">
        <v>2</v>
      </c>
      <c r="C333" s="23"/>
      <c r="D333" s="24"/>
      <c r="E333" s="24"/>
      <c r="F333" s="126"/>
      <c r="G333" s="20"/>
      <c r="H333" s="20">
        <v>1</v>
      </c>
      <c r="I333" s="126">
        <f t="shared" si="24"/>
        <v>0</v>
      </c>
      <c r="J333" s="38">
        <f t="shared" si="23"/>
        <v>0</v>
      </c>
      <c r="K333" s="80"/>
      <c r="L333" s="82"/>
    </row>
    <row r="334" spans="2:20" s="1" customFormat="1" ht="12.95" customHeight="1" x14ac:dyDescent="0.15">
      <c r="B334" s="16">
        <v>3</v>
      </c>
      <c r="C334" s="23"/>
      <c r="D334" s="25"/>
      <c r="E334" s="25"/>
      <c r="F334" s="129"/>
      <c r="G334" s="20"/>
      <c r="H334" s="20">
        <v>1</v>
      </c>
      <c r="I334" s="126">
        <f t="shared" si="24"/>
        <v>0</v>
      </c>
      <c r="J334" s="38">
        <f t="shared" si="23"/>
        <v>0</v>
      </c>
      <c r="K334" s="80"/>
      <c r="L334" s="82"/>
    </row>
    <row r="335" spans="2:20" s="1" customFormat="1" ht="12.95" customHeight="1" x14ac:dyDescent="0.15">
      <c r="B335" s="16">
        <v>4</v>
      </c>
      <c r="C335" s="23"/>
      <c r="D335" s="24"/>
      <c r="E335" s="24"/>
      <c r="F335" s="129"/>
      <c r="G335" s="20"/>
      <c r="H335" s="20">
        <v>1</v>
      </c>
      <c r="I335" s="126">
        <f t="shared" si="24"/>
        <v>0</v>
      </c>
      <c r="J335" s="38">
        <f t="shared" si="23"/>
        <v>0</v>
      </c>
      <c r="K335" s="80"/>
      <c r="L335" s="82"/>
    </row>
    <row r="336" spans="2:20" s="1" customFormat="1" ht="12.95" customHeight="1" x14ac:dyDescent="0.15">
      <c r="B336" s="16">
        <v>5</v>
      </c>
      <c r="C336" s="16"/>
      <c r="D336" s="18"/>
      <c r="E336" s="18"/>
      <c r="F336" s="129"/>
      <c r="G336" s="20"/>
      <c r="H336" s="20">
        <v>1</v>
      </c>
      <c r="I336" s="126">
        <f t="shared" si="24"/>
        <v>0</v>
      </c>
      <c r="J336" s="38">
        <f t="shared" si="23"/>
        <v>0</v>
      </c>
      <c r="K336" s="80"/>
      <c r="L336" s="82"/>
    </row>
    <row r="337" spans="2:15" s="1" customFormat="1" ht="12.95" customHeight="1" x14ac:dyDescent="0.15">
      <c r="B337" s="16">
        <v>6</v>
      </c>
      <c r="C337" s="17"/>
      <c r="D337" s="24"/>
      <c r="E337" s="24"/>
      <c r="F337" s="129"/>
      <c r="G337" s="20"/>
      <c r="H337" s="20">
        <v>1</v>
      </c>
      <c r="I337" s="126">
        <f t="shared" si="24"/>
        <v>0</v>
      </c>
      <c r="J337" s="38">
        <f t="shared" si="23"/>
        <v>0</v>
      </c>
      <c r="K337" s="80"/>
      <c r="L337" s="82"/>
    </row>
    <row r="338" spans="2:15" s="1" customFormat="1" ht="12.95" customHeight="1" x14ac:dyDescent="0.15">
      <c r="B338" s="16">
        <v>7</v>
      </c>
      <c r="C338" s="17"/>
      <c r="D338" s="24"/>
      <c r="E338" s="24"/>
      <c r="F338" s="129"/>
      <c r="G338" s="20"/>
      <c r="H338" s="20">
        <v>1</v>
      </c>
      <c r="I338" s="126">
        <f t="shared" si="24"/>
        <v>0</v>
      </c>
      <c r="J338" s="38">
        <f t="shared" si="23"/>
        <v>0</v>
      </c>
      <c r="K338" s="80"/>
      <c r="L338" s="82"/>
    </row>
    <row r="339" spans="2:15" s="1" customFormat="1" ht="12.95" customHeight="1" x14ac:dyDescent="0.15">
      <c r="B339" s="16">
        <v>8</v>
      </c>
      <c r="C339" s="23"/>
      <c r="D339" s="48"/>
      <c r="E339" s="48"/>
      <c r="F339" s="129"/>
      <c r="G339" s="20"/>
      <c r="H339" s="20">
        <v>1</v>
      </c>
      <c r="I339" s="126">
        <f t="shared" si="24"/>
        <v>0</v>
      </c>
      <c r="J339" s="38">
        <f t="shared" si="23"/>
        <v>0</v>
      </c>
      <c r="K339" s="80"/>
      <c r="L339" s="82"/>
    </row>
    <row r="340" spans="2:15" s="1" customFormat="1" ht="12.95" customHeight="1" x14ac:dyDescent="0.15">
      <c r="B340" s="16">
        <v>9</v>
      </c>
      <c r="C340" s="23"/>
      <c r="D340" s="48"/>
      <c r="E340" s="48"/>
      <c r="F340" s="129"/>
      <c r="G340" s="20"/>
      <c r="H340" s="20">
        <v>1</v>
      </c>
      <c r="I340" s="126">
        <f t="shared" si="24"/>
        <v>0</v>
      </c>
      <c r="J340" s="38">
        <f t="shared" si="23"/>
        <v>0</v>
      </c>
      <c r="K340" s="80"/>
      <c r="L340" s="82"/>
    </row>
    <row r="341" spans="2:15" s="1" customFormat="1" ht="12.95" customHeight="1" x14ac:dyDescent="0.15">
      <c r="B341" s="16">
        <v>10</v>
      </c>
      <c r="C341" s="23"/>
      <c r="D341" s="48"/>
      <c r="E341" s="48"/>
      <c r="F341" s="129"/>
      <c r="G341" s="20"/>
      <c r="H341" s="20">
        <v>1</v>
      </c>
      <c r="I341" s="126">
        <f t="shared" si="24"/>
        <v>0</v>
      </c>
      <c r="J341" s="38">
        <f t="shared" si="23"/>
        <v>0</v>
      </c>
      <c r="K341" s="80"/>
      <c r="L341" s="82"/>
    </row>
    <row r="342" spans="2:15" s="1" customFormat="1" ht="12.95" customHeight="1" x14ac:dyDescent="0.15">
      <c r="B342" s="16"/>
      <c r="C342" s="23"/>
      <c r="D342" s="49"/>
      <c r="E342" s="48"/>
      <c r="F342" s="129"/>
      <c r="G342" s="20"/>
      <c r="H342" s="20"/>
      <c r="I342" s="126"/>
      <c r="J342" s="38"/>
      <c r="K342" s="80"/>
      <c r="L342" s="82"/>
    </row>
    <row r="343" spans="2:15" s="1" customFormat="1" ht="12.95" customHeight="1" x14ac:dyDescent="0.15">
      <c r="B343" s="16"/>
      <c r="C343" s="23"/>
      <c r="D343" s="49"/>
      <c r="E343" s="48"/>
      <c r="F343" s="129"/>
      <c r="G343" s="20"/>
      <c r="H343" s="20"/>
      <c r="I343" s="126"/>
      <c r="J343" s="38"/>
      <c r="K343" s="80"/>
      <c r="L343" s="82"/>
    </row>
    <row r="344" spans="2:15" s="1" customFormat="1" ht="12.95" customHeight="1" x14ac:dyDescent="0.15">
      <c r="B344" s="16"/>
      <c r="C344" s="72" t="s">
        <v>153</v>
      </c>
      <c r="D344" s="48"/>
      <c r="E344" s="49"/>
      <c r="F344" s="129"/>
      <c r="G344" s="20"/>
      <c r="H344" s="20"/>
      <c r="I344" s="126"/>
      <c r="J344" s="38"/>
      <c r="K344" s="80"/>
      <c r="L344" s="82"/>
    </row>
    <row r="345" spans="2:15" s="1" customFormat="1" ht="12.95" customHeight="1" x14ac:dyDescent="0.15">
      <c r="B345" s="16">
        <v>1</v>
      </c>
      <c r="C345" s="23"/>
      <c r="D345" s="48"/>
      <c r="E345" s="49"/>
      <c r="F345" s="129"/>
      <c r="G345" s="20"/>
      <c r="H345" s="20">
        <v>1</v>
      </c>
      <c r="I345" s="126">
        <f t="shared" si="24"/>
        <v>0</v>
      </c>
      <c r="J345" s="38">
        <f t="shared" si="23"/>
        <v>0</v>
      </c>
      <c r="K345" s="80"/>
      <c r="L345" s="82"/>
    </row>
    <row r="346" spans="2:15" s="1" customFormat="1" ht="14.85" customHeight="1" x14ac:dyDescent="0.15">
      <c r="B346" s="16">
        <v>2</v>
      </c>
      <c r="C346" s="23"/>
      <c r="D346" s="48"/>
      <c r="E346" s="49"/>
      <c r="F346" s="129"/>
      <c r="G346" s="20"/>
      <c r="H346" s="20">
        <v>1</v>
      </c>
      <c r="I346" s="126">
        <f t="shared" si="24"/>
        <v>0</v>
      </c>
      <c r="J346" s="38">
        <f t="shared" si="23"/>
        <v>0</v>
      </c>
      <c r="K346" s="80"/>
      <c r="L346" s="82"/>
    </row>
    <row r="347" spans="2:15" s="1" customFormat="1" ht="12.95" customHeight="1" x14ac:dyDescent="0.15">
      <c r="B347" s="16">
        <v>3</v>
      </c>
      <c r="C347" s="23"/>
      <c r="D347" s="48"/>
      <c r="E347" s="49"/>
      <c r="F347" s="129"/>
      <c r="G347" s="20"/>
      <c r="H347" s="20">
        <v>1</v>
      </c>
      <c r="I347" s="126">
        <f t="shared" si="24"/>
        <v>0</v>
      </c>
      <c r="J347" s="38">
        <f t="shared" si="23"/>
        <v>0</v>
      </c>
      <c r="K347" s="80"/>
      <c r="L347" s="82"/>
    </row>
    <row r="348" spans="2:15" s="1" customFormat="1" ht="12.95" customHeight="1" x14ac:dyDescent="0.15">
      <c r="B348" s="16">
        <v>4</v>
      </c>
      <c r="C348" s="23"/>
      <c r="D348" s="48"/>
      <c r="E348" s="49"/>
      <c r="F348" s="129"/>
      <c r="G348" s="20"/>
      <c r="H348" s="20">
        <v>1</v>
      </c>
      <c r="I348" s="126">
        <f t="shared" si="24"/>
        <v>0</v>
      </c>
      <c r="J348" s="38">
        <f t="shared" si="23"/>
        <v>0</v>
      </c>
      <c r="K348" s="80"/>
      <c r="L348" s="82"/>
    </row>
    <row r="349" spans="2:15" s="1" customFormat="1" ht="12.95" customHeight="1" x14ac:dyDescent="0.15">
      <c r="B349" s="16">
        <v>5</v>
      </c>
      <c r="C349" s="23"/>
      <c r="D349" s="48"/>
      <c r="E349" s="48"/>
      <c r="F349" s="129"/>
      <c r="G349" s="20"/>
      <c r="H349" s="20">
        <v>1</v>
      </c>
      <c r="I349" s="126">
        <f t="shared" si="24"/>
        <v>0</v>
      </c>
      <c r="J349" s="38">
        <f t="shared" si="23"/>
        <v>0</v>
      </c>
      <c r="K349" s="80"/>
      <c r="L349" s="82"/>
    </row>
    <row r="350" spans="2:15" s="1" customFormat="1" ht="12.95" customHeight="1" x14ac:dyDescent="0.15">
      <c r="B350" s="16">
        <v>6</v>
      </c>
      <c r="C350" s="23"/>
      <c r="D350" s="48"/>
      <c r="E350" s="48"/>
      <c r="F350" s="129"/>
      <c r="G350" s="20"/>
      <c r="H350" s="20">
        <v>1</v>
      </c>
      <c r="I350" s="126">
        <f t="shared" si="24"/>
        <v>0</v>
      </c>
      <c r="J350" s="38">
        <f>(F350*G350*H350)/$C$32</f>
        <v>0</v>
      </c>
      <c r="K350" s="80"/>
      <c r="L350" s="82"/>
    </row>
    <row r="351" spans="2:15" s="1" customFormat="1" ht="12.95" customHeight="1" x14ac:dyDescent="0.15">
      <c r="B351" s="16">
        <v>7</v>
      </c>
      <c r="C351" s="23"/>
      <c r="D351" s="48"/>
      <c r="E351" s="48"/>
      <c r="F351" s="129"/>
      <c r="G351" s="20"/>
      <c r="H351" s="20">
        <v>1</v>
      </c>
      <c r="I351" s="126">
        <f t="shared" si="24"/>
        <v>0</v>
      </c>
      <c r="J351" s="38">
        <f>(F351*G351*H351)/$C$32</f>
        <v>0</v>
      </c>
      <c r="K351" s="80"/>
      <c r="L351" s="82"/>
    </row>
    <row r="352" spans="2:15" s="1" customFormat="1" ht="12.95" customHeight="1" x14ac:dyDescent="0.15">
      <c r="B352" s="16">
        <v>8</v>
      </c>
      <c r="C352" s="23"/>
      <c r="D352" s="48"/>
      <c r="E352" s="48"/>
      <c r="F352" s="129"/>
      <c r="G352" s="20"/>
      <c r="H352" s="20">
        <v>1</v>
      </c>
      <c r="I352" s="126">
        <f t="shared" si="24"/>
        <v>0</v>
      </c>
      <c r="J352" s="38">
        <f t="shared" ref="J352:J387" si="25">(F352*G352*H352)/$C$32</f>
        <v>0</v>
      </c>
      <c r="K352" s="80"/>
      <c r="L352" s="82"/>
      <c r="M352" s="39"/>
      <c r="N352" s="40"/>
      <c r="O352" s="40"/>
    </row>
    <row r="353" spans="2:20" s="1" customFormat="1" ht="12.95" customHeight="1" x14ac:dyDescent="0.15">
      <c r="B353" s="16">
        <v>9</v>
      </c>
      <c r="C353" s="23"/>
      <c r="D353" s="48"/>
      <c r="E353" s="48"/>
      <c r="F353" s="129"/>
      <c r="G353" s="20"/>
      <c r="H353" s="20">
        <v>1</v>
      </c>
      <c r="I353" s="126">
        <f t="shared" si="24"/>
        <v>0</v>
      </c>
      <c r="J353" s="38">
        <f t="shared" si="25"/>
        <v>0</v>
      </c>
      <c r="K353" s="80"/>
      <c r="L353" s="82"/>
    </row>
    <row r="354" spans="2:20" s="1" customFormat="1" ht="12.95" customHeight="1" x14ac:dyDescent="0.15">
      <c r="B354" s="16">
        <v>10</v>
      </c>
      <c r="C354" s="23"/>
      <c r="D354" s="48"/>
      <c r="E354" s="48"/>
      <c r="F354" s="129"/>
      <c r="G354" s="20"/>
      <c r="H354" s="20">
        <v>1</v>
      </c>
      <c r="I354" s="126">
        <f t="shared" si="24"/>
        <v>0</v>
      </c>
      <c r="J354" s="38">
        <f t="shared" si="25"/>
        <v>0</v>
      </c>
      <c r="K354" s="80"/>
      <c r="L354" s="82"/>
    </row>
    <row r="355" spans="2:20" s="1" customFormat="1" ht="12.95" customHeight="1" x14ac:dyDescent="0.15">
      <c r="B355" s="16">
        <v>11</v>
      </c>
      <c r="C355" s="23"/>
      <c r="D355" s="48"/>
      <c r="E355" s="48"/>
      <c r="F355" s="130"/>
      <c r="G355" s="20"/>
      <c r="H355" s="20">
        <v>1</v>
      </c>
      <c r="I355" s="126">
        <f t="shared" si="24"/>
        <v>0</v>
      </c>
      <c r="J355" s="38">
        <f t="shared" si="25"/>
        <v>0</v>
      </c>
      <c r="K355" s="80"/>
      <c r="L355" s="82"/>
    </row>
    <row r="356" spans="2:20" s="1" customFormat="1" ht="12.95" customHeight="1" x14ac:dyDescent="0.15">
      <c r="B356" s="16">
        <v>12</v>
      </c>
      <c r="C356" s="23"/>
      <c r="D356" s="48"/>
      <c r="E356" s="48"/>
      <c r="F356" s="129"/>
      <c r="G356" s="20"/>
      <c r="H356" s="20">
        <v>1</v>
      </c>
      <c r="I356" s="126">
        <f t="shared" si="24"/>
        <v>0</v>
      </c>
      <c r="J356" s="38">
        <f t="shared" si="25"/>
        <v>0</v>
      </c>
      <c r="K356" s="80"/>
      <c r="L356" s="82"/>
    </row>
    <row r="357" spans="2:20" s="1" customFormat="1" ht="12.95" customHeight="1" x14ac:dyDescent="0.15">
      <c r="B357" s="16">
        <v>13</v>
      </c>
      <c r="C357" s="23"/>
      <c r="D357" s="48"/>
      <c r="E357" s="48"/>
      <c r="F357" s="129"/>
      <c r="G357" s="20"/>
      <c r="H357" s="20">
        <v>1</v>
      </c>
      <c r="I357" s="126">
        <f t="shared" si="24"/>
        <v>0</v>
      </c>
      <c r="J357" s="38">
        <f t="shared" si="25"/>
        <v>0</v>
      </c>
      <c r="K357" s="80"/>
      <c r="L357" s="82"/>
    </row>
    <row r="358" spans="2:20" s="1" customFormat="1" ht="12.95" customHeight="1" x14ac:dyDescent="0.15">
      <c r="B358" s="16">
        <v>14</v>
      </c>
      <c r="C358" s="23"/>
      <c r="D358" s="48"/>
      <c r="E358" s="48"/>
      <c r="F358" s="129"/>
      <c r="G358" s="20"/>
      <c r="H358" s="20">
        <v>1</v>
      </c>
      <c r="I358" s="126">
        <f t="shared" si="24"/>
        <v>0</v>
      </c>
      <c r="J358" s="38">
        <f t="shared" si="25"/>
        <v>0</v>
      </c>
      <c r="K358" s="80"/>
      <c r="L358" s="82"/>
    </row>
    <row r="359" spans="2:20" s="1" customFormat="1" ht="12.95" customHeight="1" x14ac:dyDescent="0.15">
      <c r="B359" s="16">
        <v>15</v>
      </c>
      <c r="C359" s="23"/>
      <c r="D359" s="48"/>
      <c r="E359" s="48"/>
      <c r="F359" s="129"/>
      <c r="G359" s="20"/>
      <c r="H359" s="20">
        <v>1</v>
      </c>
      <c r="I359" s="126">
        <f t="shared" si="24"/>
        <v>0</v>
      </c>
      <c r="J359" s="38">
        <f t="shared" si="25"/>
        <v>0</v>
      </c>
      <c r="K359" s="80"/>
      <c r="L359" s="82"/>
    </row>
    <row r="360" spans="2:20" s="1" customFormat="1" ht="12.95" customHeight="1" x14ac:dyDescent="0.15">
      <c r="B360" s="16">
        <v>16</v>
      </c>
      <c r="C360" s="23"/>
      <c r="D360" s="48"/>
      <c r="E360" s="48"/>
      <c r="F360" s="129"/>
      <c r="G360" s="20"/>
      <c r="H360" s="20">
        <v>1</v>
      </c>
      <c r="I360" s="126">
        <f t="shared" si="24"/>
        <v>0</v>
      </c>
      <c r="J360" s="38">
        <f t="shared" si="25"/>
        <v>0</v>
      </c>
      <c r="K360" s="80"/>
      <c r="L360" s="82"/>
    </row>
    <row r="361" spans="2:20" s="1" customFormat="1" ht="12.95" customHeight="1" x14ac:dyDescent="0.2">
      <c r="B361" s="16">
        <v>17</v>
      </c>
      <c r="C361" s="410"/>
      <c r="D361" s="410"/>
      <c r="E361" s="410"/>
      <c r="F361" s="129"/>
      <c r="G361" s="20"/>
      <c r="H361" s="20">
        <v>1</v>
      </c>
      <c r="I361" s="126">
        <f t="shared" si="24"/>
        <v>0</v>
      </c>
      <c r="J361" s="21">
        <f t="shared" si="25"/>
        <v>0</v>
      </c>
      <c r="K361" s="80"/>
      <c r="L361" s="82"/>
      <c r="M361" s="10"/>
      <c r="N361" s="10"/>
      <c r="O361" s="10"/>
      <c r="P361" s="10"/>
      <c r="Q361" s="43"/>
      <c r="R361" s="10"/>
      <c r="T361" s="10"/>
    </row>
    <row r="362" spans="2:20" s="1" customFormat="1" ht="12.95" customHeight="1" x14ac:dyDescent="0.15">
      <c r="B362" s="16">
        <v>18</v>
      </c>
      <c r="C362" s="60"/>
      <c r="D362" s="49"/>
      <c r="E362" s="49"/>
      <c r="F362" s="129"/>
      <c r="G362" s="20"/>
      <c r="H362" s="20">
        <v>1</v>
      </c>
      <c r="I362" s="126">
        <f>J362*$C$32</f>
        <v>0</v>
      </c>
      <c r="J362" s="21">
        <f t="shared" si="25"/>
        <v>0</v>
      </c>
      <c r="K362" s="80"/>
      <c r="L362" s="82"/>
      <c r="M362" s="10"/>
      <c r="N362" s="10"/>
      <c r="O362" s="10"/>
      <c r="P362" s="10"/>
      <c r="Q362" s="43"/>
      <c r="R362" s="10"/>
      <c r="T362" s="10"/>
    </row>
    <row r="363" spans="2:20" s="1" customFormat="1" ht="12.95" customHeight="1" x14ac:dyDescent="0.15">
      <c r="B363" s="16">
        <v>19</v>
      </c>
      <c r="C363" s="59"/>
      <c r="D363" s="49"/>
      <c r="E363" s="49"/>
      <c r="F363" s="129"/>
      <c r="G363" s="20"/>
      <c r="H363" s="20">
        <v>1</v>
      </c>
      <c r="I363" s="126">
        <f t="shared" ref="I363:I377" si="26">J363*$C$32</f>
        <v>0</v>
      </c>
      <c r="J363" s="21">
        <f t="shared" si="25"/>
        <v>0</v>
      </c>
      <c r="K363" s="80"/>
      <c r="L363" s="82"/>
      <c r="M363" s="10"/>
      <c r="N363" s="10"/>
      <c r="O363" s="10"/>
      <c r="P363" s="10"/>
      <c r="Q363" s="43"/>
      <c r="R363" s="10"/>
      <c r="T363" s="10"/>
    </row>
    <row r="364" spans="2:20" s="1" customFormat="1" ht="12.95" customHeight="1" x14ac:dyDescent="0.15">
      <c r="B364" s="16">
        <v>20</v>
      </c>
      <c r="C364" s="70"/>
      <c r="D364" s="49"/>
      <c r="E364" s="49"/>
      <c r="F364" s="129"/>
      <c r="G364" s="20"/>
      <c r="H364" s="20">
        <v>1</v>
      </c>
      <c r="I364" s="126">
        <f t="shared" si="26"/>
        <v>0</v>
      </c>
      <c r="J364" s="21">
        <f t="shared" si="25"/>
        <v>0</v>
      </c>
      <c r="K364" s="80"/>
      <c r="L364" s="82"/>
      <c r="M364" s="10"/>
      <c r="N364" s="10"/>
      <c r="O364" s="10"/>
      <c r="P364" s="10"/>
      <c r="Q364" s="43"/>
      <c r="R364" s="10"/>
      <c r="T364" s="10"/>
    </row>
    <row r="365" spans="2:20" s="1" customFormat="1" ht="12.95" customHeight="1" x14ac:dyDescent="0.15">
      <c r="B365" s="16"/>
      <c r="C365" s="70"/>
      <c r="D365" s="49"/>
      <c r="E365" s="49"/>
      <c r="F365" s="129"/>
      <c r="G365" s="20"/>
      <c r="H365" s="20"/>
      <c r="I365" s="126"/>
      <c r="J365" s="21"/>
      <c r="K365" s="80"/>
      <c r="L365" s="82"/>
      <c r="M365" s="10"/>
      <c r="N365" s="10"/>
      <c r="O365" s="10"/>
      <c r="P365" s="10"/>
      <c r="Q365" s="43"/>
      <c r="R365" s="10"/>
      <c r="T365" s="10"/>
    </row>
    <row r="366" spans="2:20" s="1" customFormat="1" ht="12.95" customHeight="1" x14ac:dyDescent="0.15">
      <c r="B366" s="16"/>
      <c r="C366" s="70"/>
      <c r="D366" s="49"/>
      <c r="E366" s="49"/>
      <c r="F366" s="129"/>
      <c r="G366" s="20"/>
      <c r="H366" s="20"/>
      <c r="I366" s="126"/>
      <c r="J366" s="21"/>
      <c r="K366" s="80"/>
      <c r="L366" s="82"/>
      <c r="M366" s="10"/>
      <c r="N366" s="10"/>
      <c r="O366" s="10"/>
      <c r="P366" s="10"/>
      <c r="Q366" s="43"/>
      <c r="R366" s="10"/>
      <c r="T366" s="10"/>
    </row>
    <row r="367" spans="2:20" s="1" customFormat="1" ht="12.95" customHeight="1" x14ac:dyDescent="0.15">
      <c r="B367" s="16"/>
      <c r="C367" s="70" t="s">
        <v>159</v>
      </c>
      <c r="D367" s="49"/>
      <c r="E367" s="49"/>
      <c r="F367" s="129"/>
      <c r="G367" s="20"/>
      <c r="H367" s="20"/>
      <c r="I367" s="126"/>
      <c r="J367" s="21"/>
      <c r="K367" s="80"/>
      <c r="L367" s="82"/>
      <c r="M367" s="10"/>
      <c r="N367" s="10"/>
      <c r="O367" s="10"/>
      <c r="P367" s="10"/>
      <c r="Q367" s="43"/>
      <c r="R367" s="10"/>
      <c r="T367" s="10"/>
    </row>
    <row r="368" spans="2:20" s="1" customFormat="1" ht="12.95" customHeight="1" x14ac:dyDescent="0.15">
      <c r="B368" s="16">
        <v>1</v>
      </c>
      <c r="C368" s="61"/>
      <c r="D368" s="49"/>
      <c r="E368" s="49"/>
      <c r="F368" s="129"/>
      <c r="G368" s="20"/>
      <c r="H368" s="20">
        <v>1</v>
      </c>
      <c r="I368" s="126">
        <f t="shared" si="26"/>
        <v>0</v>
      </c>
      <c r="J368" s="21">
        <f t="shared" si="25"/>
        <v>0</v>
      </c>
      <c r="K368" s="80"/>
      <c r="L368" s="82"/>
      <c r="M368" s="10"/>
      <c r="N368" s="10"/>
      <c r="O368" s="10"/>
      <c r="P368" s="10"/>
      <c r="Q368" s="43"/>
      <c r="R368" s="10"/>
      <c r="T368" s="10"/>
    </row>
    <row r="369" spans="2:12" s="1" customFormat="1" ht="14.25" x14ac:dyDescent="0.15">
      <c r="B369" s="16">
        <v>2</v>
      </c>
      <c r="C369" s="61"/>
      <c r="D369" s="49"/>
      <c r="E369" s="49"/>
      <c r="F369" s="129"/>
      <c r="G369" s="20"/>
      <c r="H369" s="20">
        <v>1</v>
      </c>
      <c r="I369" s="126">
        <f t="shared" si="26"/>
        <v>0</v>
      </c>
      <c r="J369" s="21">
        <f t="shared" si="25"/>
        <v>0</v>
      </c>
      <c r="K369" s="80"/>
      <c r="L369" s="82"/>
    </row>
    <row r="370" spans="2:12" s="1" customFormat="1" ht="14.25" x14ac:dyDescent="0.15">
      <c r="B370" s="16">
        <v>3</v>
      </c>
      <c r="C370" s="61"/>
      <c r="D370" s="49"/>
      <c r="E370" s="49"/>
      <c r="F370" s="129"/>
      <c r="G370" s="20"/>
      <c r="H370" s="20">
        <v>1</v>
      </c>
      <c r="I370" s="126">
        <f t="shared" si="26"/>
        <v>0</v>
      </c>
      <c r="J370" s="21">
        <f t="shared" si="25"/>
        <v>0</v>
      </c>
      <c r="K370" s="80"/>
      <c r="L370" s="82"/>
    </row>
    <row r="371" spans="2:12" s="1" customFormat="1" ht="14.25" x14ac:dyDescent="0.15">
      <c r="B371" s="16">
        <v>4</v>
      </c>
      <c r="C371" s="61"/>
      <c r="D371" s="49"/>
      <c r="E371" s="49"/>
      <c r="F371" s="129"/>
      <c r="G371" s="20"/>
      <c r="H371" s="20">
        <v>1</v>
      </c>
      <c r="I371" s="126">
        <f t="shared" si="26"/>
        <v>0</v>
      </c>
      <c r="J371" s="21">
        <f t="shared" si="25"/>
        <v>0</v>
      </c>
      <c r="K371" s="80"/>
      <c r="L371" s="82"/>
    </row>
    <row r="372" spans="2:12" s="1" customFormat="1" ht="16.5" x14ac:dyDescent="0.2">
      <c r="B372" s="16">
        <v>5</v>
      </c>
      <c r="C372" s="71"/>
      <c r="D372" s="49"/>
      <c r="E372" s="49"/>
      <c r="F372" s="129"/>
      <c r="G372" s="20"/>
      <c r="H372" s="20">
        <v>1</v>
      </c>
      <c r="I372" s="126">
        <f t="shared" si="26"/>
        <v>0</v>
      </c>
      <c r="J372" s="21">
        <f t="shared" si="25"/>
        <v>0</v>
      </c>
      <c r="K372" s="80"/>
      <c r="L372" s="82"/>
    </row>
    <row r="373" spans="2:12" s="1" customFormat="1" ht="14.25" x14ac:dyDescent="0.15">
      <c r="B373" s="16">
        <v>6</v>
      </c>
      <c r="C373" s="61"/>
      <c r="D373" s="49"/>
      <c r="E373" s="49"/>
      <c r="F373" s="129"/>
      <c r="G373" s="20"/>
      <c r="H373" s="20">
        <v>1</v>
      </c>
      <c r="I373" s="126">
        <f t="shared" si="26"/>
        <v>0</v>
      </c>
      <c r="J373" s="21">
        <f t="shared" si="25"/>
        <v>0</v>
      </c>
      <c r="K373" s="80"/>
      <c r="L373" s="82"/>
    </row>
    <row r="374" spans="2:12" s="1" customFormat="1" ht="14.25" x14ac:dyDescent="0.15">
      <c r="B374" s="16">
        <v>7</v>
      </c>
      <c r="C374" s="61"/>
      <c r="D374" s="49"/>
      <c r="E374" s="49"/>
      <c r="F374" s="129"/>
      <c r="G374" s="20"/>
      <c r="H374" s="20">
        <v>1</v>
      </c>
      <c r="I374" s="126">
        <f t="shared" si="26"/>
        <v>0</v>
      </c>
      <c r="J374" s="21">
        <f t="shared" si="25"/>
        <v>0</v>
      </c>
      <c r="K374" s="80"/>
      <c r="L374" s="82"/>
    </row>
    <row r="375" spans="2:12" s="1" customFormat="1" ht="14.25" x14ac:dyDescent="0.15">
      <c r="B375" s="16">
        <v>8</v>
      </c>
      <c r="C375" s="61"/>
      <c r="D375" s="49"/>
      <c r="E375" s="49"/>
      <c r="F375" s="129"/>
      <c r="G375" s="20"/>
      <c r="H375" s="20">
        <v>1</v>
      </c>
      <c r="I375" s="126">
        <f t="shared" si="26"/>
        <v>0</v>
      </c>
      <c r="J375" s="21">
        <f t="shared" si="25"/>
        <v>0</v>
      </c>
      <c r="K375" s="80"/>
      <c r="L375" s="82"/>
    </row>
    <row r="376" spans="2:12" s="1" customFormat="1" ht="14.25" x14ac:dyDescent="0.15">
      <c r="B376" s="16">
        <v>9</v>
      </c>
      <c r="C376" s="61"/>
      <c r="D376" s="49"/>
      <c r="E376" s="49"/>
      <c r="F376" s="129"/>
      <c r="G376" s="20"/>
      <c r="H376" s="20">
        <v>1</v>
      </c>
      <c r="I376" s="126">
        <f t="shared" si="26"/>
        <v>0</v>
      </c>
      <c r="J376" s="21">
        <f t="shared" si="25"/>
        <v>0</v>
      </c>
      <c r="K376" s="80"/>
      <c r="L376" s="82"/>
    </row>
    <row r="377" spans="2:12" s="1" customFormat="1" ht="14.25" x14ac:dyDescent="0.15">
      <c r="B377" s="16">
        <v>10</v>
      </c>
      <c r="C377" s="61"/>
      <c r="D377" s="49"/>
      <c r="E377" s="49"/>
      <c r="F377" s="129"/>
      <c r="G377" s="20"/>
      <c r="H377" s="20">
        <v>1</v>
      </c>
      <c r="I377" s="126">
        <f t="shared" si="26"/>
        <v>0</v>
      </c>
      <c r="J377" s="21">
        <f t="shared" si="25"/>
        <v>0</v>
      </c>
      <c r="K377" s="80"/>
      <c r="L377" s="82"/>
    </row>
    <row r="378" spans="2:12" s="1" customFormat="1" ht="14.25" x14ac:dyDescent="0.15">
      <c r="B378" s="16">
        <v>11</v>
      </c>
      <c r="C378" s="61"/>
      <c r="D378" s="49"/>
      <c r="E378" s="49"/>
      <c r="F378" s="129"/>
      <c r="G378" s="20"/>
      <c r="H378" s="20">
        <v>1</v>
      </c>
      <c r="I378" s="126">
        <f>J378*$C$32</f>
        <v>0</v>
      </c>
      <c r="J378" s="21">
        <f t="shared" si="25"/>
        <v>0</v>
      </c>
      <c r="K378" s="80"/>
      <c r="L378" s="82"/>
    </row>
    <row r="379" spans="2:12" s="1" customFormat="1" ht="14.25" x14ac:dyDescent="0.15">
      <c r="B379" s="16">
        <v>12</v>
      </c>
      <c r="C379" s="46"/>
      <c r="D379" s="18"/>
      <c r="E379" s="18"/>
      <c r="F379" s="129"/>
      <c r="G379" s="20"/>
      <c r="H379" s="20">
        <v>1</v>
      </c>
      <c r="I379" s="126">
        <f t="shared" ref="I379:I387" si="27">J379*$C$32</f>
        <v>0</v>
      </c>
      <c r="J379" s="21">
        <f t="shared" si="25"/>
        <v>0</v>
      </c>
      <c r="K379" s="80"/>
      <c r="L379" s="82"/>
    </row>
    <row r="380" spans="2:12" s="1" customFormat="1" ht="14.25" x14ac:dyDescent="0.15">
      <c r="B380" s="16">
        <v>13</v>
      </c>
      <c r="C380" s="46"/>
      <c r="D380" s="18"/>
      <c r="E380" s="18"/>
      <c r="F380" s="129"/>
      <c r="G380" s="20"/>
      <c r="H380" s="20">
        <v>1</v>
      </c>
      <c r="I380" s="126">
        <f t="shared" si="27"/>
        <v>0</v>
      </c>
      <c r="J380" s="21">
        <f t="shared" si="25"/>
        <v>0</v>
      </c>
      <c r="K380" s="80"/>
      <c r="L380" s="82"/>
    </row>
    <row r="381" spans="2:12" s="1" customFormat="1" ht="14.25" x14ac:dyDescent="0.15">
      <c r="B381" s="16">
        <v>14</v>
      </c>
      <c r="C381" s="46"/>
      <c r="D381" s="18"/>
      <c r="E381" s="18"/>
      <c r="F381" s="129"/>
      <c r="G381" s="20"/>
      <c r="H381" s="20">
        <v>1</v>
      </c>
      <c r="I381" s="126">
        <f t="shared" si="27"/>
        <v>0</v>
      </c>
      <c r="J381" s="21">
        <f t="shared" si="25"/>
        <v>0</v>
      </c>
      <c r="K381" s="80"/>
      <c r="L381" s="82"/>
    </row>
    <row r="382" spans="2:12" s="1" customFormat="1" ht="14.25" x14ac:dyDescent="0.15">
      <c r="B382" s="16">
        <v>15</v>
      </c>
      <c r="C382" s="46"/>
      <c r="D382" s="18"/>
      <c r="E382" s="18"/>
      <c r="F382" s="129"/>
      <c r="G382" s="20"/>
      <c r="H382" s="20">
        <v>1</v>
      </c>
      <c r="I382" s="126">
        <f t="shared" si="27"/>
        <v>0</v>
      </c>
      <c r="J382" s="21">
        <f t="shared" si="25"/>
        <v>0</v>
      </c>
      <c r="K382" s="80"/>
      <c r="L382" s="82"/>
    </row>
    <row r="383" spans="2:12" s="1" customFormat="1" ht="14.25" x14ac:dyDescent="0.15">
      <c r="B383" s="16">
        <v>16</v>
      </c>
      <c r="C383" s="46"/>
      <c r="D383" s="18"/>
      <c r="E383" s="18"/>
      <c r="F383" s="129"/>
      <c r="G383" s="20"/>
      <c r="H383" s="20">
        <v>1</v>
      </c>
      <c r="I383" s="126">
        <f t="shared" si="27"/>
        <v>0</v>
      </c>
      <c r="J383" s="21">
        <f t="shared" si="25"/>
        <v>0</v>
      </c>
      <c r="K383" s="80"/>
      <c r="L383" s="82"/>
    </row>
    <row r="384" spans="2:12" s="1" customFormat="1" ht="14.25" x14ac:dyDescent="0.15">
      <c r="B384" s="16">
        <v>17</v>
      </c>
      <c r="C384" s="46"/>
      <c r="D384" s="18"/>
      <c r="E384" s="18"/>
      <c r="F384" s="129"/>
      <c r="G384" s="20"/>
      <c r="H384" s="20">
        <v>1</v>
      </c>
      <c r="I384" s="126">
        <f t="shared" si="27"/>
        <v>0</v>
      </c>
      <c r="J384" s="78">
        <f t="shared" si="25"/>
        <v>0</v>
      </c>
      <c r="K384" s="111"/>
      <c r="L384" s="119"/>
    </row>
    <row r="385" spans="2:12" s="1" customFormat="1" ht="14.25" x14ac:dyDescent="0.15">
      <c r="B385" s="16">
        <v>18</v>
      </c>
      <c r="C385" s="46"/>
      <c r="D385" s="18"/>
      <c r="E385" s="18"/>
      <c r="F385" s="129"/>
      <c r="G385" s="20"/>
      <c r="H385" s="20">
        <v>1</v>
      </c>
      <c r="I385" s="254">
        <f t="shared" si="27"/>
        <v>0</v>
      </c>
      <c r="J385" s="94">
        <f t="shared" si="25"/>
        <v>0</v>
      </c>
      <c r="K385" s="82"/>
      <c r="L385" s="82"/>
    </row>
    <row r="386" spans="2:12" s="1" customFormat="1" ht="14.25" x14ac:dyDescent="0.15">
      <c r="B386" s="16">
        <v>19</v>
      </c>
      <c r="C386" s="46"/>
      <c r="D386" s="18"/>
      <c r="E386" s="18"/>
      <c r="F386" s="129"/>
      <c r="G386" s="20"/>
      <c r="H386" s="20">
        <v>1</v>
      </c>
      <c r="I386" s="254">
        <f t="shared" si="27"/>
        <v>0</v>
      </c>
      <c r="J386" s="94">
        <f t="shared" si="25"/>
        <v>0</v>
      </c>
      <c r="K386" s="82"/>
      <c r="L386" s="82"/>
    </row>
    <row r="387" spans="2:12" s="1" customFormat="1" ht="14.25" x14ac:dyDescent="0.15">
      <c r="B387" s="16">
        <v>20</v>
      </c>
      <c r="C387" s="46"/>
      <c r="D387" s="18"/>
      <c r="E387" s="18"/>
      <c r="F387" s="129"/>
      <c r="G387" s="20"/>
      <c r="H387" s="20">
        <v>1</v>
      </c>
      <c r="I387" s="254">
        <f t="shared" si="27"/>
        <v>0</v>
      </c>
      <c r="J387" s="94">
        <f t="shared" si="25"/>
        <v>0</v>
      </c>
      <c r="K387" s="82"/>
      <c r="L387" s="82"/>
    </row>
    <row r="388" spans="2:12" s="1" customFormat="1" ht="14.25" x14ac:dyDescent="0.15">
      <c r="B388" s="83"/>
      <c r="C388" s="174"/>
      <c r="D388" s="75"/>
      <c r="E388" s="75"/>
      <c r="F388" s="132"/>
      <c r="G388" s="77"/>
      <c r="H388" s="77"/>
      <c r="I388" s="255"/>
      <c r="J388" s="94"/>
      <c r="K388" s="82"/>
      <c r="L388" s="82"/>
    </row>
    <row r="389" spans="2:12" s="1" customFormat="1" ht="12.75" x14ac:dyDescent="0.15">
      <c r="B389" s="82"/>
      <c r="C389" s="102"/>
      <c r="D389" s="103"/>
      <c r="E389" s="102"/>
      <c r="F389" s="128">
        <f>SUM(F329:F388)</f>
        <v>0</v>
      </c>
      <c r="G389" s="104"/>
      <c r="H389" s="105"/>
      <c r="I389" s="256">
        <f>SUM(I330:I388)</f>
        <v>0</v>
      </c>
      <c r="J389" s="257">
        <f>SUM(J329:J388)</f>
        <v>0</v>
      </c>
    </row>
    <row r="390" spans="2:12" s="67" customFormat="1" ht="12.75" x14ac:dyDescent="0.15">
      <c r="B390" s="116"/>
      <c r="C390" s="114"/>
      <c r="D390" s="114"/>
      <c r="E390" s="114" t="s">
        <v>147</v>
      </c>
      <c r="F390" s="162">
        <f>100/115*F389</f>
        <v>0</v>
      </c>
      <c r="G390" s="114"/>
      <c r="H390" s="114" t="s">
        <v>147</v>
      </c>
      <c r="I390" s="264">
        <f>100/115*I389</f>
        <v>0</v>
      </c>
      <c r="J390" s="114"/>
    </row>
    <row r="391" spans="2:12" s="1" customFormat="1" ht="12.75" x14ac:dyDescent="0.15"/>
    <row r="392" spans="2:12" s="1" customFormat="1" ht="12.75" x14ac:dyDescent="0.15"/>
    <row r="393" spans="2:12" s="1" customFormat="1" ht="12.75" x14ac:dyDescent="0.15"/>
    <row r="394" spans="2:12" s="1" customFormat="1" ht="12.75" x14ac:dyDescent="0.15"/>
    <row r="395" spans="2:12" s="247" customFormat="1" ht="32.25" x14ac:dyDescent="0.4">
      <c r="B395" s="248"/>
      <c r="C395" s="380" t="s">
        <v>112</v>
      </c>
      <c r="D395" s="380"/>
      <c r="E395" s="428" t="s">
        <v>101</v>
      </c>
      <c r="F395" s="428"/>
      <c r="G395" s="428"/>
      <c r="H395" s="428"/>
      <c r="I395" s="428"/>
      <c r="J395" s="382">
        <v>2026</v>
      </c>
      <c r="K395" s="382"/>
      <c r="L395" s="382"/>
    </row>
    <row r="396" spans="2:12" s="1" customFormat="1" ht="22.5" x14ac:dyDescent="0.15">
      <c r="B396" s="82"/>
      <c r="C396" s="102" t="s">
        <v>114</v>
      </c>
      <c r="D396" s="388" t="s">
        <v>115</v>
      </c>
      <c r="E396" s="388"/>
      <c r="F396" s="102" t="s">
        <v>116</v>
      </c>
      <c r="G396" s="102" t="s">
        <v>117</v>
      </c>
      <c r="H396" s="102" t="s">
        <v>118</v>
      </c>
      <c r="I396" s="102" t="s">
        <v>119</v>
      </c>
      <c r="J396" s="102" t="s">
        <v>120</v>
      </c>
      <c r="K396" s="82"/>
      <c r="L396" s="82"/>
    </row>
    <row r="397" spans="2:12" s="1" customFormat="1" ht="12.75" x14ac:dyDescent="0.15">
      <c r="B397" s="82"/>
      <c r="C397" s="66">
        <f>C327</f>
        <v>450</v>
      </c>
      <c r="D397" s="389">
        <v>21</v>
      </c>
      <c r="E397" s="389"/>
      <c r="F397" s="13">
        <f>F327</f>
        <v>0.8</v>
      </c>
      <c r="G397" s="14">
        <f>G327</f>
        <v>8</v>
      </c>
      <c r="H397" s="142">
        <f>D397*G397*F397</f>
        <v>134.4</v>
      </c>
      <c r="I397" s="66">
        <f>I459</f>
        <v>0</v>
      </c>
      <c r="J397" s="143">
        <f>H397-J459</f>
        <v>134.4</v>
      </c>
      <c r="K397" s="82"/>
      <c r="L397" s="82"/>
    </row>
    <row r="398" spans="2:12" s="1" customFormat="1" ht="33.75" x14ac:dyDescent="0.15">
      <c r="B398" s="84"/>
      <c r="C398" s="136" t="s">
        <v>121</v>
      </c>
      <c r="D398" s="414" t="s">
        <v>122</v>
      </c>
      <c r="E398" s="414"/>
      <c r="F398" s="137" t="s">
        <v>123</v>
      </c>
      <c r="G398" s="138" t="s">
        <v>124</v>
      </c>
      <c r="H398" s="139" t="s">
        <v>125</v>
      </c>
      <c r="I398" s="140" t="s">
        <v>126</v>
      </c>
      <c r="J398" s="138" t="s">
        <v>127</v>
      </c>
      <c r="K398" s="122" t="s">
        <v>128</v>
      </c>
      <c r="L398" s="123" t="s">
        <v>129</v>
      </c>
    </row>
    <row r="399" spans="2:12" s="1" customFormat="1" ht="12.75" x14ac:dyDescent="0.15">
      <c r="B399" s="16"/>
      <c r="C399" s="17"/>
      <c r="D399" s="405"/>
      <c r="E399" s="405"/>
      <c r="F399" s="36"/>
      <c r="G399" s="20"/>
      <c r="H399" s="20"/>
      <c r="I399" s="126"/>
      <c r="J399" s="21"/>
      <c r="K399" s="80"/>
      <c r="L399" s="82"/>
    </row>
    <row r="400" spans="2:12" s="1" customFormat="1" ht="12.95" customHeight="1" x14ac:dyDescent="0.15">
      <c r="B400" s="16"/>
      <c r="C400" s="411" t="s">
        <v>130</v>
      </c>
      <c r="D400" s="411"/>
      <c r="E400" s="411"/>
      <c r="F400" s="129"/>
      <c r="G400" s="20"/>
      <c r="H400" s="20"/>
      <c r="I400" s="126"/>
      <c r="J400" s="21"/>
      <c r="K400" s="80"/>
      <c r="L400" s="82"/>
    </row>
    <row r="401" spans="2:12" s="1" customFormat="1" ht="12.75" customHeight="1" x14ac:dyDescent="0.15">
      <c r="B401" s="16"/>
      <c r="C401" s="37" t="s">
        <v>149</v>
      </c>
      <c r="D401" s="24"/>
      <c r="E401" s="24"/>
      <c r="F401" s="129"/>
      <c r="G401" s="20"/>
      <c r="H401" s="20"/>
      <c r="I401" s="126"/>
      <c r="J401" s="38"/>
      <c r="K401" s="80"/>
      <c r="L401" s="82"/>
    </row>
    <row r="402" spans="2:12" s="1" customFormat="1" ht="12.75" x14ac:dyDescent="0.15">
      <c r="B402" s="16">
        <v>1</v>
      </c>
      <c r="C402" s="23"/>
      <c r="D402" s="24"/>
      <c r="E402" s="24"/>
      <c r="F402" s="129"/>
      <c r="G402" s="20"/>
      <c r="H402" s="20">
        <v>1</v>
      </c>
      <c r="I402" s="126">
        <f t="shared" ref="I402:I457" si="28">J402*$C$32</f>
        <v>0</v>
      </c>
      <c r="J402" s="38">
        <f t="shared" ref="J402:J421" si="29">(F402*G402*H402)/$C$32</f>
        <v>0</v>
      </c>
      <c r="K402" s="80"/>
      <c r="L402" s="82"/>
    </row>
    <row r="403" spans="2:12" s="1" customFormat="1" ht="12.75" customHeight="1" x14ac:dyDescent="0.15">
      <c r="B403" s="16">
        <v>2</v>
      </c>
      <c r="C403" s="23"/>
      <c r="D403" s="24"/>
      <c r="E403" s="24"/>
      <c r="F403" s="126"/>
      <c r="G403" s="20"/>
      <c r="H403" s="20">
        <v>1</v>
      </c>
      <c r="I403" s="126">
        <f t="shared" si="28"/>
        <v>0</v>
      </c>
      <c r="J403" s="38">
        <f t="shared" si="29"/>
        <v>0</v>
      </c>
      <c r="K403" s="80"/>
      <c r="L403" s="82"/>
    </row>
    <row r="404" spans="2:12" s="1" customFormat="1" ht="12.95" customHeight="1" x14ac:dyDescent="0.15">
      <c r="B404" s="16">
        <v>3</v>
      </c>
      <c r="C404" s="23"/>
      <c r="D404" s="25"/>
      <c r="E404" s="25"/>
      <c r="F404" s="129"/>
      <c r="G404" s="20"/>
      <c r="H404" s="20">
        <v>1</v>
      </c>
      <c r="I404" s="126">
        <f t="shared" si="28"/>
        <v>0</v>
      </c>
      <c r="J404" s="38">
        <f t="shared" si="29"/>
        <v>0</v>
      </c>
      <c r="K404" s="80"/>
      <c r="L404" s="82"/>
    </row>
    <row r="405" spans="2:12" s="1" customFormat="1" ht="12.95" customHeight="1" x14ac:dyDescent="0.15">
      <c r="B405" s="16">
        <v>4</v>
      </c>
      <c r="C405" s="23"/>
      <c r="D405" s="24"/>
      <c r="E405" s="24"/>
      <c r="F405" s="129"/>
      <c r="G405" s="20"/>
      <c r="H405" s="20">
        <v>1</v>
      </c>
      <c r="I405" s="126">
        <f t="shared" si="28"/>
        <v>0</v>
      </c>
      <c r="J405" s="38">
        <f t="shared" si="29"/>
        <v>0</v>
      </c>
      <c r="K405" s="80"/>
      <c r="L405" s="82"/>
    </row>
    <row r="406" spans="2:12" s="1" customFormat="1" ht="12.95" customHeight="1" x14ac:dyDescent="0.15">
      <c r="B406" s="16">
        <v>5</v>
      </c>
      <c r="C406" s="16"/>
      <c r="D406" s="18"/>
      <c r="E406" s="18"/>
      <c r="F406" s="129"/>
      <c r="G406" s="20"/>
      <c r="H406" s="20">
        <v>1</v>
      </c>
      <c r="I406" s="126">
        <f t="shared" si="28"/>
        <v>0</v>
      </c>
      <c r="J406" s="38">
        <f t="shared" si="29"/>
        <v>0</v>
      </c>
      <c r="K406" s="80"/>
      <c r="L406" s="82"/>
    </row>
    <row r="407" spans="2:12" s="1" customFormat="1" ht="12.95" customHeight="1" x14ac:dyDescent="0.15">
      <c r="B407" s="16">
        <v>6</v>
      </c>
      <c r="C407" s="17"/>
      <c r="D407" s="24"/>
      <c r="E407" s="24"/>
      <c r="F407" s="129"/>
      <c r="G407" s="20"/>
      <c r="H407" s="20">
        <v>1</v>
      </c>
      <c r="I407" s="126">
        <f t="shared" si="28"/>
        <v>0</v>
      </c>
      <c r="J407" s="38">
        <f t="shared" si="29"/>
        <v>0</v>
      </c>
      <c r="K407" s="80"/>
      <c r="L407" s="82"/>
    </row>
    <row r="408" spans="2:12" s="1" customFormat="1" ht="12.95" customHeight="1" x14ac:dyDescent="0.15">
      <c r="B408" s="16">
        <v>7</v>
      </c>
      <c r="C408" s="17"/>
      <c r="D408" s="24"/>
      <c r="E408" s="24"/>
      <c r="F408" s="129"/>
      <c r="G408" s="20"/>
      <c r="H408" s="20">
        <v>1</v>
      </c>
      <c r="I408" s="126">
        <f t="shared" si="28"/>
        <v>0</v>
      </c>
      <c r="J408" s="38">
        <f t="shared" si="29"/>
        <v>0</v>
      </c>
      <c r="K408" s="80"/>
      <c r="L408" s="82"/>
    </row>
    <row r="409" spans="2:12" s="1" customFormat="1" ht="12.95" customHeight="1" x14ac:dyDescent="0.15">
      <c r="B409" s="16">
        <v>8</v>
      </c>
      <c r="C409" s="17"/>
      <c r="D409" s="24"/>
      <c r="E409" s="24"/>
      <c r="F409" s="129"/>
      <c r="G409" s="20"/>
      <c r="H409" s="20">
        <v>1</v>
      </c>
      <c r="I409" s="126">
        <f t="shared" si="28"/>
        <v>0</v>
      </c>
      <c r="J409" s="38">
        <f t="shared" si="29"/>
        <v>0</v>
      </c>
      <c r="K409" s="80"/>
      <c r="L409" s="82"/>
    </row>
    <row r="410" spans="2:12" s="1" customFormat="1" ht="12.95" customHeight="1" x14ac:dyDescent="0.15">
      <c r="B410" s="16">
        <v>9</v>
      </c>
      <c r="C410" s="17"/>
      <c r="D410" s="24"/>
      <c r="E410" s="24"/>
      <c r="F410" s="129"/>
      <c r="G410" s="20"/>
      <c r="H410" s="20">
        <v>1</v>
      </c>
      <c r="I410" s="126">
        <f t="shared" si="28"/>
        <v>0</v>
      </c>
      <c r="J410" s="38">
        <f t="shared" si="29"/>
        <v>0</v>
      </c>
      <c r="K410" s="80"/>
      <c r="L410" s="82"/>
    </row>
    <row r="411" spans="2:12" s="1" customFormat="1" ht="12.95" customHeight="1" x14ac:dyDescent="0.15">
      <c r="B411" s="16">
        <v>10</v>
      </c>
      <c r="C411" s="17"/>
      <c r="D411" s="24"/>
      <c r="E411" s="24"/>
      <c r="F411" s="129"/>
      <c r="G411" s="20"/>
      <c r="H411" s="20">
        <v>1</v>
      </c>
      <c r="I411" s="126">
        <f t="shared" si="28"/>
        <v>0</v>
      </c>
      <c r="J411" s="38">
        <f t="shared" si="29"/>
        <v>0</v>
      </c>
      <c r="K411" s="80"/>
      <c r="L411" s="82"/>
    </row>
    <row r="412" spans="2:12" s="1" customFormat="1" ht="12.95" customHeight="1" x14ac:dyDescent="0.15">
      <c r="B412" s="16"/>
      <c r="C412" s="17"/>
      <c r="D412" s="24"/>
      <c r="E412" s="24"/>
      <c r="F412" s="129"/>
      <c r="G412" s="20"/>
      <c r="H412" s="20"/>
      <c r="I412" s="126"/>
      <c r="J412" s="38"/>
      <c r="K412" s="80"/>
      <c r="L412" s="82"/>
    </row>
    <row r="413" spans="2:12" s="1" customFormat="1" ht="12.95" customHeight="1" x14ac:dyDescent="0.15">
      <c r="B413" s="16"/>
      <c r="C413" s="17"/>
      <c r="D413" s="24"/>
      <c r="E413" s="24"/>
      <c r="F413" s="129"/>
      <c r="G413" s="20"/>
      <c r="H413" s="20"/>
      <c r="I413" s="126"/>
      <c r="J413" s="38"/>
      <c r="K413" s="80"/>
      <c r="L413" s="82"/>
    </row>
    <row r="414" spans="2:12" s="1" customFormat="1" ht="12.95" customHeight="1" x14ac:dyDescent="0.15">
      <c r="B414" s="16"/>
      <c r="C414" s="22" t="s">
        <v>153</v>
      </c>
      <c r="D414" s="24"/>
      <c r="E414" s="24"/>
      <c r="F414" s="129"/>
      <c r="G414" s="20"/>
      <c r="H414" s="20"/>
      <c r="I414" s="126"/>
      <c r="J414" s="38"/>
      <c r="K414" s="80"/>
      <c r="L414" s="82"/>
    </row>
    <row r="415" spans="2:12" s="1" customFormat="1" ht="12.95" customHeight="1" x14ac:dyDescent="0.15">
      <c r="B415" s="16">
        <v>1</v>
      </c>
      <c r="C415" s="17"/>
      <c r="D415" s="18"/>
      <c r="E415" s="24"/>
      <c r="F415" s="129"/>
      <c r="G415" s="20"/>
      <c r="H415" s="20">
        <v>1</v>
      </c>
      <c r="I415" s="126">
        <f t="shared" si="28"/>
        <v>0</v>
      </c>
      <c r="J415" s="38">
        <f t="shared" si="29"/>
        <v>0</v>
      </c>
      <c r="K415" s="80"/>
      <c r="L415" s="82"/>
    </row>
    <row r="416" spans="2:12" s="1" customFormat="1" ht="12.95" customHeight="1" x14ac:dyDescent="0.15">
      <c r="B416" s="16">
        <v>2</v>
      </c>
      <c r="C416" s="17"/>
      <c r="D416" s="18"/>
      <c r="E416" s="24"/>
      <c r="F416" s="129"/>
      <c r="G416" s="20"/>
      <c r="H416" s="20">
        <v>1</v>
      </c>
      <c r="I416" s="126">
        <f t="shared" si="28"/>
        <v>0</v>
      </c>
      <c r="J416" s="38">
        <f t="shared" si="29"/>
        <v>0</v>
      </c>
      <c r="K416" s="80"/>
      <c r="L416" s="82"/>
    </row>
    <row r="417" spans="2:15" s="1" customFormat="1" ht="12.95" customHeight="1" x14ac:dyDescent="0.15">
      <c r="B417" s="16">
        <v>3</v>
      </c>
      <c r="C417" s="17"/>
      <c r="D417" s="24"/>
      <c r="E417" s="18"/>
      <c r="F417" s="129"/>
      <c r="G417" s="20"/>
      <c r="H417" s="20">
        <v>1</v>
      </c>
      <c r="I417" s="126">
        <f t="shared" si="28"/>
        <v>0</v>
      </c>
      <c r="J417" s="38">
        <f t="shared" si="29"/>
        <v>0</v>
      </c>
      <c r="K417" s="80"/>
      <c r="L417" s="82"/>
    </row>
    <row r="418" spans="2:15" s="4" customFormat="1" ht="12.95" customHeight="1" x14ac:dyDescent="0.15">
      <c r="B418" s="26">
        <v>4</v>
      </c>
      <c r="C418" s="23"/>
      <c r="D418" s="48"/>
      <c r="E418" s="49"/>
      <c r="F418" s="126"/>
      <c r="G418" s="50"/>
      <c r="H418" s="50">
        <v>1</v>
      </c>
      <c r="I418" s="126">
        <f t="shared" si="28"/>
        <v>0</v>
      </c>
      <c r="J418" s="38">
        <f t="shared" si="29"/>
        <v>0</v>
      </c>
      <c r="K418" s="108"/>
      <c r="L418" s="113"/>
    </row>
    <row r="419" spans="2:15" s="1" customFormat="1" ht="12.95" customHeight="1" x14ac:dyDescent="0.15">
      <c r="B419" s="16">
        <v>5</v>
      </c>
      <c r="C419" s="17"/>
      <c r="D419" s="24"/>
      <c r="E419" s="18"/>
      <c r="F419" s="129"/>
      <c r="G419" s="20"/>
      <c r="H419" s="20">
        <v>1</v>
      </c>
      <c r="I419" s="126">
        <f t="shared" si="28"/>
        <v>0</v>
      </c>
      <c r="J419" s="38">
        <f t="shared" si="29"/>
        <v>0</v>
      </c>
      <c r="K419" s="80"/>
      <c r="L419" s="82"/>
    </row>
    <row r="420" spans="2:15" s="1" customFormat="1" ht="12.95" customHeight="1" x14ac:dyDescent="0.15">
      <c r="B420" s="16">
        <v>6</v>
      </c>
      <c r="C420" s="17"/>
      <c r="D420" s="24"/>
      <c r="E420" s="18"/>
      <c r="F420" s="129"/>
      <c r="G420" s="20"/>
      <c r="H420" s="20">
        <v>1</v>
      </c>
      <c r="I420" s="126">
        <f t="shared" si="28"/>
        <v>0</v>
      </c>
      <c r="J420" s="38">
        <f t="shared" si="29"/>
        <v>0</v>
      </c>
      <c r="K420" s="80"/>
      <c r="L420" s="82"/>
    </row>
    <row r="421" spans="2:15" s="1" customFormat="1" ht="12.95" customHeight="1" x14ac:dyDescent="0.15">
      <c r="B421" s="16">
        <v>7</v>
      </c>
      <c r="C421" s="17"/>
      <c r="D421" s="24"/>
      <c r="E421" s="24"/>
      <c r="F421" s="129"/>
      <c r="G421" s="20"/>
      <c r="H421" s="20">
        <v>1</v>
      </c>
      <c r="I421" s="126">
        <f t="shared" si="28"/>
        <v>0</v>
      </c>
      <c r="J421" s="38">
        <f t="shared" si="29"/>
        <v>0</v>
      </c>
      <c r="K421" s="80"/>
      <c r="L421" s="82"/>
    </row>
    <row r="422" spans="2:15" s="1" customFormat="1" ht="12.95" customHeight="1" x14ac:dyDescent="0.15">
      <c r="B422" s="16">
        <v>8</v>
      </c>
      <c r="C422" s="17"/>
      <c r="D422" s="24"/>
      <c r="E422" s="24"/>
      <c r="F422" s="129"/>
      <c r="G422" s="20"/>
      <c r="H422" s="20">
        <v>1</v>
      </c>
      <c r="I422" s="126">
        <f t="shared" si="28"/>
        <v>0</v>
      </c>
      <c r="J422" s="38">
        <f>(F422*G422*H422)/$C$32</f>
        <v>0</v>
      </c>
      <c r="K422" s="80"/>
      <c r="L422" s="82"/>
    </row>
    <row r="423" spans="2:15" s="1" customFormat="1" ht="14.85" customHeight="1" x14ac:dyDescent="0.15">
      <c r="B423" s="16">
        <v>9</v>
      </c>
      <c r="C423" s="17"/>
      <c r="D423" s="24"/>
      <c r="E423" s="24"/>
      <c r="F423" s="129"/>
      <c r="G423" s="20"/>
      <c r="H423" s="20">
        <v>1</v>
      </c>
      <c r="I423" s="126">
        <f t="shared" si="28"/>
        <v>0</v>
      </c>
      <c r="J423" s="38">
        <f>(F423*G423*H423)/$C$32</f>
        <v>0</v>
      </c>
      <c r="K423" s="80"/>
      <c r="L423" s="82"/>
    </row>
    <row r="424" spans="2:15" s="1" customFormat="1" ht="12.95" customHeight="1" x14ac:dyDescent="0.15">
      <c r="B424" s="16">
        <v>10</v>
      </c>
      <c r="C424" s="17"/>
      <c r="D424" s="24"/>
      <c r="E424" s="24"/>
      <c r="F424" s="129"/>
      <c r="G424" s="20"/>
      <c r="H424" s="20">
        <v>1</v>
      </c>
      <c r="I424" s="126">
        <f t="shared" si="28"/>
        <v>0</v>
      </c>
      <c r="J424" s="38">
        <f t="shared" ref="J424:J457" si="30">(F424*G424*H424)/$C$32</f>
        <v>0</v>
      </c>
      <c r="K424" s="80"/>
      <c r="L424" s="82"/>
      <c r="M424" s="39"/>
      <c r="N424" s="40"/>
      <c r="O424" s="40"/>
    </row>
    <row r="425" spans="2:15" s="1" customFormat="1" ht="12.95" customHeight="1" x14ac:dyDescent="0.15">
      <c r="B425" s="16">
        <v>11</v>
      </c>
      <c r="C425" s="17"/>
      <c r="D425" s="24"/>
      <c r="E425" s="24"/>
      <c r="F425" s="129"/>
      <c r="G425" s="20"/>
      <c r="H425" s="20">
        <v>1</v>
      </c>
      <c r="I425" s="126">
        <f t="shared" si="28"/>
        <v>0</v>
      </c>
      <c r="J425" s="38">
        <f t="shared" si="30"/>
        <v>0</v>
      </c>
      <c r="K425" s="80"/>
      <c r="L425" s="82"/>
    </row>
    <row r="426" spans="2:15" s="1" customFormat="1" ht="12.95" customHeight="1" x14ac:dyDescent="0.15">
      <c r="B426" s="16">
        <v>12</v>
      </c>
      <c r="C426" s="17"/>
      <c r="D426" s="24"/>
      <c r="E426" s="24"/>
      <c r="F426" s="129"/>
      <c r="G426" s="20"/>
      <c r="H426" s="20">
        <v>1</v>
      </c>
      <c r="I426" s="126">
        <f t="shared" si="28"/>
        <v>0</v>
      </c>
      <c r="J426" s="38">
        <f t="shared" si="30"/>
        <v>0</v>
      </c>
      <c r="K426" s="80"/>
      <c r="L426" s="82"/>
    </row>
    <row r="427" spans="2:15" s="1" customFormat="1" ht="12.95" customHeight="1" x14ac:dyDescent="0.15">
      <c r="B427" s="16">
        <v>13</v>
      </c>
      <c r="C427" s="17"/>
      <c r="D427" s="24"/>
      <c r="E427" s="24"/>
      <c r="F427" s="130"/>
      <c r="G427" s="20"/>
      <c r="H427" s="20">
        <v>1</v>
      </c>
      <c r="I427" s="126">
        <f t="shared" si="28"/>
        <v>0</v>
      </c>
      <c r="J427" s="38">
        <f t="shared" si="30"/>
        <v>0</v>
      </c>
      <c r="K427" s="80"/>
      <c r="L427" s="82"/>
    </row>
    <row r="428" spans="2:15" s="1" customFormat="1" ht="12.95" customHeight="1" x14ac:dyDescent="0.15">
      <c r="B428" s="16">
        <v>14</v>
      </c>
      <c r="C428" s="17"/>
      <c r="D428" s="24"/>
      <c r="E428" s="24"/>
      <c r="F428" s="129"/>
      <c r="G428" s="20"/>
      <c r="H428" s="20">
        <v>1</v>
      </c>
      <c r="I428" s="126">
        <f t="shared" si="28"/>
        <v>0</v>
      </c>
      <c r="J428" s="38">
        <f t="shared" si="30"/>
        <v>0</v>
      </c>
      <c r="K428" s="80"/>
      <c r="L428" s="82"/>
    </row>
    <row r="429" spans="2:15" s="1" customFormat="1" ht="12.95" customHeight="1" x14ac:dyDescent="0.15">
      <c r="B429" s="16">
        <v>15</v>
      </c>
      <c r="C429" s="17"/>
      <c r="D429" s="24"/>
      <c r="E429" s="24"/>
      <c r="F429" s="129"/>
      <c r="G429" s="20"/>
      <c r="H429" s="20">
        <v>1</v>
      </c>
      <c r="I429" s="126">
        <f t="shared" si="28"/>
        <v>0</v>
      </c>
      <c r="J429" s="38">
        <f t="shared" si="30"/>
        <v>0</v>
      </c>
      <c r="K429" s="80"/>
      <c r="L429" s="82"/>
    </row>
    <row r="430" spans="2:15" s="1" customFormat="1" ht="12.95" customHeight="1" x14ac:dyDescent="0.15">
      <c r="B430" s="16">
        <v>16</v>
      </c>
      <c r="C430" s="17"/>
      <c r="D430" s="24"/>
      <c r="E430" s="24"/>
      <c r="F430" s="129"/>
      <c r="G430" s="20"/>
      <c r="H430" s="20">
        <v>1</v>
      </c>
      <c r="I430" s="126">
        <f t="shared" si="28"/>
        <v>0</v>
      </c>
      <c r="J430" s="38">
        <f t="shared" si="30"/>
        <v>0</v>
      </c>
      <c r="K430" s="80"/>
      <c r="L430" s="82"/>
    </row>
    <row r="431" spans="2:15" s="1" customFormat="1" ht="12.95" customHeight="1" x14ac:dyDescent="0.15">
      <c r="B431" s="16">
        <v>17</v>
      </c>
      <c r="C431" s="17"/>
      <c r="D431" s="24"/>
      <c r="E431" s="24"/>
      <c r="F431" s="129"/>
      <c r="G431" s="20"/>
      <c r="H431" s="20">
        <v>1</v>
      </c>
      <c r="I431" s="126">
        <f t="shared" si="28"/>
        <v>0</v>
      </c>
      <c r="J431" s="38">
        <f t="shared" si="30"/>
        <v>0</v>
      </c>
      <c r="K431" s="80"/>
      <c r="L431" s="82"/>
    </row>
    <row r="432" spans="2:15" s="1" customFormat="1" ht="12.95" customHeight="1" x14ac:dyDescent="0.15">
      <c r="B432" s="16">
        <v>18</v>
      </c>
      <c r="C432" s="17"/>
      <c r="D432" s="24"/>
      <c r="E432" s="24"/>
      <c r="F432" s="129"/>
      <c r="G432" s="20"/>
      <c r="H432" s="20">
        <v>1</v>
      </c>
      <c r="I432" s="126">
        <f t="shared" si="28"/>
        <v>0</v>
      </c>
      <c r="J432" s="38">
        <f t="shared" si="30"/>
        <v>0</v>
      </c>
      <c r="K432" s="80"/>
      <c r="L432" s="82"/>
    </row>
    <row r="433" spans="2:20" s="1" customFormat="1" ht="12.95" customHeight="1" x14ac:dyDescent="0.15">
      <c r="B433" s="16">
        <v>19</v>
      </c>
      <c r="C433" s="17"/>
      <c r="D433" s="18"/>
      <c r="E433" s="18"/>
      <c r="F433" s="129"/>
      <c r="G433" s="20"/>
      <c r="H433" s="20">
        <v>1</v>
      </c>
      <c r="I433" s="126">
        <f t="shared" si="28"/>
        <v>0</v>
      </c>
      <c r="J433" s="21">
        <f t="shared" si="30"/>
        <v>0</v>
      </c>
      <c r="K433" s="80"/>
      <c r="L433" s="82"/>
      <c r="M433" s="10"/>
      <c r="N433" s="10"/>
      <c r="O433" s="10"/>
      <c r="P433" s="10"/>
      <c r="Q433" s="43"/>
      <c r="R433" s="10"/>
      <c r="T433" s="10"/>
    </row>
    <row r="434" spans="2:20" s="1" customFormat="1" ht="12.95" customHeight="1" x14ac:dyDescent="0.15">
      <c r="B434" s="16">
        <v>20</v>
      </c>
      <c r="C434" s="17"/>
      <c r="D434" s="18"/>
      <c r="E434" s="18"/>
      <c r="F434" s="129"/>
      <c r="G434" s="20"/>
      <c r="H434" s="20">
        <v>1</v>
      </c>
      <c r="I434" s="126">
        <f t="shared" si="28"/>
        <v>0</v>
      </c>
      <c r="J434" s="21">
        <f t="shared" si="30"/>
        <v>0</v>
      </c>
      <c r="K434" s="80"/>
      <c r="L434" s="82"/>
      <c r="M434" s="10"/>
      <c r="N434" s="10"/>
      <c r="O434" s="10"/>
      <c r="P434" s="10"/>
      <c r="Q434" s="43"/>
      <c r="R434" s="10"/>
      <c r="T434" s="10"/>
    </row>
    <row r="435" spans="2:20" s="1" customFormat="1" ht="12.95" customHeight="1" x14ac:dyDescent="0.15">
      <c r="B435" s="16"/>
      <c r="C435" s="17"/>
      <c r="D435" s="18"/>
      <c r="E435" s="18"/>
      <c r="F435" s="129"/>
      <c r="G435" s="20"/>
      <c r="H435" s="20"/>
      <c r="I435" s="126"/>
      <c r="J435" s="21"/>
      <c r="K435" s="80"/>
      <c r="L435" s="82"/>
      <c r="M435" s="10"/>
      <c r="N435" s="10"/>
      <c r="O435" s="10"/>
      <c r="P435" s="10"/>
      <c r="Q435" s="43"/>
      <c r="R435" s="10"/>
      <c r="T435" s="10"/>
    </row>
    <row r="436" spans="2:20" s="1" customFormat="1" ht="12.95" customHeight="1" x14ac:dyDescent="0.15">
      <c r="B436" s="16"/>
      <c r="C436" s="17"/>
      <c r="D436" s="18"/>
      <c r="E436" s="18"/>
      <c r="F436" s="129"/>
      <c r="G436" s="20"/>
      <c r="H436" s="20"/>
      <c r="I436" s="126"/>
      <c r="J436" s="21"/>
      <c r="K436" s="80"/>
      <c r="L436" s="82"/>
      <c r="M436" s="10"/>
      <c r="N436" s="10"/>
      <c r="O436" s="10"/>
      <c r="P436" s="10"/>
      <c r="Q436" s="43"/>
      <c r="R436" s="10"/>
      <c r="T436" s="10"/>
    </row>
    <row r="437" spans="2:20" s="1" customFormat="1" ht="12.95" customHeight="1" x14ac:dyDescent="0.15">
      <c r="B437" s="16"/>
      <c r="C437" s="22" t="s">
        <v>160</v>
      </c>
      <c r="D437" s="18"/>
      <c r="E437" s="18"/>
      <c r="F437" s="129"/>
      <c r="G437" s="20"/>
      <c r="H437" s="20"/>
      <c r="I437" s="126"/>
      <c r="J437" s="21"/>
      <c r="K437" s="80"/>
      <c r="L437" s="82"/>
      <c r="M437" s="10"/>
      <c r="N437" s="10"/>
      <c r="O437" s="10"/>
      <c r="P437" s="10"/>
      <c r="Q437" s="43"/>
      <c r="R437" s="10"/>
      <c r="T437" s="10"/>
    </row>
    <row r="438" spans="2:20" s="1" customFormat="1" ht="12.95" customHeight="1" x14ac:dyDescent="0.15">
      <c r="B438" s="16">
        <v>1</v>
      </c>
      <c r="C438" s="22"/>
      <c r="D438" s="18"/>
      <c r="E438" s="18"/>
      <c r="F438" s="129"/>
      <c r="G438" s="20"/>
      <c r="H438" s="20">
        <v>1</v>
      </c>
      <c r="I438" s="126">
        <f t="shared" si="28"/>
        <v>0</v>
      </c>
      <c r="J438" s="21">
        <f t="shared" si="30"/>
        <v>0</v>
      </c>
      <c r="K438" s="80"/>
      <c r="L438" s="82"/>
      <c r="M438" s="10"/>
      <c r="N438" s="10"/>
      <c r="O438" s="10"/>
      <c r="P438" s="10"/>
      <c r="Q438" s="43"/>
      <c r="R438" s="10"/>
      <c r="T438" s="10"/>
    </row>
    <row r="439" spans="2:20" s="1" customFormat="1" ht="12.95" customHeight="1" x14ac:dyDescent="0.15">
      <c r="B439" s="16">
        <v>2</v>
      </c>
      <c r="C439" s="22"/>
      <c r="D439" s="18"/>
      <c r="E439" s="18"/>
      <c r="F439" s="129"/>
      <c r="G439" s="20"/>
      <c r="H439" s="20">
        <v>1</v>
      </c>
      <c r="I439" s="126">
        <f t="shared" si="28"/>
        <v>0</v>
      </c>
      <c r="J439" s="21">
        <f t="shared" si="30"/>
        <v>0</v>
      </c>
      <c r="K439" s="80"/>
      <c r="L439" s="82"/>
      <c r="M439" s="10"/>
      <c r="N439" s="10"/>
      <c r="O439" s="10"/>
      <c r="P439" s="10"/>
      <c r="Q439" s="43"/>
      <c r="R439" s="10"/>
      <c r="T439" s="10"/>
    </row>
    <row r="440" spans="2:20" s="1" customFormat="1" ht="12.95" customHeight="1" x14ac:dyDescent="0.15">
      <c r="B440" s="16">
        <v>3</v>
      </c>
      <c r="C440" s="22"/>
      <c r="D440" s="18"/>
      <c r="E440" s="18"/>
      <c r="F440" s="129"/>
      <c r="G440" s="20"/>
      <c r="H440" s="20">
        <v>1</v>
      </c>
      <c r="I440" s="126">
        <f t="shared" si="28"/>
        <v>0</v>
      </c>
      <c r="J440" s="21">
        <f t="shared" si="30"/>
        <v>0</v>
      </c>
      <c r="K440" s="80"/>
      <c r="L440" s="82"/>
      <c r="M440" s="10"/>
      <c r="N440" s="10"/>
      <c r="O440" s="10"/>
      <c r="P440" s="10"/>
      <c r="Q440" s="43"/>
      <c r="R440" s="10"/>
      <c r="T440" s="10"/>
    </row>
    <row r="441" spans="2:20" s="1" customFormat="1" ht="12.95" customHeight="1" x14ac:dyDescent="0.15">
      <c r="B441" s="16">
        <v>4</v>
      </c>
      <c r="C441" s="22"/>
      <c r="D441" s="18"/>
      <c r="E441" s="18"/>
      <c r="F441" s="129"/>
      <c r="G441" s="20"/>
      <c r="H441" s="20">
        <v>1</v>
      </c>
      <c r="I441" s="126">
        <f t="shared" si="28"/>
        <v>0</v>
      </c>
      <c r="J441" s="21">
        <f t="shared" si="30"/>
        <v>0</v>
      </c>
      <c r="K441" s="80"/>
      <c r="L441" s="82"/>
      <c r="M441" s="10"/>
      <c r="N441" s="10"/>
      <c r="O441" s="10"/>
      <c r="P441" s="10"/>
      <c r="Q441" s="43"/>
      <c r="R441" s="10"/>
      <c r="T441" s="10"/>
    </row>
    <row r="442" spans="2:20" s="1" customFormat="1" ht="12.95" customHeight="1" x14ac:dyDescent="0.15">
      <c r="B442" s="16">
        <v>5</v>
      </c>
      <c r="C442" s="22"/>
      <c r="D442" s="18"/>
      <c r="E442" s="18"/>
      <c r="F442" s="129"/>
      <c r="G442" s="20"/>
      <c r="H442" s="20">
        <v>1</v>
      </c>
      <c r="I442" s="126">
        <f t="shared" si="28"/>
        <v>0</v>
      </c>
      <c r="J442" s="21">
        <f t="shared" si="30"/>
        <v>0</v>
      </c>
      <c r="K442" s="80"/>
      <c r="L442" s="82"/>
      <c r="M442" s="10"/>
      <c r="N442" s="10"/>
      <c r="O442" s="10"/>
      <c r="P442" s="10"/>
      <c r="Q442" s="43"/>
      <c r="R442" s="10"/>
      <c r="T442" s="10"/>
    </row>
    <row r="443" spans="2:20" s="1" customFormat="1" ht="12.95" customHeight="1" x14ac:dyDescent="0.15">
      <c r="B443" s="16">
        <v>6</v>
      </c>
      <c r="C443" s="22"/>
      <c r="D443" s="18"/>
      <c r="E443" s="18"/>
      <c r="F443" s="129"/>
      <c r="G443" s="20"/>
      <c r="H443" s="20">
        <v>1</v>
      </c>
      <c r="I443" s="126">
        <f t="shared" si="28"/>
        <v>0</v>
      </c>
      <c r="J443" s="21">
        <f t="shared" si="30"/>
        <v>0</v>
      </c>
      <c r="K443" s="80"/>
      <c r="L443" s="82"/>
      <c r="M443" s="10"/>
      <c r="N443" s="10"/>
      <c r="O443" s="10"/>
      <c r="P443" s="10"/>
      <c r="Q443" s="43"/>
      <c r="R443" s="10"/>
      <c r="T443" s="10"/>
    </row>
    <row r="444" spans="2:20" s="1" customFormat="1" ht="12.95" customHeight="1" x14ac:dyDescent="0.15">
      <c r="B444" s="16">
        <v>7</v>
      </c>
      <c r="C444" s="22"/>
      <c r="D444" s="18"/>
      <c r="E444" s="18"/>
      <c r="F444" s="129"/>
      <c r="G444" s="20"/>
      <c r="H444" s="20">
        <v>1</v>
      </c>
      <c r="I444" s="126">
        <f t="shared" si="28"/>
        <v>0</v>
      </c>
      <c r="J444" s="21">
        <f t="shared" si="30"/>
        <v>0</v>
      </c>
      <c r="K444" s="80"/>
      <c r="L444" s="82"/>
      <c r="M444" s="10"/>
      <c r="N444" s="10"/>
      <c r="O444" s="10"/>
      <c r="P444" s="10"/>
      <c r="Q444" s="43"/>
      <c r="R444" s="10"/>
      <c r="T444" s="10"/>
    </row>
    <row r="445" spans="2:20" s="1" customFormat="1" ht="12.95" customHeight="1" x14ac:dyDescent="0.15">
      <c r="B445" s="16">
        <v>8</v>
      </c>
      <c r="C445" s="22"/>
      <c r="D445" s="18"/>
      <c r="E445" s="18"/>
      <c r="F445" s="129"/>
      <c r="G445" s="20"/>
      <c r="H445" s="20">
        <v>1</v>
      </c>
      <c r="I445" s="126">
        <f t="shared" si="28"/>
        <v>0</v>
      </c>
      <c r="J445" s="21">
        <f t="shared" si="30"/>
        <v>0</v>
      </c>
      <c r="K445" s="80"/>
      <c r="L445" s="82"/>
      <c r="M445" s="10"/>
      <c r="N445" s="10"/>
      <c r="O445" s="10"/>
      <c r="P445" s="10"/>
      <c r="Q445" s="43"/>
      <c r="R445" s="10"/>
      <c r="T445" s="10"/>
    </row>
    <row r="446" spans="2:20" s="1" customFormat="1" ht="12.95" customHeight="1" x14ac:dyDescent="0.15">
      <c r="B446" s="16">
        <v>9</v>
      </c>
      <c r="C446" s="22"/>
      <c r="D446" s="18"/>
      <c r="E446" s="18"/>
      <c r="F446" s="129"/>
      <c r="G446" s="20"/>
      <c r="H446" s="20">
        <v>1</v>
      </c>
      <c r="I446" s="126">
        <f t="shared" si="28"/>
        <v>0</v>
      </c>
      <c r="J446" s="21">
        <f t="shared" si="30"/>
        <v>0</v>
      </c>
      <c r="K446" s="80"/>
      <c r="L446" s="82"/>
      <c r="M446" s="10"/>
      <c r="N446" s="10"/>
      <c r="O446" s="10"/>
      <c r="P446" s="10"/>
      <c r="Q446" s="43"/>
      <c r="R446" s="10"/>
      <c r="T446" s="10"/>
    </row>
    <row r="447" spans="2:20" s="1" customFormat="1" ht="12.95" customHeight="1" x14ac:dyDescent="0.15">
      <c r="B447" s="16">
        <v>10</v>
      </c>
      <c r="C447" s="22"/>
      <c r="D447" s="18"/>
      <c r="E447" s="18"/>
      <c r="F447" s="129"/>
      <c r="G447" s="20"/>
      <c r="H447" s="20">
        <v>1</v>
      </c>
      <c r="I447" s="126">
        <f t="shared" si="28"/>
        <v>0</v>
      </c>
      <c r="J447" s="21">
        <f t="shared" si="30"/>
        <v>0</v>
      </c>
      <c r="K447" s="80"/>
      <c r="L447" s="82"/>
      <c r="M447" s="10"/>
      <c r="N447" s="10"/>
      <c r="O447" s="10"/>
      <c r="P447" s="10"/>
      <c r="Q447" s="43"/>
      <c r="R447" s="10"/>
      <c r="T447" s="10"/>
    </row>
    <row r="448" spans="2:20" s="1" customFormat="1" ht="12.95" customHeight="1" x14ac:dyDescent="0.15">
      <c r="B448" s="16">
        <v>11</v>
      </c>
      <c r="C448" s="22"/>
      <c r="D448" s="18"/>
      <c r="E448" s="18"/>
      <c r="F448" s="129"/>
      <c r="G448" s="20"/>
      <c r="H448" s="20">
        <v>1</v>
      </c>
      <c r="I448" s="126">
        <f t="shared" si="28"/>
        <v>0</v>
      </c>
      <c r="J448" s="21">
        <f t="shared" si="30"/>
        <v>0</v>
      </c>
      <c r="K448" s="80"/>
      <c r="L448" s="82"/>
      <c r="M448" s="10"/>
      <c r="N448" s="10"/>
      <c r="O448" s="10"/>
      <c r="P448" s="10"/>
      <c r="Q448" s="43"/>
      <c r="R448" s="10"/>
      <c r="T448" s="10"/>
    </row>
    <row r="449" spans="2:20" s="1" customFormat="1" ht="12.95" customHeight="1" x14ac:dyDescent="0.2">
      <c r="B449" s="16">
        <v>12</v>
      </c>
      <c r="C449" s="45"/>
      <c r="D449" s="18"/>
      <c r="E449" s="18"/>
      <c r="F449" s="51"/>
      <c r="G449" s="20"/>
      <c r="H449" s="20">
        <v>1</v>
      </c>
      <c r="I449" s="126">
        <f t="shared" si="28"/>
        <v>0</v>
      </c>
      <c r="J449" s="21">
        <f t="shared" si="30"/>
        <v>0</v>
      </c>
      <c r="K449" s="80"/>
      <c r="L449" s="82"/>
      <c r="N449" s="10"/>
      <c r="O449" s="10"/>
      <c r="P449" s="10"/>
      <c r="Q449" s="43"/>
      <c r="R449" s="10"/>
      <c r="T449" s="10"/>
    </row>
    <row r="450" spans="2:20" s="1" customFormat="1" ht="12.95" customHeight="1" x14ac:dyDescent="0.2">
      <c r="B450" s="16">
        <v>13</v>
      </c>
      <c r="C450" s="45"/>
      <c r="D450" s="18"/>
      <c r="E450" s="18"/>
      <c r="F450" s="51"/>
      <c r="G450" s="20"/>
      <c r="H450" s="20">
        <v>1</v>
      </c>
      <c r="I450" s="126">
        <f t="shared" si="28"/>
        <v>0</v>
      </c>
      <c r="J450" s="21">
        <f t="shared" si="30"/>
        <v>0</v>
      </c>
      <c r="K450" s="80"/>
      <c r="L450" s="82"/>
      <c r="N450" s="10"/>
      <c r="O450" s="10"/>
      <c r="P450" s="10"/>
      <c r="Q450" s="43"/>
      <c r="R450" s="10"/>
      <c r="T450" s="10"/>
    </row>
    <row r="451" spans="2:20" s="1" customFormat="1" ht="12.95" customHeight="1" x14ac:dyDescent="0.2">
      <c r="B451" s="16">
        <v>14</v>
      </c>
      <c r="C451" s="45"/>
      <c r="D451" s="18"/>
      <c r="E451" s="18"/>
      <c r="F451" s="51"/>
      <c r="G451" s="20"/>
      <c r="H451" s="20">
        <v>1</v>
      </c>
      <c r="I451" s="126">
        <f t="shared" si="28"/>
        <v>0</v>
      </c>
      <c r="J451" s="21">
        <f t="shared" si="30"/>
        <v>0</v>
      </c>
      <c r="K451" s="80"/>
      <c r="L451" s="82"/>
      <c r="N451" s="10"/>
      <c r="O451" s="10"/>
      <c r="P451" s="10"/>
      <c r="Q451" s="43"/>
      <c r="R451" s="10"/>
      <c r="T451" s="10"/>
    </row>
    <row r="452" spans="2:20" s="1" customFormat="1" ht="12.95" customHeight="1" x14ac:dyDescent="0.2">
      <c r="B452" s="16">
        <v>15</v>
      </c>
      <c r="C452" s="45"/>
      <c r="D452" s="18"/>
      <c r="E452" s="18"/>
      <c r="F452" s="51"/>
      <c r="G452" s="20"/>
      <c r="H452" s="20">
        <v>1</v>
      </c>
      <c r="I452" s="126">
        <f t="shared" si="28"/>
        <v>0</v>
      </c>
      <c r="J452" s="21">
        <f t="shared" si="30"/>
        <v>0</v>
      </c>
      <c r="K452" s="80"/>
      <c r="L452" s="82"/>
      <c r="N452" s="10"/>
      <c r="O452" s="10"/>
      <c r="P452" s="10"/>
      <c r="Q452" s="43"/>
      <c r="R452" s="10"/>
      <c r="T452" s="10"/>
    </row>
    <row r="453" spans="2:20" s="1" customFormat="1" ht="12.95" customHeight="1" x14ac:dyDescent="0.2">
      <c r="B453" s="16">
        <v>16</v>
      </c>
      <c r="C453" s="45"/>
      <c r="D453" s="18"/>
      <c r="E453" s="18"/>
      <c r="F453" s="51"/>
      <c r="G453" s="20"/>
      <c r="H453" s="20">
        <v>1</v>
      </c>
      <c r="I453" s="126">
        <f t="shared" si="28"/>
        <v>0</v>
      </c>
      <c r="J453" s="21">
        <f t="shared" si="30"/>
        <v>0</v>
      </c>
      <c r="K453" s="80"/>
      <c r="L453" s="82"/>
      <c r="N453" s="10"/>
      <c r="O453" s="10"/>
      <c r="P453" s="10"/>
      <c r="Q453" s="43"/>
      <c r="R453" s="10"/>
      <c r="T453" s="10"/>
    </row>
    <row r="454" spans="2:20" s="1" customFormat="1" ht="12.95" customHeight="1" x14ac:dyDescent="0.2">
      <c r="B454" s="16">
        <v>17</v>
      </c>
      <c r="C454" s="45"/>
      <c r="D454" s="18"/>
      <c r="E454" s="18"/>
      <c r="F454" s="51"/>
      <c r="G454" s="20"/>
      <c r="H454" s="20">
        <v>1</v>
      </c>
      <c r="I454" s="126">
        <f t="shared" si="28"/>
        <v>0</v>
      </c>
      <c r="J454" s="21">
        <f t="shared" si="30"/>
        <v>0</v>
      </c>
      <c r="K454" s="80"/>
      <c r="L454" s="82"/>
      <c r="N454" s="10"/>
      <c r="O454" s="10"/>
      <c r="P454" s="10"/>
      <c r="Q454" s="43"/>
      <c r="R454" s="10"/>
      <c r="T454" s="10"/>
    </row>
    <row r="455" spans="2:20" s="1" customFormat="1" ht="12.95" customHeight="1" x14ac:dyDescent="0.2">
      <c r="B455" s="16">
        <v>18</v>
      </c>
      <c r="C455" s="45"/>
      <c r="D455" s="18"/>
      <c r="E455" s="18"/>
      <c r="F455" s="51"/>
      <c r="G455" s="20"/>
      <c r="H455" s="20">
        <v>1</v>
      </c>
      <c r="I455" s="126">
        <f t="shared" si="28"/>
        <v>0</v>
      </c>
      <c r="J455" s="21">
        <f t="shared" si="30"/>
        <v>0</v>
      </c>
      <c r="K455" s="80"/>
      <c r="L455" s="82"/>
      <c r="N455" s="10"/>
      <c r="O455" s="10"/>
      <c r="P455" s="10"/>
      <c r="Q455" s="43"/>
      <c r="R455" s="10"/>
      <c r="T455" s="10"/>
    </row>
    <row r="456" spans="2:20" s="1" customFormat="1" ht="12.95" customHeight="1" x14ac:dyDescent="0.2">
      <c r="B456" s="16">
        <v>19</v>
      </c>
      <c r="C456" s="45"/>
      <c r="D456" s="18"/>
      <c r="E456" s="18"/>
      <c r="F456" s="51"/>
      <c r="G456" s="20"/>
      <c r="H456" s="20">
        <v>1</v>
      </c>
      <c r="I456" s="126">
        <f t="shared" si="28"/>
        <v>0</v>
      </c>
      <c r="J456" s="78">
        <f t="shared" si="30"/>
        <v>0</v>
      </c>
      <c r="K456" s="111"/>
      <c r="L456" s="119"/>
      <c r="N456" s="10"/>
      <c r="O456" s="10"/>
      <c r="P456" s="10"/>
      <c r="Q456" s="43"/>
      <c r="R456" s="10"/>
      <c r="T456" s="10"/>
    </row>
    <row r="457" spans="2:20" s="1" customFormat="1" ht="12.95" customHeight="1" x14ac:dyDescent="0.2">
      <c r="B457" s="16">
        <v>20</v>
      </c>
      <c r="C457" s="45"/>
      <c r="D457" s="18"/>
      <c r="E457" s="18"/>
      <c r="F457" s="51"/>
      <c r="G457" s="20"/>
      <c r="H457" s="20">
        <v>1</v>
      </c>
      <c r="I457" s="254">
        <f t="shared" si="28"/>
        <v>0</v>
      </c>
      <c r="J457" s="94">
        <f t="shared" si="30"/>
        <v>0</v>
      </c>
      <c r="K457" s="82"/>
      <c r="L457" s="82"/>
      <c r="N457" s="10"/>
      <c r="O457" s="10"/>
      <c r="P457" s="10"/>
      <c r="Q457" s="43"/>
      <c r="R457" s="10"/>
      <c r="T457" s="10"/>
    </row>
    <row r="458" spans="2:20" s="1" customFormat="1" ht="12.95" customHeight="1" x14ac:dyDescent="0.2">
      <c r="B458" s="83"/>
      <c r="C458" s="171"/>
      <c r="D458" s="75"/>
      <c r="E458" s="75"/>
      <c r="F458" s="172"/>
      <c r="G458" s="77"/>
      <c r="H458" s="77"/>
      <c r="I458" s="255"/>
      <c r="J458" s="94"/>
      <c r="K458" s="82"/>
      <c r="L458" s="82"/>
      <c r="N458" s="10"/>
      <c r="O458" s="10"/>
      <c r="P458" s="10"/>
      <c r="Q458" s="43"/>
      <c r="R458" s="10"/>
      <c r="T458" s="10"/>
    </row>
    <row r="459" spans="2:20" s="1" customFormat="1" ht="12.95" customHeight="1" x14ac:dyDescent="0.15">
      <c r="B459" s="82"/>
      <c r="C459" s="102"/>
      <c r="D459" s="103"/>
      <c r="E459" s="102"/>
      <c r="F459" s="128">
        <f>SUM(F399:F458)</f>
        <v>0</v>
      </c>
      <c r="G459" s="104"/>
      <c r="H459" s="105"/>
      <c r="I459" s="256">
        <f>SUM(I400:I458)</f>
        <v>0</v>
      </c>
      <c r="J459" s="257">
        <f>SUM(J399:J458)</f>
        <v>0</v>
      </c>
    </row>
    <row r="460" spans="2:20" s="67" customFormat="1" ht="12.95" customHeight="1" x14ac:dyDescent="0.15">
      <c r="B460" s="116"/>
      <c r="C460" s="114"/>
      <c r="D460" s="114"/>
      <c r="E460" s="114" t="s">
        <v>147</v>
      </c>
      <c r="F460" s="162">
        <f>100/115*F459</f>
        <v>0</v>
      </c>
      <c r="G460" s="114"/>
      <c r="H460" s="114" t="s">
        <v>147</v>
      </c>
      <c r="I460" s="264">
        <f>100/115*I459</f>
        <v>0</v>
      </c>
      <c r="J460" s="114"/>
    </row>
    <row r="461" spans="2:20" s="1" customFormat="1" ht="12.95" customHeight="1" x14ac:dyDescent="0.15"/>
    <row r="462" spans="2:20" s="1" customFormat="1" ht="12.95" customHeight="1" x14ac:dyDescent="0.15"/>
    <row r="463" spans="2:20" s="1" customFormat="1" ht="12.95" customHeight="1" x14ac:dyDescent="0.15"/>
    <row r="464" spans="2:20" s="1" customFormat="1" ht="12.95" customHeight="1" x14ac:dyDescent="0.15"/>
    <row r="465" spans="2:12" s="247" customFormat="1" ht="32.25" x14ac:dyDescent="0.4">
      <c r="B465" s="248"/>
      <c r="C465" s="380" t="s">
        <v>112</v>
      </c>
      <c r="D465" s="380"/>
      <c r="E465" s="400" t="s">
        <v>161</v>
      </c>
      <c r="F465" s="401"/>
      <c r="G465" s="401"/>
      <c r="H465" s="401"/>
      <c r="I465" s="402"/>
      <c r="J465" s="407">
        <v>2026</v>
      </c>
      <c r="K465" s="408"/>
      <c r="L465" s="409"/>
    </row>
    <row r="466" spans="2:12" s="1" customFormat="1" ht="42" customHeight="1" x14ac:dyDescent="0.15">
      <c r="B466" s="82"/>
      <c r="C466" s="102" t="s">
        <v>114</v>
      </c>
      <c r="D466" s="388" t="s">
        <v>115</v>
      </c>
      <c r="E466" s="388"/>
      <c r="F466" s="102" t="s">
        <v>116</v>
      </c>
      <c r="G466" s="102" t="s">
        <v>117</v>
      </c>
      <c r="H466" s="102" t="s">
        <v>118</v>
      </c>
      <c r="I466" s="173" t="s">
        <v>119</v>
      </c>
      <c r="J466" s="102" t="s">
        <v>120</v>
      </c>
      <c r="K466" s="82"/>
      <c r="L466" s="82"/>
    </row>
    <row r="467" spans="2:12" s="1" customFormat="1" ht="12.95" customHeight="1" x14ac:dyDescent="0.15">
      <c r="B467" s="84"/>
      <c r="C467" s="149">
        <f>C397</f>
        <v>450</v>
      </c>
      <c r="D467" s="412">
        <v>21</v>
      </c>
      <c r="E467" s="412"/>
      <c r="F467" s="146">
        <f>F397</f>
        <v>0.8</v>
      </c>
      <c r="G467" s="147">
        <f>G397</f>
        <v>8</v>
      </c>
      <c r="H467" s="148">
        <f>D467*G467*F467</f>
        <v>134.4</v>
      </c>
      <c r="I467" s="149">
        <f>I529</f>
        <v>0</v>
      </c>
      <c r="J467" s="150">
        <f>H467-J529</f>
        <v>134.4</v>
      </c>
      <c r="K467" s="79"/>
      <c r="L467" s="120"/>
    </row>
    <row r="468" spans="2:12" s="1" customFormat="1" ht="69.95" customHeight="1" x14ac:dyDescent="0.15">
      <c r="B468" s="16"/>
      <c r="C468" s="22" t="s">
        <v>121</v>
      </c>
      <c r="D468" s="413" t="s">
        <v>122</v>
      </c>
      <c r="E468" s="413"/>
      <c r="F468" s="33" t="s">
        <v>123</v>
      </c>
      <c r="G468" s="34" t="s">
        <v>124</v>
      </c>
      <c r="H468" s="35" t="s">
        <v>125</v>
      </c>
      <c r="I468" s="125" t="s">
        <v>126</v>
      </c>
      <c r="J468" s="34" t="s">
        <v>127</v>
      </c>
      <c r="K468" s="107" t="s">
        <v>128</v>
      </c>
      <c r="L468" s="123" t="s">
        <v>129</v>
      </c>
    </row>
    <row r="469" spans="2:12" s="1" customFormat="1" ht="12.75" customHeight="1" x14ac:dyDescent="0.15">
      <c r="B469" s="83"/>
      <c r="C469" s="159"/>
      <c r="D469" s="164"/>
      <c r="E469" s="164"/>
      <c r="F469" s="76"/>
      <c r="G469" s="20"/>
      <c r="H469" s="20"/>
      <c r="I469" s="126"/>
      <c r="J469" s="38"/>
      <c r="K469" s="80"/>
      <c r="L469" s="82"/>
    </row>
    <row r="470" spans="2:12" s="1" customFormat="1" ht="12.75" x14ac:dyDescent="0.15">
      <c r="B470" s="82"/>
      <c r="C470" s="392" t="s">
        <v>130</v>
      </c>
      <c r="D470" s="392"/>
      <c r="E470" s="392"/>
      <c r="F470" s="168"/>
      <c r="G470" s="163"/>
      <c r="H470" s="20"/>
      <c r="I470" s="126"/>
      <c r="J470" s="21"/>
      <c r="K470" s="80"/>
      <c r="L470" s="82"/>
    </row>
    <row r="471" spans="2:12" s="1" customFormat="1" ht="12.95" customHeight="1" x14ac:dyDescent="0.15">
      <c r="B471" s="82"/>
      <c r="C471" s="116" t="s">
        <v>149</v>
      </c>
      <c r="D471" s="169"/>
      <c r="E471" s="169"/>
      <c r="F471" s="168"/>
      <c r="G471" s="163"/>
      <c r="H471" s="20"/>
      <c r="I471" s="126"/>
      <c r="J471" s="38"/>
      <c r="K471" s="80"/>
      <c r="L471" s="82"/>
    </row>
    <row r="472" spans="2:12" s="1" customFormat="1" ht="12.95" customHeight="1" x14ac:dyDescent="0.15">
      <c r="B472" s="82">
        <v>1</v>
      </c>
      <c r="C472" s="89"/>
      <c r="D472" s="169"/>
      <c r="E472" s="169"/>
      <c r="F472" s="168"/>
      <c r="G472" s="163"/>
      <c r="H472" s="20">
        <v>1</v>
      </c>
      <c r="I472" s="129">
        <f t="shared" ref="I472:I504" si="31">J472*$C$32</f>
        <v>0</v>
      </c>
      <c r="J472" s="52">
        <f t="shared" ref="J472:J485" si="32">(F472*G472*H472)/$C$32</f>
        <v>0</v>
      </c>
      <c r="K472" s="80"/>
      <c r="L472" s="82"/>
    </row>
    <row r="473" spans="2:12" s="1" customFormat="1" ht="12.95" customHeight="1" x14ac:dyDescent="0.15">
      <c r="B473" s="82">
        <v>2</v>
      </c>
      <c r="C473" s="89"/>
      <c r="D473" s="169"/>
      <c r="E473" s="169"/>
      <c r="F473" s="168"/>
      <c r="G473" s="163"/>
      <c r="H473" s="20">
        <v>1</v>
      </c>
      <c r="I473" s="129">
        <f t="shared" si="31"/>
        <v>0</v>
      </c>
      <c r="J473" s="52">
        <f t="shared" si="32"/>
        <v>0</v>
      </c>
      <c r="K473" s="80"/>
      <c r="L473" s="82"/>
    </row>
    <row r="474" spans="2:12" s="1" customFormat="1" ht="12.95" customHeight="1" x14ac:dyDescent="0.15">
      <c r="B474" s="82">
        <v>3</v>
      </c>
      <c r="C474" s="89"/>
      <c r="D474" s="169"/>
      <c r="E474" s="169"/>
      <c r="F474" s="168"/>
      <c r="G474" s="163"/>
      <c r="H474" s="20">
        <v>1</v>
      </c>
      <c r="I474" s="129">
        <f t="shared" si="31"/>
        <v>0</v>
      </c>
      <c r="J474" s="52">
        <f t="shared" si="32"/>
        <v>0</v>
      </c>
      <c r="K474" s="80"/>
      <c r="L474" s="82"/>
    </row>
    <row r="475" spans="2:12" s="1" customFormat="1" ht="12.95" customHeight="1" x14ac:dyDescent="0.15">
      <c r="B475" s="82">
        <v>4</v>
      </c>
      <c r="C475" s="82"/>
      <c r="D475" s="90"/>
      <c r="E475" s="90"/>
      <c r="F475" s="168"/>
      <c r="G475" s="163"/>
      <c r="H475" s="20">
        <v>1</v>
      </c>
      <c r="I475" s="129">
        <f t="shared" si="31"/>
        <v>0</v>
      </c>
      <c r="J475" s="52">
        <f t="shared" si="32"/>
        <v>0</v>
      </c>
      <c r="K475" s="80"/>
      <c r="L475" s="82"/>
    </row>
    <row r="476" spans="2:12" s="1" customFormat="1" ht="12.95" customHeight="1" x14ac:dyDescent="0.15">
      <c r="B476" s="82">
        <v>5</v>
      </c>
      <c r="C476" s="89"/>
      <c r="D476" s="170"/>
      <c r="E476" s="170"/>
      <c r="F476" s="168"/>
      <c r="G476" s="163"/>
      <c r="H476" s="20">
        <v>1</v>
      </c>
      <c r="I476" s="129">
        <f t="shared" si="31"/>
        <v>0</v>
      </c>
      <c r="J476" s="27">
        <f t="shared" si="32"/>
        <v>0</v>
      </c>
      <c r="K476" s="80"/>
      <c r="L476" s="82"/>
    </row>
    <row r="477" spans="2:12" s="1" customFormat="1" ht="12.95" customHeight="1" x14ac:dyDescent="0.15">
      <c r="B477" s="82">
        <v>6</v>
      </c>
      <c r="C477" s="89"/>
      <c r="D477" s="169"/>
      <c r="E477" s="169"/>
      <c r="F477" s="168"/>
      <c r="G477" s="163"/>
      <c r="H477" s="20">
        <v>1</v>
      </c>
      <c r="I477" s="129">
        <f t="shared" si="31"/>
        <v>0</v>
      </c>
      <c r="J477" s="52">
        <f t="shared" si="32"/>
        <v>0</v>
      </c>
      <c r="K477" s="80"/>
      <c r="L477" s="82"/>
    </row>
    <row r="478" spans="2:12" s="1" customFormat="1" ht="12.95" customHeight="1" x14ac:dyDescent="0.15">
      <c r="B478" s="82">
        <v>7</v>
      </c>
      <c r="C478" s="89"/>
      <c r="D478" s="167"/>
      <c r="E478" s="167"/>
      <c r="F478" s="168"/>
      <c r="G478" s="163"/>
      <c r="H478" s="20">
        <v>1</v>
      </c>
      <c r="I478" s="129">
        <f t="shared" si="31"/>
        <v>0</v>
      </c>
      <c r="J478" s="27">
        <f t="shared" si="32"/>
        <v>0</v>
      </c>
      <c r="K478" s="80"/>
      <c r="L478" s="82"/>
    </row>
    <row r="479" spans="2:12" s="1" customFormat="1" ht="12.95" customHeight="1" x14ac:dyDescent="0.15">
      <c r="B479" s="84">
        <v>8</v>
      </c>
      <c r="C479" s="81"/>
      <c r="D479" s="85"/>
      <c r="E479" s="165"/>
      <c r="F479" s="166"/>
      <c r="G479" s="20"/>
      <c r="H479" s="20">
        <v>1</v>
      </c>
      <c r="I479" s="129">
        <f t="shared" si="31"/>
        <v>0</v>
      </c>
      <c r="J479" s="52">
        <f t="shared" si="32"/>
        <v>0</v>
      </c>
      <c r="K479" s="80"/>
      <c r="L479" s="82"/>
    </row>
    <row r="480" spans="2:12" s="1" customFormat="1" ht="12.95" customHeight="1" x14ac:dyDescent="0.15">
      <c r="B480" s="16">
        <v>9</v>
      </c>
      <c r="C480" s="17"/>
      <c r="D480" s="18"/>
      <c r="E480" s="24"/>
      <c r="F480" s="129"/>
      <c r="G480" s="20"/>
      <c r="H480" s="20">
        <v>1</v>
      </c>
      <c r="I480" s="129">
        <f t="shared" si="31"/>
        <v>0</v>
      </c>
      <c r="J480" s="52">
        <f t="shared" si="32"/>
        <v>0</v>
      </c>
      <c r="K480" s="80"/>
      <c r="L480" s="82"/>
    </row>
    <row r="481" spans="2:20" s="1" customFormat="1" ht="12.95" customHeight="1" x14ac:dyDescent="0.15">
      <c r="B481" s="16">
        <v>10</v>
      </c>
      <c r="C481" s="17"/>
      <c r="D481" s="24"/>
      <c r="E481" s="18"/>
      <c r="F481" s="129"/>
      <c r="G481" s="20"/>
      <c r="H481" s="20">
        <v>1</v>
      </c>
      <c r="I481" s="129">
        <f t="shared" si="31"/>
        <v>0</v>
      </c>
      <c r="J481" s="52">
        <f t="shared" si="32"/>
        <v>0</v>
      </c>
      <c r="K481" s="80"/>
      <c r="L481" s="82"/>
    </row>
    <row r="482" spans="2:20" s="1" customFormat="1" ht="12.95" customHeight="1" x14ac:dyDescent="0.15">
      <c r="B482" s="16"/>
      <c r="C482" s="17"/>
      <c r="D482" s="24"/>
      <c r="E482" s="18"/>
      <c r="F482" s="129"/>
      <c r="G482" s="20"/>
      <c r="H482" s="20"/>
      <c r="I482" s="129"/>
      <c r="J482" s="52"/>
      <c r="K482" s="80"/>
      <c r="L482" s="82"/>
    </row>
    <row r="483" spans="2:20" s="1" customFormat="1" ht="12.95" customHeight="1" x14ac:dyDescent="0.15">
      <c r="B483" s="16"/>
      <c r="C483" s="17"/>
      <c r="D483" s="24"/>
      <c r="E483" s="18"/>
      <c r="F483" s="129"/>
      <c r="G483" s="20"/>
      <c r="H483" s="20"/>
      <c r="I483" s="129"/>
      <c r="J483" s="52"/>
      <c r="K483" s="80"/>
      <c r="L483" s="82"/>
    </row>
    <row r="484" spans="2:20" s="1" customFormat="1" ht="12.95" customHeight="1" x14ac:dyDescent="0.15">
      <c r="B484" s="16"/>
      <c r="C484" s="22" t="s">
        <v>153</v>
      </c>
      <c r="D484" s="24"/>
      <c r="E484" s="18"/>
      <c r="F484" s="129"/>
      <c r="G484" s="20"/>
      <c r="H484" s="20"/>
      <c r="I484" s="129"/>
      <c r="J484" s="52"/>
      <c r="K484" s="80"/>
      <c r="L484" s="82"/>
    </row>
    <row r="485" spans="2:20" s="1" customFormat="1" ht="12.95" customHeight="1" x14ac:dyDescent="0.15">
      <c r="B485" s="16">
        <v>1</v>
      </c>
      <c r="C485" s="17"/>
      <c r="D485" s="24"/>
      <c r="E485" s="24"/>
      <c r="F485" s="129"/>
      <c r="G485" s="20"/>
      <c r="H485" s="20">
        <v>1</v>
      </c>
      <c r="I485" s="129">
        <f t="shared" si="31"/>
        <v>0</v>
      </c>
      <c r="J485" s="52">
        <f t="shared" si="32"/>
        <v>0</v>
      </c>
      <c r="K485" s="80"/>
      <c r="L485" s="82"/>
    </row>
    <row r="486" spans="2:20" s="1" customFormat="1" ht="12.95" customHeight="1" x14ac:dyDescent="0.15">
      <c r="B486" s="16">
        <v>2</v>
      </c>
      <c r="C486" s="17"/>
      <c r="D486" s="24"/>
      <c r="E486" s="24"/>
      <c r="F486" s="129"/>
      <c r="G486" s="20"/>
      <c r="H486" s="20">
        <v>1</v>
      </c>
      <c r="I486" s="129">
        <f t="shared" si="31"/>
        <v>0</v>
      </c>
      <c r="J486" s="52">
        <f>(F486*G486*H486)/$C$32</f>
        <v>0</v>
      </c>
      <c r="K486" s="80"/>
      <c r="L486" s="82"/>
    </row>
    <row r="487" spans="2:20" s="1" customFormat="1" ht="12.95" customHeight="1" x14ac:dyDescent="0.15">
      <c r="B487" s="16">
        <v>3</v>
      </c>
      <c r="C487" s="24"/>
      <c r="D487" s="24"/>
      <c r="E487" s="24"/>
      <c r="F487" s="129"/>
      <c r="G487" s="20"/>
      <c r="H487" s="20">
        <v>1</v>
      </c>
      <c r="I487" s="129">
        <f t="shared" si="31"/>
        <v>0</v>
      </c>
      <c r="J487" s="52">
        <f>(F487*G487*H487)/$C$32</f>
        <v>0</v>
      </c>
      <c r="K487" s="80"/>
      <c r="L487" s="82"/>
    </row>
    <row r="488" spans="2:20" s="1" customFormat="1" ht="12.95" customHeight="1" x14ac:dyDescent="0.15">
      <c r="B488" s="16">
        <v>4</v>
      </c>
      <c r="C488" s="24"/>
      <c r="D488" s="18"/>
      <c r="E488" s="18"/>
      <c r="F488" s="129"/>
      <c r="G488" s="20"/>
      <c r="H488" s="20">
        <v>1</v>
      </c>
      <c r="I488" s="129">
        <f t="shared" si="31"/>
        <v>0</v>
      </c>
      <c r="J488" s="27">
        <f t="shared" ref="J488:J514" si="33">(F488*G488*H488)/$C$32</f>
        <v>0</v>
      </c>
      <c r="K488" s="80"/>
      <c r="L488" s="82"/>
      <c r="M488" s="10"/>
      <c r="N488" s="10"/>
      <c r="O488" s="10"/>
      <c r="P488" s="10"/>
      <c r="Q488" s="43"/>
      <c r="R488" s="10"/>
      <c r="T488" s="10"/>
    </row>
    <row r="489" spans="2:20" s="1" customFormat="1" ht="12.95" customHeight="1" x14ac:dyDescent="0.15">
      <c r="B489" s="16">
        <v>5</v>
      </c>
      <c r="C489" s="24"/>
      <c r="D489" s="24"/>
      <c r="E489" s="24"/>
      <c r="F489" s="129"/>
      <c r="G489" s="20"/>
      <c r="H489" s="20">
        <v>1</v>
      </c>
      <c r="I489" s="129">
        <f t="shared" si="31"/>
        <v>0</v>
      </c>
      <c r="J489" s="52">
        <f t="shared" si="33"/>
        <v>0</v>
      </c>
      <c r="K489" s="80"/>
      <c r="L489" s="82"/>
      <c r="M489" s="39"/>
      <c r="N489" s="40"/>
      <c r="O489" s="40"/>
    </row>
    <row r="490" spans="2:20" s="1" customFormat="1" ht="12.95" customHeight="1" x14ac:dyDescent="0.15">
      <c r="B490" s="16">
        <v>6</v>
      </c>
      <c r="C490" s="17"/>
      <c r="D490" s="18"/>
      <c r="E490" s="18"/>
      <c r="F490" s="129"/>
      <c r="G490" s="20"/>
      <c r="H490" s="20">
        <v>1</v>
      </c>
      <c r="I490" s="129">
        <f>J490*$C$32</f>
        <v>0</v>
      </c>
      <c r="J490" s="27">
        <f t="shared" si="33"/>
        <v>0</v>
      </c>
      <c r="K490" s="80"/>
      <c r="L490" s="82"/>
      <c r="N490" s="10"/>
      <c r="O490" s="10"/>
      <c r="P490" s="10"/>
      <c r="Q490" s="43"/>
      <c r="R490" s="10"/>
      <c r="T490" s="10"/>
    </row>
    <row r="491" spans="2:20" s="1" customFormat="1" ht="12.95" customHeight="1" x14ac:dyDescent="0.15">
      <c r="B491" s="16">
        <v>7</v>
      </c>
      <c r="C491" s="17"/>
      <c r="D491" s="24"/>
      <c r="E491" s="24"/>
      <c r="F491" s="129"/>
      <c r="G491" s="20"/>
      <c r="H491" s="20">
        <v>1</v>
      </c>
      <c r="I491" s="129">
        <f t="shared" si="31"/>
        <v>0</v>
      </c>
      <c r="J491" s="54">
        <f>(F491*G491*H491)/$C$32</f>
        <v>0</v>
      </c>
      <c r="K491" s="80"/>
      <c r="L491" s="82"/>
    </row>
    <row r="492" spans="2:20" s="1" customFormat="1" ht="12.95" customHeight="1" x14ac:dyDescent="0.15">
      <c r="B492" s="16">
        <v>8</v>
      </c>
      <c r="C492" s="17"/>
      <c r="D492" s="24"/>
      <c r="E492" s="24"/>
      <c r="F492" s="129"/>
      <c r="G492" s="20"/>
      <c r="H492" s="20">
        <v>1</v>
      </c>
      <c r="I492" s="129">
        <f>J492*$C$32</f>
        <v>0</v>
      </c>
      <c r="J492" s="54">
        <f>(F492*G492*H492)/$C$32</f>
        <v>0</v>
      </c>
      <c r="K492" s="80"/>
      <c r="L492" s="82"/>
    </row>
    <row r="493" spans="2:20" s="1" customFormat="1" ht="12.95" customHeight="1" x14ac:dyDescent="0.15">
      <c r="B493" s="16">
        <v>9</v>
      </c>
      <c r="C493" s="17"/>
      <c r="D493" s="24"/>
      <c r="E493" s="24"/>
      <c r="F493" s="129"/>
      <c r="G493" s="20"/>
      <c r="H493" s="20">
        <v>1</v>
      </c>
      <c r="I493" s="129">
        <f t="shared" si="31"/>
        <v>0</v>
      </c>
      <c r="J493" s="52">
        <f t="shared" si="33"/>
        <v>0</v>
      </c>
      <c r="K493" s="80"/>
      <c r="L493" s="82"/>
    </row>
    <row r="494" spans="2:20" s="1" customFormat="1" ht="12.95" customHeight="1" x14ac:dyDescent="0.15">
      <c r="B494" s="16">
        <v>10</v>
      </c>
      <c r="C494" s="17"/>
      <c r="D494" s="24"/>
      <c r="E494" s="24"/>
      <c r="F494" s="129"/>
      <c r="G494" s="20"/>
      <c r="H494" s="20">
        <v>1</v>
      </c>
      <c r="I494" s="129">
        <f t="shared" si="31"/>
        <v>0</v>
      </c>
      <c r="J494" s="52">
        <f t="shared" si="33"/>
        <v>0</v>
      </c>
      <c r="K494" s="80"/>
      <c r="L494" s="82"/>
    </row>
    <row r="495" spans="2:20" s="1" customFormat="1" ht="12" customHeight="1" x14ac:dyDescent="0.15">
      <c r="B495" s="16">
        <v>11</v>
      </c>
      <c r="C495" s="17"/>
      <c r="D495" s="24"/>
      <c r="E495" s="24"/>
      <c r="F495" s="129"/>
      <c r="G495" s="20"/>
      <c r="H495" s="20">
        <v>1</v>
      </c>
      <c r="I495" s="129">
        <f t="shared" si="31"/>
        <v>0</v>
      </c>
      <c r="J495" s="52">
        <f t="shared" si="33"/>
        <v>0</v>
      </c>
      <c r="K495" s="80"/>
      <c r="L495" s="82"/>
    </row>
    <row r="496" spans="2:20" s="1" customFormat="1" ht="12.95" customHeight="1" x14ac:dyDescent="0.15">
      <c r="B496" s="16">
        <v>12</v>
      </c>
      <c r="C496" s="17"/>
      <c r="D496" s="24"/>
      <c r="E496" s="24"/>
      <c r="F496" s="129"/>
      <c r="G496" s="20"/>
      <c r="H496" s="20">
        <v>1</v>
      </c>
      <c r="I496" s="129">
        <f t="shared" si="31"/>
        <v>0</v>
      </c>
      <c r="J496" s="52">
        <f t="shared" si="33"/>
        <v>0</v>
      </c>
      <c r="K496" s="80"/>
      <c r="L496" s="82"/>
    </row>
    <row r="497" spans="2:20" s="1" customFormat="1" ht="12.95" customHeight="1" x14ac:dyDescent="0.15">
      <c r="B497" s="16">
        <v>13</v>
      </c>
      <c r="C497" s="17"/>
      <c r="D497" s="18"/>
      <c r="E497" s="18"/>
      <c r="F497" s="129"/>
      <c r="G497" s="20"/>
      <c r="H497" s="20">
        <v>1</v>
      </c>
      <c r="I497" s="129">
        <f t="shared" si="31"/>
        <v>0</v>
      </c>
      <c r="J497" s="52">
        <f t="shared" si="33"/>
        <v>0</v>
      </c>
      <c r="K497" s="80"/>
      <c r="L497" s="82"/>
      <c r="M497" s="10"/>
      <c r="N497" s="10"/>
      <c r="O497" s="10"/>
      <c r="P497" s="10"/>
      <c r="Q497" s="43"/>
      <c r="R497" s="10"/>
      <c r="T497" s="10"/>
    </row>
    <row r="498" spans="2:20" s="1" customFormat="1" ht="12.95" customHeight="1" x14ac:dyDescent="0.15">
      <c r="B498" s="16">
        <v>14</v>
      </c>
      <c r="C498" s="17"/>
      <c r="D498" s="18"/>
      <c r="E498" s="18"/>
      <c r="F498" s="129"/>
      <c r="G498" s="20"/>
      <c r="H498" s="20">
        <v>1</v>
      </c>
      <c r="I498" s="129">
        <f t="shared" si="31"/>
        <v>0</v>
      </c>
      <c r="J498" s="52">
        <f t="shared" si="33"/>
        <v>0</v>
      </c>
      <c r="K498" s="80"/>
      <c r="L498" s="82"/>
      <c r="M498" s="10"/>
      <c r="N498" s="10"/>
      <c r="O498" s="10"/>
      <c r="P498" s="10"/>
      <c r="Q498" s="43"/>
      <c r="R498" s="10"/>
      <c r="T498" s="10"/>
    </row>
    <row r="499" spans="2:20" s="1" customFormat="1" ht="12.95" customHeight="1" x14ac:dyDescent="0.15">
      <c r="B499" s="16">
        <v>15</v>
      </c>
      <c r="C499" s="17"/>
      <c r="D499" s="18"/>
      <c r="E499" s="18"/>
      <c r="F499" s="129"/>
      <c r="G499" s="20"/>
      <c r="H499" s="20">
        <v>1</v>
      </c>
      <c r="I499" s="129">
        <f t="shared" si="31"/>
        <v>0</v>
      </c>
      <c r="J499" s="52">
        <f t="shared" si="33"/>
        <v>0</v>
      </c>
      <c r="K499" s="80"/>
      <c r="L499" s="82"/>
      <c r="M499" s="10"/>
      <c r="N499" s="10"/>
      <c r="O499" s="10"/>
      <c r="P499" s="10"/>
      <c r="Q499" s="43"/>
      <c r="R499" s="10"/>
      <c r="T499" s="10"/>
    </row>
    <row r="500" spans="2:20" s="1" customFormat="1" ht="12.95" customHeight="1" x14ac:dyDescent="0.15">
      <c r="B500" s="16">
        <v>16</v>
      </c>
      <c r="C500" s="17"/>
      <c r="D500" s="18"/>
      <c r="E500" s="18"/>
      <c r="F500" s="129"/>
      <c r="G500" s="20"/>
      <c r="H500" s="20">
        <v>1</v>
      </c>
      <c r="I500" s="129">
        <f t="shared" si="31"/>
        <v>0</v>
      </c>
      <c r="J500" s="52">
        <f t="shared" si="33"/>
        <v>0</v>
      </c>
      <c r="K500" s="80"/>
      <c r="L500" s="82"/>
      <c r="M500" s="10"/>
      <c r="N500" s="10"/>
      <c r="O500" s="10"/>
      <c r="P500" s="10"/>
      <c r="Q500" s="43"/>
      <c r="R500" s="10"/>
      <c r="T500" s="10"/>
    </row>
    <row r="501" spans="2:20" s="1" customFormat="1" ht="12.95" customHeight="1" x14ac:dyDescent="0.15">
      <c r="B501" s="16">
        <v>17</v>
      </c>
      <c r="C501" s="17"/>
      <c r="D501" s="18"/>
      <c r="E501" s="18"/>
      <c r="F501" s="129"/>
      <c r="G501" s="20"/>
      <c r="H501" s="20">
        <v>1</v>
      </c>
      <c r="I501" s="129">
        <f t="shared" si="31"/>
        <v>0</v>
      </c>
      <c r="J501" s="52">
        <f t="shared" si="33"/>
        <v>0</v>
      </c>
      <c r="K501" s="80"/>
      <c r="L501" s="82"/>
      <c r="M501" s="10"/>
      <c r="N501" s="10"/>
      <c r="O501" s="10"/>
      <c r="P501" s="10"/>
      <c r="Q501" s="43"/>
      <c r="R501" s="10"/>
      <c r="T501" s="10"/>
    </row>
    <row r="502" spans="2:20" s="1" customFormat="1" ht="12.95" customHeight="1" x14ac:dyDescent="0.15">
      <c r="B502" s="16">
        <v>18</v>
      </c>
      <c r="C502" s="17"/>
      <c r="D502" s="18"/>
      <c r="E502" s="18"/>
      <c r="F502" s="129"/>
      <c r="G502" s="20"/>
      <c r="H502" s="20">
        <v>1</v>
      </c>
      <c r="I502" s="129">
        <f t="shared" si="31"/>
        <v>0</v>
      </c>
      <c r="J502" s="52">
        <f t="shared" si="33"/>
        <v>0</v>
      </c>
      <c r="K502" s="80"/>
      <c r="L502" s="82"/>
      <c r="M502" s="10"/>
      <c r="N502" s="10"/>
      <c r="O502" s="10"/>
      <c r="P502" s="10"/>
      <c r="Q502" s="43"/>
      <c r="R502" s="10"/>
      <c r="T502" s="10"/>
    </row>
    <row r="503" spans="2:20" s="1" customFormat="1" ht="12.95" customHeight="1" x14ac:dyDescent="0.15">
      <c r="B503" s="16">
        <v>19</v>
      </c>
      <c r="C503" s="17"/>
      <c r="D503" s="18"/>
      <c r="E503" s="18"/>
      <c r="F503" s="129"/>
      <c r="G503" s="20"/>
      <c r="H503" s="20">
        <v>1</v>
      </c>
      <c r="I503" s="129">
        <f t="shared" si="31"/>
        <v>0</v>
      </c>
      <c r="J503" s="52">
        <f t="shared" si="33"/>
        <v>0</v>
      </c>
      <c r="K503" s="80"/>
      <c r="L503" s="82"/>
      <c r="M503" s="10"/>
      <c r="N503" s="10"/>
      <c r="O503" s="10"/>
      <c r="P503" s="10"/>
      <c r="Q503" s="43"/>
      <c r="R503" s="10"/>
      <c r="T503" s="10"/>
    </row>
    <row r="504" spans="2:20" s="1" customFormat="1" ht="12.95" customHeight="1" x14ac:dyDescent="0.15">
      <c r="B504" s="16">
        <v>20</v>
      </c>
      <c r="C504" s="17"/>
      <c r="D504" s="18"/>
      <c r="E504" s="18"/>
      <c r="F504" s="129"/>
      <c r="G504" s="20"/>
      <c r="H504" s="20">
        <v>1</v>
      </c>
      <c r="I504" s="129">
        <f t="shared" si="31"/>
        <v>0</v>
      </c>
      <c r="J504" s="52">
        <f t="shared" si="33"/>
        <v>0</v>
      </c>
      <c r="K504" s="80"/>
      <c r="L504" s="82"/>
      <c r="M504" s="10"/>
      <c r="N504" s="10"/>
      <c r="O504" s="10"/>
      <c r="P504" s="10"/>
      <c r="Q504" s="43"/>
      <c r="R504" s="10"/>
      <c r="T504" s="10"/>
    </row>
    <row r="505" spans="2:20" s="1" customFormat="1" ht="12.95" customHeight="1" x14ac:dyDescent="0.15">
      <c r="B505" s="16"/>
      <c r="C505" s="17"/>
      <c r="D505" s="18"/>
      <c r="E505" s="18"/>
      <c r="F505" s="129"/>
      <c r="G505" s="20"/>
      <c r="H505" s="20"/>
      <c r="I505" s="129"/>
      <c r="J505" s="52"/>
      <c r="K505" s="80"/>
      <c r="L505" s="82"/>
      <c r="M505" s="10"/>
      <c r="N505" s="10"/>
      <c r="O505" s="10"/>
      <c r="P505" s="10"/>
      <c r="Q505" s="43"/>
      <c r="R505" s="10"/>
      <c r="T505" s="10"/>
    </row>
    <row r="506" spans="2:20" s="1" customFormat="1" ht="12.95" customHeight="1" x14ac:dyDescent="0.15">
      <c r="B506" s="16"/>
      <c r="C506" s="17"/>
      <c r="D506" s="18"/>
      <c r="E506" s="18"/>
      <c r="F506" s="129"/>
      <c r="G506" s="20"/>
      <c r="H506" s="20"/>
      <c r="I506" s="129"/>
      <c r="J506" s="52"/>
      <c r="K506" s="80"/>
      <c r="L506" s="82"/>
      <c r="M506" s="10"/>
      <c r="N506" s="10"/>
      <c r="O506" s="10"/>
      <c r="P506" s="10"/>
      <c r="Q506" s="43"/>
      <c r="R506" s="10"/>
      <c r="T506" s="10"/>
    </row>
    <row r="507" spans="2:20" s="1" customFormat="1" ht="12.95" customHeight="1" x14ac:dyDescent="0.15">
      <c r="B507" s="16"/>
      <c r="C507" s="73" t="s">
        <v>132</v>
      </c>
      <c r="D507" s="18"/>
      <c r="E507" s="18"/>
      <c r="F507" s="129"/>
      <c r="G507" s="55"/>
      <c r="H507" s="20"/>
      <c r="I507" s="129"/>
      <c r="J507" s="52"/>
      <c r="K507" s="80"/>
      <c r="L507" s="82"/>
      <c r="N507" s="10"/>
      <c r="O507" s="10"/>
      <c r="P507" s="10"/>
      <c r="Q507" s="43"/>
      <c r="R507" s="10"/>
      <c r="T507" s="10"/>
    </row>
    <row r="508" spans="2:20" s="1" customFormat="1" ht="12.95" customHeight="1" x14ac:dyDescent="0.15">
      <c r="B508" s="16">
        <v>1</v>
      </c>
      <c r="C508" s="45"/>
      <c r="D508" s="18"/>
      <c r="E508" s="18"/>
      <c r="F508" s="129"/>
      <c r="G508" s="20"/>
      <c r="H508" s="20">
        <v>1</v>
      </c>
      <c r="I508" s="129">
        <f>J508*$C$32</f>
        <v>0</v>
      </c>
      <c r="J508" s="52">
        <f t="shared" si="33"/>
        <v>0</v>
      </c>
      <c r="K508" s="80"/>
      <c r="L508" s="82"/>
      <c r="N508" s="10"/>
      <c r="O508" s="10"/>
      <c r="P508" s="10"/>
      <c r="Q508" s="43"/>
      <c r="R508" s="10"/>
      <c r="T508" s="10"/>
    </row>
    <row r="509" spans="2:20" s="1" customFormat="1" ht="12.95" customHeight="1" x14ac:dyDescent="0.15">
      <c r="B509" s="16">
        <v>2</v>
      </c>
      <c r="C509" s="44"/>
      <c r="D509" s="18"/>
      <c r="E509" s="18"/>
      <c r="F509" s="129"/>
      <c r="G509" s="20"/>
      <c r="H509" s="20">
        <v>1</v>
      </c>
      <c r="I509" s="129">
        <f>J509*$C$32</f>
        <v>0</v>
      </c>
      <c r="J509" s="52">
        <f t="shared" si="33"/>
        <v>0</v>
      </c>
      <c r="K509" s="80"/>
      <c r="L509" s="82"/>
      <c r="N509" s="10"/>
      <c r="O509" s="10"/>
      <c r="P509" s="10"/>
      <c r="Q509" s="43"/>
      <c r="R509" s="10"/>
      <c r="T509" s="10"/>
    </row>
    <row r="510" spans="2:20" s="1" customFormat="1" ht="12.95" customHeight="1" x14ac:dyDescent="0.15">
      <c r="B510" s="16">
        <v>3</v>
      </c>
      <c r="C510" s="11"/>
      <c r="D510" s="18"/>
      <c r="E510" s="18"/>
      <c r="F510" s="129"/>
      <c r="G510" s="20"/>
      <c r="H510" s="20">
        <v>1</v>
      </c>
      <c r="I510" s="129">
        <f t="shared" ref="I510:I527" si="34">J510*$C$32</f>
        <v>0</v>
      </c>
      <c r="J510" s="52">
        <f t="shared" si="33"/>
        <v>0</v>
      </c>
      <c r="K510" s="80"/>
      <c r="L510" s="82"/>
      <c r="N510" s="10"/>
      <c r="O510" s="10"/>
      <c r="P510" s="10"/>
      <c r="Q510" s="43"/>
      <c r="R510" s="10"/>
      <c r="T510" s="10"/>
    </row>
    <row r="511" spans="2:20" s="1" customFormat="1" ht="12.95" customHeight="1" x14ac:dyDescent="0.2">
      <c r="B511" s="16">
        <v>4</v>
      </c>
      <c r="C511" s="56"/>
      <c r="D511" s="17"/>
      <c r="E511" s="17"/>
      <c r="F511" s="129"/>
      <c r="G511" s="20"/>
      <c r="H511" s="20">
        <v>1</v>
      </c>
      <c r="I511" s="129">
        <f t="shared" si="34"/>
        <v>0</v>
      </c>
      <c r="J511" s="52">
        <f t="shared" si="33"/>
        <v>0</v>
      </c>
      <c r="K511" s="80"/>
      <c r="L511" s="82"/>
      <c r="M511" s="10"/>
      <c r="N511" s="10"/>
      <c r="O511" s="10"/>
      <c r="P511" s="10"/>
      <c r="Q511" s="43"/>
      <c r="R511" s="10"/>
      <c r="T511" s="10"/>
    </row>
    <row r="512" spans="2:20" s="1" customFormat="1" ht="12.95" customHeight="1" x14ac:dyDescent="0.15">
      <c r="B512" s="16">
        <v>5</v>
      </c>
      <c r="C512" s="17"/>
      <c r="D512" s="17"/>
      <c r="E512" s="17"/>
      <c r="F512" s="129"/>
      <c r="G512" s="20"/>
      <c r="H512" s="20">
        <v>1</v>
      </c>
      <c r="I512" s="129">
        <f t="shared" si="34"/>
        <v>0</v>
      </c>
      <c r="J512" s="52">
        <f t="shared" si="33"/>
        <v>0</v>
      </c>
      <c r="K512" s="80"/>
      <c r="L512" s="82"/>
      <c r="M512" s="10"/>
      <c r="N512" s="10"/>
      <c r="O512" s="10"/>
      <c r="P512" s="10"/>
      <c r="Q512" s="43"/>
      <c r="R512" s="10"/>
      <c r="T512" s="10"/>
    </row>
    <row r="513" spans="2:20" s="1" customFormat="1" ht="12.95" customHeight="1" x14ac:dyDescent="0.15">
      <c r="B513" s="16">
        <v>6</v>
      </c>
      <c r="C513" s="17"/>
      <c r="D513" s="17"/>
      <c r="E513" s="17"/>
      <c r="F513" s="129"/>
      <c r="G513" s="20"/>
      <c r="H513" s="20">
        <v>1</v>
      </c>
      <c r="I513" s="129">
        <f t="shared" si="34"/>
        <v>0</v>
      </c>
      <c r="J513" s="52">
        <f t="shared" si="33"/>
        <v>0</v>
      </c>
      <c r="K513" s="80"/>
      <c r="L513" s="82"/>
      <c r="M513" s="10"/>
      <c r="N513" s="10"/>
      <c r="O513" s="10"/>
      <c r="P513" s="10"/>
      <c r="Q513" s="43"/>
      <c r="R513" s="10"/>
      <c r="T513" s="10"/>
    </row>
    <row r="514" spans="2:20" s="1" customFormat="1" ht="12.95" customHeight="1" x14ac:dyDescent="0.15">
      <c r="B514" s="16">
        <v>7</v>
      </c>
      <c r="C514" s="17"/>
      <c r="D514" s="17"/>
      <c r="E514" s="17"/>
      <c r="F514" s="129"/>
      <c r="G514" s="20"/>
      <c r="H514" s="20">
        <v>1</v>
      </c>
      <c r="I514" s="129">
        <f t="shared" si="34"/>
        <v>0</v>
      </c>
      <c r="J514" s="52">
        <f t="shared" si="33"/>
        <v>0</v>
      </c>
      <c r="K514" s="80"/>
      <c r="L514" s="82"/>
      <c r="M514" s="10"/>
      <c r="N514" s="10"/>
      <c r="O514" s="10"/>
      <c r="P514" s="10"/>
      <c r="Q514" s="43"/>
      <c r="R514" s="10"/>
      <c r="T514" s="10"/>
    </row>
    <row r="515" spans="2:20" s="1" customFormat="1" ht="12.95" customHeight="1" x14ac:dyDescent="0.15">
      <c r="B515" s="16">
        <v>8</v>
      </c>
      <c r="C515" s="17"/>
      <c r="D515" s="17"/>
      <c r="E515" s="17"/>
      <c r="F515" s="129"/>
      <c r="G515" s="20"/>
      <c r="H515" s="20">
        <v>1</v>
      </c>
      <c r="I515" s="129">
        <f t="shared" si="34"/>
        <v>0</v>
      </c>
      <c r="J515" s="52">
        <f>(F515*G515*H515)/$C$32</f>
        <v>0</v>
      </c>
      <c r="K515" s="80"/>
      <c r="L515" s="82"/>
    </row>
    <row r="516" spans="2:20" s="1" customFormat="1" ht="12.95" customHeight="1" x14ac:dyDescent="0.15">
      <c r="B516" s="16">
        <v>9</v>
      </c>
      <c r="C516" s="17"/>
      <c r="D516" s="17"/>
      <c r="E516" s="17"/>
      <c r="F516" s="129"/>
      <c r="G516" s="20"/>
      <c r="H516" s="20">
        <v>1</v>
      </c>
      <c r="I516" s="129">
        <f t="shared" si="34"/>
        <v>0</v>
      </c>
      <c r="J516" s="52">
        <f>(F516*G516*H516)/$C$32</f>
        <v>0</v>
      </c>
      <c r="K516" s="80"/>
      <c r="L516" s="82"/>
    </row>
    <row r="517" spans="2:20" s="1" customFormat="1" ht="12.95" customHeight="1" x14ac:dyDescent="0.15">
      <c r="B517" s="16">
        <v>10</v>
      </c>
      <c r="C517" s="17"/>
      <c r="D517" s="17"/>
      <c r="E517" s="17"/>
      <c r="F517" s="129"/>
      <c r="G517" s="20"/>
      <c r="H517" s="20">
        <v>1</v>
      </c>
      <c r="I517" s="129">
        <f t="shared" si="34"/>
        <v>0</v>
      </c>
      <c r="J517" s="52">
        <f t="shared" ref="J517:J527" si="35">(F517*G517*H517)/$C$32</f>
        <v>0</v>
      </c>
      <c r="K517" s="80"/>
      <c r="L517" s="82"/>
      <c r="M517" s="10"/>
      <c r="N517" s="10"/>
      <c r="O517" s="10"/>
      <c r="P517" s="10"/>
      <c r="Q517" s="43"/>
      <c r="R517" s="10"/>
      <c r="T517" s="10"/>
    </row>
    <row r="518" spans="2:20" s="1" customFormat="1" ht="12.95" customHeight="1" x14ac:dyDescent="0.15">
      <c r="B518" s="16">
        <v>11</v>
      </c>
      <c r="C518" s="17"/>
      <c r="D518" s="17"/>
      <c r="E518" s="17"/>
      <c r="F518" s="129"/>
      <c r="G518" s="20"/>
      <c r="H518" s="20">
        <v>1</v>
      </c>
      <c r="I518" s="129">
        <f t="shared" si="34"/>
        <v>0</v>
      </c>
      <c r="J518" s="52">
        <f t="shared" si="35"/>
        <v>0</v>
      </c>
      <c r="K518" s="80"/>
      <c r="L518" s="82"/>
      <c r="M518" s="10"/>
      <c r="N518" s="10"/>
      <c r="O518" s="10"/>
      <c r="P518" s="10"/>
      <c r="Q518" s="43"/>
      <c r="R518" s="10"/>
      <c r="T518" s="10"/>
    </row>
    <row r="519" spans="2:20" s="1" customFormat="1" ht="12.95" customHeight="1" x14ac:dyDescent="0.15">
      <c r="B519" s="16">
        <v>12</v>
      </c>
      <c r="C519" s="17"/>
      <c r="D519" s="17"/>
      <c r="E519" s="17"/>
      <c r="F519" s="129"/>
      <c r="G519" s="20"/>
      <c r="H519" s="20">
        <v>1</v>
      </c>
      <c r="I519" s="129">
        <f t="shared" si="34"/>
        <v>0</v>
      </c>
      <c r="J519" s="52">
        <f t="shared" si="35"/>
        <v>0</v>
      </c>
      <c r="K519" s="80"/>
      <c r="L519" s="82"/>
      <c r="M519" s="10"/>
      <c r="N519" s="10"/>
      <c r="O519" s="10"/>
      <c r="P519" s="10"/>
      <c r="Q519" s="43"/>
      <c r="R519" s="10"/>
      <c r="T519" s="10"/>
    </row>
    <row r="520" spans="2:20" s="1" customFormat="1" ht="12.95" customHeight="1" x14ac:dyDescent="0.15">
      <c r="B520" s="16">
        <v>13</v>
      </c>
      <c r="C520" s="17"/>
      <c r="D520" s="17"/>
      <c r="E520" s="17"/>
      <c r="F520" s="129"/>
      <c r="G520" s="20"/>
      <c r="H520" s="20">
        <v>1</v>
      </c>
      <c r="I520" s="129">
        <f t="shared" si="34"/>
        <v>0</v>
      </c>
      <c r="J520" s="52">
        <f t="shared" si="35"/>
        <v>0</v>
      </c>
      <c r="K520" s="80"/>
      <c r="L520" s="82"/>
      <c r="M520" s="10"/>
      <c r="N520" s="10"/>
      <c r="O520" s="10"/>
      <c r="P520" s="10"/>
      <c r="Q520" s="43"/>
      <c r="R520" s="10"/>
      <c r="T520" s="10"/>
    </row>
    <row r="521" spans="2:20" s="1" customFormat="1" ht="12.95" customHeight="1" x14ac:dyDescent="0.15">
      <c r="B521" s="16">
        <v>14</v>
      </c>
      <c r="C521" s="17"/>
      <c r="D521" s="17"/>
      <c r="E521" s="17"/>
      <c r="F521" s="129"/>
      <c r="G521" s="20"/>
      <c r="H521" s="20">
        <v>1</v>
      </c>
      <c r="I521" s="129">
        <f t="shared" si="34"/>
        <v>0</v>
      </c>
      <c r="J521" s="52">
        <f t="shared" si="35"/>
        <v>0</v>
      </c>
      <c r="K521" s="80"/>
      <c r="L521" s="82"/>
      <c r="M521" s="10"/>
      <c r="N521" s="10"/>
      <c r="O521" s="10"/>
      <c r="P521" s="10"/>
      <c r="Q521" s="43"/>
      <c r="R521" s="10"/>
      <c r="T521" s="10"/>
    </row>
    <row r="522" spans="2:20" s="1" customFormat="1" ht="12.95" customHeight="1" x14ac:dyDescent="0.15">
      <c r="B522" s="16">
        <v>15</v>
      </c>
      <c r="C522" s="17"/>
      <c r="D522" s="17"/>
      <c r="E522" s="17"/>
      <c r="F522" s="129"/>
      <c r="G522" s="20"/>
      <c r="H522" s="20">
        <v>1</v>
      </c>
      <c r="I522" s="129">
        <f t="shared" si="34"/>
        <v>0</v>
      </c>
      <c r="J522" s="52">
        <f t="shared" si="35"/>
        <v>0</v>
      </c>
      <c r="K522" s="80"/>
      <c r="L522" s="82"/>
      <c r="M522" s="10"/>
      <c r="N522" s="10"/>
      <c r="O522" s="10"/>
      <c r="P522" s="10"/>
      <c r="Q522" s="43"/>
      <c r="R522" s="10"/>
      <c r="T522" s="10"/>
    </row>
    <row r="523" spans="2:20" s="1" customFormat="1" ht="12.95" customHeight="1" x14ac:dyDescent="0.15">
      <c r="B523" s="16">
        <v>16</v>
      </c>
      <c r="C523" s="17"/>
      <c r="D523" s="17"/>
      <c r="E523" s="17"/>
      <c r="F523" s="129"/>
      <c r="G523" s="20"/>
      <c r="H523" s="20">
        <v>1</v>
      </c>
      <c r="I523" s="129">
        <f t="shared" si="34"/>
        <v>0</v>
      </c>
      <c r="J523" s="52">
        <f t="shared" si="35"/>
        <v>0</v>
      </c>
      <c r="K523" s="80"/>
      <c r="L523" s="82"/>
      <c r="M523" s="10"/>
      <c r="N523" s="10"/>
      <c r="O523" s="10"/>
      <c r="P523" s="10"/>
      <c r="Q523" s="43"/>
      <c r="R523" s="10"/>
      <c r="T523" s="10"/>
    </row>
    <row r="524" spans="2:20" s="1" customFormat="1" ht="12.95" customHeight="1" x14ac:dyDescent="0.15">
      <c r="B524" s="16">
        <v>17</v>
      </c>
      <c r="C524" s="17"/>
      <c r="D524" s="17"/>
      <c r="E524" s="17"/>
      <c r="F524" s="129"/>
      <c r="G524" s="20"/>
      <c r="H524" s="20">
        <v>1</v>
      </c>
      <c r="I524" s="129">
        <f t="shared" si="34"/>
        <v>0</v>
      </c>
      <c r="J524" s="52">
        <f t="shared" si="35"/>
        <v>0</v>
      </c>
      <c r="K524" s="80"/>
      <c r="L524" s="82"/>
      <c r="M524" s="10"/>
      <c r="N524" s="10"/>
      <c r="O524" s="10"/>
      <c r="P524" s="10"/>
      <c r="Q524" s="43"/>
      <c r="R524" s="10"/>
      <c r="T524" s="10"/>
    </row>
    <row r="525" spans="2:20" s="1" customFormat="1" ht="12.95" customHeight="1" x14ac:dyDescent="0.15">
      <c r="B525" s="16">
        <v>18</v>
      </c>
      <c r="C525" s="17"/>
      <c r="D525" s="17"/>
      <c r="E525" s="17"/>
      <c r="F525" s="129"/>
      <c r="G525" s="20"/>
      <c r="H525" s="20">
        <v>1</v>
      </c>
      <c r="I525" s="129">
        <f t="shared" si="34"/>
        <v>0</v>
      </c>
      <c r="J525" s="265">
        <f t="shared" si="35"/>
        <v>0</v>
      </c>
      <c r="K525" s="111"/>
      <c r="L525" s="119"/>
      <c r="M525" s="10"/>
      <c r="N525" s="10"/>
      <c r="O525" s="10"/>
      <c r="P525" s="10"/>
      <c r="Q525" s="43"/>
      <c r="R525" s="10"/>
      <c r="T525" s="10"/>
    </row>
    <row r="526" spans="2:20" s="1" customFormat="1" ht="12.95" customHeight="1" x14ac:dyDescent="0.15">
      <c r="B526" s="16">
        <v>19</v>
      </c>
      <c r="C526" s="17"/>
      <c r="D526" s="17"/>
      <c r="E526" s="17"/>
      <c r="F526" s="129"/>
      <c r="G526" s="20"/>
      <c r="H526" s="20">
        <v>1</v>
      </c>
      <c r="I526" s="262">
        <f t="shared" si="34"/>
        <v>0</v>
      </c>
      <c r="J526" s="266">
        <f t="shared" si="35"/>
        <v>0</v>
      </c>
      <c r="K526" s="82"/>
      <c r="L526" s="82"/>
      <c r="M526" s="10"/>
      <c r="N526" s="10"/>
      <c r="O526" s="10"/>
      <c r="P526" s="10"/>
      <c r="Q526" s="43"/>
      <c r="R526" s="10"/>
      <c r="T526" s="10"/>
    </row>
    <row r="527" spans="2:20" s="1" customFormat="1" ht="12.95" customHeight="1" x14ac:dyDescent="0.15">
      <c r="B527" s="16">
        <v>20</v>
      </c>
      <c r="C527" s="17"/>
      <c r="D527" s="17"/>
      <c r="E527" s="17"/>
      <c r="F527" s="129"/>
      <c r="G527" s="20"/>
      <c r="H527" s="20">
        <v>1</v>
      </c>
      <c r="I527" s="262">
        <f t="shared" si="34"/>
        <v>0</v>
      </c>
      <c r="J527" s="266">
        <f t="shared" si="35"/>
        <v>0</v>
      </c>
      <c r="K527" s="82"/>
      <c r="L527" s="82"/>
      <c r="M527" s="10"/>
      <c r="N527" s="10"/>
      <c r="O527" s="10"/>
      <c r="P527" s="10"/>
      <c r="Q527" s="43"/>
      <c r="R527" s="10"/>
      <c r="T527" s="10"/>
    </row>
    <row r="528" spans="2:20" s="1" customFormat="1" ht="12.95" customHeight="1" x14ac:dyDescent="0.15">
      <c r="B528" s="83"/>
      <c r="C528" s="160"/>
      <c r="D528" s="160"/>
      <c r="E528" s="160"/>
      <c r="F528" s="132"/>
      <c r="G528" s="76"/>
      <c r="H528" s="76"/>
      <c r="I528" s="263"/>
      <c r="J528" s="184"/>
      <c r="K528" s="82"/>
      <c r="L528" s="82"/>
      <c r="M528" s="10"/>
      <c r="N528" s="10"/>
      <c r="O528" s="10"/>
      <c r="P528" s="10"/>
      <c r="Q528" s="43"/>
      <c r="R528" s="10"/>
      <c r="T528" s="10"/>
    </row>
    <row r="529" spans="2:13" s="1" customFormat="1" ht="12.75" x14ac:dyDescent="0.15">
      <c r="B529" s="82"/>
      <c r="C529" s="102"/>
      <c r="D529" s="103"/>
      <c r="E529" s="102"/>
      <c r="F529" s="128">
        <f>SUM(F469:F528)</f>
        <v>0</v>
      </c>
      <c r="G529" s="104"/>
      <c r="H529" s="105"/>
      <c r="I529" s="256">
        <f>SUM(I471:I528)</f>
        <v>0</v>
      </c>
      <c r="J529" s="257">
        <f>SUM(J469:J528)</f>
        <v>0</v>
      </c>
    </row>
    <row r="530" spans="2:13" s="67" customFormat="1" ht="12.75" x14ac:dyDescent="0.15">
      <c r="B530" s="116"/>
      <c r="C530" s="114"/>
      <c r="D530" s="114"/>
      <c r="E530" s="114" t="s">
        <v>147</v>
      </c>
      <c r="F530" s="162">
        <f>100/115*F529</f>
        <v>0</v>
      </c>
      <c r="G530" s="114"/>
      <c r="H530" s="114" t="s">
        <v>147</v>
      </c>
      <c r="I530" s="264">
        <f>100/115*I529</f>
        <v>0</v>
      </c>
      <c r="J530" s="114"/>
    </row>
    <row r="531" spans="2:13" s="1" customFormat="1" ht="13.5" customHeight="1" x14ac:dyDescent="0.15"/>
    <row r="532" spans="2:13" s="1" customFormat="1" ht="16.899999999999999" customHeight="1" x14ac:dyDescent="0.15"/>
    <row r="533" spans="2:13" s="1" customFormat="1" ht="13.5" customHeight="1" x14ac:dyDescent="0.15"/>
    <row r="534" spans="2:13" s="1" customFormat="1" ht="13.5" customHeight="1" x14ac:dyDescent="0.15"/>
    <row r="535" spans="2:13" s="247" customFormat="1" ht="32.25" x14ac:dyDescent="0.4">
      <c r="B535" s="248"/>
      <c r="C535" s="380" t="s">
        <v>112</v>
      </c>
      <c r="D535" s="380"/>
      <c r="E535" s="428" t="s">
        <v>162</v>
      </c>
      <c r="F535" s="428"/>
      <c r="G535" s="428"/>
      <c r="H535" s="428"/>
      <c r="I535" s="428"/>
      <c r="J535" s="382">
        <v>2026</v>
      </c>
      <c r="K535" s="382"/>
      <c r="L535" s="382"/>
    </row>
    <row r="536" spans="2:13" s="1" customFormat="1" ht="42" customHeight="1" x14ac:dyDescent="0.15">
      <c r="B536" s="82"/>
      <c r="C536" s="102" t="s">
        <v>114</v>
      </c>
      <c r="D536" s="388" t="s">
        <v>115</v>
      </c>
      <c r="E536" s="388"/>
      <c r="F536" s="102" t="s">
        <v>116</v>
      </c>
      <c r="G536" s="102" t="s">
        <v>117</v>
      </c>
      <c r="H536" s="102" t="s">
        <v>118</v>
      </c>
      <c r="I536" s="102" t="s">
        <v>119</v>
      </c>
      <c r="J536" s="102" t="s">
        <v>120</v>
      </c>
      <c r="K536" s="82"/>
      <c r="L536" s="82"/>
    </row>
    <row r="537" spans="2:13" s="1" customFormat="1" ht="12.95" customHeight="1" x14ac:dyDescent="0.15">
      <c r="B537" s="84"/>
      <c r="C537" s="149">
        <f>C467</f>
        <v>450</v>
      </c>
      <c r="D537" s="412">
        <v>21</v>
      </c>
      <c r="E537" s="412"/>
      <c r="F537" s="146">
        <f>F467</f>
        <v>0.8</v>
      </c>
      <c r="G537" s="147">
        <f>G467</f>
        <v>8</v>
      </c>
      <c r="H537" s="148">
        <f>D537*G537*F537</f>
        <v>134.4</v>
      </c>
      <c r="I537" s="149">
        <f>I599</f>
        <v>0</v>
      </c>
      <c r="J537" s="150">
        <f>H537-J599</f>
        <v>134.4</v>
      </c>
      <c r="K537" s="79"/>
      <c r="L537" s="120"/>
    </row>
    <row r="538" spans="2:13" s="1" customFormat="1" ht="33.75" x14ac:dyDescent="0.15">
      <c r="B538" s="16"/>
      <c r="C538" s="22" t="s">
        <v>121</v>
      </c>
      <c r="D538" s="413" t="s">
        <v>122</v>
      </c>
      <c r="E538" s="413"/>
      <c r="F538" s="33" t="s">
        <v>123</v>
      </c>
      <c r="G538" s="34" t="s">
        <v>124</v>
      </c>
      <c r="H538" s="35" t="s">
        <v>125</v>
      </c>
      <c r="I538" s="125" t="s">
        <v>126</v>
      </c>
      <c r="J538" s="34" t="s">
        <v>127</v>
      </c>
      <c r="K538" s="107" t="s">
        <v>128</v>
      </c>
      <c r="L538" s="123" t="s">
        <v>129</v>
      </c>
    </row>
    <row r="539" spans="2:13" s="1" customFormat="1" ht="12.75" x14ac:dyDescent="0.15">
      <c r="B539" s="16"/>
      <c r="C539" s="22"/>
      <c r="D539" s="32"/>
      <c r="E539" s="32"/>
      <c r="F539" s="33"/>
      <c r="G539" s="34"/>
      <c r="H539" s="35"/>
      <c r="I539" s="125"/>
      <c r="J539" s="34"/>
      <c r="K539" s="110"/>
      <c r="L539" s="117"/>
    </row>
    <row r="540" spans="2:13" s="1" customFormat="1" ht="12.75" x14ac:dyDescent="0.15">
      <c r="B540" s="16"/>
      <c r="C540" s="22" t="s">
        <v>130</v>
      </c>
      <c r="D540" s="32"/>
      <c r="E540" s="32"/>
      <c r="F540" s="151"/>
      <c r="G540" s="34"/>
      <c r="H540" s="35"/>
      <c r="I540" s="125"/>
      <c r="J540" s="34"/>
      <c r="K540" s="110"/>
      <c r="L540" s="117"/>
    </row>
    <row r="541" spans="2:13" s="1" customFormat="1" ht="12.75" customHeight="1" x14ac:dyDescent="0.15">
      <c r="B541" s="16"/>
      <c r="C541" s="37" t="s">
        <v>149</v>
      </c>
      <c r="D541" s="24"/>
      <c r="E541" s="24"/>
      <c r="F541" s="129"/>
      <c r="G541" s="20"/>
      <c r="H541" s="20"/>
      <c r="I541" s="126"/>
      <c r="J541" s="38"/>
      <c r="K541" s="80"/>
      <c r="L541" s="82"/>
    </row>
    <row r="542" spans="2:13" s="4" customFormat="1" ht="12.75" customHeight="1" x14ac:dyDescent="0.15">
      <c r="B542" s="26">
        <v>1</v>
      </c>
      <c r="C542" s="17"/>
      <c r="D542" s="24"/>
      <c r="E542" s="24"/>
      <c r="F542" s="129"/>
      <c r="G542" s="20"/>
      <c r="H542" s="20">
        <v>1</v>
      </c>
      <c r="I542" s="129">
        <f t="shared" ref="I542:I559" si="36">J542*$C$32</f>
        <v>0</v>
      </c>
      <c r="J542" s="52">
        <f t="shared" ref="J542:J555" si="37">(F542*G542*H542)/$C$32</f>
        <v>0</v>
      </c>
      <c r="K542" s="108"/>
      <c r="L542" s="113"/>
    </row>
    <row r="543" spans="2:13" s="4" customFormat="1" ht="12.75" customHeight="1" x14ac:dyDescent="0.15">
      <c r="B543" s="26">
        <v>2</v>
      </c>
      <c r="C543" s="17"/>
      <c r="D543" s="24"/>
      <c r="E543" s="24"/>
      <c r="F543" s="129"/>
      <c r="G543" s="20"/>
      <c r="H543" s="20">
        <v>1</v>
      </c>
      <c r="I543" s="129">
        <f t="shared" si="36"/>
        <v>0</v>
      </c>
      <c r="J543" s="52">
        <f t="shared" si="37"/>
        <v>0</v>
      </c>
      <c r="K543" s="108"/>
      <c r="L543" s="113"/>
      <c r="M543" s="144"/>
    </row>
    <row r="544" spans="2:13" s="4" customFormat="1" ht="12.95" customHeight="1" x14ac:dyDescent="0.15">
      <c r="B544" s="26">
        <v>3</v>
      </c>
      <c r="C544" s="17"/>
      <c r="D544" s="24"/>
      <c r="E544" s="24"/>
      <c r="F544" s="129"/>
      <c r="G544" s="20"/>
      <c r="H544" s="20">
        <v>1</v>
      </c>
      <c r="I544" s="129">
        <f t="shared" si="36"/>
        <v>0</v>
      </c>
      <c r="J544" s="52">
        <f t="shared" si="37"/>
        <v>0</v>
      </c>
      <c r="K544" s="108"/>
      <c r="L544" s="113"/>
      <c r="M544" s="145"/>
    </row>
    <row r="545" spans="2:12" s="4" customFormat="1" ht="12.95" customHeight="1" x14ac:dyDescent="0.15">
      <c r="B545" s="26">
        <v>4</v>
      </c>
      <c r="C545" s="16"/>
      <c r="D545" s="18"/>
      <c r="E545" s="18"/>
      <c r="F545" s="129"/>
      <c r="G545" s="20"/>
      <c r="H545" s="20">
        <v>1</v>
      </c>
      <c r="I545" s="129">
        <f t="shared" si="36"/>
        <v>0</v>
      </c>
      <c r="J545" s="52">
        <f t="shared" si="37"/>
        <v>0</v>
      </c>
      <c r="K545" s="108"/>
      <c r="L545" s="113"/>
    </row>
    <row r="546" spans="2:12" s="4" customFormat="1" ht="12.95" customHeight="1" x14ac:dyDescent="0.15">
      <c r="B546" s="26">
        <v>5</v>
      </c>
      <c r="C546" s="17"/>
      <c r="D546" s="53"/>
      <c r="E546" s="53"/>
      <c r="F546" s="129"/>
      <c r="G546" s="20"/>
      <c r="H546" s="20">
        <v>1</v>
      </c>
      <c r="I546" s="129">
        <f t="shared" si="36"/>
        <v>0</v>
      </c>
      <c r="J546" s="27">
        <f t="shared" si="37"/>
        <v>0</v>
      </c>
      <c r="K546" s="108"/>
      <c r="L546" s="113"/>
    </row>
    <row r="547" spans="2:12" s="4" customFormat="1" ht="12.95" customHeight="1" x14ac:dyDescent="0.15">
      <c r="B547" s="26">
        <v>6</v>
      </c>
      <c r="C547" s="17"/>
      <c r="D547" s="24"/>
      <c r="E547" s="24"/>
      <c r="F547" s="129"/>
      <c r="G547" s="20"/>
      <c r="H547" s="20">
        <v>1</v>
      </c>
      <c r="I547" s="129">
        <f t="shared" si="36"/>
        <v>0</v>
      </c>
      <c r="J547" s="52">
        <f t="shared" si="37"/>
        <v>0</v>
      </c>
      <c r="K547" s="108"/>
      <c r="L547" s="113"/>
    </row>
    <row r="548" spans="2:12" s="4" customFormat="1" ht="12.95" customHeight="1" x14ac:dyDescent="0.15">
      <c r="B548" s="26">
        <v>7</v>
      </c>
      <c r="C548" s="17"/>
      <c r="D548" s="22"/>
      <c r="E548" s="22"/>
      <c r="F548" s="129"/>
      <c r="G548" s="20"/>
      <c r="H548" s="20">
        <v>1</v>
      </c>
      <c r="I548" s="129">
        <f t="shared" si="36"/>
        <v>0</v>
      </c>
      <c r="J548" s="27">
        <f t="shared" si="37"/>
        <v>0</v>
      </c>
      <c r="K548" s="108"/>
      <c r="L548" s="113"/>
    </row>
    <row r="549" spans="2:12" s="4" customFormat="1" ht="12.95" customHeight="1" x14ac:dyDescent="0.15">
      <c r="B549" s="26">
        <v>8</v>
      </c>
      <c r="C549" s="17"/>
      <c r="D549" s="18"/>
      <c r="E549" s="24"/>
      <c r="F549" s="129"/>
      <c r="G549" s="20"/>
      <c r="H549" s="20">
        <v>1</v>
      </c>
      <c r="I549" s="129">
        <f t="shared" si="36"/>
        <v>0</v>
      </c>
      <c r="J549" s="52">
        <f t="shared" si="37"/>
        <v>0</v>
      </c>
      <c r="K549" s="108"/>
      <c r="L549" s="113"/>
    </row>
    <row r="550" spans="2:12" s="4" customFormat="1" ht="12.95" customHeight="1" x14ac:dyDescent="0.15">
      <c r="B550" s="26">
        <v>9</v>
      </c>
      <c r="C550" s="17"/>
      <c r="D550" s="18"/>
      <c r="E550" s="24"/>
      <c r="F550" s="129"/>
      <c r="G550" s="20"/>
      <c r="H550" s="20">
        <v>1</v>
      </c>
      <c r="I550" s="129">
        <f t="shared" si="36"/>
        <v>0</v>
      </c>
      <c r="J550" s="52">
        <f t="shared" si="37"/>
        <v>0</v>
      </c>
      <c r="K550" s="108"/>
      <c r="L550" s="113"/>
    </row>
    <row r="551" spans="2:12" s="4" customFormat="1" ht="12.95" customHeight="1" x14ac:dyDescent="0.15">
      <c r="B551" s="26">
        <v>10</v>
      </c>
      <c r="C551" s="17"/>
      <c r="D551" s="24"/>
      <c r="E551" s="18"/>
      <c r="F551" s="129"/>
      <c r="G551" s="20"/>
      <c r="H551" s="20">
        <v>1</v>
      </c>
      <c r="I551" s="129">
        <f t="shared" si="36"/>
        <v>0</v>
      </c>
      <c r="J551" s="52">
        <f t="shared" si="37"/>
        <v>0</v>
      </c>
      <c r="K551" s="108"/>
      <c r="L551" s="113"/>
    </row>
    <row r="552" spans="2:12" s="4" customFormat="1" ht="12.95" customHeight="1" x14ac:dyDescent="0.15">
      <c r="B552" s="26"/>
      <c r="C552" s="17"/>
      <c r="D552" s="24"/>
      <c r="E552" s="18"/>
      <c r="F552" s="129"/>
      <c r="G552" s="20"/>
      <c r="H552" s="20"/>
      <c r="I552" s="129"/>
      <c r="J552" s="52"/>
      <c r="K552" s="108"/>
      <c r="L552" s="113"/>
    </row>
    <row r="553" spans="2:12" s="4" customFormat="1" ht="12.95" customHeight="1" x14ac:dyDescent="0.15">
      <c r="B553" s="26"/>
      <c r="C553" s="17"/>
      <c r="D553" s="24"/>
      <c r="E553" s="18"/>
      <c r="F553" s="129"/>
      <c r="G553" s="20"/>
      <c r="H553" s="20"/>
      <c r="I553" s="129"/>
      <c r="J553" s="52"/>
      <c r="K553" s="108"/>
      <c r="L553" s="113"/>
    </row>
    <row r="554" spans="2:12" s="4" customFormat="1" ht="12.95" customHeight="1" x14ac:dyDescent="0.15">
      <c r="B554" s="26"/>
      <c r="C554" s="22" t="s">
        <v>153</v>
      </c>
      <c r="D554" s="24"/>
      <c r="E554" s="18"/>
      <c r="F554" s="129"/>
      <c r="G554" s="20"/>
      <c r="H554" s="20"/>
      <c r="I554" s="129"/>
      <c r="J554" s="52"/>
      <c r="K554" s="108"/>
      <c r="L554" s="113"/>
    </row>
    <row r="555" spans="2:12" s="4" customFormat="1" ht="12.95" customHeight="1" x14ac:dyDescent="0.15">
      <c r="B555" s="26">
        <v>1</v>
      </c>
      <c r="C555" s="17"/>
      <c r="D555" s="24"/>
      <c r="E555" s="24"/>
      <c r="F555" s="129"/>
      <c r="G555" s="20"/>
      <c r="H555" s="20">
        <v>1</v>
      </c>
      <c r="I555" s="129">
        <f t="shared" si="36"/>
        <v>0</v>
      </c>
      <c r="J555" s="52">
        <f t="shared" si="37"/>
        <v>0</v>
      </c>
      <c r="K555" s="108"/>
      <c r="L555" s="113"/>
    </row>
    <row r="556" spans="2:12" s="4" customFormat="1" ht="12.95" customHeight="1" x14ac:dyDescent="0.15">
      <c r="B556" s="26">
        <v>2</v>
      </c>
      <c r="C556" s="17"/>
      <c r="D556" s="24"/>
      <c r="E556" s="24"/>
      <c r="F556" s="129"/>
      <c r="G556" s="20"/>
      <c r="H556" s="20">
        <v>1</v>
      </c>
      <c r="I556" s="129">
        <f t="shared" si="36"/>
        <v>0</v>
      </c>
      <c r="J556" s="52">
        <f>(F556*G556*H556)/$C$32</f>
        <v>0</v>
      </c>
      <c r="K556" s="108"/>
      <c r="L556" s="113"/>
    </row>
    <row r="557" spans="2:12" s="4" customFormat="1" ht="12.95" customHeight="1" x14ac:dyDescent="0.15">
      <c r="B557" s="26">
        <v>3</v>
      </c>
      <c r="C557" s="24"/>
      <c r="D557" s="24"/>
      <c r="E557" s="24"/>
      <c r="F557" s="129"/>
      <c r="G557" s="20"/>
      <c r="H557" s="20">
        <v>1</v>
      </c>
      <c r="I557" s="129">
        <f t="shared" si="36"/>
        <v>0</v>
      </c>
      <c r="J557" s="52">
        <f>(F557*G557*H557)/$C$32</f>
        <v>0</v>
      </c>
      <c r="K557" s="108"/>
      <c r="L557" s="113"/>
    </row>
    <row r="558" spans="2:12" s="4" customFormat="1" ht="12.95" customHeight="1" x14ac:dyDescent="0.15">
      <c r="B558" s="26">
        <v>4</v>
      </c>
      <c r="C558" s="24"/>
      <c r="D558" s="18"/>
      <c r="E558" s="18"/>
      <c r="F558" s="129"/>
      <c r="G558" s="20"/>
      <c r="H558" s="20">
        <v>1</v>
      </c>
      <c r="I558" s="129">
        <f t="shared" si="36"/>
        <v>0</v>
      </c>
      <c r="J558" s="27">
        <f t="shared" ref="J558:J560" si="38">(F558*G558*H558)/$C$32</f>
        <v>0</v>
      </c>
      <c r="K558" s="108"/>
      <c r="L558" s="113"/>
    </row>
    <row r="559" spans="2:12" s="4" customFormat="1" ht="14.85" customHeight="1" x14ac:dyDescent="0.15">
      <c r="B559" s="26">
        <v>5</v>
      </c>
      <c r="C559" s="24"/>
      <c r="D559" s="24"/>
      <c r="E559" s="24"/>
      <c r="F559" s="129"/>
      <c r="G559" s="20"/>
      <c r="H559" s="20">
        <v>1</v>
      </c>
      <c r="I559" s="129">
        <f t="shared" si="36"/>
        <v>0</v>
      </c>
      <c r="J559" s="52">
        <f t="shared" si="38"/>
        <v>0</v>
      </c>
      <c r="K559" s="108"/>
      <c r="L559" s="113"/>
    </row>
    <row r="560" spans="2:12" s="4" customFormat="1" ht="12.95" customHeight="1" x14ac:dyDescent="0.15">
      <c r="B560" s="26">
        <v>6</v>
      </c>
      <c r="C560" s="17"/>
      <c r="D560" s="18"/>
      <c r="E560" s="18"/>
      <c r="F560" s="129"/>
      <c r="G560" s="20"/>
      <c r="H560" s="20">
        <v>1</v>
      </c>
      <c r="I560" s="129">
        <f>J560*$C$32</f>
        <v>0</v>
      </c>
      <c r="J560" s="27">
        <f t="shared" si="38"/>
        <v>0</v>
      </c>
      <c r="K560" s="108"/>
      <c r="L560" s="113"/>
    </row>
    <row r="561" spans="2:12" s="4" customFormat="1" ht="12.95" customHeight="1" x14ac:dyDescent="0.15">
      <c r="B561" s="26">
        <v>7</v>
      </c>
      <c r="C561" s="17"/>
      <c r="D561" s="24"/>
      <c r="E561" s="24"/>
      <c r="F561" s="129"/>
      <c r="G561" s="20"/>
      <c r="H561" s="20">
        <v>1</v>
      </c>
      <c r="I561" s="129">
        <f t="shared" ref="I561" si="39">J561*$C$32</f>
        <v>0</v>
      </c>
      <c r="J561" s="54">
        <f>(F561*G561*H561)/$C$32</f>
        <v>0</v>
      </c>
      <c r="K561" s="108"/>
      <c r="L561" s="113"/>
    </row>
    <row r="562" spans="2:12" s="4" customFormat="1" ht="12.95" customHeight="1" x14ac:dyDescent="0.15">
      <c r="B562" s="26">
        <v>8</v>
      </c>
      <c r="C562" s="17"/>
      <c r="D562" s="24"/>
      <c r="E562" s="24"/>
      <c r="F562" s="129"/>
      <c r="G562" s="20"/>
      <c r="H562" s="20">
        <v>1</v>
      </c>
      <c r="I562" s="129">
        <f>J562*$C$32</f>
        <v>0</v>
      </c>
      <c r="J562" s="54">
        <f>(F562*G562*H562)/$C$32</f>
        <v>0</v>
      </c>
      <c r="K562" s="108"/>
      <c r="L562" s="113"/>
    </row>
    <row r="563" spans="2:12" s="4" customFormat="1" ht="12.95" customHeight="1" x14ac:dyDescent="0.15">
      <c r="B563" s="26">
        <v>9</v>
      </c>
      <c r="C563" s="17"/>
      <c r="D563" s="24"/>
      <c r="E563" s="24"/>
      <c r="F563" s="129"/>
      <c r="G563" s="20"/>
      <c r="H563" s="20">
        <v>1</v>
      </c>
      <c r="I563" s="129">
        <f t="shared" ref="I563:I574" si="40">J563*$C$32</f>
        <v>0</v>
      </c>
      <c r="J563" s="52">
        <f t="shared" ref="J563:J574" si="41">(F563*G563*H563)/$C$32</f>
        <v>0</v>
      </c>
      <c r="K563" s="108"/>
      <c r="L563" s="113"/>
    </row>
    <row r="564" spans="2:12" s="4" customFormat="1" ht="12.95" customHeight="1" x14ac:dyDescent="0.15">
      <c r="B564" s="26">
        <v>10</v>
      </c>
      <c r="C564" s="17"/>
      <c r="D564" s="24"/>
      <c r="E564" s="24"/>
      <c r="F564" s="129"/>
      <c r="G564" s="20"/>
      <c r="H564" s="20">
        <v>1</v>
      </c>
      <c r="I564" s="129">
        <f t="shared" si="40"/>
        <v>0</v>
      </c>
      <c r="J564" s="52">
        <f t="shared" si="41"/>
        <v>0</v>
      </c>
      <c r="K564" s="108"/>
      <c r="L564" s="113"/>
    </row>
    <row r="565" spans="2:12" s="4" customFormat="1" ht="12.95" customHeight="1" x14ac:dyDescent="0.15">
      <c r="B565" s="26">
        <v>11</v>
      </c>
      <c r="C565" s="17"/>
      <c r="D565" s="24"/>
      <c r="E565" s="24"/>
      <c r="F565" s="129"/>
      <c r="G565" s="20"/>
      <c r="H565" s="20">
        <v>1</v>
      </c>
      <c r="I565" s="129">
        <f t="shared" si="40"/>
        <v>0</v>
      </c>
      <c r="J565" s="52">
        <f t="shared" si="41"/>
        <v>0</v>
      </c>
      <c r="K565" s="108"/>
      <c r="L565" s="113"/>
    </row>
    <row r="566" spans="2:12" s="4" customFormat="1" ht="12.95" customHeight="1" x14ac:dyDescent="0.15">
      <c r="B566" s="26">
        <v>12</v>
      </c>
      <c r="C566" s="17"/>
      <c r="D566" s="24"/>
      <c r="E566" s="24"/>
      <c r="F566" s="129"/>
      <c r="G566" s="20"/>
      <c r="H566" s="20">
        <v>1</v>
      </c>
      <c r="I566" s="129">
        <f t="shared" si="40"/>
        <v>0</v>
      </c>
      <c r="J566" s="52">
        <f t="shared" si="41"/>
        <v>0</v>
      </c>
      <c r="K566" s="108"/>
      <c r="L566" s="113"/>
    </row>
    <row r="567" spans="2:12" s="4" customFormat="1" ht="12.95" customHeight="1" x14ac:dyDescent="0.15">
      <c r="B567" s="26">
        <v>13</v>
      </c>
      <c r="C567" s="17"/>
      <c r="D567" s="18"/>
      <c r="E567" s="18"/>
      <c r="F567" s="129"/>
      <c r="G567" s="20"/>
      <c r="H567" s="20">
        <v>1</v>
      </c>
      <c r="I567" s="129">
        <f t="shared" si="40"/>
        <v>0</v>
      </c>
      <c r="J567" s="52">
        <f t="shared" si="41"/>
        <v>0</v>
      </c>
      <c r="K567" s="108"/>
      <c r="L567" s="113"/>
    </row>
    <row r="568" spans="2:12" s="4" customFormat="1" ht="12.95" customHeight="1" x14ac:dyDescent="0.15">
      <c r="B568" s="26">
        <v>14</v>
      </c>
      <c r="C568" s="17"/>
      <c r="D568" s="18"/>
      <c r="E568" s="18"/>
      <c r="F568" s="129"/>
      <c r="G568" s="20"/>
      <c r="H568" s="20">
        <v>1</v>
      </c>
      <c r="I568" s="129">
        <f t="shared" si="40"/>
        <v>0</v>
      </c>
      <c r="J568" s="52">
        <f t="shared" si="41"/>
        <v>0</v>
      </c>
      <c r="K568" s="108"/>
      <c r="L568" s="113"/>
    </row>
    <row r="569" spans="2:12" s="4" customFormat="1" ht="12.95" customHeight="1" x14ac:dyDescent="0.15">
      <c r="B569" s="26">
        <v>15</v>
      </c>
      <c r="C569" s="17"/>
      <c r="D569" s="18"/>
      <c r="E569" s="18"/>
      <c r="F569" s="129"/>
      <c r="G569" s="20"/>
      <c r="H569" s="20">
        <v>1</v>
      </c>
      <c r="I569" s="129">
        <f t="shared" si="40"/>
        <v>0</v>
      </c>
      <c r="J569" s="52">
        <f t="shared" si="41"/>
        <v>0</v>
      </c>
      <c r="K569" s="108"/>
      <c r="L569" s="113"/>
    </row>
    <row r="570" spans="2:12" s="4" customFormat="1" ht="12.95" customHeight="1" x14ac:dyDescent="0.15">
      <c r="B570" s="26">
        <v>16</v>
      </c>
      <c r="C570" s="11"/>
      <c r="D570" s="18"/>
      <c r="E570" s="18"/>
      <c r="F570" s="129"/>
      <c r="G570" s="20"/>
      <c r="H570" s="20">
        <v>1</v>
      </c>
      <c r="I570" s="126">
        <f t="shared" si="40"/>
        <v>0</v>
      </c>
      <c r="J570" s="21">
        <f t="shared" si="41"/>
        <v>0</v>
      </c>
      <c r="K570" s="108"/>
      <c r="L570" s="113"/>
    </row>
    <row r="571" spans="2:12" s="4" customFormat="1" ht="12.95" customHeight="1" x14ac:dyDescent="0.15">
      <c r="B571" s="26">
        <v>17</v>
      </c>
      <c r="C571" s="23"/>
      <c r="D571" s="48"/>
      <c r="E571" s="48"/>
      <c r="F571" s="126"/>
      <c r="G571" s="50"/>
      <c r="H571" s="20">
        <v>1</v>
      </c>
      <c r="I571" s="126">
        <f t="shared" si="40"/>
        <v>0</v>
      </c>
      <c r="J571" s="21">
        <f t="shared" si="41"/>
        <v>0</v>
      </c>
      <c r="K571" s="108"/>
      <c r="L571" s="113"/>
    </row>
    <row r="572" spans="2:12" s="4" customFormat="1" ht="12.95" customHeight="1" x14ac:dyDescent="0.15">
      <c r="B572" s="26">
        <v>18</v>
      </c>
      <c r="C572" s="23"/>
      <c r="D572" s="48"/>
      <c r="E572" s="48"/>
      <c r="F572" s="126"/>
      <c r="G572" s="50"/>
      <c r="H572" s="20">
        <v>1</v>
      </c>
      <c r="I572" s="126">
        <f t="shared" si="40"/>
        <v>0</v>
      </c>
      <c r="J572" s="21">
        <f t="shared" si="41"/>
        <v>0</v>
      </c>
      <c r="K572" s="108"/>
      <c r="L572" s="113"/>
    </row>
    <row r="573" spans="2:12" s="4" customFormat="1" ht="12.95" customHeight="1" x14ac:dyDescent="0.15">
      <c r="B573" s="26">
        <v>19</v>
      </c>
      <c r="C573" s="23"/>
      <c r="D573" s="48"/>
      <c r="E573" s="48"/>
      <c r="F573" s="126"/>
      <c r="G573" s="50"/>
      <c r="H573" s="20">
        <v>1</v>
      </c>
      <c r="I573" s="126">
        <f t="shared" si="40"/>
        <v>0</v>
      </c>
      <c r="J573" s="21">
        <f t="shared" si="41"/>
        <v>0</v>
      </c>
      <c r="K573" s="108"/>
      <c r="L573" s="113"/>
    </row>
    <row r="574" spans="2:12" s="4" customFormat="1" ht="12.95" customHeight="1" x14ac:dyDescent="0.15">
      <c r="B574" s="26">
        <v>20</v>
      </c>
      <c r="C574" s="23"/>
      <c r="D574" s="48"/>
      <c r="E574" s="48"/>
      <c r="F574" s="126"/>
      <c r="G574" s="50"/>
      <c r="H574" s="20">
        <v>1</v>
      </c>
      <c r="I574" s="126">
        <f t="shared" si="40"/>
        <v>0</v>
      </c>
      <c r="J574" s="21">
        <f t="shared" si="41"/>
        <v>0</v>
      </c>
      <c r="K574" s="108"/>
      <c r="L574" s="113"/>
    </row>
    <row r="575" spans="2:12" s="4" customFormat="1" ht="12.95" customHeight="1" x14ac:dyDescent="0.15">
      <c r="B575" s="26"/>
      <c r="C575" s="23"/>
      <c r="D575" s="48"/>
      <c r="E575" s="48"/>
      <c r="F575" s="126"/>
      <c r="G575" s="50"/>
      <c r="H575" s="50"/>
      <c r="I575" s="126"/>
      <c r="J575" s="38"/>
      <c r="K575" s="108"/>
      <c r="L575" s="113"/>
    </row>
    <row r="576" spans="2:12" s="4" customFormat="1" ht="12.95" customHeight="1" x14ac:dyDescent="0.15">
      <c r="B576" s="26"/>
      <c r="C576" s="23"/>
      <c r="D576" s="48"/>
      <c r="E576" s="48"/>
      <c r="F576" s="126"/>
      <c r="G576" s="50"/>
      <c r="H576" s="50"/>
      <c r="I576" s="126"/>
      <c r="J576" s="38"/>
      <c r="K576" s="108"/>
      <c r="L576" s="113"/>
    </row>
    <row r="577" spans="2:20" s="4" customFormat="1" ht="12.95" customHeight="1" x14ac:dyDescent="0.15">
      <c r="B577" s="26"/>
      <c r="C577" s="72" t="s">
        <v>132</v>
      </c>
      <c r="D577" s="48"/>
      <c r="E577" s="48"/>
      <c r="F577" s="126"/>
      <c r="G577" s="50"/>
      <c r="H577" s="50"/>
      <c r="I577" s="126"/>
      <c r="J577" s="38"/>
      <c r="K577" s="108"/>
      <c r="L577" s="113"/>
    </row>
    <row r="578" spans="2:20" s="4" customFormat="1" ht="12.95" customHeight="1" x14ac:dyDescent="0.15">
      <c r="B578" s="26">
        <v>1</v>
      </c>
      <c r="C578" s="59"/>
      <c r="D578" s="49"/>
      <c r="E578" s="49"/>
      <c r="F578" s="126"/>
      <c r="G578" s="50"/>
      <c r="H578" s="50">
        <v>1</v>
      </c>
      <c r="I578" s="126">
        <f t="shared" ref="I578" si="42">J578*$C$32</f>
        <v>0</v>
      </c>
      <c r="J578" s="21">
        <f t="shared" ref="J578:J597" si="43">(F578*G578*H578)/$C$32</f>
        <v>0</v>
      </c>
      <c r="K578" s="108"/>
      <c r="L578" s="113"/>
      <c r="M578" s="57"/>
      <c r="N578" s="57"/>
      <c r="O578" s="57"/>
      <c r="P578" s="57"/>
      <c r="Q578" s="58"/>
      <c r="R578" s="57"/>
      <c r="T578" s="57"/>
    </row>
    <row r="579" spans="2:20" s="4" customFormat="1" ht="12.95" customHeight="1" x14ac:dyDescent="0.15">
      <c r="B579" s="26">
        <v>2</v>
      </c>
      <c r="C579" s="60"/>
      <c r="D579" s="49"/>
      <c r="E579" s="49"/>
      <c r="F579" s="126"/>
      <c r="G579" s="50"/>
      <c r="H579" s="50">
        <v>1</v>
      </c>
      <c r="I579" s="126">
        <f>J579*$C$32</f>
        <v>0</v>
      </c>
      <c r="J579" s="21">
        <f t="shared" si="43"/>
        <v>0</v>
      </c>
      <c r="K579" s="108"/>
      <c r="L579" s="113"/>
      <c r="M579" s="57"/>
      <c r="N579" s="57"/>
      <c r="O579" s="57"/>
      <c r="P579" s="57"/>
      <c r="Q579" s="58"/>
      <c r="R579" s="57"/>
      <c r="T579" s="57"/>
    </row>
    <row r="580" spans="2:20" s="4" customFormat="1" ht="12.95" customHeight="1" x14ac:dyDescent="0.15">
      <c r="B580" s="26">
        <v>3</v>
      </c>
      <c r="C580" s="59"/>
      <c r="D580" s="49"/>
      <c r="E580" s="49"/>
      <c r="F580" s="126"/>
      <c r="G580" s="50"/>
      <c r="H580" s="50">
        <v>1</v>
      </c>
      <c r="I580" s="126">
        <f t="shared" ref="I580:I597" si="44">J580*$C$32</f>
        <v>0</v>
      </c>
      <c r="J580" s="21">
        <f t="shared" si="43"/>
        <v>0</v>
      </c>
      <c r="K580" s="108"/>
      <c r="L580" s="113"/>
      <c r="M580" s="57"/>
      <c r="N580" s="57"/>
      <c r="O580" s="57"/>
      <c r="P580" s="57"/>
      <c r="Q580" s="58"/>
      <c r="R580" s="57"/>
      <c r="T580" s="57"/>
    </row>
    <row r="581" spans="2:20" s="4" customFormat="1" ht="12.95" customHeight="1" x14ac:dyDescent="0.15">
      <c r="B581" s="26">
        <v>4</v>
      </c>
      <c r="C581" s="61"/>
      <c r="D581" s="49"/>
      <c r="E581" s="49"/>
      <c r="F581" s="126"/>
      <c r="G581" s="50"/>
      <c r="H581" s="50">
        <v>1</v>
      </c>
      <c r="I581" s="126">
        <f t="shared" si="44"/>
        <v>0</v>
      </c>
      <c r="J581" s="21">
        <f t="shared" si="43"/>
        <v>0</v>
      </c>
      <c r="K581" s="108"/>
      <c r="L581" s="113"/>
      <c r="M581" s="57"/>
      <c r="N581" s="57"/>
      <c r="O581" s="57"/>
      <c r="P581" s="57"/>
      <c r="Q581" s="58"/>
      <c r="R581" s="57"/>
      <c r="T581" s="57"/>
    </row>
    <row r="582" spans="2:20" s="1" customFormat="1" ht="12.95" customHeight="1" x14ac:dyDescent="0.15">
      <c r="B582" s="16">
        <v>5</v>
      </c>
      <c r="C582" s="11"/>
      <c r="D582" s="18"/>
      <c r="E582" s="18"/>
      <c r="F582" s="129"/>
      <c r="G582" s="20"/>
      <c r="H582" s="20">
        <v>1</v>
      </c>
      <c r="I582" s="126">
        <f t="shared" si="44"/>
        <v>0</v>
      </c>
      <c r="J582" s="21">
        <f t="shared" si="43"/>
        <v>0</v>
      </c>
      <c r="K582" s="80"/>
      <c r="L582" s="82"/>
      <c r="M582" s="10"/>
      <c r="N582" s="10"/>
      <c r="O582" s="10"/>
      <c r="P582" s="10"/>
      <c r="Q582" s="43"/>
      <c r="R582" s="10"/>
      <c r="T582" s="10"/>
    </row>
    <row r="583" spans="2:20" s="1" customFormat="1" ht="12.95" customHeight="1" x14ac:dyDescent="0.15">
      <c r="B583" s="16">
        <v>6</v>
      </c>
      <c r="C583" s="46"/>
      <c r="D583" s="18"/>
      <c r="E583" s="18"/>
      <c r="F583" s="129"/>
      <c r="G583" s="20"/>
      <c r="H583" s="20">
        <v>1</v>
      </c>
      <c r="I583" s="126">
        <f t="shared" si="44"/>
        <v>0</v>
      </c>
      <c r="J583" s="21">
        <f t="shared" si="43"/>
        <v>0</v>
      </c>
      <c r="K583" s="80"/>
      <c r="L583" s="82"/>
      <c r="M583" s="10"/>
      <c r="N583" s="10"/>
      <c r="O583" s="10"/>
      <c r="P583" s="10"/>
      <c r="Q583" s="43"/>
      <c r="R583" s="10"/>
      <c r="T583" s="10"/>
    </row>
    <row r="584" spans="2:20" s="1" customFormat="1" ht="12.95" customHeight="1" x14ac:dyDescent="0.15">
      <c r="B584" s="16">
        <v>7</v>
      </c>
      <c r="C584" s="11"/>
      <c r="D584" s="18"/>
      <c r="E584" s="18"/>
      <c r="F584" s="129"/>
      <c r="G584" s="20"/>
      <c r="H584" s="20">
        <v>1</v>
      </c>
      <c r="I584" s="126">
        <f t="shared" si="44"/>
        <v>0</v>
      </c>
      <c r="J584" s="21">
        <f t="shared" si="43"/>
        <v>0</v>
      </c>
      <c r="K584" s="80"/>
      <c r="L584" s="82"/>
      <c r="M584" s="10"/>
      <c r="N584" s="10"/>
      <c r="O584" s="10"/>
      <c r="P584" s="10"/>
      <c r="Q584" s="43"/>
      <c r="R584" s="10"/>
      <c r="T584" s="10"/>
    </row>
    <row r="585" spans="2:20" s="1" customFormat="1" ht="12.95" customHeight="1" x14ac:dyDescent="0.15">
      <c r="B585" s="16">
        <v>8</v>
      </c>
      <c r="C585" s="11"/>
      <c r="D585" s="18"/>
      <c r="E585" s="18"/>
      <c r="F585" s="129"/>
      <c r="G585" s="20"/>
      <c r="H585" s="20">
        <v>1</v>
      </c>
      <c r="I585" s="126">
        <f t="shared" si="44"/>
        <v>0</v>
      </c>
      <c r="J585" s="21">
        <f t="shared" si="43"/>
        <v>0</v>
      </c>
      <c r="K585" s="80"/>
      <c r="L585" s="82"/>
      <c r="M585" s="10"/>
      <c r="N585" s="10"/>
      <c r="O585" s="10"/>
      <c r="P585" s="10"/>
      <c r="Q585" s="43"/>
      <c r="R585" s="10"/>
      <c r="T585" s="10"/>
    </row>
    <row r="586" spans="2:20" s="1" customFormat="1" ht="12.95" customHeight="1" x14ac:dyDescent="0.15">
      <c r="B586" s="16">
        <v>9</v>
      </c>
      <c r="C586" s="11"/>
      <c r="D586" s="18"/>
      <c r="E586" s="18"/>
      <c r="F586" s="129"/>
      <c r="G586" s="20"/>
      <c r="H586" s="20">
        <v>1</v>
      </c>
      <c r="I586" s="126">
        <f t="shared" si="44"/>
        <v>0</v>
      </c>
      <c r="J586" s="21">
        <f t="shared" si="43"/>
        <v>0</v>
      </c>
      <c r="K586" s="80"/>
      <c r="L586" s="82"/>
      <c r="M586" s="10"/>
      <c r="N586" s="10"/>
      <c r="O586" s="10"/>
      <c r="P586" s="10"/>
      <c r="Q586" s="43"/>
      <c r="R586" s="10"/>
      <c r="T586" s="10"/>
    </row>
    <row r="587" spans="2:20" s="1" customFormat="1" ht="12.95" customHeight="1" x14ac:dyDescent="0.15">
      <c r="B587" s="16">
        <v>10</v>
      </c>
      <c r="C587" s="11"/>
      <c r="D587" s="18"/>
      <c r="E587" s="18"/>
      <c r="F587" s="129"/>
      <c r="G587" s="20"/>
      <c r="H587" s="20">
        <v>1</v>
      </c>
      <c r="I587" s="126">
        <f t="shared" si="44"/>
        <v>0</v>
      </c>
      <c r="J587" s="21">
        <f t="shared" si="43"/>
        <v>0</v>
      </c>
      <c r="K587" s="80"/>
      <c r="L587" s="82"/>
      <c r="M587" s="10"/>
      <c r="N587" s="10"/>
      <c r="O587" s="10"/>
      <c r="P587" s="10"/>
      <c r="Q587" s="43"/>
      <c r="R587" s="10"/>
      <c r="T587" s="10"/>
    </row>
    <row r="588" spans="2:20" s="1" customFormat="1" ht="12.95" customHeight="1" x14ac:dyDescent="0.15">
      <c r="B588" s="16">
        <v>11</v>
      </c>
      <c r="C588" s="11"/>
      <c r="D588" s="18"/>
      <c r="E588" s="18"/>
      <c r="F588" s="129"/>
      <c r="G588" s="20"/>
      <c r="H588" s="20">
        <v>1</v>
      </c>
      <c r="I588" s="126">
        <f t="shared" si="44"/>
        <v>0</v>
      </c>
      <c r="J588" s="21">
        <f t="shared" si="43"/>
        <v>0</v>
      </c>
      <c r="K588" s="80"/>
      <c r="L588" s="82"/>
      <c r="M588" s="10"/>
      <c r="N588" s="10"/>
      <c r="O588" s="10"/>
      <c r="P588" s="10"/>
      <c r="Q588" s="43"/>
      <c r="R588" s="10"/>
      <c r="T588" s="10"/>
    </row>
    <row r="589" spans="2:20" s="1" customFormat="1" ht="12.95" customHeight="1" x14ac:dyDescent="0.15">
      <c r="B589" s="16">
        <v>12</v>
      </c>
      <c r="C589" s="11"/>
      <c r="D589" s="18"/>
      <c r="E589" s="18"/>
      <c r="F589" s="129"/>
      <c r="G589" s="20"/>
      <c r="H589" s="20">
        <v>1</v>
      </c>
      <c r="I589" s="126">
        <f t="shared" si="44"/>
        <v>0</v>
      </c>
      <c r="J589" s="21">
        <f t="shared" si="43"/>
        <v>0</v>
      </c>
      <c r="K589" s="80"/>
      <c r="L589" s="82"/>
      <c r="M589" s="10"/>
      <c r="N589" s="10"/>
      <c r="O589" s="10"/>
      <c r="P589" s="10"/>
      <c r="Q589" s="43"/>
      <c r="R589" s="10"/>
      <c r="T589" s="10"/>
    </row>
    <row r="590" spans="2:20" s="1" customFormat="1" ht="12.95" customHeight="1" x14ac:dyDescent="0.15">
      <c r="B590" s="16">
        <v>13</v>
      </c>
      <c r="C590" s="11"/>
      <c r="D590" s="18"/>
      <c r="E590" s="18"/>
      <c r="F590" s="129"/>
      <c r="G590" s="20"/>
      <c r="H590" s="20">
        <v>1</v>
      </c>
      <c r="I590" s="126">
        <f t="shared" si="44"/>
        <v>0</v>
      </c>
      <c r="J590" s="21">
        <f t="shared" si="43"/>
        <v>0</v>
      </c>
      <c r="K590" s="80"/>
      <c r="L590" s="82"/>
      <c r="M590" s="10"/>
      <c r="N590" s="10"/>
      <c r="O590" s="10"/>
      <c r="P590" s="10"/>
      <c r="Q590" s="43"/>
      <c r="R590" s="10"/>
      <c r="T590" s="10"/>
    </row>
    <row r="591" spans="2:20" s="1" customFormat="1" ht="12.95" customHeight="1" x14ac:dyDescent="0.15">
      <c r="B591" s="16">
        <v>14</v>
      </c>
      <c r="C591" s="11"/>
      <c r="D591" s="18"/>
      <c r="E591" s="18"/>
      <c r="F591" s="129"/>
      <c r="G591" s="20"/>
      <c r="H591" s="20">
        <v>1</v>
      </c>
      <c r="I591" s="126">
        <f t="shared" si="44"/>
        <v>0</v>
      </c>
      <c r="J591" s="21">
        <f t="shared" si="43"/>
        <v>0</v>
      </c>
      <c r="K591" s="80"/>
      <c r="L591" s="82"/>
      <c r="M591" s="10"/>
      <c r="N591" s="10"/>
      <c r="O591" s="10"/>
      <c r="P591" s="10"/>
      <c r="Q591" s="43"/>
      <c r="R591" s="10"/>
      <c r="T591" s="10"/>
    </row>
    <row r="592" spans="2:20" s="1" customFormat="1" ht="12.95" customHeight="1" x14ac:dyDescent="0.15">
      <c r="B592" s="16">
        <v>15</v>
      </c>
      <c r="C592" s="11"/>
      <c r="D592" s="18"/>
      <c r="E592" s="18"/>
      <c r="F592" s="129"/>
      <c r="G592" s="20"/>
      <c r="H592" s="20">
        <v>1</v>
      </c>
      <c r="I592" s="126">
        <f t="shared" si="44"/>
        <v>0</v>
      </c>
      <c r="J592" s="21">
        <f t="shared" si="43"/>
        <v>0</v>
      </c>
      <c r="K592" s="80"/>
      <c r="L592" s="82"/>
      <c r="M592" s="10"/>
      <c r="N592" s="10"/>
      <c r="O592" s="10"/>
      <c r="P592" s="10"/>
      <c r="Q592" s="43"/>
      <c r="R592" s="10"/>
      <c r="T592" s="10"/>
    </row>
    <row r="593" spans="2:20" s="1" customFormat="1" ht="12.95" customHeight="1" x14ac:dyDescent="0.15">
      <c r="B593" s="16">
        <v>16</v>
      </c>
      <c r="C593" s="74"/>
      <c r="D593" s="75"/>
      <c r="E593" s="75"/>
      <c r="F593" s="132"/>
      <c r="G593" s="77"/>
      <c r="H593" s="77">
        <v>1</v>
      </c>
      <c r="I593" s="131">
        <f t="shared" si="44"/>
        <v>0</v>
      </c>
      <c r="J593" s="78">
        <f t="shared" si="43"/>
        <v>0</v>
      </c>
      <c r="K593" s="80"/>
      <c r="L593" s="82"/>
      <c r="M593" s="10"/>
      <c r="N593" s="10"/>
      <c r="O593" s="10"/>
      <c r="P593" s="10"/>
      <c r="Q593" s="43"/>
      <c r="R593" s="10"/>
      <c r="T593" s="10"/>
    </row>
    <row r="594" spans="2:20" s="1" customFormat="1" ht="12.95" customHeight="1" x14ac:dyDescent="0.15">
      <c r="B594" s="80">
        <v>17</v>
      </c>
      <c r="C594" s="82"/>
      <c r="D594" s="82"/>
      <c r="E594" s="82"/>
      <c r="F594" s="156"/>
      <c r="G594" s="82"/>
      <c r="H594" s="77">
        <v>1</v>
      </c>
      <c r="I594" s="131">
        <f t="shared" si="44"/>
        <v>0</v>
      </c>
      <c r="J594" s="78">
        <f t="shared" si="43"/>
        <v>0</v>
      </c>
      <c r="K594" s="109"/>
      <c r="L594" s="82"/>
      <c r="M594" s="10"/>
      <c r="N594" s="10"/>
      <c r="O594" s="10"/>
      <c r="P594" s="10"/>
      <c r="Q594" s="43"/>
      <c r="R594" s="10"/>
      <c r="T594" s="10"/>
    </row>
    <row r="595" spans="2:20" s="1" customFormat="1" ht="12.95" customHeight="1" x14ac:dyDescent="0.15">
      <c r="B595" s="80">
        <v>18</v>
      </c>
      <c r="C595" s="82"/>
      <c r="D595" s="82"/>
      <c r="E595" s="82"/>
      <c r="F595" s="156"/>
      <c r="G595" s="82"/>
      <c r="H595" s="77">
        <v>1</v>
      </c>
      <c r="I595" s="131">
        <f t="shared" si="44"/>
        <v>0</v>
      </c>
      <c r="J595" s="78">
        <f t="shared" si="43"/>
        <v>0</v>
      </c>
      <c r="K595" s="155"/>
      <c r="L595" s="119"/>
      <c r="M595" s="10"/>
      <c r="N595" s="10"/>
      <c r="O595" s="10"/>
      <c r="P595" s="10"/>
      <c r="Q595" s="43"/>
      <c r="R595" s="10"/>
      <c r="T595" s="10"/>
    </row>
    <row r="596" spans="2:20" s="1" customFormat="1" ht="12.95" customHeight="1" x14ac:dyDescent="0.15">
      <c r="B596" s="80">
        <v>19</v>
      </c>
      <c r="C596" s="82"/>
      <c r="D596" s="82"/>
      <c r="E596" s="82"/>
      <c r="F596" s="156"/>
      <c r="G596" s="82"/>
      <c r="H596" s="77">
        <v>1</v>
      </c>
      <c r="I596" s="131">
        <f t="shared" si="44"/>
        <v>0</v>
      </c>
      <c r="J596" s="260">
        <f t="shared" si="43"/>
        <v>0</v>
      </c>
      <c r="K596" s="82"/>
      <c r="L596" s="82"/>
      <c r="M596" s="10"/>
      <c r="N596" s="10"/>
      <c r="O596" s="10"/>
      <c r="P596" s="10"/>
      <c r="Q596" s="43"/>
      <c r="R596" s="10"/>
      <c r="T596" s="10"/>
    </row>
    <row r="597" spans="2:20" s="1" customFormat="1" ht="12.95" customHeight="1" x14ac:dyDescent="0.15">
      <c r="B597" s="80">
        <v>20</v>
      </c>
      <c r="C597" s="82"/>
      <c r="D597" s="82"/>
      <c r="E597" s="82"/>
      <c r="F597" s="156"/>
      <c r="G597" s="82"/>
      <c r="H597" s="77">
        <v>1</v>
      </c>
      <c r="I597" s="131">
        <f t="shared" si="44"/>
        <v>0</v>
      </c>
      <c r="J597" s="260">
        <f t="shared" si="43"/>
        <v>0</v>
      </c>
      <c r="K597" s="82"/>
      <c r="L597" s="82"/>
      <c r="M597" s="10"/>
      <c r="N597" s="10"/>
      <c r="O597" s="10"/>
      <c r="P597" s="10"/>
      <c r="Q597" s="43"/>
      <c r="R597" s="10"/>
      <c r="T597" s="10"/>
    </row>
    <row r="598" spans="2:20" s="1" customFormat="1" ht="12.95" customHeight="1" x14ac:dyDescent="0.15">
      <c r="B598" s="111"/>
      <c r="C598" s="152"/>
      <c r="D598" s="153"/>
      <c r="E598" s="153"/>
      <c r="F598" s="157"/>
      <c r="G598" s="154"/>
      <c r="H598" s="154"/>
      <c r="I598" s="158"/>
      <c r="J598" s="261"/>
      <c r="K598" s="82"/>
      <c r="L598" s="82"/>
      <c r="M598" s="10"/>
      <c r="N598" s="10"/>
      <c r="O598" s="10"/>
      <c r="P598" s="10"/>
      <c r="Q598" s="43"/>
      <c r="R598" s="10"/>
      <c r="T598" s="10"/>
    </row>
    <row r="599" spans="2:20" s="1" customFormat="1" ht="12.75" x14ac:dyDescent="0.15">
      <c r="B599" s="82"/>
      <c r="C599" s="102"/>
      <c r="D599" s="103"/>
      <c r="E599" s="102"/>
      <c r="F599" s="128">
        <f>SUM(F541:F598)</f>
        <v>0</v>
      </c>
      <c r="G599" s="104"/>
      <c r="H599" s="105"/>
      <c r="I599" s="128">
        <f>SUM(I541:I598)</f>
        <v>0</v>
      </c>
      <c r="J599" s="106">
        <f>SUM(J541:J598)</f>
        <v>0</v>
      </c>
    </row>
    <row r="600" spans="2:20" s="1" customFormat="1" ht="12.75" x14ac:dyDescent="0.15">
      <c r="B600" s="82"/>
      <c r="C600" s="102"/>
      <c r="D600" s="103"/>
      <c r="E600" s="102" t="s">
        <v>147</v>
      </c>
      <c r="F600" s="128">
        <f>100/115*F599</f>
        <v>0</v>
      </c>
      <c r="G600" s="104"/>
      <c r="H600" s="105" t="s">
        <v>147</v>
      </c>
      <c r="I600" s="128">
        <f>100/115*I599</f>
        <v>0</v>
      </c>
      <c r="J600" s="106"/>
    </row>
    <row r="601" spans="2:20" s="1" customFormat="1" ht="12.75" x14ac:dyDescent="0.15"/>
    <row r="602" spans="2:20" s="1" customFormat="1" ht="12.75" x14ac:dyDescent="0.15"/>
    <row r="603" spans="2:20" s="1" customFormat="1" ht="12.75" x14ac:dyDescent="0.15"/>
    <row r="604" spans="2:20" s="1" customFormat="1" ht="12.75" x14ac:dyDescent="0.15"/>
    <row r="605" spans="2:20" s="247" customFormat="1" ht="32.25" x14ac:dyDescent="0.4">
      <c r="B605" s="248"/>
      <c r="C605" s="380" t="s">
        <v>112</v>
      </c>
      <c r="D605" s="380"/>
      <c r="E605" s="428" t="s">
        <v>163</v>
      </c>
      <c r="F605" s="428"/>
      <c r="G605" s="428"/>
      <c r="H605" s="428"/>
      <c r="I605" s="428"/>
      <c r="J605" s="382">
        <v>2026</v>
      </c>
      <c r="K605" s="382"/>
      <c r="L605" s="382"/>
    </row>
    <row r="606" spans="2:20" s="1" customFormat="1" ht="22.5" x14ac:dyDescent="0.15">
      <c r="B606" s="82"/>
      <c r="C606" s="102" t="s">
        <v>114</v>
      </c>
      <c r="D606" s="388" t="s">
        <v>115</v>
      </c>
      <c r="E606" s="388"/>
      <c r="F606" s="102" t="s">
        <v>116</v>
      </c>
      <c r="G606" s="102" t="s">
        <v>117</v>
      </c>
      <c r="H606" s="102" t="s">
        <v>118</v>
      </c>
      <c r="I606" s="102" t="s">
        <v>119</v>
      </c>
      <c r="J606" s="102" t="s">
        <v>120</v>
      </c>
      <c r="K606" s="82"/>
      <c r="L606" s="82"/>
    </row>
    <row r="607" spans="2:20" s="1" customFormat="1" ht="12.75" x14ac:dyDescent="0.15">
      <c r="B607" s="84"/>
      <c r="C607" s="149">
        <f>C537</f>
        <v>450</v>
      </c>
      <c r="D607" s="412">
        <v>23</v>
      </c>
      <c r="E607" s="412"/>
      <c r="F607" s="146">
        <f>F537</f>
        <v>0.8</v>
      </c>
      <c r="G607" s="147">
        <f>G537</f>
        <v>8</v>
      </c>
      <c r="H607" s="148">
        <f>D607*G607*F607</f>
        <v>147.20000000000002</v>
      </c>
      <c r="I607" s="149">
        <f>I669</f>
        <v>0</v>
      </c>
      <c r="J607" s="150">
        <f>H607-J669</f>
        <v>147.20000000000002</v>
      </c>
      <c r="K607" s="79"/>
      <c r="L607" s="120"/>
    </row>
    <row r="608" spans="2:20" s="1" customFormat="1" ht="33.75" x14ac:dyDescent="0.15">
      <c r="B608" s="16"/>
      <c r="C608" s="22" t="s">
        <v>121</v>
      </c>
      <c r="D608" s="413" t="s">
        <v>122</v>
      </c>
      <c r="E608" s="413"/>
      <c r="F608" s="33" t="s">
        <v>123</v>
      </c>
      <c r="G608" s="34" t="s">
        <v>124</v>
      </c>
      <c r="H608" s="35" t="s">
        <v>125</v>
      </c>
      <c r="I608" s="125" t="s">
        <v>126</v>
      </c>
      <c r="J608" s="34" t="s">
        <v>127</v>
      </c>
      <c r="K608" s="107" t="s">
        <v>128</v>
      </c>
      <c r="L608" s="123" t="s">
        <v>129</v>
      </c>
    </row>
    <row r="609" spans="2:20" s="1" customFormat="1" ht="12.75" x14ac:dyDescent="0.15">
      <c r="B609" s="16"/>
      <c r="C609" s="22"/>
      <c r="D609" s="32"/>
      <c r="E609" s="32"/>
      <c r="F609" s="33"/>
      <c r="G609" s="34"/>
      <c r="H609" s="35"/>
      <c r="I609" s="125"/>
      <c r="J609" s="34"/>
      <c r="K609" s="110"/>
      <c r="L609" s="82"/>
    </row>
    <row r="610" spans="2:20" s="1" customFormat="1" ht="12.75" x14ac:dyDescent="0.15">
      <c r="B610" s="16"/>
      <c r="C610" s="22" t="s">
        <v>130</v>
      </c>
      <c r="D610" s="32"/>
      <c r="E610" s="32"/>
      <c r="F610" s="151"/>
      <c r="G610" s="34"/>
      <c r="H610" s="35"/>
      <c r="I610" s="125"/>
      <c r="J610" s="34"/>
      <c r="K610" s="110"/>
      <c r="L610" s="82"/>
    </row>
    <row r="611" spans="2:20" s="1" customFormat="1" ht="12.75" x14ac:dyDescent="0.15">
      <c r="B611" s="16"/>
      <c r="C611" s="22" t="s">
        <v>149</v>
      </c>
      <c r="D611" s="32"/>
      <c r="E611" s="32"/>
      <c r="F611" s="151"/>
      <c r="G611" s="34"/>
      <c r="H611" s="35"/>
      <c r="I611" s="125"/>
      <c r="J611" s="34"/>
      <c r="K611" s="110"/>
      <c r="L611" s="82"/>
    </row>
    <row r="612" spans="2:20" s="1" customFormat="1" ht="13.15" customHeight="1" x14ac:dyDescent="0.15">
      <c r="B612" s="26">
        <v>1</v>
      </c>
      <c r="C612" s="17"/>
      <c r="D612" s="24"/>
      <c r="E612" s="24"/>
      <c r="F612" s="129"/>
      <c r="G612" s="20"/>
      <c r="H612" s="20">
        <v>1</v>
      </c>
      <c r="I612" s="129">
        <f t="shared" ref="I612:I628" si="45">J612*$C$32</f>
        <v>0</v>
      </c>
      <c r="J612" s="52">
        <f t="shared" ref="J612:J625" si="46">(F612*G612*H612)/$C$32</f>
        <v>0</v>
      </c>
      <c r="K612" s="108"/>
      <c r="L612" s="113"/>
      <c r="M612" s="4"/>
      <c r="N612" s="4"/>
      <c r="O612" s="4"/>
      <c r="P612" s="4"/>
      <c r="Q612" s="4"/>
      <c r="R612" s="4"/>
      <c r="S612" s="4"/>
      <c r="T612" s="4"/>
    </row>
    <row r="613" spans="2:20" s="1" customFormat="1" ht="12.75" customHeight="1" x14ac:dyDescent="0.15">
      <c r="B613" s="26">
        <v>2</v>
      </c>
      <c r="C613" s="17"/>
      <c r="D613" s="24"/>
      <c r="E613" s="24"/>
      <c r="F613" s="129"/>
      <c r="G613" s="20"/>
      <c r="H613" s="20">
        <v>1</v>
      </c>
      <c r="I613" s="129">
        <f t="shared" si="45"/>
        <v>0</v>
      </c>
      <c r="J613" s="52">
        <f t="shared" si="46"/>
        <v>0</v>
      </c>
      <c r="K613" s="108"/>
      <c r="L613" s="113"/>
      <c r="M613" s="144"/>
      <c r="N613" s="4"/>
      <c r="O613" s="4"/>
      <c r="P613" s="4"/>
      <c r="Q613" s="4"/>
      <c r="R613" s="4"/>
      <c r="S613" s="4"/>
      <c r="T613" s="4"/>
    </row>
    <row r="614" spans="2:20" s="1" customFormat="1" ht="16.5" x14ac:dyDescent="0.15">
      <c r="B614" s="26">
        <v>3</v>
      </c>
      <c r="C614" s="17"/>
      <c r="D614" s="24"/>
      <c r="E614" s="24"/>
      <c r="F614" s="129"/>
      <c r="G614" s="20"/>
      <c r="H614" s="20">
        <v>1</v>
      </c>
      <c r="I614" s="129">
        <f t="shared" si="45"/>
        <v>0</v>
      </c>
      <c r="J614" s="52">
        <f t="shared" si="46"/>
        <v>0</v>
      </c>
      <c r="K614" s="108"/>
      <c r="L614" s="113"/>
      <c r="M614" s="145"/>
      <c r="N614" s="4"/>
      <c r="O614" s="4"/>
      <c r="P614" s="4"/>
      <c r="Q614" s="4"/>
      <c r="R614" s="4"/>
      <c r="S614" s="4"/>
      <c r="T614" s="4"/>
    </row>
    <row r="615" spans="2:20" s="1" customFormat="1" ht="12.75" customHeight="1" x14ac:dyDescent="0.15">
      <c r="B615" s="26">
        <v>4</v>
      </c>
      <c r="C615" s="16"/>
      <c r="D615" s="18"/>
      <c r="E615" s="18"/>
      <c r="F615" s="129"/>
      <c r="G615" s="20"/>
      <c r="H615" s="20">
        <v>1</v>
      </c>
      <c r="I615" s="129">
        <f t="shared" si="45"/>
        <v>0</v>
      </c>
      <c r="J615" s="52">
        <f t="shared" si="46"/>
        <v>0</v>
      </c>
      <c r="K615" s="108"/>
      <c r="L615" s="113"/>
      <c r="M615" s="4"/>
      <c r="N615" s="4"/>
      <c r="O615" s="4"/>
      <c r="P615" s="4"/>
      <c r="Q615" s="4"/>
      <c r="R615" s="4"/>
      <c r="S615" s="4"/>
      <c r="T615" s="4"/>
    </row>
    <row r="616" spans="2:20" s="1" customFormat="1" ht="12.75" customHeight="1" x14ac:dyDescent="0.15">
      <c r="B616" s="26">
        <v>5</v>
      </c>
      <c r="C616" s="17"/>
      <c r="D616" s="53"/>
      <c r="E616" s="53"/>
      <c r="F616" s="129"/>
      <c r="G616" s="20"/>
      <c r="H616" s="20">
        <v>1</v>
      </c>
      <c r="I616" s="129">
        <f t="shared" si="45"/>
        <v>0</v>
      </c>
      <c r="J616" s="27">
        <f t="shared" si="46"/>
        <v>0</v>
      </c>
      <c r="K616" s="108"/>
      <c r="L616" s="113"/>
      <c r="M616" s="4"/>
      <c r="N616" s="4"/>
      <c r="O616" s="4"/>
      <c r="P616" s="4"/>
      <c r="Q616" s="4"/>
      <c r="R616" s="4"/>
      <c r="S616" s="4"/>
      <c r="T616" s="4"/>
    </row>
    <row r="617" spans="2:20" s="1" customFormat="1" ht="12.75" x14ac:dyDescent="0.15">
      <c r="B617" s="26">
        <v>6</v>
      </c>
      <c r="C617" s="17"/>
      <c r="D617" s="24"/>
      <c r="E617" s="24"/>
      <c r="F617" s="129"/>
      <c r="G617" s="20"/>
      <c r="H617" s="20">
        <v>1</v>
      </c>
      <c r="I617" s="129">
        <f t="shared" si="45"/>
        <v>0</v>
      </c>
      <c r="J617" s="52">
        <f t="shared" si="46"/>
        <v>0</v>
      </c>
      <c r="K617" s="108"/>
      <c r="L617" s="113"/>
      <c r="M617" s="4"/>
      <c r="N617" s="4"/>
      <c r="O617" s="4"/>
      <c r="P617" s="4"/>
      <c r="Q617" s="4"/>
      <c r="R617" s="4"/>
      <c r="S617" s="4"/>
      <c r="T617" s="4"/>
    </row>
    <row r="618" spans="2:20" s="1" customFormat="1" ht="12.75" customHeight="1" x14ac:dyDescent="0.15">
      <c r="B618" s="26">
        <v>7</v>
      </c>
      <c r="C618" s="17"/>
      <c r="D618" s="22"/>
      <c r="E618" s="22"/>
      <c r="F618" s="129"/>
      <c r="G618" s="20"/>
      <c r="H618" s="20">
        <v>1</v>
      </c>
      <c r="I618" s="129">
        <f t="shared" si="45"/>
        <v>0</v>
      </c>
      <c r="J618" s="27">
        <f t="shared" si="46"/>
        <v>0</v>
      </c>
      <c r="K618" s="108"/>
      <c r="L618" s="113"/>
      <c r="M618" s="4"/>
      <c r="N618" s="4"/>
      <c r="O618" s="4"/>
      <c r="P618" s="4"/>
      <c r="Q618" s="4"/>
      <c r="R618" s="4"/>
      <c r="S618" s="4"/>
      <c r="T618" s="4"/>
    </row>
    <row r="619" spans="2:20" s="1" customFormat="1" ht="12.95" customHeight="1" x14ac:dyDescent="0.15">
      <c r="B619" s="26">
        <v>8</v>
      </c>
      <c r="C619" s="17"/>
      <c r="D619" s="18"/>
      <c r="E619" s="24"/>
      <c r="F619" s="129"/>
      <c r="G619" s="20"/>
      <c r="H619" s="20">
        <v>1</v>
      </c>
      <c r="I619" s="129">
        <f t="shared" si="45"/>
        <v>0</v>
      </c>
      <c r="J619" s="52">
        <f t="shared" si="46"/>
        <v>0</v>
      </c>
      <c r="K619" s="108"/>
      <c r="L619" s="113"/>
      <c r="M619" s="4"/>
      <c r="N619" s="4"/>
      <c r="O619" s="4"/>
      <c r="P619" s="4"/>
      <c r="Q619" s="4"/>
      <c r="R619" s="4"/>
      <c r="S619" s="4"/>
      <c r="T619" s="4"/>
    </row>
    <row r="620" spans="2:20" s="1" customFormat="1" ht="12.95" customHeight="1" x14ac:dyDescent="0.15">
      <c r="B620" s="26">
        <v>9</v>
      </c>
      <c r="C620" s="17"/>
      <c r="D620" s="18"/>
      <c r="E620" s="24"/>
      <c r="F620" s="129"/>
      <c r="G620" s="20"/>
      <c r="H620" s="20">
        <v>1</v>
      </c>
      <c r="I620" s="129">
        <f t="shared" si="45"/>
        <v>0</v>
      </c>
      <c r="J620" s="52">
        <f t="shared" si="46"/>
        <v>0</v>
      </c>
      <c r="K620" s="108"/>
      <c r="L620" s="113"/>
      <c r="M620" s="4"/>
      <c r="N620" s="4"/>
      <c r="O620" s="4"/>
      <c r="P620" s="4"/>
      <c r="Q620" s="4"/>
      <c r="R620" s="4"/>
      <c r="S620" s="4"/>
      <c r="T620" s="4"/>
    </row>
    <row r="621" spans="2:20" s="1" customFormat="1" ht="12.95" customHeight="1" x14ac:dyDescent="0.15">
      <c r="B621" s="26">
        <v>10</v>
      </c>
      <c r="C621" s="17"/>
      <c r="D621" s="24"/>
      <c r="E621" s="18"/>
      <c r="F621" s="129"/>
      <c r="G621" s="20"/>
      <c r="H621" s="20">
        <v>1</v>
      </c>
      <c r="I621" s="129">
        <f t="shared" si="45"/>
        <v>0</v>
      </c>
      <c r="J621" s="52">
        <f t="shared" si="46"/>
        <v>0</v>
      </c>
      <c r="K621" s="108"/>
      <c r="L621" s="113"/>
      <c r="M621" s="4"/>
      <c r="N621" s="4"/>
      <c r="O621" s="4"/>
      <c r="P621" s="4"/>
      <c r="Q621" s="4"/>
      <c r="R621" s="4"/>
      <c r="S621" s="4"/>
      <c r="T621" s="4"/>
    </row>
    <row r="622" spans="2:20" s="1" customFormat="1" ht="12.95" customHeight="1" x14ac:dyDescent="0.15">
      <c r="B622" s="26"/>
      <c r="C622" s="17"/>
      <c r="D622" s="24"/>
      <c r="E622" s="18"/>
      <c r="F622" s="129"/>
      <c r="G622" s="20"/>
      <c r="H622" s="20"/>
      <c r="I622" s="129"/>
      <c r="J622" s="52"/>
      <c r="K622" s="108"/>
      <c r="L622" s="113"/>
      <c r="M622" s="4"/>
      <c r="N622" s="4"/>
      <c r="O622" s="4"/>
      <c r="P622" s="4"/>
      <c r="Q622" s="4"/>
      <c r="R622" s="4"/>
      <c r="S622" s="4"/>
      <c r="T622" s="4"/>
    </row>
    <row r="623" spans="2:20" s="1" customFormat="1" ht="12.95" customHeight="1" x14ac:dyDescent="0.15">
      <c r="B623" s="26"/>
      <c r="C623" s="17"/>
      <c r="D623" s="24"/>
      <c r="E623" s="18"/>
      <c r="F623" s="129"/>
      <c r="G623" s="20"/>
      <c r="H623" s="20"/>
      <c r="I623" s="129"/>
      <c r="J623" s="52"/>
      <c r="K623" s="108"/>
      <c r="L623" s="113"/>
      <c r="M623" s="4"/>
      <c r="N623" s="4"/>
      <c r="O623" s="4"/>
      <c r="P623" s="4"/>
      <c r="Q623" s="4"/>
      <c r="R623" s="4"/>
      <c r="S623" s="4"/>
      <c r="T623" s="4"/>
    </row>
    <row r="624" spans="2:20" s="1" customFormat="1" ht="12.95" customHeight="1" x14ac:dyDescent="0.15">
      <c r="B624" s="26"/>
      <c r="C624" s="22" t="s">
        <v>153</v>
      </c>
      <c r="D624" s="24"/>
      <c r="E624" s="18"/>
      <c r="F624" s="129"/>
      <c r="G624" s="20"/>
      <c r="H624" s="20"/>
      <c r="I624" s="129"/>
      <c r="J624" s="52"/>
      <c r="K624" s="108"/>
      <c r="L624" s="113"/>
      <c r="M624" s="4"/>
      <c r="N624" s="4"/>
      <c r="O624" s="4"/>
      <c r="P624" s="4"/>
      <c r="Q624" s="4"/>
      <c r="R624" s="4"/>
      <c r="S624" s="4"/>
      <c r="T624" s="4"/>
    </row>
    <row r="625" spans="2:20" s="1" customFormat="1" ht="12.95" customHeight="1" x14ac:dyDescent="0.15">
      <c r="B625" s="26">
        <v>1</v>
      </c>
      <c r="C625" s="17"/>
      <c r="D625" s="24"/>
      <c r="E625" s="24"/>
      <c r="F625" s="129"/>
      <c r="G625" s="20"/>
      <c r="H625" s="20">
        <v>1</v>
      </c>
      <c r="I625" s="129">
        <f t="shared" si="45"/>
        <v>0</v>
      </c>
      <c r="J625" s="52">
        <f t="shared" si="46"/>
        <v>0</v>
      </c>
      <c r="K625" s="108"/>
      <c r="L625" s="113"/>
      <c r="M625" s="4"/>
      <c r="N625" s="4"/>
      <c r="O625" s="4"/>
      <c r="P625" s="4"/>
      <c r="Q625" s="4"/>
      <c r="R625" s="4"/>
      <c r="S625" s="4"/>
      <c r="T625" s="4"/>
    </row>
    <row r="626" spans="2:20" s="1" customFormat="1" ht="12.95" customHeight="1" x14ac:dyDescent="0.15">
      <c r="B626" s="26">
        <v>2</v>
      </c>
      <c r="C626" s="17"/>
      <c r="D626" s="24"/>
      <c r="E626" s="24"/>
      <c r="F626" s="129"/>
      <c r="G626" s="20"/>
      <c r="H626" s="20">
        <v>1</v>
      </c>
      <c r="I626" s="129">
        <f t="shared" si="45"/>
        <v>0</v>
      </c>
      <c r="J626" s="52">
        <f>(F626*G626*H626)/$C$32</f>
        <v>0</v>
      </c>
      <c r="K626" s="108"/>
      <c r="L626" s="113"/>
      <c r="M626" s="4"/>
      <c r="N626" s="4"/>
      <c r="O626" s="4"/>
      <c r="P626" s="4"/>
      <c r="Q626" s="4"/>
      <c r="R626" s="4"/>
      <c r="S626" s="4"/>
      <c r="T626" s="4"/>
    </row>
    <row r="627" spans="2:20" s="1" customFormat="1" ht="12.95" customHeight="1" x14ac:dyDescent="0.15">
      <c r="B627" s="26">
        <v>3</v>
      </c>
      <c r="C627" s="24"/>
      <c r="D627" s="24"/>
      <c r="E627" s="24"/>
      <c r="F627" s="129"/>
      <c r="G627" s="20"/>
      <c r="H627" s="20">
        <v>1</v>
      </c>
      <c r="I627" s="129">
        <f t="shared" si="45"/>
        <v>0</v>
      </c>
      <c r="J627" s="52">
        <f>(F627*G627*H627)/$C$32</f>
        <v>0</v>
      </c>
      <c r="K627" s="108"/>
      <c r="L627" s="113"/>
      <c r="M627" s="4"/>
      <c r="N627" s="4"/>
      <c r="O627" s="4"/>
      <c r="P627" s="4"/>
      <c r="Q627" s="4"/>
      <c r="R627" s="4"/>
      <c r="S627" s="4"/>
      <c r="T627" s="4"/>
    </row>
    <row r="628" spans="2:20" s="1" customFormat="1" ht="12.95" customHeight="1" x14ac:dyDescent="0.15">
      <c r="B628" s="26">
        <v>4</v>
      </c>
      <c r="C628" s="24"/>
      <c r="D628" s="24"/>
      <c r="E628" s="24"/>
      <c r="F628" s="129"/>
      <c r="G628" s="20"/>
      <c r="H628" s="20">
        <v>1</v>
      </c>
      <c r="I628" s="129">
        <f t="shared" si="45"/>
        <v>0</v>
      </c>
      <c r="J628" s="52">
        <f t="shared" ref="J628:J629" si="47">(F628*G628*H628)/$C$32</f>
        <v>0</v>
      </c>
      <c r="K628" s="108"/>
      <c r="L628" s="113"/>
      <c r="M628" s="4"/>
      <c r="N628" s="4"/>
      <c r="O628" s="4"/>
      <c r="P628" s="4"/>
      <c r="Q628" s="4"/>
      <c r="R628" s="4"/>
      <c r="S628" s="4"/>
      <c r="T628" s="4"/>
    </row>
    <row r="629" spans="2:20" s="1" customFormat="1" ht="12.95" customHeight="1" x14ac:dyDescent="0.15">
      <c r="B629" s="26">
        <v>5</v>
      </c>
      <c r="C629" s="17"/>
      <c r="D629" s="18"/>
      <c r="E629" s="18"/>
      <c r="F629" s="129"/>
      <c r="G629" s="20"/>
      <c r="H629" s="20">
        <v>1</v>
      </c>
      <c r="I629" s="129">
        <f>J629*$C$32</f>
        <v>0</v>
      </c>
      <c r="J629" s="27">
        <f t="shared" si="47"/>
        <v>0</v>
      </c>
      <c r="K629" s="108"/>
      <c r="L629" s="113"/>
      <c r="M629" s="4"/>
      <c r="N629" s="4"/>
      <c r="O629" s="4"/>
      <c r="P629" s="4"/>
      <c r="Q629" s="4"/>
      <c r="R629" s="4"/>
      <c r="S629" s="4"/>
      <c r="T629" s="4"/>
    </row>
    <row r="630" spans="2:20" s="1" customFormat="1" ht="12.95" customHeight="1" x14ac:dyDescent="0.15">
      <c r="B630" s="26">
        <v>6</v>
      </c>
      <c r="C630" s="17"/>
      <c r="D630" s="24"/>
      <c r="E630" s="24"/>
      <c r="F630" s="129"/>
      <c r="G630" s="20"/>
      <c r="H630" s="20">
        <v>1</v>
      </c>
      <c r="I630" s="129">
        <f t="shared" ref="I630" si="48">J630*$C$32</f>
        <v>0</v>
      </c>
      <c r="J630" s="54">
        <f>(F630*G630*H630)/$C$32</f>
        <v>0</v>
      </c>
      <c r="K630" s="108"/>
      <c r="L630" s="113"/>
      <c r="M630" s="4"/>
      <c r="N630" s="4"/>
      <c r="O630" s="4"/>
      <c r="P630" s="4"/>
      <c r="Q630" s="4"/>
      <c r="R630" s="4"/>
      <c r="S630" s="4"/>
      <c r="T630" s="4"/>
    </row>
    <row r="631" spans="2:20" s="1" customFormat="1" ht="12.95" customHeight="1" x14ac:dyDescent="0.15">
      <c r="B631" s="26">
        <v>7</v>
      </c>
      <c r="C631" s="17"/>
      <c r="D631" s="24"/>
      <c r="E631" s="24"/>
      <c r="F631" s="129"/>
      <c r="G631" s="20"/>
      <c r="H631" s="20">
        <v>1</v>
      </c>
      <c r="I631" s="129">
        <f>J631*$C$32</f>
        <v>0</v>
      </c>
      <c r="J631" s="54">
        <f>(F631*G631*H631)/$C$32</f>
        <v>0</v>
      </c>
      <c r="K631" s="108"/>
      <c r="L631" s="113"/>
      <c r="M631" s="4"/>
      <c r="N631" s="4"/>
      <c r="O631" s="4"/>
      <c r="P631" s="4"/>
      <c r="Q631" s="4"/>
      <c r="R631" s="4"/>
      <c r="S631" s="4"/>
      <c r="T631" s="4"/>
    </row>
    <row r="632" spans="2:20" s="1" customFormat="1" ht="14.85" customHeight="1" x14ac:dyDescent="0.15">
      <c r="B632" s="26">
        <v>8</v>
      </c>
      <c r="C632" s="17"/>
      <c r="D632" s="24"/>
      <c r="E632" s="24"/>
      <c r="F632" s="129"/>
      <c r="G632" s="20"/>
      <c r="H632" s="20">
        <v>1</v>
      </c>
      <c r="I632" s="129">
        <f t="shared" ref="I632:I644" si="49">J632*$C$32</f>
        <v>0</v>
      </c>
      <c r="J632" s="52">
        <f t="shared" ref="J632:J644" si="50">(F632*G632*H632)/$C$32</f>
        <v>0</v>
      </c>
      <c r="K632" s="108"/>
      <c r="L632" s="113"/>
      <c r="M632" s="4"/>
      <c r="N632" s="4"/>
      <c r="O632" s="4"/>
      <c r="P632" s="4"/>
      <c r="Q632" s="4"/>
      <c r="R632" s="4"/>
      <c r="S632" s="4"/>
      <c r="T632" s="4"/>
    </row>
    <row r="633" spans="2:20" s="1" customFormat="1" ht="12.95" customHeight="1" x14ac:dyDescent="0.15">
      <c r="B633" s="26">
        <v>9</v>
      </c>
      <c r="C633" s="17"/>
      <c r="D633" s="24"/>
      <c r="E633" s="24"/>
      <c r="F633" s="129"/>
      <c r="G633" s="20"/>
      <c r="H633" s="20">
        <v>1</v>
      </c>
      <c r="I633" s="129">
        <f t="shared" si="49"/>
        <v>0</v>
      </c>
      <c r="J633" s="52">
        <f t="shared" si="50"/>
        <v>0</v>
      </c>
      <c r="K633" s="108"/>
      <c r="L633" s="113"/>
      <c r="M633" s="4"/>
      <c r="N633" s="4"/>
      <c r="O633" s="4"/>
      <c r="P633" s="4"/>
      <c r="Q633" s="4"/>
      <c r="R633" s="4"/>
      <c r="S633" s="4"/>
      <c r="T633" s="4"/>
    </row>
    <row r="634" spans="2:20" s="1" customFormat="1" ht="12.95" customHeight="1" x14ac:dyDescent="0.15">
      <c r="B634" s="26">
        <v>10</v>
      </c>
      <c r="C634" s="17"/>
      <c r="D634" s="24"/>
      <c r="E634" s="24"/>
      <c r="F634" s="129"/>
      <c r="G634" s="20"/>
      <c r="H634" s="20">
        <v>1</v>
      </c>
      <c r="I634" s="129">
        <f t="shared" si="49"/>
        <v>0</v>
      </c>
      <c r="J634" s="52">
        <f t="shared" si="50"/>
        <v>0</v>
      </c>
      <c r="K634" s="108"/>
      <c r="L634" s="113"/>
      <c r="M634" s="4"/>
      <c r="N634" s="4"/>
      <c r="O634" s="4"/>
      <c r="P634" s="4"/>
      <c r="Q634" s="4"/>
      <c r="R634" s="4"/>
      <c r="S634" s="4"/>
      <c r="T634" s="4"/>
    </row>
    <row r="635" spans="2:20" s="1" customFormat="1" ht="12.95" customHeight="1" x14ac:dyDescent="0.15">
      <c r="B635" s="26">
        <v>11</v>
      </c>
      <c r="C635" s="17"/>
      <c r="D635" s="24"/>
      <c r="E635" s="24"/>
      <c r="F635" s="129"/>
      <c r="G635" s="20"/>
      <c r="H635" s="20">
        <v>1</v>
      </c>
      <c r="I635" s="129">
        <f t="shared" si="49"/>
        <v>0</v>
      </c>
      <c r="J635" s="52">
        <f t="shared" si="50"/>
        <v>0</v>
      </c>
      <c r="K635" s="108"/>
      <c r="L635" s="113"/>
      <c r="M635" s="4"/>
      <c r="N635" s="4"/>
      <c r="O635" s="4"/>
      <c r="P635" s="4"/>
      <c r="Q635" s="4"/>
      <c r="R635" s="4"/>
      <c r="S635" s="4"/>
      <c r="T635" s="4"/>
    </row>
    <row r="636" spans="2:20" s="1" customFormat="1" ht="12.95" customHeight="1" x14ac:dyDescent="0.15">
      <c r="B636" s="26">
        <v>12</v>
      </c>
      <c r="C636" s="17"/>
      <c r="D636" s="18"/>
      <c r="E636" s="18"/>
      <c r="F636" s="129"/>
      <c r="G636" s="20"/>
      <c r="H636" s="20">
        <v>1</v>
      </c>
      <c r="I636" s="129">
        <f t="shared" si="49"/>
        <v>0</v>
      </c>
      <c r="J636" s="52">
        <f t="shared" si="50"/>
        <v>0</v>
      </c>
      <c r="K636" s="108"/>
      <c r="L636" s="113"/>
      <c r="M636" s="4"/>
      <c r="N636" s="4"/>
      <c r="O636" s="4"/>
      <c r="P636" s="4"/>
      <c r="Q636" s="4"/>
      <c r="R636" s="4"/>
      <c r="S636" s="4"/>
      <c r="T636" s="4"/>
    </row>
    <row r="637" spans="2:20" s="1" customFormat="1" ht="12.95" customHeight="1" x14ac:dyDescent="0.15">
      <c r="B637" s="26">
        <v>13</v>
      </c>
      <c r="C637" s="17"/>
      <c r="D637" s="18"/>
      <c r="E637" s="18"/>
      <c r="F637" s="129"/>
      <c r="G637" s="20"/>
      <c r="H637" s="20">
        <v>1</v>
      </c>
      <c r="I637" s="129">
        <f t="shared" si="49"/>
        <v>0</v>
      </c>
      <c r="J637" s="52">
        <f t="shared" si="50"/>
        <v>0</v>
      </c>
      <c r="K637" s="108"/>
      <c r="L637" s="113"/>
      <c r="M637" s="4"/>
      <c r="N637" s="4"/>
      <c r="O637" s="4"/>
      <c r="P637" s="4"/>
      <c r="Q637" s="4"/>
      <c r="R637" s="4"/>
      <c r="S637" s="4"/>
      <c r="T637" s="4"/>
    </row>
    <row r="638" spans="2:20" s="1" customFormat="1" ht="12.95" customHeight="1" x14ac:dyDescent="0.15">
      <c r="B638" s="26">
        <v>14</v>
      </c>
      <c r="C638" s="17"/>
      <c r="D638" s="18"/>
      <c r="E638" s="18"/>
      <c r="F638" s="129"/>
      <c r="G638" s="20"/>
      <c r="H638" s="20">
        <v>1</v>
      </c>
      <c r="I638" s="129">
        <f t="shared" si="49"/>
        <v>0</v>
      </c>
      <c r="J638" s="52">
        <f t="shared" si="50"/>
        <v>0</v>
      </c>
      <c r="K638" s="108"/>
      <c r="L638" s="113"/>
      <c r="M638" s="4"/>
      <c r="N638" s="4"/>
      <c r="O638" s="4"/>
      <c r="P638" s="4"/>
      <c r="Q638" s="4"/>
      <c r="R638" s="4"/>
      <c r="S638" s="4"/>
      <c r="T638" s="4"/>
    </row>
    <row r="639" spans="2:20" s="1" customFormat="1" ht="12.95" customHeight="1" x14ac:dyDescent="0.15">
      <c r="B639" s="26">
        <v>15</v>
      </c>
      <c r="C639" s="11"/>
      <c r="D639" s="18"/>
      <c r="E639" s="18"/>
      <c r="F639" s="129"/>
      <c r="G639" s="20"/>
      <c r="H639" s="20">
        <v>1</v>
      </c>
      <c r="I639" s="126">
        <f t="shared" si="49"/>
        <v>0</v>
      </c>
      <c r="J639" s="21">
        <f t="shared" si="50"/>
        <v>0</v>
      </c>
      <c r="K639" s="108"/>
      <c r="L639" s="113"/>
      <c r="M639" s="4"/>
      <c r="N639" s="4"/>
      <c r="O639" s="4"/>
      <c r="P639" s="4"/>
      <c r="Q639" s="4"/>
      <c r="R639" s="4"/>
      <c r="S639" s="4"/>
      <c r="T639" s="4"/>
    </row>
    <row r="640" spans="2:20" s="1" customFormat="1" ht="12.95" customHeight="1" x14ac:dyDescent="0.15">
      <c r="B640" s="26">
        <v>16</v>
      </c>
      <c r="C640" s="23"/>
      <c r="D640" s="49"/>
      <c r="E640" s="49"/>
      <c r="F640" s="126"/>
      <c r="G640" s="50"/>
      <c r="H640" s="20">
        <v>1</v>
      </c>
      <c r="I640" s="126">
        <f t="shared" si="49"/>
        <v>0</v>
      </c>
      <c r="J640" s="21">
        <f t="shared" si="50"/>
        <v>0</v>
      </c>
      <c r="K640" s="108"/>
      <c r="L640" s="113"/>
      <c r="M640" s="4"/>
      <c r="N640" s="4"/>
      <c r="O640" s="4"/>
      <c r="P640" s="4"/>
      <c r="Q640" s="4"/>
      <c r="R640" s="4"/>
      <c r="S640" s="4"/>
      <c r="T640" s="4"/>
    </row>
    <row r="641" spans="2:20" s="1" customFormat="1" ht="12.95" customHeight="1" x14ac:dyDescent="0.15">
      <c r="B641" s="26">
        <v>17</v>
      </c>
      <c r="C641" s="23"/>
      <c r="D641" s="48"/>
      <c r="E641" s="48"/>
      <c r="F641" s="126"/>
      <c r="G641" s="50"/>
      <c r="H641" s="20">
        <v>1</v>
      </c>
      <c r="I641" s="126">
        <f t="shared" si="49"/>
        <v>0</v>
      </c>
      <c r="J641" s="21">
        <f t="shared" si="50"/>
        <v>0</v>
      </c>
      <c r="K641" s="108"/>
      <c r="L641" s="113"/>
      <c r="M641" s="4"/>
      <c r="N641" s="4"/>
      <c r="O641" s="4"/>
      <c r="P641" s="4"/>
      <c r="Q641" s="4"/>
      <c r="R641" s="4"/>
      <c r="S641" s="4"/>
      <c r="T641" s="4"/>
    </row>
    <row r="642" spans="2:20" s="1" customFormat="1" ht="12.95" customHeight="1" x14ac:dyDescent="0.15">
      <c r="B642" s="26">
        <v>18</v>
      </c>
      <c r="C642" s="23"/>
      <c r="D642" s="48"/>
      <c r="E642" s="48"/>
      <c r="F642" s="126"/>
      <c r="G642" s="50"/>
      <c r="H642" s="20">
        <v>1</v>
      </c>
      <c r="I642" s="126">
        <f t="shared" si="49"/>
        <v>0</v>
      </c>
      <c r="J642" s="21">
        <f t="shared" si="50"/>
        <v>0</v>
      </c>
      <c r="K642" s="108"/>
      <c r="L642" s="113"/>
      <c r="M642" s="4"/>
      <c r="N642" s="4"/>
      <c r="O642" s="4"/>
      <c r="P642" s="4"/>
      <c r="Q642" s="4"/>
      <c r="R642" s="4"/>
      <c r="S642" s="4"/>
      <c r="T642" s="4"/>
    </row>
    <row r="643" spans="2:20" s="1" customFormat="1" ht="12.95" customHeight="1" x14ac:dyDescent="0.15">
      <c r="B643" s="26">
        <v>19</v>
      </c>
      <c r="C643" s="23"/>
      <c r="D643" s="48"/>
      <c r="E643" s="48"/>
      <c r="F643" s="126"/>
      <c r="G643" s="50"/>
      <c r="H643" s="20">
        <v>1</v>
      </c>
      <c r="I643" s="126">
        <f t="shared" si="49"/>
        <v>0</v>
      </c>
      <c r="J643" s="21">
        <f t="shared" si="50"/>
        <v>0</v>
      </c>
      <c r="K643" s="108"/>
      <c r="L643" s="113"/>
      <c r="M643" s="4"/>
      <c r="N643" s="4"/>
      <c r="O643" s="4"/>
      <c r="P643" s="4"/>
      <c r="Q643" s="4"/>
      <c r="R643" s="4"/>
      <c r="S643" s="4"/>
      <c r="T643" s="4"/>
    </row>
    <row r="644" spans="2:20" s="1" customFormat="1" ht="12.95" customHeight="1" x14ac:dyDescent="0.15">
      <c r="B644" s="26">
        <v>20</v>
      </c>
      <c r="C644" s="23"/>
      <c r="D644" s="48"/>
      <c r="E644" s="48"/>
      <c r="F644" s="126"/>
      <c r="G644" s="50"/>
      <c r="H644" s="20">
        <v>1</v>
      </c>
      <c r="I644" s="126">
        <f t="shared" si="49"/>
        <v>0</v>
      </c>
      <c r="J644" s="21">
        <f t="shared" si="50"/>
        <v>0</v>
      </c>
      <c r="K644" s="108"/>
      <c r="L644" s="113"/>
      <c r="M644" s="4"/>
      <c r="N644" s="4"/>
      <c r="O644" s="4"/>
      <c r="P644" s="4"/>
      <c r="Q644" s="4"/>
      <c r="R644" s="4"/>
      <c r="S644" s="4"/>
      <c r="T644" s="4"/>
    </row>
    <row r="645" spans="2:20" s="1" customFormat="1" ht="12.95" customHeight="1" x14ac:dyDescent="0.15">
      <c r="B645" s="26"/>
      <c r="C645" s="23"/>
      <c r="D645" s="48"/>
      <c r="E645" s="48"/>
      <c r="F645" s="126"/>
      <c r="G645" s="50"/>
      <c r="H645" s="50"/>
      <c r="I645" s="126"/>
      <c r="J645" s="38"/>
      <c r="K645" s="108"/>
      <c r="L645" s="113"/>
      <c r="M645" s="4"/>
      <c r="N645" s="4"/>
      <c r="O645" s="4"/>
      <c r="P645" s="4"/>
      <c r="Q645" s="4"/>
      <c r="R645" s="4"/>
      <c r="S645" s="4"/>
      <c r="T645" s="4"/>
    </row>
    <row r="646" spans="2:20" s="1" customFormat="1" ht="12.95" customHeight="1" x14ac:dyDescent="0.15">
      <c r="B646" s="26"/>
      <c r="C646" s="23"/>
      <c r="D646" s="48"/>
      <c r="E646" s="48"/>
      <c r="F646" s="126"/>
      <c r="G646" s="50"/>
      <c r="H646" s="50"/>
      <c r="I646" s="126"/>
      <c r="J646" s="38"/>
      <c r="K646" s="108"/>
      <c r="L646" s="113"/>
      <c r="M646" s="4"/>
      <c r="N646" s="4"/>
      <c r="O646" s="4"/>
      <c r="P646" s="4"/>
      <c r="Q646" s="4"/>
      <c r="R646" s="4"/>
      <c r="S646" s="4"/>
      <c r="T646" s="4"/>
    </row>
    <row r="647" spans="2:20" s="1" customFormat="1" ht="12.95" customHeight="1" x14ac:dyDescent="0.15">
      <c r="B647" s="26"/>
      <c r="C647" s="95" t="s">
        <v>132</v>
      </c>
      <c r="D647" s="49"/>
      <c r="E647" s="49"/>
      <c r="F647" s="126"/>
      <c r="G647" s="50"/>
      <c r="H647" s="50"/>
      <c r="I647" s="126"/>
      <c r="J647" s="21"/>
      <c r="K647" s="108"/>
      <c r="L647" s="113"/>
      <c r="M647" s="57"/>
      <c r="N647" s="57"/>
      <c r="O647" s="57"/>
      <c r="P647" s="57"/>
      <c r="Q647" s="58"/>
      <c r="R647" s="57"/>
      <c r="S647" s="4"/>
      <c r="T647" s="57"/>
    </row>
    <row r="648" spans="2:20" s="1" customFormat="1" ht="12.95" customHeight="1" x14ac:dyDescent="0.15">
      <c r="B648" s="26">
        <v>1</v>
      </c>
      <c r="C648" s="60"/>
      <c r="D648" s="49"/>
      <c r="E648" s="49"/>
      <c r="F648" s="126"/>
      <c r="G648" s="50"/>
      <c r="H648" s="50">
        <v>1</v>
      </c>
      <c r="I648" s="126">
        <f>J648*$C$32</f>
        <v>0</v>
      </c>
      <c r="J648" s="21">
        <f t="shared" ref="J648:J667" si="51">(F648*G648*H648)/$C$32</f>
        <v>0</v>
      </c>
      <c r="K648" s="108"/>
      <c r="L648" s="113"/>
      <c r="M648" s="57"/>
      <c r="N648" s="57"/>
      <c r="O648" s="57"/>
      <c r="P648" s="57"/>
      <c r="Q648" s="58"/>
      <c r="R648" s="57"/>
      <c r="S648" s="4"/>
      <c r="T648" s="57"/>
    </row>
    <row r="649" spans="2:20" s="1" customFormat="1" ht="12.95" customHeight="1" x14ac:dyDescent="0.15">
      <c r="B649" s="26">
        <v>2</v>
      </c>
      <c r="C649" s="59"/>
      <c r="D649" s="49"/>
      <c r="E649" s="49"/>
      <c r="F649" s="126"/>
      <c r="G649" s="50"/>
      <c r="H649" s="50">
        <v>1</v>
      </c>
      <c r="I649" s="126">
        <f t="shared" ref="I649:I667" si="52">J649*$C$32</f>
        <v>0</v>
      </c>
      <c r="J649" s="21">
        <f t="shared" si="51"/>
        <v>0</v>
      </c>
      <c r="K649" s="108"/>
      <c r="L649" s="113"/>
      <c r="M649" s="57"/>
      <c r="N649" s="57"/>
      <c r="O649" s="57"/>
      <c r="P649" s="57"/>
      <c r="Q649" s="58"/>
      <c r="R649" s="57"/>
      <c r="S649" s="4"/>
      <c r="T649" s="57"/>
    </row>
    <row r="650" spans="2:20" s="1" customFormat="1" ht="12.95" customHeight="1" x14ac:dyDescent="0.15">
      <c r="B650" s="26">
        <v>3</v>
      </c>
      <c r="C650" s="61"/>
      <c r="D650" s="49"/>
      <c r="E650" s="49"/>
      <c r="F650" s="126"/>
      <c r="G650" s="50"/>
      <c r="H650" s="50">
        <v>1</v>
      </c>
      <c r="I650" s="126">
        <f t="shared" si="52"/>
        <v>0</v>
      </c>
      <c r="J650" s="21">
        <f t="shared" si="51"/>
        <v>0</v>
      </c>
      <c r="K650" s="108"/>
      <c r="L650" s="113"/>
      <c r="M650" s="57"/>
      <c r="N650" s="57"/>
      <c r="O650" s="57"/>
      <c r="P650" s="57"/>
      <c r="Q650" s="58"/>
      <c r="R650" s="57"/>
      <c r="S650" s="4"/>
      <c r="T650" s="57"/>
    </row>
    <row r="651" spans="2:20" s="1" customFormat="1" ht="12.95" customHeight="1" x14ac:dyDescent="0.15">
      <c r="B651" s="16">
        <v>4</v>
      </c>
      <c r="C651" s="11"/>
      <c r="D651" s="18"/>
      <c r="E651" s="18"/>
      <c r="F651" s="129"/>
      <c r="G651" s="20"/>
      <c r="H651" s="20">
        <v>1</v>
      </c>
      <c r="I651" s="126">
        <f t="shared" si="52"/>
        <v>0</v>
      </c>
      <c r="J651" s="21">
        <f t="shared" si="51"/>
        <v>0</v>
      </c>
      <c r="K651" s="80"/>
      <c r="L651" s="82"/>
      <c r="M651" s="10"/>
      <c r="N651" s="10"/>
      <c r="O651" s="10"/>
      <c r="P651" s="10"/>
      <c r="Q651" s="43"/>
      <c r="R651" s="10"/>
      <c r="T651" s="10"/>
    </row>
    <row r="652" spans="2:20" s="1" customFormat="1" ht="12.95" customHeight="1" x14ac:dyDescent="0.15">
      <c r="B652" s="16">
        <v>5</v>
      </c>
      <c r="C652" s="46"/>
      <c r="D652" s="18"/>
      <c r="E652" s="18"/>
      <c r="F652" s="129"/>
      <c r="G652" s="20"/>
      <c r="H652" s="20">
        <v>1</v>
      </c>
      <c r="I652" s="126">
        <f t="shared" si="52"/>
        <v>0</v>
      </c>
      <c r="J652" s="21">
        <f t="shared" si="51"/>
        <v>0</v>
      </c>
      <c r="K652" s="80"/>
      <c r="L652" s="82"/>
      <c r="M652" s="10"/>
      <c r="N652" s="10"/>
      <c r="O652" s="10"/>
      <c r="P652" s="10"/>
      <c r="Q652" s="43"/>
      <c r="R652" s="10"/>
      <c r="T652" s="10"/>
    </row>
    <row r="653" spans="2:20" s="1" customFormat="1" ht="12.95" customHeight="1" x14ac:dyDescent="0.15">
      <c r="B653" s="16">
        <v>6</v>
      </c>
      <c r="C653" s="11"/>
      <c r="D653" s="18"/>
      <c r="E653" s="18"/>
      <c r="F653" s="129"/>
      <c r="G653" s="20"/>
      <c r="H653" s="20">
        <v>1</v>
      </c>
      <c r="I653" s="126">
        <f t="shared" si="52"/>
        <v>0</v>
      </c>
      <c r="J653" s="21">
        <f t="shared" si="51"/>
        <v>0</v>
      </c>
      <c r="K653" s="80"/>
      <c r="L653" s="82"/>
      <c r="M653" s="10"/>
      <c r="N653" s="10"/>
      <c r="O653" s="10"/>
      <c r="P653" s="10"/>
      <c r="Q653" s="43"/>
      <c r="R653" s="10"/>
      <c r="T653" s="10"/>
    </row>
    <row r="654" spans="2:20" s="1" customFormat="1" ht="12.95" customHeight="1" x14ac:dyDescent="0.15">
      <c r="B654" s="16">
        <v>7</v>
      </c>
      <c r="C654" s="11"/>
      <c r="D654" s="18"/>
      <c r="E654" s="18"/>
      <c r="F654" s="129"/>
      <c r="G654" s="20"/>
      <c r="H654" s="20">
        <v>1</v>
      </c>
      <c r="I654" s="126">
        <f t="shared" si="52"/>
        <v>0</v>
      </c>
      <c r="J654" s="21">
        <f t="shared" si="51"/>
        <v>0</v>
      </c>
      <c r="K654" s="80"/>
      <c r="L654" s="82"/>
      <c r="M654" s="10"/>
      <c r="N654" s="10"/>
      <c r="O654" s="10"/>
      <c r="P654" s="10"/>
      <c r="Q654" s="43"/>
      <c r="R654" s="10"/>
      <c r="T654" s="10"/>
    </row>
    <row r="655" spans="2:20" s="1" customFormat="1" ht="12.95" customHeight="1" x14ac:dyDescent="0.15">
      <c r="B655" s="16">
        <v>8</v>
      </c>
      <c r="C655" s="11"/>
      <c r="D655" s="18"/>
      <c r="E655" s="18"/>
      <c r="F655" s="129"/>
      <c r="G655" s="20"/>
      <c r="H655" s="20">
        <v>1</v>
      </c>
      <c r="I655" s="126">
        <f t="shared" si="52"/>
        <v>0</v>
      </c>
      <c r="J655" s="21">
        <f t="shared" si="51"/>
        <v>0</v>
      </c>
      <c r="K655" s="80"/>
      <c r="L655" s="82"/>
      <c r="M655" s="10"/>
      <c r="N655" s="10"/>
      <c r="O655" s="10"/>
      <c r="P655" s="10"/>
      <c r="Q655" s="43"/>
      <c r="R655" s="10"/>
      <c r="T655" s="10"/>
    </row>
    <row r="656" spans="2:20" s="1" customFormat="1" ht="12.95" customHeight="1" x14ac:dyDescent="0.15">
      <c r="B656" s="16">
        <v>9</v>
      </c>
      <c r="C656" s="11"/>
      <c r="D656" s="18"/>
      <c r="E656" s="18"/>
      <c r="F656" s="129"/>
      <c r="G656" s="20"/>
      <c r="H656" s="20">
        <v>1</v>
      </c>
      <c r="I656" s="126">
        <f t="shared" si="52"/>
        <v>0</v>
      </c>
      <c r="J656" s="21">
        <f t="shared" si="51"/>
        <v>0</v>
      </c>
      <c r="K656" s="80"/>
      <c r="L656" s="82"/>
      <c r="M656" s="10"/>
      <c r="N656" s="10"/>
      <c r="O656" s="10"/>
      <c r="P656" s="10"/>
      <c r="Q656" s="43"/>
      <c r="R656" s="10"/>
      <c r="T656" s="10"/>
    </row>
    <row r="657" spans="2:20" s="1" customFormat="1" ht="12.95" customHeight="1" x14ac:dyDescent="0.15">
      <c r="B657" s="16">
        <v>10</v>
      </c>
      <c r="C657" s="11"/>
      <c r="D657" s="18"/>
      <c r="E657" s="18"/>
      <c r="F657" s="129"/>
      <c r="G657" s="20"/>
      <c r="H657" s="20">
        <v>1</v>
      </c>
      <c r="I657" s="126">
        <f t="shared" si="52"/>
        <v>0</v>
      </c>
      <c r="J657" s="21">
        <f t="shared" si="51"/>
        <v>0</v>
      </c>
      <c r="K657" s="80"/>
      <c r="L657" s="82"/>
      <c r="M657" s="10"/>
      <c r="N657" s="10"/>
      <c r="O657" s="10"/>
      <c r="P657" s="10"/>
      <c r="Q657" s="43"/>
      <c r="R657" s="10"/>
      <c r="T657" s="10"/>
    </row>
    <row r="658" spans="2:20" s="1" customFormat="1" ht="12.95" customHeight="1" x14ac:dyDescent="0.15">
      <c r="B658" s="16">
        <v>11</v>
      </c>
      <c r="C658" s="11"/>
      <c r="D658" s="18"/>
      <c r="E658" s="18"/>
      <c r="F658" s="129"/>
      <c r="G658" s="20"/>
      <c r="H658" s="20">
        <v>1</v>
      </c>
      <c r="I658" s="126">
        <f t="shared" si="52"/>
        <v>0</v>
      </c>
      <c r="J658" s="21">
        <f t="shared" si="51"/>
        <v>0</v>
      </c>
      <c r="K658" s="80"/>
      <c r="L658" s="82"/>
      <c r="M658" s="10"/>
      <c r="N658" s="10"/>
      <c r="O658" s="10"/>
      <c r="P658" s="10"/>
      <c r="Q658" s="43"/>
      <c r="R658" s="10"/>
      <c r="T658" s="10"/>
    </row>
    <row r="659" spans="2:20" s="1" customFormat="1" ht="12.95" customHeight="1" x14ac:dyDescent="0.15">
      <c r="B659" s="16">
        <v>12</v>
      </c>
      <c r="C659" s="11"/>
      <c r="D659" s="18"/>
      <c r="E659" s="18"/>
      <c r="F659" s="129"/>
      <c r="G659" s="20"/>
      <c r="H659" s="20">
        <v>1</v>
      </c>
      <c r="I659" s="126">
        <f t="shared" si="52"/>
        <v>0</v>
      </c>
      <c r="J659" s="21">
        <f t="shared" si="51"/>
        <v>0</v>
      </c>
      <c r="K659" s="80"/>
      <c r="L659" s="82"/>
      <c r="M659" s="10"/>
      <c r="N659" s="10"/>
      <c r="O659" s="10"/>
      <c r="P659" s="10"/>
      <c r="Q659" s="43"/>
      <c r="R659" s="10"/>
      <c r="T659" s="10"/>
    </row>
    <row r="660" spans="2:20" s="1" customFormat="1" ht="12.95" customHeight="1" x14ac:dyDescent="0.15">
      <c r="B660" s="16">
        <v>13</v>
      </c>
      <c r="C660" s="11"/>
      <c r="D660" s="18"/>
      <c r="E660" s="18"/>
      <c r="F660" s="129"/>
      <c r="G660" s="20"/>
      <c r="H660" s="20">
        <v>1</v>
      </c>
      <c r="I660" s="126">
        <f t="shared" si="52"/>
        <v>0</v>
      </c>
      <c r="J660" s="21">
        <f t="shared" si="51"/>
        <v>0</v>
      </c>
      <c r="K660" s="80"/>
      <c r="L660" s="82"/>
      <c r="M660" s="10"/>
      <c r="N660" s="10"/>
      <c r="O660" s="10"/>
      <c r="P660" s="10"/>
      <c r="Q660" s="43"/>
      <c r="R660" s="10"/>
      <c r="T660" s="10"/>
    </row>
    <row r="661" spans="2:20" s="1" customFormat="1" ht="12.95" customHeight="1" x14ac:dyDescent="0.15">
      <c r="B661" s="16">
        <v>14</v>
      </c>
      <c r="C661" s="11"/>
      <c r="D661" s="18"/>
      <c r="E661" s="18"/>
      <c r="F661" s="129"/>
      <c r="G661" s="20"/>
      <c r="H661" s="20">
        <v>1</v>
      </c>
      <c r="I661" s="126">
        <f t="shared" si="52"/>
        <v>0</v>
      </c>
      <c r="J661" s="21">
        <f t="shared" si="51"/>
        <v>0</v>
      </c>
      <c r="K661" s="80"/>
      <c r="L661" s="82"/>
      <c r="M661" s="10"/>
      <c r="N661" s="10"/>
      <c r="O661" s="10"/>
      <c r="P661" s="10"/>
      <c r="Q661" s="43"/>
      <c r="R661" s="10"/>
      <c r="T661" s="10"/>
    </row>
    <row r="662" spans="2:20" s="1" customFormat="1" ht="12.95" customHeight="1" x14ac:dyDescent="0.15">
      <c r="B662" s="16">
        <v>15</v>
      </c>
      <c r="C662" s="11"/>
      <c r="D662" s="18"/>
      <c r="E662" s="18"/>
      <c r="F662" s="129"/>
      <c r="G662" s="20"/>
      <c r="H662" s="20">
        <v>1</v>
      </c>
      <c r="I662" s="126">
        <f t="shared" si="52"/>
        <v>0</v>
      </c>
      <c r="J662" s="21">
        <f t="shared" si="51"/>
        <v>0</v>
      </c>
      <c r="K662" s="80"/>
      <c r="L662" s="82"/>
      <c r="M662" s="10"/>
      <c r="N662" s="10"/>
      <c r="O662" s="10"/>
      <c r="P662" s="10"/>
      <c r="Q662" s="43"/>
      <c r="R662" s="10"/>
      <c r="T662" s="10"/>
    </row>
    <row r="663" spans="2:20" s="1" customFormat="1" ht="12.95" customHeight="1" x14ac:dyDescent="0.15">
      <c r="B663" s="16">
        <v>16</v>
      </c>
      <c r="C663" s="11"/>
      <c r="D663" s="18"/>
      <c r="E663" s="18"/>
      <c r="F663" s="129"/>
      <c r="G663" s="20"/>
      <c r="H663" s="20">
        <v>1</v>
      </c>
      <c r="I663" s="126">
        <f t="shared" si="52"/>
        <v>0</v>
      </c>
      <c r="J663" s="21">
        <f t="shared" si="51"/>
        <v>0</v>
      </c>
      <c r="K663" s="80"/>
      <c r="L663" s="82"/>
      <c r="M663" s="10"/>
      <c r="N663" s="10"/>
      <c r="O663" s="10"/>
      <c r="P663" s="10"/>
      <c r="Q663" s="43"/>
      <c r="R663" s="10"/>
      <c r="T663" s="10"/>
    </row>
    <row r="664" spans="2:20" s="1" customFormat="1" ht="12.95" customHeight="1" x14ac:dyDescent="0.15">
      <c r="B664" s="16">
        <v>17</v>
      </c>
      <c r="C664" s="11"/>
      <c r="D664" s="18"/>
      <c r="E664" s="18"/>
      <c r="F664" s="129"/>
      <c r="G664" s="20"/>
      <c r="H664" s="20">
        <v>1</v>
      </c>
      <c r="I664" s="126">
        <f t="shared" si="52"/>
        <v>0</v>
      </c>
      <c r="J664" s="21">
        <f t="shared" si="51"/>
        <v>0</v>
      </c>
      <c r="K664" s="80"/>
      <c r="L664" s="82"/>
      <c r="M664" s="10"/>
      <c r="N664" s="10"/>
      <c r="O664" s="10"/>
      <c r="P664" s="10"/>
      <c r="Q664" s="43"/>
      <c r="R664" s="10"/>
      <c r="T664" s="10"/>
    </row>
    <row r="665" spans="2:20" s="1" customFormat="1" ht="12.95" customHeight="1" x14ac:dyDescent="0.15">
      <c r="B665" s="16">
        <v>18</v>
      </c>
      <c r="C665" s="11"/>
      <c r="D665" s="18"/>
      <c r="E665" s="18"/>
      <c r="F665" s="129"/>
      <c r="G665" s="20"/>
      <c r="H665" s="20">
        <v>1</v>
      </c>
      <c r="I665" s="126">
        <f t="shared" si="52"/>
        <v>0</v>
      </c>
      <c r="J665" s="21">
        <f t="shared" si="51"/>
        <v>0</v>
      </c>
      <c r="K665" s="111"/>
      <c r="L665" s="119"/>
      <c r="M665" s="10"/>
      <c r="N665" s="10"/>
      <c r="O665" s="10"/>
      <c r="P665" s="10"/>
      <c r="Q665" s="43"/>
      <c r="R665" s="10"/>
      <c r="T665" s="10"/>
    </row>
    <row r="666" spans="2:20" s="1" customFormat="1" ht="12.95" customHeight="1" x14ac:dyDescent="0.15">
      <c r="B666" s="16">
        <v>19</v>
      </c>
      <c r="C666" s="16"/>
      <c r="D666" s="18"/>
      <c r="E666" s="18"/>
      <c r="F666" s="129"/>
      <c r="G666" s="20"/>
      <c r="H666" s="20">
        <v>1</v>
      </c>
      <c r="I666" s="126">
        <f t="shared" si="52"/>
        <v>0</v>
      </c>
      <c r="J666" s="259">
        <f t="shared" si="51"/>
        <v>0</v>
      </c>
      <c r="K666" s="82"/>
      <c r="L666" s="82"/>
      <c r="M666" s="10"/>
      <c r="N666" s="10"/>
      <c r="O666" s="10"/>
      <c r="P666" s="10"/>
      <c r="Q666" s="43"/>
      <c r="R666" s="10"/>
      <c r="T666" s="10"/>
    </row>
    <row r="667" spans="2:20" s="1" customFormat="1" ht="12.95" customHeight="1" x14ac:dyDescent="0.15">
      <c r="B667" s="16">
        <v>20</v>
      </c>
      <c r="C667" s="11"/>
      <c r="D667" s="18"/>
      <c r="E667" s="18"/>
      <c r="F667" s="129"/>
      <c r="G667" s="20"/>
      <c r="H667" s="20">
        <v>1</v>
      </c>
      <c r="I667" s="126">
        <f t="shared" si="52"/>
        <v>0</v>
      </c>
      <c r="J667" s="260">
        <f t="shared" si="51"/>
        <v>0</v>
      </c>
      <c r="K667" s="82"/>
      <c r="L667" s="82"/>
      <c r="M667" s="10"/>
      <c r="N667" s="10"/>
      <c r="O667" s="10"/>
      <c r="P667" s="10"/>
      <c r="Q667" s="43"/>
      <c r="R667" s="10"/>
      <c r="T667" s="10"/>
    </row>
    <row r="668" spans="2:20" s="1" customFormat="1" ht="12.95" customHeight="1" x14ac:dyDescent="0.15">
      <c r="B668" s="16"/>
      <c r="C668" s="17"/>
      <c r="D668" s="62"/>
      <c r="E668" s="63"/>
      <c r="F668" s="129"/>
      <c r="G668" s="20"/>
      <c r="H668" s="20"/>
      <c r="I668" s="254"/>
      <c r="J668" s="261"/>
      <c r="K668" s="82"/>
      <c r="L668" s="82"/>
    </row>
    <row r="669" spans="2:20" s="1" customFormat="1" ht="13.15" customHeight="1" x14ac:dyDescent="0.15">
      <c r="B669" s="83"/>
      <c r="C669" s="98"/>
      <c r="D669" s="99"/>
      <c r="E669" s="98"/>
      <c r="F669" s="127">
        <f>SUM(F610:F668)</f>
        <v>0</v>
      </c>
      <c r="G669" s="100"/>
      <c r="H669" s="101"/>
      <c r="I669" s="258">
        <f>SUM(I610:I668)</f>
        <v>0</v>
      </c>
      <c r="J669" s="106">
        <f>SUM(J612:J648)</f>
        <v>0</v>
      </c>
    </row>
    <row r="670" spans="2:20" s="1" customFormat="1" ht="13.15" customHeight="1" x14ac:dyDescent="0.15">
      <c r="B670" s="82"/>
      <c r="C670" s="102"/>
      <c r="D670" s="103"/>
      <c r="E670" s="102" t="s">
        <v>147</v>
      </c>
      <c r="F670" s="128">
        <f>100/115*F669</f>
        <v>0</v>
      </c>
      <c r="G670" s="104"/>
      <c r="H670" s="105" t="s">
        <v>147</v>
      </c>
      <c r="I670" s="256">
        <f>100/115*I669</f>
        <v>0</v>
      </c>
      <c r="J670" s="106">
        <f>SUM(J613:J649)</f>
        <v>0</v>
      </c>
    </row>
    <row r="671" spans="2:20" s="1" customFormat="1" ht="13.15" customHeight="1" x14ac:dyDescent="0.15">
      <c r="I671" s="135"/>
    </row>
    <row r="672" spans="2:20" s="1" customFormat="1" ht="13.15" customHeight="1" x14ac:dyDescent="0.15">
      <c r="I672" s="135"/>
    </row>
    <row r="673" spans="2:13" s="1" customFormat="1" ht="13.15" customHeight="1" x14ac:dyDescent="0.15">
      <c r="I673" s="135"/>
    </row>
    <row r="674" spans="2:13" s="1" customFormat="1" ht="13.15" customHeight="1" x14ac:dyDescent="0.15">
      <c r="I674" s="135"/>
    </row>
    <row r="675" spans="2:13" s="247" customFormat="1" ht="32.25" x14ac:dyDescent="0.4">
      <c r="B675" s="248"/>
      <c r="C675" s="380" t="s">
        <v>112</v>
      </c>
      <c r="D675" s="380"/>
      <c r="E675" s="428" t="s">
        <v>164</v>
      </c>
      <c r="F675" s="428"/>
      <c r="G675" s="428"/>
      <c r="H675" s="428"/>
      <c r="I675" s="428"/>
      <c r="J675" s="382">
        <v>2026</v>
      </c>
      <c r="K675" s="382"/>
      <c r="L675" s="382"/>
    </row>
    <row r="676" spans="2:13" s="1" customFormat="1" ht="39.6" customHeight="1" x14ac:dyDescent="0.15">
      <c r="B676" s="82"/>
      <c r="C676" s="102" t="s">
        <v>114</v>
      </c>
      <c r="D676" s="388" t="s">
        <v>115</v>
      </c>
      <c r="E676" s="388"/>
      <c r="F676" s="102" t="s">
        <v>116</v>
      </c>
      <c r="G676" s="102" t="s">
        <v>117</v>
      </c>
      <c r="H676" s="102" t="s">
        <v>118</v>
      </c>
      <c r="I676" s="141" t="s">
        <v>119</v>
      </c>
      <c r="J676" s="102" t="s">
        <v>120</v>
      </c>
      <c r="K676" s="82"/>
      <c r="L676" s="82"/>
    </row>
    <row r="677" spans="2:13" s="1" customFormat="1" ht="13.15" customHeight="1" x14ac:dyDescent="0.15">
      <c r="B677" s="82"/>
      <c r="C677" s="66">
        <f>C607</f>
        <v>450</v>
      </c>
      <c r="D677" s="389">
        <v>20</v>
      </c>
      <c r="E677" s="389"/>
      <c r="F677" s="13">
        <f>F607</f>
        <v>0.8</v>
      </c>
      <c r="G677" s="14">
        <f>G607</f>
        <v>8</v>
      </c>
      <c r="H677" s="142">
        <f>D677*G677*F677</f>
        <v>128</v>
      </c>
      <c r="I677" s="66">
        <f>I739</f>
        <v>0</v>
      </c>
      <c r="J677" s="143">
        <f>H677-J739</f>
        <v>128</v>
      </c>
      <c r="K677" s="82"/>
      <c r="L677" s="82"/>
    </row>
    <row r="678" spans="2:13" s="1" customFormat="1" ht="66" customHeight="1" x14ac:dyDescent="0.15">
      <c r="B678" s="84"/>
      <c r="C678" s="136" t="s">
        <v>121</v>
      </c>
      <c r="D678" s="420" t="s">
        <v>122</v>
      </c>
      <c r="E678" s="421"/>
      <c r="F678" s="137" t="s">
        <v>123</v>
      </c>
      <c r="G678" s="138" t="s">
        <v>124</v>
      </c>
      <c r="H678" s="139" t="s">
        <v>125</v>
      </c>
      <c r="I678" s="140" t="s">
        <v>126</v>
      </c>
      <c r="J678" s="138" t="s">
        <v>127</v>
      </c>
      <c r="K678" s="122" t="s">
        <v>128</v>
      </c>
      <c r="L678" s="123" t="s">
        <v>129</v>
      </c>
    </row>
    <row r="679" spans="2:13" s="1" customFormat="1" ht="12.95" customHeight="1" x14ac:dyDescent="0.15">
      <c r="B679" s="16"/>
      <c r="C679" s="17"/>
      <c r="D679" s="422"/>
      <c r="E679" s="423"/>
      <c r="F679" s="36"/>
      <c r="G679" s="20"/>
      <c r="H679" s="20"/>
      <c r="I679" s="126"/>
      <c r="J679" s="21"/>
      <c r="K679" s="80"/>
      <c r="L679" s="82"/>
    </row>
    <row r="680" spans="2:13" s="1" customFormat="1" ht="12.95" customHeight="1" x14ac:dyDescent="0.15">
      <c r="B680" s="16"/>
      <c r="C680" s="37" t="s">
        <v>130</v>
      </c>
      <c r="D680" s="24"/>
      <c r="E680" s="24"/>
      <c r="F680" s="129"/>
      <c r="G680" s="20"/>
      <c r="H680" s="20"/>
      <c r="I680" s="126"/>
      <c r="J680" s="38"/>
      <c r="K680" s="80"/>
      <c r="L680" s="82"/>
    </row>
    <row r="681" spans="2:13" s="1" customFormat="1" ht="12.75" customHeight="1" x14ac:dyDescent="0.15">
      <c r="B681" s="16"/>
      <c r="C681" s="72" t="s">
        <v>149</v>
      </c>
      <c r="D681" s="24"/>
      <c r="E681" s="24"/>
      <c r="F681" s="129"/>
      <c r="G681" s="20"/>
      <c r="H681" s="20"/>
      <c r="I681" s="126"/>
      <c r="J681" s="38"/>
      <c r="K681" s="80"/>
      <c r="L681" s="82"/>
    </row>
    <row r="682" spans="2:13" s="1" customFormat="1" ht="16.5" x14ac:dyDescent="0.15">
      <c r="B682" s="16">
        <v>1</v>
      </c>
      <c r="C682" s="23"/>
      <c r="D682" s="48"/>
      <c r="E682" s="48"/>
      <c r="F682" s="126"/>
      <c r="G682" s="50"/>
      <c r="H682" s="20">
        <v>1</v>
      </c>
      <c r="I682" s="126">
        <f t="shared" ref="I682:I704" si="53">J682*$C$32</f>
        <v>0</v>
      </c>
      <c r="J682" s="38">
        <f t="shared" ref="J682:J698" si="54">(F682*G682*H682)/$C$32</f>
        <v>0</v>
      </c>
      <c r="K682" s="80"/>
      <c r="L682" s="82"/>
      <c r="M682" s="133"/>
    </row>
    <row r="683" spans="2:13" s="1" customFormat="1" ht="12.75" customHeight="1" x14ac:dyDescent="0.15">
      <c r="B683" s="16">
        <v>2</v>
      </c>
      <c r="C683" s="23"/>
      <c r="D683" s="97"/>
      <c r="E683" s="97"/>
      <c r="F683" s="126"/>
      <c r="G683" s="50"/>
      <c r="H683" s="20">
        <v>1</v>
      </c>
      <c r="I683" s="126">
        <f t="shared" si="53"/>
        <v>0</v>
      </c>
      <c r="J683" s="38">
        <f t="shared" si="54"/>
        <v>0</v>
      </c>
      <c r="K683" s="80"/>
      <c r="L683" s="82"/>
      <c r="M683" s="134"/>
    </row>
    <row r="684" spans="2:13" s="1" customFormat="1" ht="12.75" customHeight="1" x14ac:dyDescent="0.15">
      <c r="B684" s="16">
        <v>3</v>
      </c>
      <c r="C684" s="23"/>
      <c r="D684" s="48"/>
      <c r="E684" s="48"/>
      <c r="F684" s="126"/>
      <c r="G684" s="50"/>
      <c r="H684" s="20">
        <v>1</v>
      </c>
      <c r="I684" s="126">
        <f t="shared" si="53"/>
        <v>0</v>
      </c>
      <c r="J684" s="38">
        <f t="shared" si="54"/>
        <v>0</v>
      </c>
      <c r="K684" s="80"/>
      <c r="L684" s="82"/>
    </row>
    <row r="685" spans="2:13" s="1" customFormat="1" ht="12.75" x14ac:dyDescent="0.15">
      <c r="B685" s="16">
        <v>4</v>
      </c>
      <c r="C685" s="26"/>
      <c r="D685" s="49"/>
      <c r="E685" s="49"/>
      <c r="F685" s="126"/>
      <c r="G685" s="50"/>
      <c r="H685" s="20">
        <v>1</v>
      </c>
      <c r="I685" s="126">
        <f t="shared" si="53"/>
        <v>0</v>
      </c>
      <c r="J685" s="38">
        <f t="shared" si="54"/>
        <v>0</v>
      </c>
      <c r="K685" s="80"/>
      <c r="L685" s="82"/>
    </row>
    <row r="686" spans="2:13" s="1" customFormat="1" ht="12.75" customHeight="1" x14ac:dyDescent="0.15">
      <c r="B686" s="16">
        <v>5</v>
      </c>
      <c r="C686" s="23"/>
      <c r="D686" s="48"/>
      <c r="E686" s="48"/>
      <c r="F686" s="126"/>
      <c r="G686" s="50"/>
      <c r="H686" s="20">
        <v>1</v>
      </c>
      <c r="I686" s="126">
        <f t="shared" si="53"/>
        <v>0</v>
      </c>
      <c r="J686" s="38">
        <f t="shared" si="54"/>
        <v>0</v>
      </c>
      <c r="K686" s="80"/>
      <c r="L686" s="82"/>
    </row>
    <row r="687" spans="2:13" s="1" customFormat="1" ht="12.95" customHeight="1" x14ac:dyDescent="0.15">
      <c r="B687" s="16">
        <v>6</v>
      </c>
      <c r="C687" s="23"/>
      <c r="D687" s="48"/>
      <c r="E687" s="48"/>
      <c r="F687" s="126"/>
      <c r="G687" s="50"/>
      <c r="H687" s="20">
        <v>1</v>
      </c>
      <c r="I687" s="126">
        <f t="shared" si="53"/>
        <v>0</v>
      </c>
      <c r="J687" s="38">
        <f t="shared" si="54"/>
        <v>0</v>
      </c>
      <c r="K687" s="80"/>
      <c r="L687" s="82"/>
    </row>
    <row r="688" spans="2:13" s="1" customFormat="1" ht="12.95" customHeight="1" x14ac:dyDescent="0.15">
      <c r="B688" s="16">
        <v>7</v>
      </c>
      <c r="C688" s="23"/>
      <c r="D688" s="48"/>
      <c r="E688" s="48"/>
      <c r="F688" s="126"/>
      <c r="G688" s="50"/>
      <c r="H688" s="20">
        <v>1</v>
      </c>
      <c r="I688" s="126">
        <f t="shared" si="53"/>
        <v>0</v>
      </c>
      <c r="J688" s="38">
        <f t="shared" si="54"/>
        <v>0</v>
      </c>
      <c r="K688" s="80"/>
      <c r="L688" s="82"/>
    </row>
    <row r="689" spans="2:20" s="1" customFormat="1" ht="12.95" customHeight="1" x14ac:dyDescent="0.15">
      <c r="B689" s="16">
        <v>8</v>
      </c>
      <c r="C689" s="23"/>
      <c r="D689" s="48"/>
      <c r="E689" s="48"/>
      <c r="F689" s="126"/>
      <c r="G689" s="50"/>
      <c r="H689" s="20">
        <v>1</v>
      </c>
      <c r="I689" s="126">
        <f t="shared" si="53"/>
        <v>0</v>
      </c>
      <c r="J689" s="38">
        <f t="shared" si="54"/>
        <v>0</v>
      </c>
      <c r="K689" s="80"/>
      <c r="L689" s="82"/>
    </row>
    <row r="690" spans="2:20" s="1" customFormat="1" ht="12.95" customHeight="1" x14ac:dyDescent="0.15">
      <c r="B690" s="16">
        <v>9</v>
      </c>
      <c r="C690" s="23"/>
      <c r="D690" s="48"/>
      <c r="E690" s="48"/>
      <c r="F690" s="126"/>
      <c r="G690" s="50"/>
      <c r="H690" s="20">
        <v>1</v>
      </c>
      <c r="I690" s="126">
        <f t="shared" si="53"/>
        <v>0</v>
      </c>
      <c r="J690" s="38">
        <f t="shared" si="54"/>
        <v>0</v>
      </c>
      <c r="K690" s="80"/>
      <c r="L690" s="82"/>
    </row>
    <row r="691" spans="2:20" s="1" customFormat="1" ht="12.95" customHeight="1" x14ac:dyDescent="0.15">
      <c r="B691" s="16">
        <v>10</v>
      </c>
      <c r="C691" s="23"/>
      <c r="D691" s="49"/>
      <c r="E691" s="48"/>
      <c r="F691" s="126"/>
      <c r="G691" s="50"/>
      <c r="H691" s="20">
        <v>1</v>
      </c>
      <c r="I691" s="126">
        <f t="shared" si="53"/>
        <v>0</v>
      </c>
      <c r="J691" s="38">
        <f t="shared" si="54"/>
        <v>0</v>
      </c>
      <c r="K691" s="80"/>
      <c r="L691" s="82"/>
    </row>
    <row r="692" spans="2:20" s="1" customFormat="1" ht="12.95" customHeight="1" x14ac:dyDescent="0.15">
      <c r="B692" s="16"/>
      <c r="C692" s="23"/>
      <c r="D692" s="49"/>
      <c r="E692" s="48"/>
      <c r="F692" s="126"/>
      <c r="G692" s="50"/>
      <c r="H692" s="20"/>
      <c r="I692" s="126"/>
      <c r="J692" s="38"/>
      <c r="K692" s="80"/>
      <c r="L692" s="82"/>
    </row>
    <row r="693" spans="2:20" s="1" customFormat="1" ht="12.95" customHeight="1" x14ac:dyDescent="0.15">
      <c r="B693" s="16"/>
      <c r="C693" s="23"/>
      <c r="D693" s="48"/>
      <c r="E693" s="49"/>
      <c r="F693" s="126"/>
      <c r="G693" s="50"/>
      <c r="H693" s="20"/>
      <c r="I693" s="126"/>
      <c r="J693" s="38"/>
      <c r="K693" s="80"/>
      <c r="L693" s="82"/>
    </row>
    <row r="694" spans="2:20" s="1" customFormat="1" ht="12.95" customHeight="1" x14ac:dyDescent="0.15">
      <c r="B694" s="16"/>
      <c r="C694" s="22" t="s">
        <v>156</v>
      </c>
      <c r="D694" s="24"/>
      <c r="E694" s="18"/>
      <c r="F694" s="129"/>
      <c r="G694" s="20"/>
      <c r="H694" s="20"/>
      <c r="I694" s="126"/>
      <c r="J694" s="38"/>
      <c r="K694" s="80"/>
      <c r="L694" s="82"/>
    </row>
    <row r="695" spans="2:20" s="1" customFormat="1" ht="12.95" customHeight="1" x14ac:dyDescent="0.15">
      <c r="B695" s="16">
        <v>1</v>
      </c>
      <c r="C695" s="17"/>
      <c r="D695" s="24"/>
      <c r="E695" s="18"/>
      <c r="F695" s="129"/>
      <c r="G695" s="20"/>
      <c r="H695" s="20">
        <v>1</v>
      </c>
      <c r="I695" s="126">
        <f t="shared" si="53"/>
        <v>0</v>
      </c>
      <c r="J695" s="38">
        <f t="shared" si="54"/>
        <v>0</v>
      </c>
      <c r="K695" s="80"/>
      <c r="L695" s="82"/>
    </row>
    <row r="696" spans="2:20" s="1" customFormat="1" ht="12.95" customHeight="1" x14ac:dyDescent="0.15">
      <c r="B696" s="16">
        <v>2</v>
      </c>
      <c r="C696" s="17"/>
      <c r="D696" s="24"/>
      <c r="E696" s="18"/>
      <c r="F696" s="129"/>
      <c r="G696" s="20"/>
      <c r="H696" s="20">
        <v>1</v>
      </c>
      <c r="I696" s="126">
        <f t="shared" si="53"/>
        <v>0</v>
      </c>
      <c r="J696" s="38">
        <f t="shared" si="54"/>
        <v>0</v>
      </c>
      <c r="K696" s="80"/>
      <c r="L696" s="82"/>
    </row>
    <row r="697" spans="2:20" s="1" customFormat="1" ht="12.95" customHeight="1" x14ac:dyDescent="0.15">
      <c r="B697" s="16">
        <v>3</v>
      </c>
      <c r="C697" s="17"/>
      <c r="D697" s="24"/>
      <c r="E697" s="18"/>
      <c r="F697" s="129"/>
      <c r="G697" s="20"/>
      <c r="H697" s="20">
        <v>1</v>
      </c>
      <c r="I697" s="126">
        <f t="shared" si="53"/>
        <v>0</v>
      </c>
      <c r="J697" s="38">
        <f t="shared" si="54"/>
        <v>0</v>
      </c>
      <c r="K697" s="80"/>
      <c r="L697" s="82"/>
    </row>
    <row r="698" spans="2:20" s="1" customFormat="1" ht="12.95" customHeight="1" x14ac:dyDescent="0.15">
      <c r="B698" s="16">
        <v>4</v>
      </c>
      <c r="C698" s="17"/>
      <c r="D698" s="24"/>
      <c r="E698" s="24"/>
      <c r="F698" s="129"/>
      <c r="G698" s="20"/>
      <c r="H698" s="20">
        <v>1</v>
      </c>
      <c r="I698" s="126">
        <f t="shared" si="53"/>
        <v>0</v>
      </c>
      <c r="J698" s="38">
        <f t="shared" si="54"/>
        <v>0</v>
      </c>
      <c r="K698" s="80"/>
      <c r="L698" s="82"/>
    </row>
    <row r="699" spans="2:20" s="1" customFormat="1" ht="12.95" customHeight="1" x14ac:dyDescent="0.15">
      <c r="B699" s="16">
        <v>5</v>
      </c>
      <c r="C699" s="17"/>
      <c r="D699" s="24"/>
      <c r="E699" s="24"/>
      <c r="F699" s="129"/>
      <c r="G699" s="20"/>
      <c r="H699" s="20">
        <v>1</v>
      </c>
      <c r="I699" s="126">
        <f t="shared" si="53"/>
        <v>0</v>
      </c>
      <c r="J699" s="38">
        <f>(F699*G699*H699)/$C$32</f>
        <v>0</v>
      </c>
      <c r="K699" s="80"/>
      <c r="L699" s="82"/>
    </row>
    <row r="700" spans="2:20" s="1" customFormat="1" ht="12.95" customHeight="1" x14ac:dyDescent="0.15">
      <c r="B700" s="16">
        <v>6</v>
      </c>
      <c r="C700" s="17"/>
      <c r="D700" s="24"/>
      <c r="E700" s="24"/>
      <c r="F700" s="129"/>
      <c r="G700" s="20"/>
      <c r="H700" s="20">
        <v>1</v>
      </c>
      <c r="I700" s="126">
        <f t="shared" si="53"/>
        <v>0</v>
      </c>
      <c r="J700" s="38">
        <f>(F700*G700*H700)/$C$32</f>
        <v>0</v>
      </c>
      <c r="K700" s="80"/>
      <c r="L700" s="82"/>
    </row>
    <row r="701" spans="2:20" s="1" customFormat="1" ht="12.95" customHeight="1" x14ac:dyDescent="0.15">
      <c r="B701" s="16">
        <v>7</v>
      </c>
      <c r="C701" s="17"/>
      <c r="D701" s="24"/>
      <c r="E701" s="24"/>
      <c r="F701" s="129"/>
      <c r="G701" s="20"/>
      <c r="H701" s="20">
        <v>1</v>
      </c>
      <c r="I701" s="126">
        <f t="shared" si="53"/>
        <v>0</v>
      </c>
      <c r="J701" s="21">
        <f t="shared" ref="J701:J737" si="55">(F701*G701*H701)/$C$32</f>
        <v>0</v>
      </c>
      <c r="K701" s="80"/>
      <c r="L701" s="82"/>
    </row>
    <row r="702" spans="2:20" s="1" customFormat="1" ht="12.95" customHeight="1" x14ac:dyDescent="0.15">
      <c r="B702" s="16">
        <v>8</v>
      </c>
      <c r="C702" s="17"/>
      <c r="D702" s="24"/>
      <c r="E702" s="24"/>
      <c r="F702" s="129"/>
      <c r="G702" s="20"/>
      <c r="H702" s="20">
        <v>1</v>
      </c>
      <c r="I702" s="126">
        <f t="shared" si="53"/>
        <v>0</v>
      </c>
      <c r="J702" s="38">
        <f t="shared" si="55"/>
        <v>0</v>
      </c>
      <c r="K702" s="80"/>
      <c r="L702" s="82"/>
    </row>
    <row r="703" spans="2:20" s="1" customFormat="1" ht="12.95" customHeight="1" x14ac:dyDescent="0.15">
      <c r="B703" s="16">
        <v>9</v>
      </c>
      <c r="C703" s="17"/>
      <c r="D703" s="24"/>
      <c r="E703" s="24"/>
      <c r="F703" s="129"/>
      <c r="G703" s="20"/>
      <c r="H703" s="20">
        <v>1</v>
      </c>
      <c r="I703" s="126">
        <f t="shared" si="53"/>
        <v>0</v>
      </c>
      <c r="J703" s="38">
        <f t="shared" si="55"/>
        <v>0</v>
      </c>
      <c r="K703" s="80"/>
      <c r="L703" s="82"/>
    </row>
    <row r="704" spans="2:20" s="1" customFormat="1" ht="12.95" customHeight="1" x14ac:dyDescent="0.15">
      <c r="B704" s="16">
        <v>10</v>
      </c>
      <c r="C704" s="44"/>
      <c r="D704" s="18"/>
      <c r="E704" s="18"/>
      <c r="F704" s="129"/>
      <c r="G704" s="20"/>
      <c r="H704" s="20">
        <v>1</v>
      </c>
      <c r="I704" s="126">
        <f t="shared" si="53"/>
        <v>0</v>
      </c>
      <c r="J704" s="21">
        <f t="shared" si="55"/>
        <v>0</v>
      </c>
      <c r="K704" s="80"/>
      <c r="L704" s="82"/>
      <c r="M704" s="10"/>
      <c r="N704" s="10"/>
      <c r="O704" s="10"/>
      <c r="P704" s="10"/>
      <c r="Q704" s="43"/>
      <c r="R704" s="10"/>
      <c r="T704" s="10"/>
    </row>
    <row r="705" spans="2:20" s="1" customFormat="1" ht="12.95" customHeight="1" x14ac:dyDescent="0.15">
      <c r="B705" s="16">
        <v>11</v>
      </c>
      <c r="C705" s="45"/>
      <c r="D705" s="18"/>
      <c r="E705" s="18"/>
      <c r="F705" s="130"/>
      <c r="G705" s="20"/>
      <c r="H705" s="20">
        <v>1</v>
      </c>
      <c r="I705" s="126">
        <f>J705*$C$32</f>
        <v>0</v>
      </c>
      <c r="J705" s="21">
        <f t="shared" si="55"/>
        <v>0</v>
      </c>
      <c r="K705" s="80"/>
      <c r="L705" s="82"/>
      <c r="M705" s="10"/>
      <c r="N705" s="10"/>
      <c r="O705" s="10"/>
      <c r="P705" s="10"/>
      <c r="Q705" s="43"/>
      <c r="R705" s="10"/>
      <c r="T705" s="10"/>
    </row>
    <row r="706" spans="2:20" s="1" customFormat="1" ht="12.95" customHeight="1" x14ac:dyDescent="0.15">
      <c r="B706" s="16">
        <v>12</v>
      </c>
      <c r="C706" s="44"/>
      <c r="D706" s="18"/>
      <c r="E706" s="18"/>
      <c r="F706" s="129"/>
      <c r="G706" s="20"/>
      <c r="H706" s="20">
        <v>1</v>
      </c>
      <c r="I706" s="126">
        <f t="shared" ref="I706:I737" si="56">J706*$C$32</f>
        <v>0</v>
      </c>
      <c r="J706" s="21">
        <f t="shared" si="55"/>
        <v>0</v>
      </c>
      <c r="K706" s="80"/>
      <c r="L706" s="82"/>
      <c r="M706" s="10"/>
      <c r="N706" s="10"/>
      <c r="O706" s="10"/>
      <c r="P706" s="10"/>
      <c r="Q706" s="43"/>
      <c r="R706" s="10"/>
      <c r="T706" s="10"/>
    </row>
    <row r="707" spans="2:20" s="1" customFormat="1" ht="12.95" customHeight="1" x14ac:dyDescent="0.15">
      <c r="B707" s="16">
        <v>13</v>
      </c>
      <c r="C707" s="11"/>
      <c r="D707" s="18"/>
      <c r="E707" s="18"/>
      <c r="F707" s="129"/>
      <c r="G707" s="20"/>
      <c r="H707" s="20">
        <v>1</v>
      </c>
      <c r="I707" s="126">
        <f t="shared" si="56"/>
        <v>0</v>
      </c>
      <c r="J707" s="21">
        <f t="shared" si="55"/>
        <v>0</v>
      </c>
      <c r="K707" s="80"/>
      <c r="L707" s="82"/>
      <c r="M707" s="10"/>
      <c r="N707" s="10"/>
      <c r="O707" s="10"/>
      <c r="P707" s="10"/>
      <c r="Q707" s="43"/>
      <c r="R707" s="10"/>
      <c r="T707" s="10"/>
    </row>
    <row r="708" spans="2:20" s="1" customFormat="1" ht="12.95" customHeight="1" x14ac:dyDescent="0.15">
      <c r="B708" s="16">
        <v>14</v>
      </c>
      <c r="C708" s="11"/>
      <c r="D708" s="18"/>
      <c r="E708" s="18"/>
      <c r="F708" s="129"/>
      <c r="G708" s="20"/>
      <c r="H708" s="20">
        <v>1</v>
      </c>
      <c r="I708" s="126">
        <f t="shared" si="56"/>
        <v>0</v>
      </c>
      <c r="J708" s="21">
        <f t="shared" si="55"/>
        <v>0</v>
      </c>
      <c r="K708" s="80"/>
      <c r="L708" s="82"/>
      <c r="M708" s="10"/>
      <c r="N708" s="10"/>
      <c r="O708" s="10"/>
      <c r="P708" s="10"/>
      <c r="Q708" s="43"/>
      <c r="R708" s="10"/>
      <c r="T708" s="10"/>
    </row>
    <row r="709" spans="2:20" s="1" customFormat="1" ht="12.95" customHeight="1" x14ac:dyDescent="0.15">
      <c r="B709" s="16">
        <v>15</v>
      </c>
      <c r="C709" s="11"/>
      <c r="D709" s="18"/>
      <c r="E709" s="18"/>
      <c r="F709" s="129"/>
      <c r="G709" s="20"/>
      <c r="H709" s="20">
        <v>1</v>
      </c>
      <c r="I709" s="126">
        <f t="shared" si="56"/>
        <v>0</v>
      </c>
      <c r="J709" s="21">
        <f t="shared" si="55"/>
        <v>0</v>
      </c>
      <c r="K709" s="80"/>
      <c r="L709" s="82"/>
      <c r="M709" s="10"/>
      <c r="N709" s="10"/>
      <c r="O709" s="10"/>
      <c r="P709" s="10"/>
      <c r="Q709" s="43"/>
      <c r="R709" s="10"/>
      <c r="T709" s="10"/>
    </row>
    <row r="710" spans="2:20" s="1" customFormat="1" ht="12.95" customHeight="1" x14ac:dyDescent="0.15">
      <c r="B710" s="16">
        <v>16</v>
      </c>
      <c r="C710" s="11"/>
      <c r="D710" s="18"/>
      <c r="E710" s="18"/>
      <c r="F710" s="129"/>
      <c r="G710" s="20"/>
      <c r="H710" s="20">
        <v>1</v>
      </c>
      <c r="I710" s="126">
        <f t="shared" si="56"/>
        <v>0</v>
      </c>
      <c r="J710" s="21">
        <f t="shared" si="55"/>
        <v>0</v>
      </c>
      <c r="K710" s="80"/>
      <c r="L710" s="82"/>
      <c r="M710" s="10"/>
      <c r="N710" s="10"/>
      <c r="O710" s="10"/>
      <c r="P710" s="10"/>
      <c r="Q710" s="43"/>
      <c r="R710" s="10"/>
      <c r="T710" s="10"/>
    </row>
    <row r="711" spans="2:20" s="1" customFormat="1" ht="12.95" customHeight="1" x14ac:dyDescent="0.15">
      <c r="B711" s="16">
        <v>17</v>
      </c>
      <c r="C711" s="11"/>
      <c r="D711" s="18"/>
      <c r="E711" s="18"/>
      <c r="F711" s="129"/>
      <c r="G711" s="20"/>
      <c r="H711" s="20">
        <v>1</v>
      </c>
      <c r="I711" s="126">
        <f t="shared" si="56"/>
        <v>0</v>
      </c>
      <c r="J711" s="21">
        <f t="shared" si="55"/>
        <v>0</v>
      </c>
      <c r="K711" s="80"/>
      <c r="L711" s="82"/>
      <c r="M711" s="10"/>
      <c r="N711" s="10"/>
      <c r="O711" s="10"/>
      <c r="P711" s="10"/>
      <c r="Q711" s="43"/>
      <c r="R711" s="10"/>
      <c r="T711" s="10"/>
    </row>
    <row r="712" spans="2:20" s="1" customFormat="1" ht="12.95" customHeight="1" x14ac:dyDescent="0.15">
      <c r="B712" s="16">
        <v>18</v>
      </c>
      <c r="C712" s="11"/>
      <c r="D712" s="18"/>
      <c r="E712" s="18"/>
      <c r="F712" s="129"/>
      <c r="G712" s="20"/>
      <c r="H712" s="20">
        <v>1</v>
      </c>
      <c r="I712" s="126">
        <f t="shared" si="56"/>
        <v>0</v>
      </c>
      <c r="J712" s="21">
        <f t="shared" si="55"/>
        <v>0</v>
      </c>
      <c r="K712" s="80"/>
      <c r="L712" s="82"/>
      <c r="M712" s="10"/>
      <c r="N712" s="10"/>
      <c r="O712" s="10"/>
      <c r="P712" s="10"/>
      <c r="Q712" s="43"/>
      <c r="R712" s="10"/>
      <c r="T712" s="10"/>
    </row>
    <row r="713" spans="2:20" s="1" customFormat="1" ht="12.95" customHeight="1" x14ac:dyDescent="0.15">
      <c r="B713" s="16">
        <v>19</v>
      </c>
      <c r="C713" s="11"/>
      <c r="D713" s="18"/>
      <c r="E713" s="18"/>
      <c r="F713" s="129"/>
      <c r="G713" s="20"/>
      <c r="H713" s="20">
        <v>1</v>
      </c>
      <c r="I713" s="126">
        <f t="shared" si="56"/>
        <v>0</v>
      </c>
      <c r="J713" s="21">
        <f t="shared" si="55"/>
        <v>0</v>
      </c>
      <c r="K713" s="80"/>
      <c r="L713" s="82"/>
      <c r="M713" s="10"/>
      <c r="N713" s="10"/>
      <c r="O713" s="10"/>
      <c r="P713" s="10"/>
      <c r="Q713" s="43"/>
      <c r="R713" s="10"/>
      <c r="T713" s="10"/>
    </row>
    <row r="714" spans="2:20" s="1" customFormat="1" ht="12.95" customHeight="1" x14ac:dyDescent="0.15">
      <c r="B714" s="16">
        <v>20</v>
      </c>
      <c r="C714" s="11"/>
      <c r="D714" s="18"/>
      <c r="E714" s="18"/>
      <c r="F714" s="129"/>
      <c r="G714" s="20"/>
      <c r="H714" s="20">
        <v>1</v>
      </c>
      <c r="I714" s="126">
        <f t="shared" si="56"/>
        <v>0</v>
      </c>
      <c r="J714" s="21">
        <f t="shared" si="55"/>
        <v>0</v>
      </c>
      <c r="K714" s="80"/>
      <c r="L714" s="82"/>
      <c r="M714" s="10"/>
      <c r="N714" s="10"/>
      <c r="O714" s="10"/>
      <c r="P714" s="10"/>
      <c r="Q714" s="43"/>
      <c r="R714" s="10"/>
      <c r="T714" s="10"/>
    </row>
    <row r="715" spans="2:20" s="1" customFormat="1" ht="12.95" customHeight="1" x14ac:dyDescent="0.15">
      <c r="B715" s="16"/>
      <c r="C715" s="11"/>
      <c r="D715" s="18"/>
      <c r="E715" s="18"/>
      <c r="F715" s="129"/>
      <c r="G715" s="20"/>
      <c r="H715" s="20"/>
      <c r="I715" s="126"/>
      <c r="J715" s="21"/>
      <c r="K715" s="80"/>
      <c r="L715" s="82"/>
      <c r="M715" s="10"/>
      <c r="N715" s="10"/>
      <c r="O715" s="10"/>
      <c r="P715" s="10"/>
      <c r="Q715" s="43"/>
      <c r="R715" s="10"/>
      <c r="T715" s="10"/>
    </row>
    <row r="716" spans="2:20" s="1" customFormat="1" ht="12.95" customHeight="1" x14ac:dyDescent="0.15">
      <c r="B716" s="16"/>
      <c r="C716" s="11"/>
      <c r="D716" s="18"/>
      <c r="E716" s="18"/>
      <c r="F716" s="129"/>
      <c r="G716" s="20"/>
      <c r="H716" s="20"/>
      <c r="I716" s="126"/>
      <c r="J716" s="21"/>
      <c r="K716" s="80"/>
      <c r="L716" s="82"/>
      <c r="M716" s="10"/>
      <c r="N716" s="10"/>
      <c r="O716" s="10"/>
      <c r="P716" s="10"/>
      <c r="Q716" s="43"/>
      <c r="R716" s="10"/>
      <c r="T716" s="10"/>
    </row>
    <row r="717" spans="2:20" s="1" customFormat="1" ht="12.95" customHeight="1" x14ac:dyDescent="0.15">
      <c r="B717" s="16"/>
      <c r="C717" s="96" t="s">
        <v>132</v>
      </c>
      <c r="D717" s="18"/>
      <c r="E717" s="18"/>
      <c r="F717" s="129"/>
      <c r="G717" s="20"/>
      <c r="H717" s="20"/>
      <c r="I717" s="126"/>
      <c r="J717" s="21"/>
      <c r="K717" s="80"/>
      <c r="L717" s="82"/>
      <c r="M717" s="10"/>
      <c r="N717" s="10"/>
      <c r="O717" s="10"/>
      <c r="P717" s="10"/>
      <c r="Q717" s="43"/>
      <c r="R717" s="10"/>
      <c r="T717" s="10"/>
    </row>
    <row r="718" spans="2:20" s="1" customFormat="1" ht="12.95" customHeight="1" x14ac:dyDescent="0.15">
      <c r="B718" s="16">
        <v>1</v>
      </c>
      <c r="C718" s="11"/>
      <c r="D718" s="18"/>
      <c r="E718" s="18"/>
      <c r="F718" s="129"/>
      <c r="G718" s="20"/>
      <c r="H718" s="20">
        <v>1</v>
      </c>
      <c r="I718" s="126">
        <f t="shared" si="56"/>
        <v>0</v>
      </c>
      <c r="J718" s="21">
        <f t="shared" si="55"/>
        <v>0</v>
      </c>
      <c r="K718" s="80"/>
      <c r="L718" s="82"/>
      <c r="M718" s="10"/>
      <c r="N718" s="10"/>
      <c r="O718" s="10"/>
      <c r="P718" s="10"/>
      <c r="Q718" s="43"/>
      <c r="R718" s="10"/>
      <c r="T718" s="10"/>
    </row>
    <row r="719" spans="2:20" s="1" customFormat="1" ht="12.95" customHeight="1" x14ac:dyDescent="0.15">
      <c r="B719" s="16">
        <v>2</v>
      </c>
      <c r="C719" s="11"/>
      <c r="D719" s="18"/>
      <c r="E719" s="18"/>
      <c r="F719" s="129"/>
      <c r="G719" s="20"/>
      <c r="H719" s="20">
        <v>1</v>
      </c>
      <c r="I719" s="126">
        <f t="shared" si="56"/>
        <v>0</v>
      </c>
      <c r="J719" s="21">
        <f t="shared" si="55"/>
        <v>0</v>
      </c>
      <c r="K719" s="80"/>
      <c r="L719" s="82"/>
      <c r="M719" s="10"/>
      <c r="N719" s="10"/>
      <c r="O719" s="10"/>
      <c r="P719" s="10"/>
      <c r="Q719" s="43"/>
      <c r="R719" s="10"/>
      <c r="T719" s="10"/>
    </row>
    <row r="720" spans="2:20" s="1" customFormat="1" ht="12.95" customHeight="1" x14ac:dyDescent="0.15">
      <c r="B720" s="16">
        <v>3</v>
      </c>
      <c r="C720" s="11"/>
      <c r="D720" s="18"/>
      <c r="E720" s="18"/>
      <c r="F720" s="129"/>
      <c r="G720" s="20"/>
      <c r="H720" s="20">
        <v>1</v>
      </c>
      <c r="I720" s="126">
        <f t="shared" si="56"/>
        <v>0</v>
      </c>
      <c r="J720" s="21">
        <f t="shared" si="55"/>
        <v>0</v>
      </c>
      <c r="K720" s="80"/>
      <c r="L720" s="82"/>
      <c r="M720" s="10"/>
      <c r="N720" s="10"/>
      <c r="O720" s="10"/>
      <c r="P720" s="10"/>
      <c r="Q720" s="43"/>
      <c r="R720" s="10"/>
      <c r="T720" s="10"/>
    </row>
    <row r="721" spans="2:20" s="1" customFormat="1" ht="12.95" customHeight="1" x14ac:dyDescent="0.15">
      <c r="B721" s="16">
        <v>4</v>
      </c>
      <c r="C721" s="11"/>
      <c r="D721" s="18"/>
      <c r="E721" s="18"/>
      <c r="F721" s="129"/>
      <c r="G721" s="20"/>
      <c r="H721" s="20">
        <v>1</v>
      </c>
      <c r="I721" s="126">
        <f t="shared" si="56"/>
        <v>0</v>
      </c>
      <c r="J721" s="21">
        <f t="shared" si="55"/>
        <v>0</v>
      </c>
      <c r="K721" s="80"/>
      <c r="L721" s="82"/>
      <c r="M721" s="10"/>
      <c r="N721" s="10"/>
      <c r="O721" s="10"/>
      <c r="P721" s="10"/>
      <c r="Q721" s="43"/>
      <c r="R721" s="10"/>
      <c r="T721" s="10"/>
    </row>
    <row r="722" spans="2:20" s="1" customFormat="1" ht="12.95" customHeight="1" x14ac:dyDescent="0.15">
      <c r="B722" s="16">
        <v>5</v>
      </c>
      <c r="C722" s="11"/>
      <c r="D722" s="18"/>
      <c r="E722" s="18"/>
      <c r="F722" s="129"/>
      <c r="G722" s="20"/>
      <c r="H722" s="20">
        <v>1</v>
      </c>
      <c r="I722" s="126">
        <f t="shared" si="56"/>
        <v>0</v>
      </c>
      <c r="J722" s="21">
        <f t="shared" si="55"/>
        <v>0</v>
      </c>
      <c r="K722" s="80"/>
      <c r="L722" s="82"/>
      <c r="M722" s="10"/>
      <c r="N722" s="10"/>
      <c r="O722" s="10"/>
      <c r="P722" s="10"/>
      <c r="Q722" s="43"/>
      <c r="R722" s="10"/>
      <c r="T722" s="10"/>
    </row>
    <row r="723" spans="2:20" s="1" customFormat="1" ht="12.95" customHeight="1" x14ac:dyDescent="0.15">
      <c r="B723" s="16">
        <v>6</v>
      </c>
      <c r="C723" s="11"/>
      <c r="D723" s="18"/>
      <c r="E723" s="18"/>
      <c r="F723" s="129"/>
      <c r="G723" s="20"/>
      <c r="H723" s="20">
        <v>1</v>
      </c>
      <c r="I723" s="126">
        <f t="shared" si="56"/>
        <v>0</v>
      </c>
      <c r="J723" s="21">
        <f t="shared" si="55"/>
        <v>0</v>
      </c>
      <c r="K723" s="80"/>
      <c r="L723" s="82"/>
      <c r="M723" s="10"/>
      <c r="N723" s="10"/>
      <c r="O723" s="10"/>
      <c r="P723" s="10"/>
      <c r="Q723" s="43"/>
      <c r="R723" s="10"/>
      <c r="T723" s="10"/>
    </row>
    <row r="724" spans="2:20" s="1" customFormat="1" ht="12.95" customHeight="1" x14ac:dyDescent="0.15">
      <c r="B724" s="16">
        <v>7</v>
      </c>
      <c r="C724" s="11"/>
      <c r="D724" s="18"/>
      <c r="E724" s="18"/>
      <c r="F724" s="129"/>
      <c r="G724" s="20"/>
      <c r="H724" s="20">
        <v>1</v>
      </c>
      <c r="I724" s="126">
        <f t="shared" si="56"/>
        <v>0</v>
      </c>
      <c r="J724" s="21">
        <f t="shared" si="55"/>
        <v>0</v>
      </c>
      <c r="K724" s="80"/>
      <c r="L724" s="82"/>
      <c r="M724" s="10"/>
      <c r="N724" s="10"/>
      <c r="O724" s="10"/>
      <c r="P724" s="10"/>
      <c r="Q724" s="43"/>
      <c r="R724" s="10"/>
      <c r="T724" s="10"/>
    </row>
    <row r="725" spans="2:20" s="1" customFormat="1" ht="12.95" customHeight="1" x14ac:dyDescent="0.15">
      <c r="B725" s="16">
        <v>8</v>
      </c>
      <c r="C725" s="11"/>
      <c r="D725" s="18"/>
      <c r="E725" s="18"/>
      <c r="F725" s="129"/>
      <c r="G725" s="20"/>
      <c r="H725" s="20">
        <v>1</v>
      </c>
      <c r="I725" s="126">
        <f t="shared" si="56"/>
        <v>0</v>
      </c>
      <c r="J725" s="21">
        <f t="shared" si="55"/>
        <v>0</v>
      </c>
      <c r="K725" s="80"/>
      <c r="L725" s="82"/>
      <c r="M725" s="10"/>
      <c r="N725" s="10"/>
      <c r="O725" s="10"/>
      <c r="P725" s="10"/>
      <c r="Q725" s="43"/>
      <c r="R725" s="10"/>
      <c r="T725" s="10"/>
    </row>
    <row r="726" spans="2:20" s="1" customFormat="1" ht="12.95" customHeight="1" x14ac:dyDescent="0.15">
      <c r="B726" s="16">
        <v>9</v>
      </c>
      <c r="C726" s="11"/>
      <c r="D726" s="18"/>
      <c r="E726" s="18"/>
      <c r="F726" s="129"/>
      <c r="G726" s="20"/>
      <c r="H726" s="20">
        <v>1</v>
      </c>
      <c r="I726" s="126">
        <f t="shared" si="56"/>
        <v>0</v>
      </c>
      <c r="J726" s="21">
        <f t="shared" si="55"/>
        <v>0</v>
      </c>
      <c r="K726" s="80"/>
      <c r="L726" s="82"/>
      <c r="M726" s="10"/>
      <c r="N726" s="10"/>
      <c r="O726" s="10"/>
      <c r="P726" s="10"/>
      <c r="Q726" s="43"/>
      <c r="R726" s="10"/>
      <c r="T726" s="10"/>
    </row>
    <row r="727" spans="2:20" s="1" customFormat="1" ht="12.95" customHeight="1" x14ac:dyDescent="0.15">
      <c r="B727" s="16">
        <v>10</v>
      </c>
      <c r="C727" s="11"/>
      <c r="D727" s="18"/>
      <c r="E727" s="18"/>
      <c r="F727" s="129"/>
      <c r="G727" s="20"/>
      <c r="H727" s="20">
        <v>1</v>
      </c>
      <c r="I727" s="126">
        <f t="shared" si="56"/>
        <v>0</v>
      </c>
      <c r="J727" s="21">
        <f t="shared" si="55"/>
        <v>0</v>
      </c>
      <c r="K727" s="80"/>
      <c r="L727" s="82"/>
      <c r="M727" s="10"/>
      <c r="N727" s="10"/>
      <c r="O727" s="10"/>
      <c r="P727" s="10"/>
      <c r="Q727" s="43"/>
      <c r="R727" s="10"/>
      <c r="T727" s="10"/>
    </row>
    <row r="728" spans="2:20" s="1" customFormat="1" ht="12.95" customHeight="1" x14ac:dyDescent="0.15">
      <c r="B728" s="16">
        <v>11</v>
      </c>
      <c r="C728" s="12" t="s">
        <v>165</v>
      </c>
      <c r="D728" s="18"/>
      <c r="E728" s="18"/>
      <c r="F728" s="129"/>
      <c r="G728" s="20"/>
      <c r="H728" s="20">
        <v>1</v>
      </c>
      <c r="I728" s="126">
        <f t="shared" si="56"/>
        <v>0</v>
      </c>
      <c r="J728" s="21">
        <f t="shared" si="55"/>
        <v>0</v>
      </c>
      <c r="K728" s="80"/>
      <c r="L728" s="82"/>
      <c r="M728" s="10"/>
      <c r="N728" s="10"/>
      <c r="O728" s="10"/>
      <c r="P728" s="10"/>
      <c r="Q728" s="43"/>
      <c r="R728" s="10"/>
      <c r="T728" s="10"/>
    </row>
    <row r="729" spans="2:20" s="1" customFormat="1" ht="12.95" customHeight="1" x14ac:dyDescent="0.15">
      <c r="B729" s="16">
        <v>12</v>
      </c>
      <c r="C729" s="12"/>
      <c r="D729" s="18"/>
      <c r="E729" s="18"/>
      <c r="F729" s="129"/>
      <c r="G729" s="20"/>
      <c r="H729" s="20">
        <v>1</v>
      </c>
      <c r="I729" s="126">
        <f t="shared" si="56"/>
        <v>0</v>
      </c>
      <c r="J729" s="21">
        <f t="shared" si="55"/>
        <v>0</v>
      </c>
      <c r="K729" s="80"/>
      <c r="L729" s="82"/>
      <c r="M729" s="10"/>
      <c r="N729" s="10"/>
      <c r="O729" s="10"/>
      <c r="P729" s="10"/>
      <c r="Q729" s="43"/>
      <c r="R729" s="10"/>
      <c r="T729" s="10"/>
    </row>
    <row r="730" spans="2:20" s="1" customFormat="1" ht="12.95" customHeight="1" x14ac:dyDescent="0.15">
      <c r="B730" s="16">
        <v>13</v>
      </c>
      <c r="C730" s="12"/>
      <c r="D730" s="18"/>
      <c r="E730" s="18"/>
      <c r="F730" s="129"/>
      <c r="G730" s="20"/>
      <c r="H730" s="20">
        <v>1</v>
      </c>
      <c r="I730" s="126">
        <f t="shared" si="56"/>
        <v>0</v>
      </c>
      <c r="J730" s="21">
        <f t="shared" si="55"/>
        <v>0</v>
      </c>
      <c r="K730" s="80"/>
      <c r="L730" s="82"/>
      <c r="M730" s="10"/>
      <c r="N730" s="10"/>
      <c r="O730" s="10"/>
      <c r="P730" s="10"/>
      <c r="Q730" s="43"/>
      <c r="R730" s="10"/>
      <c r="T730" s="10"/>
    </row>
    <row r="731" spans="2:20" s="1" customFormat="1" ht="12.95" customHeight="1" x14ac:dyDescent="0.15">
      <c r="B731" s="16">
        <v>14</v>
      </c>
      <c r="C731" s="12"/>
      <c r="D731" s="18"/>
      <c r="E731" s="18"/>
      <c r="F731" s="129"/>
      <c r="G731" s="20"/>
      <c r="H731" s="20">
        <v>1</v>
      </c>
      <c r="I731" s="126">
        <f t="shared" si="56"/>
        <v>0</v>
      </c>
      <c r="J731" s="21">
        <f t="shared" si="55"/>
        <v>0</v>
      </c>
      <c r="K731" s="80"/>
      <c r="L731" s="82"/>
      <c r="M731" s="10"/>
      <c r="N731" s="10"/>
      <c r="O731" s="10"/>
      <c r="P731" s="10"/>
      <c r="Q731" s="43"/>
      <c r="R731" s="10"/>
      <c r="T731" s="10"/>
    </row>
    <row r="732" spans="2:20" s="1" customFormat="1" ht="12.95" customHeight="1" x14ac:dyDescent="0.15">
      <c r="B732" s="16">
        <v>15</v>
      </c>
      <c r="C732" s="12"/>
      <c r="D732" s="18"/>
      <c r="E732" s="18"/>
      <c r="F732" s="129"/>
      <c r="G732" s="20"/>
      <c r="H732" s="20">
        <v>1</v>
      </c>
      <c r="I732" s="126">
        <f t="shared" si="56"/>
        <v>0</v>
      </c>
      <c r="J732" s="21">
        <f t="shared" si="55"/>
        <v>0</v>
      </c>
      <c r="K732" s="80"/>
      <c r="L732" s="82"/>
      <c r="M732" s="10"/>
      <c r="N732" s="10"/>
      <c r="O732" s="10"/>
      <c r="P732" s="10"/>
      <c r="Q732" s="43"/>
      <c r="R732" s="10"/>
      <c r="T732" s="10"/>
    </row>
    <row r="733" spans="2:20" s="1" customFormat="1" ht="12.95" customHeight="1" x14ac:dyDescent="0.15">
      <c r="B733" s="16">
        <v>16</v>
      </c>
      <c r="C733" s="12"/>
      <c r="D733" s="18"/>
      <c r="E733" s="18"/>
      <c r="F733" s="129"/>
      <c r="G733" s="20"/>
      <c r="H733" s="20">
        <v>1</v>
      </c>
      <c r="I733" s="126">
        <f t="shared" si="56"/>
        <v>0</v>
      </c>
      <c r="J733" s="21">
        <f t="shared" si="55"/>
        <v>0</v>
      </c>
      <c r="K733" s="80"/>
      <c r="L733" s="82"/>
      <c r="M733" s="10"/>
      <c r="N733" s="10"/>
      <c r="O733" s="10"/>
      <c r="P733" s="10"/>
      <c r="Q733" s="43"/>
      <c r="R733" s="10"/>
      <c r="T733" s="10"/>
    </row>
    <row r="734" spans="2:20" s="1" customFormat="1" ht="12.95" customHeight="1" x14ac:dyDescent="0.15">
      <c r="B734" s="16">
        <v>17</v>
      </c>
      <c r="C734" s="12"/>
      <c r="D734" s="18"/>
      <c r="E734" s="18"/>
      <c r="F734" s="129"/>
      <c r="G734" s="20"/>
      <c r="H734" s="20">
        <v>1</v>
      </c>
      <c r="I734" s="126">
        <f t="shared" si="56"/>
        <v>0</v>
      </c>
      <c r="J734" s="21">
        <f t="shared" si="55"/>
        <v>0</v>
      </c>
      <c r="K734" s="80"/>
      <c r="L734" s="82"/>
      <c r="M734" s="10"/>
      <c r="N734" s="10"/>
      <c r="O734" s="10"/>
      <c r="P734" s="10"/>
      <c r="Q734" s="43"/>
      <c r="R734" s="10"/>
      <c r="T734" s="10"/>
    </row>
    <row r="735" spans="2:20" s="1" customFormat="1" ht="12.95" customHeight="1" x14ac:dyDescent="0.15">
      <c r="B735" s="16">
        <v>18</v>
      </c>
      <c r="C735" s="12"/>
      <c r="D735" s="18"/>
      <c r="E735" s="18"/>
      <c r="F735" s="129"/>
      <c r="G735" s="20"/>
      <c r="H735" s="20">
        <v>1</v>
      </c>
      <c r="I735" s="126">
        <f t="shared" si="56"/>
        <v>0</v>
      </c>
      <c r="J735" s="78">
        <f t="shared" si="55"/>
        <v>0</v>
      </c>
      <c r="K735" s="111"/>
      <c r="L735" s="119"/>
      <c r="M735" s="10"/>
      <c r="N735" s="10"/>
      <c r="O735" s="10"/>
      <c r="P735" s="10"/>
      <c r="Q735" s="43"/>
      <c r="R735" s="10"/>
      <c r="T735" s="10"/>
    </row>
    <row r="736" spans="2:20" s="1" customFormat="1" ht="12.95" customHeight="1" x14ac:dyDescent="0.15">
      <c r="B736" s="16">
        <v>19</v>
      </c>
      <c r="C736" s="12"/>
      <c r="D736" s="18"/>
      <c r="E736" s="18"/>
      <c r="F736" s="129"/>
      <c r="G736" s="20"/>
      <c r="H736" s="20">
        <v>1</v>
      </c>
      <c r="I736" s="254">
        <f t="shared" si="56"/>
        <v>0</v>
      </c>
      <c r="J736" s="94">
        <f t="shared" si="55"/>
        <v>0</v>
      </c>
      <c r="K736" s="82"/>
      <c r="L736" s="82"/>
      <c r="M736" s="10"/>
      <c r="N736" s="10"/>
      <c r="O736" s="10"/>
      <c r="P736" s="10"/>
      <c r="Q736" s="43"/>
      <c r="R736" s="10"/>
      <c r="T736" s="10"/>
    </row>
    <row r="737" spans="2:20" s="1" customFormat="1" ht="12.95" customHeight="1" x14ac:dyDescent="0.15">
      <c r="B737" s="16">
        <v>20</v>
      </c>
      <c r="C737" s="12"/>
      <c r="D737" s="18"/>
      <c r="E737" s="18"/>
      <c r="F737" s="129"/>
      <c r="G737" s="20"/>
      <c r="H737" s="20">
        <v>1</v>
      </c>
      <c r="I737" s="254">
        <f t="shared" si="56"/>
        <v>0</v>
      </c>
      <c r="J737" s="94">
        <f t="shared" si="55"/>
        <v>0</v>
      </c>
      <c r="K737" s="82"/>
      <c r="L737" s="82"/>
      <c r="M737" s="10"/>
      <c r="N737" s="10"/>
      <c r="O737" s="10"/>
      <c r="P737" s="10"/>
      <c r="Q737" s="43"/>
      <c r="R737" s="10"/>
      <c r="T737" s="10"/>
    </row>
    <row r="738" spans="2:20" s="1" customFormat="1" ht="12.95" customHeight="1" x14ac:dyDescent="0.15">
      <c r="B738" s="83"/>
      <c r="C738" s="74"/>
      <c r="D738" s="75"/>
      <c r="E738" s="75"/>
      <c r="F738" s="132"/>
      <c r="G738" s="77"/>
      <c r="H738" s="77"/>
      <c r="I738" s="255"/>
      <c r="J738" s="94"/>
      <c r="K738" s="82"/>
      <c r="L738" s="82"/>
      <c r="M738" s="10"/>
      <c r="N738" s="10"/>
      <c r="O738" s="10"/>
      <c r="P738" s="10"/>
      <c r="Q738" s="43"/>
      <c r="R738" s="10"/>
      <c r="T738" s="10"/>
    </row>
    <row r="739" spans="2:20" s="1" customFormat="1" ht="12.75" x14ac:dyDescent="0.15">
      <c r="B739" s="82"/>
      <c r="C739" s="102"/>
      <c r="D739" s="103"/>
      <c r="E739" s="102"/>
      <c r="F739" s="128">
        <f>SUM(F679:F738)</f>
        <v>0</v>
      </c>
      <c r="G739" s="104"/>
      <c r="H739" s="105"/>
      <c r="I739" s="128">
        <f>SUM(I679:I738)</f>
        <v>0</v>
      </c>
      <c r="J739" s="257">
        <f>SUM(J679:J738)</f>
        <v>0</v>
      </c>
    </row>
    <row r="740" spans="2:20" s="1" customFormat="1" ht="12.75" x14ac:dyDescent="0.15">
      <c r="B740" s="82"/>
      <c r="C740" s="102"/>
      <c r="D740" s="103"/>
      <c r="E740" s="102" t="s">
        <v>147</v>
      </c>
      <c r="F740" s="128">
        <f>100/115*F739</f>
        <v>0</v>
      </c>
      <c r="G740" s="104"/>
      <c r="H740" s="105" t="s">
        <v>147</v>
      </c>
      <c r="I740" s="128">
        <f>100/115*I739</f>
        <v>0</v>
      </c>
      <c r="J740" s="106"/>
    </row>
    <row r="741" spans="2:20" s="1" customFormat="1" ht="12.75" x14ac:dyDescent="0.15"/>
    <row r="742" spans="2:20" s="1" customFormat="1" ht="12.75" x14ac:dyDescent="0.15"/>
    <row r="743" spans="2:20" s="1" customFormat="1" ht="12.75" x14ac:dyDescent="0.15"/>
    <row r="744" spans="2:20" s="1" customFormat="1" ht="12.75" x14ac:dyDescent="0.15"/>
    <row r="745" spans="2:20" s="247" customFormat="1" ht="32.25" x14ac:dyDescent="0.4">
      <c r="B745" s="251"/>
      <c r="C745" s="424" t="s">
        <v>166</v>
      </c>
      <c r="D745" s="424"/>
      <c r="E745" s="425" t="s">
        <v>167</v>
      </c>
      <c r="F745" s="426"/>
      <c r="G745" s="426"/>
      <c r="H745" s="426"/>
      <c r="I745" s="427"/>
      <c r="J745" s="415">
        <v>2026</v>
      </c>
      <c r="K745" s="416"/>
      <c r="L745" s="417"/>
    </row>
    <row r="746" spans="2:20" s="1" customFormat="1" ht="22.5" x14ac:dyDescent="0.15">
      <c r="B746" s="16"/>
      <c r="C746" s="28" t="s">
        <v>114</v>
      </c>
      <c r="D746" s="418" t="s">
        <v>115</v>
      </c>
      <c r="E746" s="418"/>
      <c r="F746" s="28" t="s">
        <v>116</v>
      </c>
      <c r="G746" s="28" t="s">
        <v>117</v>
      </c>
      <c r="H746" s="28" t="s">
        <v>118</v>
      </c>
      <c r="I746" s="28" t="s">
        <v>119</v>
      </c>
      <c r="J746" s="64" t="s">
        <v>120</v>
      </c>
      <c r="K746" s="82"/>
      <c r="L746" s="82"/>
    </row>
    <row r="747" spans="2:20" s="1" customFormat="1" ht="12.75" x14ac:dyDescent="0.15">
      <c r="B747" s="16"/>
      <c r="C747" s="124">
        <f>C677</f>
        <v>450</v>
      </c>
      <c r="D747" s="419">
        <v>20</v>
      </c>
      <c r="E747" s="419"/>
      <c r="F747" s="29">
        <f>F677</f>
        <v>0.8</v>
      </c>
      <c r="G747" s="30">
        <f>G677</f>
        <v>8</v>
      </c>
      <c r="H747" s="31">
        <f>D747*G747*F747</f>
        <v>128</v>
      </c>
      <c r="I747" s="124">
        <f>I809</f>
        <v>0</v>
      </c>
      <c r="J747" s="121">
        <f>H747-J809</f>
        <v>128</v>
      </c>
      <c r="K747" s="82"/>
      <c r="L747" s="82"/>
    </row>
    <row r="748" spans="2:20" s="1" customFormat="1" ht="33.75" x14ac:dyDescent="0.15">
      <c r="B748" s="16"/>
      <c r="C748" s="22" t="s">
        <v>121</v>
      </c>
      <c r="D748" s="413" t="s">
        <v>122</v>
      </c>
      <c r="E748" s="413"/>
      <c r="F748" s="33" t="s">
        <v>123</v>
      </c>
      <c r="G748" s="34" t="s">
        <v>124</v>
      </c>
      <c r="H748" s="35" t="s">
        <v>125</v>
      </c>
      <c r="I748" s="125" t="s">
        <v>126</v>
      </c>
      <c r="J748" s="34" t="s">
        <v>127</v>
      </c>
      <c r="K748" s="122" t="s">
        <v>128</v>
      </c>
      <c r="L748" s="123" t="s">
        <v>168</v>
      </c>
    </row>
    <row r="749" spans="2:20" s="1" customFormat="1" ht="12.75" x14ac:dyDescent="0.15">
      <c r="B749" s="16"/>
      <c r="C749" s="22"/>
      <c r="D749" s="32"/>
      <c r="E749" s="32"/>
      <c r="F749" s="33"/>
      <c r="G749" s="34"/>
      <c r="H749" s="35"/>
      <c r="I749" s="125"/>
      <c r="J749" s="34"/>
      <c r="K749" s="110"/>
      <c r="L749" s="117"/>
    </row>
    <row r="750" spans="2:20" s="1" customFormat="1" ht="12.75" x14ac:dyDescent="0.15">
      <c r="B750" s="16"/>
      <c r="C750" s="22" t="s">
        <v>130</v>
      </c>
      <c r="D750" s="32"/>
      <c r="E750" s="32"/>
      <c r="F750" s="33"/>
      <c r="G750" s="34"/>
      <c r="H750" s="35"/>
      <c r="I750" s="125"/>
      <c r="J750" s="34"/>
      <c r="K750" s="110"/>
      <c r="L750" s="117"/>
    </row>
    <row r="751" spans="2:20" s="1" customFormat="1" ht="12.75" customHeight="1" x14ac:dyDescent="0.15">
      <c r="B751" s="16"/>
      <c r="C751" s="37" t="s">
        <v>149</v>
      </c>
      <c r="D751" s="24"/>
      <c r="E751" s="24"/>
      <c r="F751" s="19"/>
      <c r="G751" s="20"/>
      <c r="H751" s="20"/>
      <c r="I751" s="126"/>
      <c r="J751" s="38"/>
      <c r="K751" s="80"/>
      <c r="L751" s="82"/>
    </row>
    <row r="752" spans="2:20" s="1" customFormat="1" ht="12.75" x14ac:dyDescent="0.15">
      <c r="B752" s="16">
        <v>1</v>
      </c>
      <c r="C752" s="23"/>
      <c r="D752" s="24"/>
      <c r="E752" s="24"/>
      <c r="F752" s="129"/>
      <c r="G752" s="20"/>
      <c r="H752" s="20">
        <v>1</v>
      </c>
      <c r="I752" s="126">
        <f t="shared" ref="I752:I761" si="57">J752*$C$32</f>
        <v>0</v>
      </c>
      <c r="J752" s="38">
        <f t="shared" ref="J752:J761" si="58">(F752*G752*H752)/$C$32</f>
        <v>0</v>
      </c>
      <c r="K752" s="80"/>
      <c r="L752" s="82"/>
    </row>
    <row r="753" spans="2:12" s="1" customFormat="1" ht="12.75" customHeight="1" x14ac:dyDescent="0.15">
      <c r="B753" s="16">
        <v>2</v>
      </c>
      <c r="C753" s="23"/>
      <c r="D753" s="24"/>
      <c r="E753" s="24"/>
      <c r="F753" s="126"/>
      <c r="G753" s="20"/>
      <c r="H753" s="20">
        <v>1</v>
      </c>
      <c r="I753" s="126">
        <f t="shared" si="57"/>
        <v>0</v>
      </c>
      <c r="J753" s="38">
        <f t="shared" si="58"/>
        <v>0</v>
      </c>
      <c r="K753" s="80"/>
      <c r="L753" s="82"/>
    </row>
    <row r="754" spans="2:12" s="1" customFormat="1" ht="12.75" customHeight="1" x14ac:dyDescent="0.15">
      <c r="B754" s="16">
        <v>3</v>
      </c>
      <c r="C754" s="23"/>
      <c r="D754" s="25"/>
      <c r="E754" s="25"/>
      <c r="F754" s="129"/>
      <c r="G754" s="20"/>
      <c r="H754" s="20">
        <v>1</v>
      </c>
      <c r="I754" s="126">
        <f t="shared" si="57"/>
        <v>0</v>
      </c>
      <c r="J754" s="38">
        <f t="shared" si="58"/>
        <v>0</v>
      </c>
      <c r="K754" s="80"/>
      <c r="L754" s="82"/>
    </row>
    <row r="755" spans="2:12" s="1" customFormat="1" ht="12.95" customHeight="1" x14ac:dyDescent="0.15">
      <c r="B755" s="16">
        <v>4</v>
      </c>
      <c r="C755" s="23"/>
      <c r="D755" s="24"/>
      <c r="E755" s="24"/>
      <c r="F755" s="129"/>
      <c r="G755" s="20"/>
      <c r="H755" s="20">
        <v>1</v>
      </c>
      <c r="I755" s="126">
        <f t="shared" si="57"/>
        <v>0</v>
      </c>
      <c r="J755" s="38">
        <f t="shared" si="58"/>
        <v>0</v>
      </c>
      <c r="K755" s="80"/>
      <c r="L755" s="82"/>
    </row>
    <row r="756" spans="2:12" s="1" customFormat="1" ht="14.1" customHeight="1" x14ac:dyDescent="0.15">
      <c r="B756" s="16">
        <v>5</v>
      </c>
      <c r="C756" s="16"/>
      <c r="D756" s="18"/>
      <c r="E756" s="18"/>
      <c r="F756" s="129"/>
      <c r="G756" s="20"/>
      <c r="H756" s="20">
        <v>1</v>
      </c>
      <c r="I756" s="126">
        <f t="shared" si="57"/>
        <v>0</v>
      </c>
      <c r="J756" s="38">
        <f t="shared" si="58"/>
        <v>0</v>
      </c>
      <c r="K756" s="80"/>
      <c r="L756" s="82"/>
    </row>
    <row r="757" spans="2:12" s="1" customFormat="1" ht="12.95" customHeight="1" x14ac:dyDescent="0.15">
      <c r="B757" s="16">
        <v>6</v>
      </c>
      <c r="C757" s="17"/>
      <c r="D757" s="24"/>
      <c r="E757" s="24"/>
      <c r="F757" s="129"/>
      <c r="G757" s="20"/>
      <c r="H757" s="20">
        <v>1</v>
      </c>
      <c r="I757" s="126">
        <f t="shared" si="57"/>
        <v>0</v>
      </c>
      <c r="J757" s="38">
        <f t="shared" si="58"/>
        <v>0</v>
      </c>
      <c r="K757" s="80"/>
      <c r="L757" s="82"/>
    </row>
    <row r="758" spans="2:12" s="1" customFormat="1" ht="12.95" customHeight="1" x14ac:dyDescent="0.15">
      <c r="B758" s="16">
        <v>7</v>
      </c>
      <c r="C758" s="17"/>
      <c r="D758" s="24"/>
      <c r="E758" s="24"/>
      <c r="F758" s="129"/>
      <c r="G758" s="20"/>
      <c r="H758" s="20">
        <v>1</v>
      </c>
      <c r="I758" s="126">
        <f t="shared" si="57"/>
        <v>0</v>
      </c>
      <c r="J758" s="38">
        <f t="shared" si="58"/>
        <v>0</v>
      </c>
      <c r="K758" s="80"/>
      <c r="L758" s="82"/>
    </row>
    <row r="759" spans="2:12" s="1" customFormat="1" ht="12.95" customHeight="1" x14ac:dyDescent="0.15">
      <c r="B759" s="16">
        <v>8</v>
      </c>
      <c r="C759" s="17"/>
      <c r="D759" s="24"/>
      <c r="E759" s="24"/>
      <c r="F759" s="129"/>
      <c r="G759" s="20"/>
      <c r="H759" s="20">
        <v>1</v>
      </c>
      <c r="I759" s="126">
        <f t="shared" si="57"/>
        <v>0</v>
      </c>
      <c r="J759" s="38">
        <f t="shared" si="58"/>
        <v>0</v>
      </c>
      <c r="K759" s="80"/>
      <c r="L759" s="82"/>
    </row>
    <row r="760" spans="2:12" s="1" customFormat="1" ht="12.95" customHeight="1" x14ac:dyDescent="0.15">
      <c r="B760" s="16">
        <v>9</v>
      </c>
      <c r="C760" s="17"/>
      <c r="D760" s="24"/>
      <c r="E760" s="24"/>
      <c r="F760" s="129"/>
      <c r="G760" s="20"/>
      <c r="H760" s="20">
        <v>1</v>
      </c>
      <c r="I760" s="126">
        <f t="shared" si="57"/>
        <v>0</v>
      </c>
      <c r="J760" s="38">
        <f t="shared" si="58"/>
        <v>0</v>
      </c>
      <c r="K760" s="80"/>
      <c r="L760" s="82"/>
    </row>
    <row r="761" spans="2:12" s="1" customFormat="1" ht="12.95" customHeight="1" x14ac:dyDescent="0.15">
      <c r="B761" s="16">
        <v>10</v>
      </c>
      <c r="C761" s="17"/>
      <c r="D761" s="24"/>
      <c r="E761" s="24"/>
      <c r="F761" s="129"/>
      <c r="G761" s="20"/>
      <c r="H761" s="20">
        <v>1</v>
      </c>
      <c r="I761" s="126">
        <f t="shared" si="57"/>
        <v>0</v>
      </c>
      <c r="J761" s="38">
        <f t="shared" si="58"/>
        <v>0</v>
      </c>
      <c r="K761" s="80"/>
      <c r="L761" s="82"/>
    </row>
    <row r="762" spans="2:12" s="1" customFormat="1" ht="12.95" customHeight="1" x14ac:dyDescent="0.15">
      <c r="B762" s="16"/>
      <c r="C762" s="17"/>
      <c r="D762" s="18"/>
      <c r="E762" s="24"/>
      <c r="F762" s="129"/>
      <c r="G762" s="20"/>
      <c r="H762" s="20"/>
      <c r="I762" s="126"/>
      <c r="J762" s="38"/>
      <c r="K762" s="80"/>
      <c r="L762" s="82"/>
    </row>
    <row r="763" spans="2:12" s="1" customFormat="1" ht="12.95" customHeight="1" x14ac:dyDescent="0.15">
      <c r="B763" s="16"/>
      <c r="C763" s="17"/>
      <c r="D763" s="18"/>
      <c r="E763" s="24"/>
      <c r="F763" s="129"/>
      <c r="G763" s="20"/>
      <c r="H763" s="20"/>
      <c r="I763" s="126"/>
      <c r="J763" s="38"/>
      <c r="K763" s="80"/>
      <c r="L763" s="82"/>
    </row>
    <row r="764" spans="2:12" s="1" customFormat="1" ht="12.95" customHeight="1" x14ac:dyDescent="0.15">
      <c r="B764" s="16"/>
      <c r="C764" s="22" t="s">
        <v>153</v>
      </c>
      <c r="D764" s="24"/>
      <c r="E764" s="18"/>
      <c r="F764" s="129"/>
      <c r="G764" s="20"/>
      <c r="H764" s="20"/>
      <c r="I764" s="126"/>
      <c r="J764" s="38"/>
      <c r="K764" s="80"/>
      <c r="L764" s="82"/>
    </row>
    <row r="765" spans="2:12" s="1" customFormat="1" ht="12.95" customHeight="1" x14ac:dyDescent="0.15">
      <c r="B765" s="16">
        <v>1</v>
      </c>
      <c r="C765" s="17"/>
      <c r="D765" s="24"/>
      <c r="E765" s="18"/>
      <c r="F765" s="129"/>
      <c r="G765" s="20"/>
      <c r="H765" s="20">
        <v>1</v>
      </c>
      <c r="I765" s="126">
        <f t="shared" ref="I765:I784" si="59">J765*$C$32</f>
        <v>0</v>
      </c>
      <c r="J765" s="38">
        <f t="shared" ref="J765:J784" si="60">(F765*G765*H765)/$C$32</f>
        <v>0</v>
      </c>
      <c r="K765" s="80"/>
      <c r="L765" s="82"/>
    </row>
    <row r="766" spans="2:12" s="1" customFormat="1" ht="12.95" customHeight="1" x14ac:dyDescent="0.15">
      <c r="B766" s="16">
        <v>2</v>
      </c>
      <c r="C766" s="17"/>
      <c r="D766" s="24"/>
      <c r="E766" s="18"/>
      <c r="F766" s="129"/>
      <c r="G766" s="20"/>
      <c r="H766" s="20">
        <v>1</v>
      </c>
      <c r="I766" s="126">
        <f t="shared" si="59"/>
        <v>0</v>
      </c>
      <c r="J766" s="38">
        <f t="shared" si="60"/>
        <v>0</v>
      </c>
      <c r="K766" s="80"/>
      <c r="L766" s="82"/>
    </row>
    <row r="767" spans="2:12" s="1" customFormat="1" ht="12.95" customHeight="1" x14ac:dyDescent="0.15">
      <c r="B767" s="16">
        <v>3</v>
      </c>
      <c r="C767" s="17"/>
      <c r="D767" s="24"/>
      <c r="E767" s="18"/>
      <c r="F767" s="129"/>
      <c r="G767" s="20"/>
      <c r="H767" s="20">
        <v>1</v>
      </c>
      <c r="I767" s="126">
        <f t="shared" si="59"/>
        <v>0</v>
      </c>
      <c r="J767" s="38">
        <f t="shared" si="60"/>
        <v>0</v>
      </c>
      <c r="K767" s="80"/>
      <c r="L767" s="82"/>
    </row>
    <row r="768" spans="2:12" s="1" customFormat="1" ht="12.95" customHeight="1" x14ac:dyDescent="0.15">
      <c r="B768" s="16">
        <v>4</v>
      </c>
      <c r="C768" s="17"/>
      <c r="D768" s="24"/>
      <c r="E768" s="18"/>
      <c r="F768" s="129"/>
      <c r="G768" s="20"/>
      <c r="H768" s="20">
        <v>1</v>
      </c>
      <c r="I768" s="126">
        <f t="shared" si="59"/>
        <v>0</v>
      </c>
      <c r="J768" s="38">
        <f t="shared" si="60"/>
        <v>0</v>
      </c>
      <c r="K768" s="80"/>
      <c r="L768" s="82"/>
    </row>
    <row r="769" spans="2:12" s="1" customFormat="1" ht="12.95" customHeight="1" x14ac:dyDescent="0.15">
      <c r="B769" s="16">
        <v>5</v>
      </c>
      <c r="C769" s="17"/>
      <c r="D769" s="24"/>
      <c r="E769" s="18"/>
      <c r="F769" s="129"/>
      <c r="G769" s="20"/>
      <c r="H769" s="20">
        <v>1</v>
      </c>
      <c r="I769" s="126">
        <f t="shared" si="59"/>
        <v>0</v>
      </c>
      <c r="J769" s="38">
        <f t="shared" si="60"/>
        <v>0</v>
      </c>
      <c r="K769" s="80"/>
      <c r="L769" s="82"/>
    </row>
    <row r="770" spans="2:12" s="1" customFormat="1" ht="12.95" customHeight="1" x14ac:dyDescent="0.15">
      <c r="B770" s="16">
        <v>6</v>
      </c>
      <c r="C770" s="17"/>
      <c r="D770" s="24"/>
      <c r="E770" s="18"/>
      <c r="F770" s="129"/>
      <c r="G770" s="20"/>
      <c r="H770" s="20">
        <v>1</v>
      </c>
      <c r="I770" s="126">
        <f t="shared" si="59"/>
        <v>0</v>
      </c>
      <c r="J770" s="38">
        <f t="shared" si="60"/>
        <v>0</v>
      </c>
      <c r="K770" s="80"/>
      <c r="L770" s="82"/>
    </row>
    <row r="771" spans="2:12" s="1" customFormat="1" ht="12.95" customHeight="1" x14ac:dyDescent="0.15">
      <c r="B771" s="16">
        <v>7</v>
      </c>
      <c r="C771" s="17"/>
      <c r="D771" s="24"/>
      <c r="E771" s="18"/>
      <c r="F771" s="129"/>
      <c r="G771" s="20"/>
      <c r="H771" s="20">
        <v>1</v>
      </c>
      <c r="I771" s="126">
        <f t="shared" si="59"/>
        <v>0</v>
      </c>
      <c r="J771" s="38">
        <f t="shared" si="60"/>
        <v>0</v>
      </c>
      <c r="K771" s="80"/>
      <c r="L771" s="82"/>
    </row>
    <row r="772" spans="2:12" s="1" customFormat="1" ht="12.95" customHeight="1" x14ac:dyDescent="0.15">
      <c r="B772" s="16">
        <v>8</v>
      </c>
      <c r="C772" s="17"/>
      <c r="D772" s="24"/>
      <c r="E772" s="18"/>
      <c r="F772" s="129"/>
      <c r="G772" s="20"/>
      <c r="H772" s="20">
        <v>1</v>
      </c>
      <c r="I772" s="126">
        <f t="shared" si="59"/>
        <v>0</v>
      </c>
      <c r="J772" s="21">
        <f t="shared" si="60"/>
        <v>0</v>
      </c>
      <c r="K772" s="80"/>
      <c r="L772" s="82"/>
    </row>
    <row r="773" spans="2:12" s="1" customFormat="1" ht="12.95" customHeight="1" x14ac:dyDescent="0.15">
      <c r="B773" s="16">
        <v>9</v>
      </c>
      <c r="C773" s="17"/>
      <c r="D773" s="24"/>
      <c r="E773" s="18"/>
      <c r="F773" s="129"/>
      <c r="G773" s="20"/>
      <c r="H773" s="20">
        <v>1</v>
      </c>
      <c r="I773" s="126">
        <f t="shared" si="59"/>
        <v>0</v>
      </c>
      <c r="J773" s="38">
        <f t="shared" si="60"/>
        <v>0</v>
      </c>
      <c r="K773" s="80"/>
      <c r="L773" s="82"/>
    </row>
    <row r="774" spans="2:12" s="1" customFormat="1" ht="12.95" customHeight="1" x14ac:dyDescent="0.15">
      <c r="B774" s="16">
        <v>10</v>
      </c>
      <c r="C774" s="17"/>
      <c r="D774" s="24"/>
      <c r="E774" s="18"/>
      <c r="F774" s="129"/>
      <c r="G774" s="20"/>
      <c r="H774" s="20">
        <v>1</v>
      </c>
      <c r="I774" s="126">
        <f t="shared" si="59"/>
        <v>0</v>
      </c>
      <c r="J774" s="38">
        <f t="shared" si="60"/>
        <v>0</v>
      </c>
      <c r="K774" s="80"/>
      <c r="L774" s="82"/>
    </row>
    <row r="775" spans="2:12" s="1" customFormat="1" ht="12.95" customHeight="1" x14ac:dyDescent="0.15">
      <c r="B775" s="16">
        <v>11</v>
      </c>
      <c r="C775" s="17"/>
      <c r="D775" s="24"/>
      <c r="E775" s="18"/>
      <c r="F775" s="129"/>
      <c r="G775" s="20"/>
      <c r="H775" s="20">
        <v>1</v>
      </c>
      <c r="I775" s="126">
        <f t="shared" si="59"/>
        <v>0</v>
      </c>
      <c r="J775" s="38">
        <f t="shared" si="60"/>
        <v>0</v>
      </c>
      <c r="K775" s="80"/>
      <c r="L775" s="82"/>
    </row>
    <row r="776" spans="2:12" s="1" customFormat="1" ht="12.95" customHeight="1" x14ac:dyDescent="0.15">
      <c r="B776" s="16">
        <v>12</v>
      </c>
      <c r="C776" s="17"/>
      <c r="D776" s="24"/>
      <c r="E776" s="18"/>
      <c r="F776" s="129"/>
      <c r="G776" s="20"/>
      <c r="H776" s="20">
        <v>1</v>
      </c>
      <c r="I776" s="126">
        <f t="shared" si="59"/>
        <v>0</v>
      </c>
      <c r="J776" s="38">
        <f t="shared" si="60"/>
        <v>0</v>
      </c>
      <c r="K776" s="80"/>
      <c r="L776" s="82"/>
    </row>
    <row r="777" spans="2:12" s="1" customFormat="1" ht="12.95" customHeight="1" x14ac:dyDescent="0.15">
      <c r="B777" s="16">
        <v>13</v>
      </c>
      <c r="C777" s="17"/>
      <c r="D777" s="24"/>
      <c r="E777" s="24"/>
      <c r="F777" s="129"/>
      <c r="G777" s="20"/>
      <c r="H777" s="20">
        <v>1</v>
      </c>
      <c r="I777" s="126">
        <f t="shared" si="59"/>
        <v>0</v>
      </c>
      <c r="J777" s="38">
        <f t="shared" si="60"/>
        <v>0</v>
      </c>
      <c r="K777" s="80"/>
      <c r="L777" s="82"/>
    </row>
    <row r="778" spans="2:12" s="1" customFormat="1" ht="12.95" customHeight="1" x14ac:dyDescent="0.15">
      <c r="B778" s="16">
        <v>14</v>
      </c>
      <c r="C778" s="17"/>
      <c r="D778" s="24"/>
      <c r="E778" s="24"/>
      <c r="F778" s="129"/>
      <c r="G778" s="20"/>
      <c r="H778" s="20">
        <v>1</v>
      </c>
      <c r="I778" s="126">
        <f t="shared" si="59"/>
        <v>0</v>
      </c>
      <c r="J778" s="38">
        <f t="shared" si="60"/>
        <v>0</v>
      </c>
      <c r="K778" s="80"/>
      <c r="L778" s="82"/>
    </row>
    <row r="779" spans="2:12" s="1" customFormat="1" ht="12.95" customHeight="1" x14ac:dyDescent="0.15">
      <c r="B779" s="16">
        <v>15</v>
      </c>
      <c r="C779" s="17"/>
      <c r="D779" s="24"/>
      <c r="E779" s="24"/>
      <c r="F779" s="129"/>
      <c r="G779" s="20"/>
      <c r="H779" s="20">
        <v>1</v>
      </c>
      <c r="I779" s="126">
        <f t="shared" si="59"/>
        <v>0</v>
      </c>
      <c r="J779" s="38">
        <f t="shared" si="60"/>
        <v>0</v>
      </c>
      <c r="K779" s="80"/>
      <c r="L779" s="82"/>
    </row>
    <row r="780" spans="2:12" s="1" customFormat="1" ht="12.95" customHeight="1" x14ac:dyDescent="0.15">
      <c r="B780" s="16">
        <v>16</v>
      </c>
      <c r="C780" s="17"/>
      <c r="D780" s="24"/>
      <c r="E780" s="24"/>
      <c r="F780" s="129"/>
      <c r="G780" s="20"/>
      <c r="H780" s="20">
        <v>1</v>
      </c>
      <c r="I780" s="126">
        <f t="shared" si="59"/>
        <v>0</v>
      </c>
      <c r="J780" s="38">
        <f t="shared" si="60"/>
        <v>0</v>
      </c>
      <c r="K780" s="80"/>
      <c r="L780" s="82"/>
    </row>
    <row r="781" spans="2:12" s="1" customFormat="1" ht="12.95" customHeight="1" x14ac:dyDescent="0.15">
      <c r="B781" s="16">
        <v>17</v>
      </c>
      <c r="C781" s="17"/>
      <c r="D781" s="24"/>
      <c r="E781" s="24"/>
      <c r="F781" s="129"/>
      <c r="G781" s="20"/>
      <c r="H781" s="20">
        <v>1</v>
      </c>
      <c r="I781" s="126">
        <f t="shared" si="59"/>
        <v>0</v>
      </c>
      <c r="J781" s="38">
        <f t="shared" si="60"/>
        <v>0</v>
      </c>
      <c r="K781" s="80"/>
      <c r="L781" s="82"/>
    </row>
    <row r="782" spans="2:12" s="1" customFormat="1" ht="12.95" customHeight="1" x14ac:dyDescent="0.15">
      <c r="B782" s="16">
        <v>18</v>
      </c>
      <c r="C782" s="17"/>
      <c r="D782" s="24"/>
      <c r="E782" s="24"/>
      <c r="F782" s="129"/>
      <c r="G782" s="20"/>
      <c r="H782" s="20">
        <v>1</v>
      </c>
      <c r="I782" s="126">
        <f t="shared" si="59"/>
        <v>0</v>
      </c>
      <c r="J782" s="38">
        <f t="shared" si="60"/>
        <v>0</v>
      </c>
      <c r="K782" s="80"/>
      <c r="L782" s="82"/>
    </row>
    <row r="783" spans="2:12" s="1" customFormat="1" ht="12.95" customHeight="1" x14ac:dyDescent="0.15">
      <c r="B783" s="16">
        <v>19</v>
      </c>
      <c r="C783" s="17"/>
      <c r="D783" s="24"/>
      <c r="E783" s="24"/>
      <c r="F783" s="129"/>
      <c r="G783" s="20"/>
      <c r="H783" s="20">
        <v>1</v>
      </c>
      <c r="I783" s="126">
        <f t="shared" si="59"/>
        <v>0</v>
      </c>
      <c r="J783" s="38">
        <f t="shared" si="60"/>
        <v>0</v>
      </c>
      <c r="K783" s="80"/>
      <c r="L783" s="82"/>
    </row>
    <row r="784" spans="2:12" s="1" customFormat="1" ht="12.95" customHeight="1" x14ac:dyDescent="0.15">
      <c r="B784" s="16">
        <v>20</v>
      </c>
      <c r="C784" s="17"/>
      <c r="D784" s="24"/>
      <c r="E784" s="24"/>
      <c r="F784" s="129"/>
      <c r="G784" s="20"/>
      <c r="H784" s="20">
        <v>1</v>
      </c>
      <c r="I784" s="126">
        <f t="shared" si="59"/>
        <v>0</v>
      </c>
      <c r="J784" s="38">
        <f t="shared" si="60"/>
        <v>0</v>
      </c>
      <c r="K784" s="80"/>
      <c r="L784" s="82"/>
    </row>
    <row r="785" spans="2:20" s="1" customFormat="1" ht="12.95" customHeight="1" x14ac:dyDescent="0.15">
      <c r="B785" s="16"/>
      <c r="C785" s="17"/>
      <c r="D785" s="24"/>
      <c r="E785" s="24"/>
      <c r="F785" s="129"/>
      <c r="G785" s="20"/>
      <c r="H785" s="20"/>
      <c r="I785" s="126"/>
      <c r="J785" s="38"/>
      <c r="K785" s="80"/>
      <c r="L785" s="82"/>
    </row>
    <row r="786" spans="2:20" s="1" customFormat="1" ht="12.95" customHeight="1" x14ac:dyDescent="0.15">
      <c r="B786" s="16"/>
      <c r="C786" s="17"/>
      <c r="D786" s="24"/>
      <c r="E786" s="24"/>
      <c r="F786" s="129"/>
      <c r="G786" s="20"/>
      <c r="H786" s="20"/>
      <c r="I786" s="126"/>
      <c r="J786" s="38"/>
      <c r="K786" s="80"/>
      <c r="L786" s="82"/>
    </row>
    <row r="787" spans="2:20" s="1" customFormat="1" ht="12.95" customHeight="1" x14ac:dyDescent="0.15">
      <c r="B787" s="16"/>
      <c r="C787" s="22" t="s">
        <v>132</v>
      </c>
      <c r="D787" s="24"/>
      <c r="E787" s="24"/>
      <c r="F787" s="129"/>
      <c r="G787" s="20"/>
      <c r="H787" s="20"/>
      <c r="I787" s="126"/>
      <c r="J787" s="38"/>
      <c r="K787" s="80"/>
      <c r="L787" s="82"/>
    </row>
    <row r="788" spans="2:20" s="1" customFormat="1" ht="12.95" customHeight="1" x14ac:dyDescent="0.15">
      <c r="B788" s="16">
        <v>1</v>
      </c>
      <c r="C788" s="17"/>
      <c r="D788" s="24"/>
      <c r="E788" s="24"/>
      <c r="F788" s="129"/>
      <c r="G788" s="20"/>
      <c r="H788" s="20">
        <v>1</v>
      </c>
      <c r="I788" s="126">
        <f t="shared" ref="I788:I800" si="61">J788*$C$32</f>
        <v>0</v>
      </c>
      <c r="J788" s="38">
        <f t="shared" ref="J788:J800" si="62">(F788*G788*H788)/$C$32</f>
        <v>0</v>
      </c>
      <c r="K788" s="80"/>
      <c r="L788" s="82"/>
    </row>
    <row r="789" spans="2:20" s="1" customFormat="1" ht="12.95" customHeight="1" x14ac:dyDescent="0.15">
      <c r="B789" s="16">
        <v>2</v>
      </c>
      <c r="C789" s="17"/>
      <c r="D789" s="24"/>
      <c r="E789" s="24"/>
      <c r="F789" s="129"/>
      <c r="G789" s="20"/>
      <c r="H789" s="20">
        <v>1</v>
      </c>
      <c r="I789" s="126">
        <f t="shared" si="61"/>
        <v>0</v>
      </c>
      <c r="J789" s="38">
        <f t="shared" si="62"/>
        <v>0</v>
      </c>
      <c r="K789" s="80"/>
      <c r="L789" s="82"/>
    </row>
    <row r="790" spans="2:20" s="1" customFormat="1" ht="12.95" customHeight="1" x14ac:dyDescent="0.15">
      <c r="B790" s="16">
        <v>3</v>
      </c>
      <c r="C790" s="17"/>
      <c r="D790" s="24"/>
      <c r="E790" s="24"/>
      <c r="F790" s="129"/>
      <c r="G790" s="20"/>
      <c r="H790" s="20">
        <v>1</v>
      </c>
      <c r="I790" s="126">
        <f t="shared" si="61"/>
        <v>0</v>
      </c>
      <c r="J790" s="38">
        <f t="shared" si="62"/>
        <v>0</v>
      </c>
      <c r="K790" s="80"/>
      <c r="L790" s="82"/>
    </row>
    <row r="791" spans="2:20" s="1" customFormat="1" ht="12.95" customHeight="1" x14ac:dyDescent="0.15">
      <c r="B791" s="16">
        <v>4</v>
      </c>
      <c r="C791" s="17"/>
      <c r="D791" s="24"/>
      <c r="E791" s="24"/>
      <c r="F791" s="129"/>
      <c r="G791" s="20"/>
      <c r="H791" s="20">
        <v>1</v>
      </c>
      <c r="I791" s="126">
        <f t="shared" si="61"/>
        <v>0</v>
      </c>
      <c r="J791" s="38">
        <f t="shared" si="62"/>
        <v>0</v>
      </c>
      <c r="K791" s="80"/>
      <c r="L791" s="82"/>
    </row>
    <row r="792" spans="2:20" s="1" customFormat="1" ht="12.95" customHeight="1" x14ac:dyDescent="0.15">
      <c r="B792" s="16">
        <v>5</v>
      </c>
      <c r="C792" s="17"/>
      <c r="D792" s="24"/>
      <c r="E792" s="24"/>
      <c r="F792" s="129"/>
      <c r="G792" s="20"/>
      <c r="H792" s="20">
        <v>1</v>
      </c>
      <c r="I792" s="126">
        <f t="shared" si="61"/>
        <v>0</v>
      </c>
      <c r="J792" s="38">
        <f t="shared" si="62"/>
        <v>0</v>
      </c>
      <c r="K792" s="80"/>
      <c r="L792" s="82"/>
    </row>
    <row r="793" spans="2:20" s="1" customFormat="1" ht="12.95" customHeight="1" x14ac:dyDescent="0.15">
      <c r="B793" s="16">
        <v>6</v>
      </c>
      <c r="C793" s="17"/>
      <c r="D793" s="24"/>
      <c r="E793" s="24"/>
      <c r="F793" s="129"/>
      <c r="G793" s="20"/>
      <c r="H793" s="20">
        <v>1</v>
      </c>
      <c r="I793" s="126">
        <f t="shared" si="61"/>
        <v>0</v>
      </c>
      <c r="J793" s="38">
        <f t="shared" si="62"/>
        <v>0</v>
      </c>
      <c r="K793" s="80"/>
      <c r="L793" s="82"/>
    </row>
    <row r="794" spans="2:20" s="1" customFormat="1" ht="12.95" customHeight="1" x14ac:dyDescent="0.15">
      <c r="B794" s="16">
        <v>7</v>
      </c>
      <c r="C794" s="17"/>
      <c r="D794" s="24"/>
      <c r="E794" s="24"/>
      <c r="F794" s="129"/>
      <c r="G794" s="20"/>
      <c r="H794" s="20">
        <v>1</v>
      </c>
      <c r="I794" s="126">
        <f t="shared" si="61"/>
        <v>0</v>
      </c>
      <c r="J794" s="38">
        <f t="shared" si="62"/>
        <v>0</v>
      </c>
      <c r="K794" s="80"/>
      <c r="L794" s="82"/>
    </row>
    <row r="795" spans="2:20" s="1" customFormat="1" ht="12.95" customHeight="1" x14ac:dyDescent="0.15">
      <c r="B795" s="16">
        <v>8</v>
      </c>
      <c r="C795" s="17"/>
      <c r="D795" s="24"/>
      <c r="E795" s="24"/>
      <c r="F795" s="129"/>
      <c r="G795" s="20"/>
      <c r="H795" s="20">
        <v>1</v>
      </c>
      <c r="I795" s="126">
        <f t="shared" si="61"/>
        <v>0</v>
      </c>
      <c r="J795" s="38">
        <f t="shared" si="62"/>
        <v>0</v>
      </c>
      <c r="K795" s="80"/>
      <c r="L795" s="82"/>
    </row>
    <row r="796" spans="2:20" s="1" customFormat="1" ht="12.95" customHeight="1" x14ac:dyDescent="0.15">
      <c r="B796" s="16">
        <v>9</v>
      </c>
      <c r="C796" s="17"/>
      <c r="D796" s="24"/>
      <c r="E796" s="24"/>
      <c r="F796" s="129"/>
      <c r="G796" s="20"/>
      <c r="H796" s="20">
        <v>1</v>
      </c>
      <c r="I796" s="126">
        <f t="shared" si="61"/>
        <v>0</v>
      </c>
      <c r="J796" s="38">
        <f t="shared" si="62"/>
        <v>0</v>
      </c>
      <c r="K796" s="80"/>
      <c r="L796" s="82"/>
    </row>
    <row r="797" spans="2:20" s="1" customFormat="1" ht="12.95" customHeight="1" x14ac:dyDescent="0.15">
      <c r="B797" s="16">
        <v>10</v>
      </c>
      <c r="C797" s="17"/>
      <c r="D797" s="24"/>
      <c r="E797" s="24"/>
      <c r="F797" s="129"/>
      <c r="G797" s="20"/>
      <c r="H797" s="20">
        <v>1</v>
      </c>
      <c r="I797" s="126">
        <f t="shared" si="61"/>
        <v>0</v>
      </c>
      <c r="J797" s="38">
        <f t="shared" si="62"/>
        <v>0</v>
      </c>
      <c r="K797" s="80"/>
      <c r="L797" s="82"/>
    </row>
    <row r="798" spans="2:20" s="1" customFormat="1" ht="12.95" customHeight="1" x14ac:dyDescent="0.15">
      <c r="B798" s="16">
        <v>11</v>
      </c>
      <c r="C798" s="44"/>
      <c r="D798" s="18"/>
      <c r="E798" s="18"/>
      <c r="F798" s="129"/>
      <c r="G798" s="20"/>
      <c r="H798" s="20">
        <v>1</v>
      </c>
      <c r="I798" s="126">
        <f t="shared" si="61"/>
        <v>0</v>
      </c>
      <c r="J798" s="21">
        <f t="shared" si="62"/>
        <v>0</v>
      </c>
      <c r="K798" s="80"/>
      <c r="L798" s="82"/>
      <c r="M798" s="10"/>
      <c r="N798" s="10"/>
      <c r="O798" s="10"/>
      <c r="P798" s="10"/>
      <c r="Q798" s="43"/>
      <c r="R798" s="10"/>
      <c r="T798" s="10" t="s">
        <v>169</v>
      </c>
    </row>
    <row r="799" spans="2:20" s="1" customFormat="1" ht="12.95" customHeight="1" x14ac:dyDescent="0.15">
      <c r="B799" s="16">
        <v>12</v>
      </c>
      <c r="C799" s="45"/>
      <c r="D799" s="18"/>
      <c r="E799" s="18"/>
      <c r="F799" s="130"/>
      <c r="G799" s="20"/>
      <c r="H799" s="20">
        <v>1</v>
      </c>
      <c r="I799" s="126">
        <f t="shared" si="61"/>
        <v>0</v>
      </c>
      <c r="J799" s="21">
        <f t="shared" si="62"/>
        <v>0</v>
      </c>
      <c r="K799" s="80"/>
      <c r="L799" s="82"/>
      <c r="M799" s="10"/>
      <c r="N799" s="10"/>
      <c r="O799" s="10"/>
      <c r="P799" s="10"/>
      <c r="Q799" s="43"/>
      <c r="R799" s="10"/>
      <c r="T799" s="10" t="s">
        <v>170</v>
      </c>
    </row>
    <row r="800" spans="2:20" s="1" customFormat="1" ht="12.95" customHeight="1" x14ac:dyDescent="0.15">
      <c r="B800" s="16">
        <v>13</v>
      </c>
      <c r="C800" s="44"/>
      <c r="D800" s="18"/>
      <c r="E800" s="18"/>
      <c r="F800" s="129"/>
      <c r="G800" s="20"/>
      <c r="H800" s="20">
        <v>1</v>
      </c>
      <c r="I800" s="126">
        <f t="shared" si="61"/>
        <v>0</v>
      </c>
      <c r="J800" s="21">
        <f t="shared" si="62"/>
        <v>0</v>
      </c>
      <c r="K800" s="80"/>
      <c r="L800" s="82"/>
      <c r="M800" s="10"/>
      <c r="N800" s="10"/>
      <c r="O800" s="10"/>
      <c r="P800" s="10"/>
      <c r="Q800" s="43"/>
      <c r="R800" s="10"/>
      <c r="T800" s="10" t="s">
        <v>171</v>
      </c>
    </row>
    <row r="801" spans="2:20" s="1" customFormat="1" ht="12.95" customHeight="1" x14ac:dyDescent="0.15">
      <c r="B801" s="16">
        <v>14</v>
      </c>
      <c r="C801" s="44"/>
      <c r="D801" s="18"/>
      <c r="E801" s="18"/>
      <c r="F801" s="129"/>
      <c r="G801" s="20"/>
      <c r="H801" s="20">
        <v>1</v>
      </c>
      <c r="I801" s="126">
        <f t="shared" ref="I801:I807" si="63">J801*$C$32</f>
        <v>0</v>
      </c>
      <c r="J801" s="21">
        <f t="shared" ref="J801:J807" si="64">(F801*G801*H801)/$C$32</f>
        <v>0</v>
      </c>
      <c r="K801" s="80"/>
      <c r="L801" s="82"/>
      <c r="M801" s="10"/>
      <c r="N801" s="10"/>
      <c r="O801" s="10"/>
      <c r="P801" s="10"/>
      <c r="Q801" s="43"/>
      <c r="R801" s="10"/>
      <c r="T801" s="10"/>
    </row>
    <row r="802" spans="2:20" s="1" customFormat="1" ht="12.95" customHeight="1" x14ac:dyDescent="0.15">
      <c r="B802" s="16">
        <v>15</v>
      </c>
      <c r="C802" s="44"/>
      <c r="D802" s="18"/>
      <c r="E802" s="18"/>
      <c r="F802" s="129"/>
      <c r="G802" s="20"/>
      <c r="H802" s="20">
        <v>1</v>
      </c>
      <c r="I802" s="126">
        <f t="shared" si="63"/>
        <v>0</v>
      </c>
      <c r="J802" s="21">
        <f t="shared" si="64"/>
        <v>0</v>
      </c>
      <c r="K802" s="80"/>
      <c r="L802" s="82"/>
      <c r="M802" s="10"/>
      <c r="N802" s="10"/>
      <c r="O802" s="10"/>
      <c r="P802" s="10"/>
      <c r="Q802" s="43"/>
      <c r="R802" s="10"/>
      <c r="T802" s="10"/>
    </row>
    <row r="803" spans="2:20" s="1" customFormat="1" ht="12.95" customHeight="1" x14ac:dyDescent="0.15">
      <c r="B803" s="16">
        <v>16</v>
      </c>
      <c r="C803" s="44"/>
      <c r="D803" s="18"/>
      <c r="E803" s="18"/>
      <c r="F803" s="129"/>
      <c r="G803" s="20"/>
      <c r="H803" s="20">
        <v>1</v>
      </c>
      <c r="I803" s="126">
        <f t="shared" si="63"/>
        <v>0</v>
      </c>
      <c r="J803" s="21">
        <f t="shared" si="64"/>
        <v>0</v>
      </c>
      <c r="K803" s="80"/>
      <c r="L803" s="82"/>
      <c r="M803" s="10"/>
      <c r="N803" s="10"/>
      <c r="O803" s="10"/>
      <c r="P803" s="10"/>
      <c r="Q803" s="43"/>
      <c r="R803" s="10"/>
      <c r="T803" s="10"/>
    </row>
    <row r="804" spans="2:20" s="1" customFormat="1" ht="12.95" customHeight="1" x14ac:dyDescent="0.15">
      <c r="B804" s="16">
        <v>17</v>
      </c>
      <c r="C804" s="44"/>
      <c r="D804" s="18"/>
      <c r="E804" s="18"/>
      <c r="F804" s="129"/>
      <c r="G804" s="20"/>
      <c r="H804" s="20">
        <v>1</v>
      </c>
      <c r="I804" s="126">
        <f t="shared" si="63"/>
        <v>0</v>
      </c>
      <c r="J804" s="21">
        <f t="shared" si="64"/>
        <v>0</v>
      </c>
      <c r="K804" s="80"/>
      <c r="L804" s="82"/>
      <c r="M804" s="10"/>
      <c r="N804" s="10"/>
      <c r="O804" s="10"/>
      <c r="P804" s="10"/>
      <c r="Q804" s="43"/>
      <c r="R804" s="10"/>
      <c r="T804" s="10"/>
    </row>
    <row r="805" spans="2:20" s="1" customFormat="1" ht="12.95" customHeight="1" x14ac:dyDescent="0.15">
      <c r="B805" s="16">
        <v>18</v>
      </c>
      <c r="C805" s="44"/>
      <c r="D805" s="18"/>
      <c r="E805" s="18"/>
      <c r="F805" s="129"/>
      <c r="G805" s="20"/>
      <c r="H805" s="20">
        <v>1</v>
      </c>
      <c r="I805" s="126">
        <f t="shared" si="63"/>
        <v>0</v>
      </c>
      <c r="J805" s="78">
        <f t="shared" si="64"/>
        <v>0</v>
      </c>
      <c r="K805" s="111"/>
      <c r="L805" s="119"/>
      <c r="M805" s="10"/>
      <c r="N805" s="10"/>
      <c r="O805" s="10"/>
      <c r="P805" s="10"/>
      <c r="Q805" s="43"/>
      <c r="R805" s="10"/>
      <c r="T805" s="10"/>
    </row>
    <row r="806" spans="2:20" s="1" customFormat="1" ht="12.95" customHeight="1" x14ac:dyDescent="0.15">
      <c r="B806" s="16">
        <v>19</v>
      </c>
      <c r="C806" s="44"/>
      <c r="D806" s="18"/>
      <c r="E806" s="18"/>
      <c r="F806" s="129"/>
      <c r="G806" s="20"/>
      <c r="H806" s="20">
        <v>1</v>
      </c>
      <c r="I806" s="254">
        <f t="shared" si="63"/>
        <v>0</v>
      </c>
      <c r="J806" s="94">
        <f t="shared" si="64"/>
        <v>0</v>
      </c>
      <c r="K806" s="82"/>
      <c r="L806" s="82"/>
      <c r="M806" s="10"/>
      <c r="N806" s="10"/>
      <c r="O806" s="10"/>
      <c r="P806" s="10"/>
      <c r="Q806" s="43"/>
      <c r="R806" s="10"/>
      <c r="T806" s="10"/>
    </row>
    <row r="807" spans="2:20" s="1" customFormat="1" ht="12.95" customHeight="1" x14ac:dyDescent="0.15">
      <c r="B807" s="16">
        <v>20</v>
      </c>
      <c r="C807" s="44"/>
      <c r="D807" s="18"/>
      <c r="E807" s="18"/>
      <c r="F807" s="129"/>
      <c r="G807" s="20"/>
      <c r="H807" s="20">
        <v>1</v>
      </c>
      <c r="I807" s="254">
        <f t="shared" si="63"/>
        <v>0</v>
      </c>
      <c r="J807" s="94">
        <f t="shared" si="64"/>
        <v>0</v>
      </c>
      <c r="K807" s="82"/>
      <c r="L807" s="82"/>
      <c r="M807" s="10"/>
      <c r="N807" s="10"/>
      <c r="O807" s="10"/>
      <c r="P807" s="10"/>
      <c r="Q807" s="43"/>
      <c r="R807" s="10"/>
      <c r="T807" s="10"/>
    </row>
    <row r="808" spans="2:20" s="1" customFormat="1" ht="12.95" customHeight="1" x14ac:dyDescent="0.15">
      <c r="B808" s="16"/>
      <c r="C808" s="11"/>
      <c r="D808" s="18"/>
      <c r="E808" s="18"/>
      <c r="F808" s="129"/>
      <c r="G808" s="20"/>
      <c r="H808" s="20"/>
      <c r="I808" s="255"/>
      <c r="J808" s="94"/>
      <c r="K808" s="82"/>
      <c r="L808" s="82"/>
      <c r="M808" s="10"/>
      <c r="N808" s="10"/>
      <c r="O808" s="10"/>
      <c r="P808" s="10"/>
      <c r="Q808" s="43"/>
      <c r="R808" s="10"/>
      <c r="T808" s="10"/>
    </row>
    <row r="809" spans="2:20" s="1" customFormat="1" ht="12.75" x14ac:dyDescent="0.15">
      <c r="B809" s="83"/>
      <c r="C809" s="98"/>
      <c r="D809" s="99"/>
      <c r="E809" s="98"/>
      <c r="F809" s="127">
        <f>SUM(F750:F808)</f>
        <v>0</v>
      </c>
      <c r="G809" s="100"/>
      <c r="H809" s="252"/>
      <c r="I809" s="256">
        <f>SUM(I751:I808)</f>
        <v>0</v>
      </c>
      <c r="J809" s="257">
        <f>SUM(J751:J808)</f>
        <v>0</v>
      </c>
    </row>
    <row r="810" spans="2:20" s="1" customFormat="1" ht="12.75" x14ac:dyDescent="0.15">
      <c r="B810" s="82"/>
      <c r="C810" s="102"/>
      <c r="D810" s="103"/>
      <c r="E810" s="102" t="s">
        <v>147</v>
      </c>
      <c r="F810" s="128">
        <f>100/115*F809</f>
        <v>0</v>
      </c>
      <c r="G810" s="104"/>
      <c r="H810" s="253" t="s">
        <v>147</v>
      </c>
      <c r="I810" s="128">
        <f>100/115*I809</f>
        <v>0</v>
      </c>
      <c r="J810" s="106"/>
    </row>
    <row r="811" spans="2:20" s="1" customFormat="1" ht="12.75" x14ac:dyDescent="0.15"/>
    <row r="812" spans="2:20" s="1" customFormat="1" ht="12.75" x14ac:dyDescent="0.15"/>
    <row r="813" spans="2:20" s="1" customFormat="1" ht="12.75" x14ac:dyDescent="0.15"/>
    <row r="814" spans="2:20" s="1" customFormat="1" ht="12.75" x14ac:dyDescent="0.15"/>
    <row r="815" spans="2:20" s="1" customFormat="1" ht="12.75" x14ac:dyDescent="0.15"/>
    <row r="816" spans="2:20" s="1" customFormat="1" ht="12.75" x14ac:dyDescent="0.15"/>
    <row r="817" s="1" customFormat="1" ht="12.75" x14ac:dyDescent="0.15"/>
    <row r="818" s="1" customFormat="1" ht="12.75" x14ac:dyDescent="0.15"/>
    <row r="819" s="1" customFormat="1" ht="12.75" x14ac:dyDescent="0.15"/>
    <row r="820" s="1" customFormat="1" ht="12.75" x14ac:dyDescent="0.15"/>
    <row r="821" s="1" customFormat="1" ht="12.75" x14ac:dyDescent="0.15"/>
    <row r="822" s="1" customFormat="1" ht="12.75" x14ac:dyDescent="0.15"/>
    <row r="823" s="1" customFormat="1" ht="12.75" x14ac:dyDescent="0.15"/>
    <row r="824" s="1" customFormat="1" ht="12.75" x14ac:dyDescent="0.15"/>
    <row r="825" s="1" customFormat="1" ht="12.75" x14ac:dyDescent="0.15"/>
    <row r="826" s="1" customFormat="1" ht="12.75" x14ac:dyDescent="0.15"/>
    <row r="827" s="1" customFormat="1" ht="12.75" x14ac:dyDescent="0.15"/>
    <row r="828" s="1" customFormat="1" ht="12.75" x14ac:dyDescent="0.15"/>
    <row r="829" s="1" customFormat="1" ht="12.75" x14ac:dyDescent="0.15"/>
    <row r="830" s="1" customFormat="1" ht="12.75" x14ac:dyDescent="0.15"/>
    <row r="831" s="1" customFormat="1" ht="12.75" x14ac:dyDescent="0.15"/>
    <row r="832" s="1" customFormat="1" ht="12.75" x14ac:dyDescent="0.15"/>
    <row r="833" s="1" customFormat="1" ht="12.75" x14ac:dyDescent="0.15"/>
    <row r="834" s="1" customFormat="1" ht="12.75" x14ac:dyDescent="0.15"/>
    <row r="835" s="1" customFormat="1" ht="12.75" x14ac:dyDescent="0.15"/>
    <row r="836" s="1" customFormat="1" ht="12.75" x14ac:dyDescent="0.15"/>
    <row r="837" s="1" customFormat="1" ht="12.75" x14ac:dyDescent="0.15"/>
    <row r="838" s="1" customFormat="1" ht="12.75" x14ac:dyDescent="0.15"/>
    <row r="839" s="1" customFormat="1" ht="12.75" x14ac:dyDescent="0.15"/>
    <row r="840" s="1" customFormat="1" ht="12.75" x14ac:dyDescent="0.15"/>
    <row r="841" s="1" customFormat="1" ht="12.75" x14ac:dyDescent="0.15"/>
    <row r="842" s="1" customFormat="1" ht="12.75" x14ac:dyDescent="0.15"/>
    <row r="843" s="1" customFormat="1" ht="12.75" x14ac:dyDescent="0.15"/>
    <row r="844" s="1" customFormat="1" ht="12.75" x14ac:dyDescent="0.15"/>
    <row r="845" s="1" customFormat="1" ht="12.75" x14ac:dyDescent="0.15"/>
    <row r="846" s="1" customFormat="1" ht="12.75" x14ac:dyDescent="0.15"/>
    <row r="847" s="1" customFormat="1" ht="12.75" x14ac:dyDescent="0.15"/>
    <row r="848" s="1" customFormat="1" ht="12.75" x14ac:dyDescent="0.15"/>
    <row r="849" s="1" customFormat="1" ht="12.75" x14ac:dyDescent="0.15"/>
    <row r="850" s="1" customFormat="1" ht="12.75" x14ac:dyDescent="0.15"/>
    <row r="851" s="1" customFormat="1" ht="12.75" x14ac:dyDescent="0.15"/>
    <row r="852" s="1" customFormat="1" ht="12.75" x14ac:dyDescent="0.15"/>
    <row r="853" s="1" customFormat="1" ht="12.75" x14ac:dyDescent="0.15"/>
    <row r="854" s="1" customFormat="1" ht="12.75" x14ac:dyDescent="0.15"/>
    <row r="855" s="1" customFormat="1" ht="12.75" x14ac:dyDescent="0.15"/>
    <row r="856" s="1" customFormat="1" ht="12.75" x14ac:dyDescent="0.15"/>
    <row r="857" s="1" customFormat="1" ht="12.75" x14ac:dyDescent="0.15"/>
    <row r="858" s="1" customFormat="1" ht="12.75" x14ac:dyDescent="0.15"/>
    <row r="859" s="1" customFormat="1" ht="12.75" x14ac:dyDescent="0.15"/>
    <row r="860" s="1" customFormat="1" ht="12.75" x14ac:dyDescent="0.15"/>
    <row r="861" s="1" customFormat="1" ht="12.75" x14ac:dyDescent="0.15"/>
    <row r="862" s="1" customFormat="1" ht="12.75" x14ac:dyDescent="0.15"/>
    <row r="863" s="1" customFormat="1" ht="12.75" x14ac:dyDescent="0.15"/>
    <row r="864" s="1" customFormat="1" ht="12.75" x14ac:dyDescent="0.15"/>
    <row r="865" spans="12:12" s="1" customFormat="1" ht="12.75" x14ac:dyDescent="0.15"/>
    <row r="866" spans="12:12" s="1" customFormat="1" ht="12.75" x14ac:dyDescent="0.15"/>
    <row r="867" spans="12:12" s="1" customFormat="1" ht="12.75" x14ac:dyDescent="0.15"/>
    <row r="868" spans="12:12" s="1" customFormat="1" ht="12.75" x14ac:dyDescent="0.15"/>
    <row r="869" spans="12:12" s="1" customFormat="1" ht="12.75" x14ac:dyDescent="0.15"/>
    <row r="870" spans="12:12" s="1" customFormat="1" ht="12.75" x14ac:dyDescent="0.15"/>
    <row r="871" spans="12:12" s="1" customFormat="1" ht="12.75" x14ac:dyDescent="0.15"/>
    <row r="872" spans="12:12" s="1" customFormat="1" ht="12.75" x14ac:dyDescent="0.15"/>
    <row r="873" spans="12:12" x14ac:dyDescent="0.2">
      <c r="L873"/>
    </row>
    <row r="874" spans="12:12" x14ac:dyDescent="0.2">
      <c r="L874"/>
    </row>
    <row r="875" spans="12:12" x14ac:dyDescent="0.2">
      <c r="L875"/>
    </row>
    <row r="876" spans="12:12" x14ac:dyDescent="0.2">
      <c r="L876"/>
    </row>
    <row r="877" spans="12:12" x14ac:dyDescent="0.2">
      <c r="L877"/>
    </row>
    <row r="878" spans="12:12" x14ac:dyDescent="0.2">
      <c r="L878"/>
    </row>
    <row r="879" spans="12:12" x14ac:dyDescent="0.2">
      <c r="L879"/>
    </row>
    <row r="880" spans="12:12" x14ac:dyDescent="0.2">
      <c r="L880"/>
    </row>
    <row r="881" spans="12:12" x14ac:dyDescent="0.2">
      <c r="L881"/>
    </row>
    <row r="882" spans="12:12" x14ac:dyDescent="0.2">
      <c r="L882"/>
    </row>
    <row r="883" spans="12:12" x14ac:dyDescent="0.2">
      <c r="L883"/>
    </row>
    <row r="884" spans="12:12" x14ac:dyDescent="0.2">
      <c r="L884"/>
    </row>
    <row r="885" spans="12:12" x14ac:dyDescent="0.2">
      <c r="L885"/>
    </row>
    <row r="886" spans="12:12" x14ac:dyDescent="0.2">
      <c r="L886"/>
    </row>
    <row r="887" spans="12:12" x14ac:dyDescent="0.2">
      <c r="L887"/>
    </row>
    <row r="888" spans="12:12" x14ac:dyDescent="0.2">
      <c r="L888"/>
    </row>
    <row r="889" spans="12:12" x14ac:dyDescent="0.2">
      <c r="L889"/>
    </row>
    <row r="890" spans="12:12" x14ac:dyDescent="0.2">
      <c r="L890"/>
    </row>
    <row r="891" spans="12:12" x14ac:dyDescent="0.2">
      <c r="L891"/>
    </row>
    <row r="892" spans="12:12" x14ac:dyDescent="0.2">
      <c r="L892"/>
    </row>
    <row r="893" spans="12:12" x14ac:dyDescent="0.2">
      <c r="L893"/>
    </row>
    <row r="894" spans="12:12" x14ac:dyDescent="0.2">
      <c r="L894"/>
    </row>
    <row r="895" spans="12:12" x14ac:dyDescent="0.2">
      <c r="L895"/>
    </row>
    <row r="896" spans="12:12" x14ac:dyDescent="0.2">
      <c r="L896"/>
    </row>
    <row r="897" spans="12:12" x14ac:dyDescent="0.2">
      <c r="L897"/>
    </row>
    <row r="898" spans="12:12" x14ac:dyDescent="0.2">
      <c r="L898"/>
    </row>
    <row r="899" spans="12:12" x14ac:dyDescent="0.2">
      <c r="L899"/>
    </row>
    <row r="900" spans="12:12" x14ac:dyDescent="0.2">
      <c r="L900"/>
    </row>
    <row r="901" spans="12:12" x14ac:dyDescent="0.2">
      <c r="L901"/>
    </row>
    <row r="902" spans="12:12" x14ac:dyDescent="0.2">
      <c r="L902"/>
    </row>
    <row r="903" spans="12:12" x14ac:dyDescent="0.2">
      <c r="L903"/>
    </row>
    <row r="904" spans="12:12" x14ac:dyDescent="0.2">
      <c r="L904"/>
    </row>
    <row r="905" spans="12:12" x14ac:dyDescent="0.2">
      <c r="L905"/>
    </row>
    <row r="906" spans="12:12" x14ac:dyDescent="0.2">
      <c r="L906"/>
    </row>
    <row r="907" spans="12:12" x14ac:dyDescent="0.2">
      <c r="L907"/>
    </row>
    <row r="908" spans="12:12" x14ac:dyDescent="0.2">
      <c r="L908"/>
    </row>
    <row r="909" spans="12:12" x14ac:dyDescent="0.2">
      <c r="L909"/>
    </row>
    <row r="910" spans="12:12" x14ac:dyDescent="0.2">
      <c r="L910"/>
    </row>
    <row r="911" spans="12:12" x14ac:dyDescent="0.2">
      <c r="L911"/>
    </row>
    <row r="912" spans="12:12" x14ac:dyDescent="0.2">
      <c r="L912"/>
    </row>
    <row r="913" spans="12:12" x14ac:dyDescent="0.2">
      <c r="L913"/>
    </row>
    <row r="914" spans="12:12" x14ac:dyDescent="0.2">
      <c r="L914"/>
    </row>
    <row r="915" spans="12:12" x14ac:dyDescent="0.2">
      <c r="L915"/>
    </row>
    <row r="916" spans="12:12" x14ac:dyDescent="0.2">
      <c r="L916"/>
    </row>
    <row r="917" spans="12:12" x14ac:dyDescent="0.2">
      <c r="L917"/>
    </row>
    <row r="918" spans="12:12" x14ac:dyDescent="0.2">
      <c r="L918"/>
    </row>
    <row r="919" spans="12:12" x14ac:dyDescent="0.2">
      <c r="L919"/>
    </row>
    <row r="920" spans="12:12" x14ac:dyDescent="0.2">
      <c r="L920"/>
    </row>
    <row r="921" spans="12:12" x14ac:dyDescent="0.2">
      <c r="L921"/>
    </row>
    <row r="922" spans="12:12" x14ac:dyDescent="0.2">
      <c r="L922"/>
    </row>
    <row r="923" spans="12:12" x14ac:dyDescent="0.2">
      <c r="L923"/>
    </row>
    <row r="924" spans="12:12" x14ac:dyDescent="0.2">
      <c r="L924"/>
    </row>
    <row r="925" spans="12:12" x14ac:dyDescent="0.2">
      <c r="L925"/>
    </row>
    <row r="926" spans="12:12" x14ac:dyDescent="0.2">
      <c r="L926"/>
    </row>
    <row r="927" spans="12:12" x14ac:dyDescent="0.2">
      <c r="L927"/>
    </row>
    <row r="928" spans="12:12" x14ac:dyDescent="0.2">
      <c r="L928"/>
    </row>
    <row r="929" spans="12:12" x14ac:dyDescent="0.2">
      <c r="L929"/>
    </row>
    <row r="930" spans="12:12" x14ac:dyDescent="0.2">
      <c r="L930"/>
    </row>
    <row r="931" spans="12:12" x14ac:dyDescent="0.2">
      <c r="L931"/>
    </row>
    <row r="932" spans="12:12" x14ac:dyDescent="0.2">
      <c r="L932"/>
    </row>
    <row r="933" spans="12:12" x14ac:dyDescent="0.2">
      <c r="L933"/>
    </row>
    <row r="934" spans="12:12" x14ac:dyDescent="0.2">
      <c r="L934"/>
    </row>
    <row r="935" spans="12:12" x14ac:dyDescent="0.2">
      <c r="L935"/>
    </row>
    <row r="936" spans="12:12" x14ac:dyDescent="0.2">
      <c r="L936"/>
    </row>
    <row r="937" spans="12:12" x14ac:dyDescent="0.2">
      <c r="L937"/>
    </row>
    <row r="938" spans="12:12" x14ac:dyDescent="0.2">
      <c r="L938"/>
    </row>
    <row r="939" spans="12:12" x14ac:dyDescent="0.2">
      <c r="L939"/>
    </row>
    <row r="940" spans="12:12" x14ac:dyDescent="0.2">
      <c r="L940"/>
    </row>
    <row r="941" spans="12:12" x14ac:dyDescent="0.2">
      <c r="L941"/>
    </row>
    <row r="942" spans="12:12" x14ac:dyDescent="0.2">
      <c r="L942"/>
    </row>
    <row r="943" spans="12:12" x14ac:dyDescent="0.2">
      <c r="L943"/>
    </row>
    <row r="944" spans="12:12" x14ac:dyDescent="0.2">
      <c r="L944"/>
    </row>
    <row r="945" spans="12:12" x14ac:dyDescent="0.2">
      <c r="L945"/>
    </row>
    <row r="946" spans="12:12" x14ac:dyDescent="0.2">
      <c r="L946"/>
    </row>
    <row r="947" spans="12:12" x14ac:dyDescent="0.2">
      <c r="L947"/>
    </row>
    <row r="948" spans="12:12" x14ac:dyDescent="0.2">
      <c r="L948"/>
    </row>
    <row r="949" spans="12:12" x14ac:dyDescent="0.2">
      <c r="L949"/>
    </row>
    <row r="950" spans="12:12" x14ac:dyDescent="0.2">
      <c r="L950"/>
    </row>
    <row r="951" spans="12:12" x14ac:dyDescent="0.2">
      <c r="L951"/>
    </row>
    <row r="952" spans="12:12" x14ac:dyDescent="0.2">
      <c r="L952"/>
    </row>
    <row r="953" spans="12:12" x14ac:dyDescent="0.2">
      <c r="L953"/>
    </row>
    <row r="954" spans="12:12" x14ac:dyDescent="0.2">
      <c r="L954"/>
    </row>
    <row r="955" spans="12:12" x14ac:dyDescent="0.2">
      <c r="L955"/>
    </row>
    <row r="956" spans="12:12" x14ac:dyDescent="0.2">
      <c r="L956"/>
    </row>
    <row r="957" spans="12:12" x14ac:dyDescent="0.2">
      <c r="L957"/>
    </row>
    <row r="958" spans="12:12" x14ac:dyDescent="0.2">
      <c r="L958"/>
    </row>
    <row r="959" spans="12:12" x14ac:dyDescent="0.2">
      <c r="L959"/>
    </row>
    <row r="960" spans="12:12" x14ac:dyDescent="0.2">
      <c r="L960"/>
    </row>
    <row r="961" spans="12:12" x14ac:dyDescent="0.2">
      <c r="L961"/>
    </row>
    <row r="962" spans="12:12" x14ac:dyDescent="0.2">
      <c r="L962"/>
    </row>
    <row r="963" spans="12:12" x14ac:dyDescent="0.2">
      <c r="L963"/>
    </row>
    <row r="964" spans="12:12" x14ac:dyDescent="0.2">
      <c r="L964"/>
    </row>
    <row r="965" spans="12:12" x14ac:dyDescent="0.2">
      <c r="L965"/>
    </row>
    <row r="966" spans="12:12" x14ac:dyDescent="0.2">
      <c r="L966"/>
    </row>
    <row r="967" spans="12:12" x14ac:dyDescent="0.2">
      <c r="L967"/>
    </row>
    <row r="968" spans="12:12" x14ac:dyDescent="0.2">
      <c r="L968"/>
    </row>
    <row r="969" spans="12:12" x14ac:dyDescent="0.2">
      <c r="L969"/>
    </row>
    <row r="970" spans="12:12" x14ac:dyDescent="0.2">
      <c r="L970"/>
    </row>
    <row r="971" spans="12:12" x14ac:dyDescent="0.2">
      <c r="L971"/>
    </row>
    <row r="972" spans="12:12" x14ac:dyDescent="0.2">
      <c r="L972"/>
    </row>
    <row r="973" spans="12:12" x14ac:dyDescent="0.2">
      <c r="L973"/>
    </row>
    <row r="974" spans="12:12" x14ac:dyDescent="0.2">
      <c r="L974"/>
    </row>
    <row r="975" spans="12:12" x14ac:dyDescent="0.2">
      <c r="L975"/>
    </row>
    <row r="976" spans="12:12" x14ac:dyDescent="0.2">
      <c r="L976"/>
    </row>
    <row r="977" spans="12:12" x14ac:dyDescent="0.2">
      <c r="L977"/>
    </row>
    <row r="978" spans="12:12" x14ac:dyDescent="0.2">
      <c r="L978"/>
    </row>
    <row r="979" spans="12:12" x14ac:dyDescent="0.2">
      <c r="L979"/>
    </row>
    <row r="980" spans="12:12" x14ac:dyDescent="0.2">
      <c r="L980"/>
    </row>
    <row r="981" spans="12:12" x14ac:dyDescent="0.2">
      <c r="L981"/>
    </row>
    <row r="982" spans="12:12" x14ac:dyDescent="0.2">
      <c r="L982"/>
    </row>
    <row r="983" spans="12:12" x14ac:dyDescent="0.2">
      <c r="L983"/>
    </row>
    <row r="984" spans="12:12" x14ac:dyDescent="0.2">
      <c r="L984"/>
    </row>
    <row r="985" spans="12:12" x14ac:dyDescent="0.2">
      <c r="L985"/>
    </row>
    <row r="986" spans="12:12" x14ac:dyDescent="0.2">
      <c r="L986"/>
    </row>
    <row r="987" spans="12:12" x14ac:dyDescent="0.2">
      <c r="L987"/>
    </row>
    <row r="988" spans="12:12" x14ac:dyDescent="0.2">
      <c r="L988"/>
    </row>
    <row r="989" spans="12:12" x14ac:dyDescent="0.2">
      <c r="L989"/>
    </row>
    <row r="990" spans="12:12" x14ac:dyDescent="0.2">
      <c r="L990"/>
    </row>
    <row r="991" spans="12:12" x14ac:dyDescent="0.2">
      <c r="L991"/>
    </row>
    <row r="992" spans="12:12" x14ac:dyDescent="0.2">
      <c r="L992"/>
    </row>
    <row r="993" spans="12:12" x14ac:dyDescent="0.2">
      <c r="L993"/>
    </row>
    <row r="994" spans="12:12" x14ac:dyDescent="0.2">
      <c r="L994"/>
    </row>
    <row r="995" spans="12:12" x14ac:dyDescent="0.2">
      <c r="L995"/>
    </row>
    <row r="996" spans="12:12" x14ac:dyDescent="0.2">
      <c r="L996"/>
    </row>
    <row r="997" spans="12:12" x14ac:dyDescent="0.2">
      <c r="L997"/>
    </row>
    <row r="998" spans="12:12" x14ac:dyDescent="0.2">
      <c r="L998"/>
    </row>
    <row r="999" spans="12:12" x14ac:dyDescent="0.2">
      <c r="L999"/>
    </row>
    <row r="1000" spans="12:12" x14ac:dyDescent="0.2">
      <c r="L1000"/>
    </row>
    <row r="1001" spans="12:12" x14ac:dyDescent="0.2">
      <c r="L1001"/>
    </row>
    <row r="1002" spans="12:12" x14ac:dyDescent="0.2">
      <c r="L1002"/>
    </row>
    <row r="1003" spans="12:12" x14ac:dyDescent="0.2">
      <c r="L1003"/>
    </row>
    <row r="1004" spans="12:12" x14ac:dyDescent="0.2">
      <c r="L1004"/>
    </row>
    <row r="1005" spans="12:12" x14ac:dyDescent="0.2">
      <c r="L1005"/>
    </row>
    <row r="1006" spans="12:12" x14ac:dyDescent="0.2">
      <c r="L1006"/>
    </row>
    <row r="1007" spans="12:12" x14ac:dyDescent="0.2">
      <c r="L1007"/>
    </row>
    <row r="1008" spans="12:12" x14ac:dyDescent="0.2">
      <c r="L1008"/>
    </row>
    <row r="1009" spans="12:12" x14ac:dyDescent="0.2">
      <c r="L1009"/>
    </row>
    <row r="1010" spans="12:12" x14ac:dyDescent="0.2">
      <c r="L1010"/>
    </row>
    <row r="1011" spans="12:12" x14ac:dyDescent="0.2">
      <c r="L1011"/>
    </row>
    <row r="1012" spans="12:12" x14ac:dyDescent="0.2">
      <c r="L1012"/>
    </row>
    <row r="1013" spans="12:12" x14ac:dyDescent="0.2">
      <c r="L1013"/>
    </row>
    <row r="1014" spans="12:12" x14ac:dyDescent="0.2">
      <c r="L1014"/>
    </row>
    <row r="1015" spans="12:12" x14ac:dyDescent="0.2">
      <c r="L1015"/>
    </row>
    <row r="1016" spans="12:12" x14ac:dyDescent="0.2">
      <c r="L1016"/>
    </row>
    <row r="1017" spans="12:12" x14ac:dyDescent="0.2">
      <c r="L1017"/>
    </row>
    <row r="1018" spans="12:12" x14ac:dyDescent="0.2">
      <c r="L1018"/>
    </row>
    <row r="1019" spans="12:12" x14ac:dyDescent="0.2">
      <c r="L1019"/>
    </row>
    <row r="1020" spans="12:12" x14ac:dyDescent="0.2">
      <c r="L1020"/>
    </row>
    <row r="1021" spans="12:12" x14ac:dyDescent="0.2">
      <c r="L1021"/>
    </row>
    <row r="1022" spans="12:12" x14ac:dyDescent="0.2">
      <c r="L1022"/>
    </row>
    <row r="1023" spans="12:12" x14ac:dyDescent="0.2">
      <c r="L1023"/>
    </row>
    <row r="1024" spans="12:12" x14ac:dyDescent="0.2">
      <c r="L1024"/>
    </row>
    <row r="1025" spans="12:12" x14ac:dyDescent="0.2">
      <c r="L1025"/>
    </row>
    <row r="1026" spans="12:12" x14ac:dyDescent="0.2">
      <c r="L1026"/>
    </row>
    <row r="1027" spans="12:12" x14ac:dyDescent="0.2">
      <c r="L1027"/>
    </row>
    <row r="1028" spans="12:12" x14ac:dyDescent="0.2">
      <c r="L1028"/>
    </row>
    <row r="1029" spans="12:12" x14ac:dyDescent="0.2">
      <c r="L1029"/>
    </row>
    <row r="1030" spans="12:12" x14ac:dyDescent="0.2">
      <c r="L1030"/>
    </row>
    <row r="1031" spans="12:12" x14ac:dyDescent="0.2">
      <c r="L1031"/>
    </row>
    <row r="1032" spans="12:12" x14ac:dyDescent="0.2">
      <c r="L1032"/>
    </row>
    <row r="1033" spans="12:12" x14ac:dyDescent="0.2">
      <c r="L1033"/>
    </row>
    <row r="1034" spans="12:12" x14ac:dyDescent="0.2">
      <c r="L1034"/>
    </row>
    <row r="1035" spans="12:12" x14ac:dyDescent="0.2">
      <c r="L1035"/>
    </row>
    <row r="1036" spans="12:12" x14ac:dyDescent="0.2">
      <c r="L1036"/>
    </row>
    <row r="1037" spans="12:12" x14ac:dyDescent="0.2">
      <c r="L1037"/>
    </row>
    <row r="1038" spans="12:12" x14ac:dyDescent="0.2">
      <c r="L1038"/>
    </row>
    <row r="1039" spans="12:12" x14ac:dyDescent="0.2">
      <c r="L1039"/>
    </row>
    <row r="1040" spans="12:12" x14ac:dyDescent="0.2">
      <c r="L1040"/>
    </row>
    <row r="1041" spans="12:12" x14ac:dyDescent="0.2">
      <c r="L1041"/>
    </row>
    <row r="1042" spans="12:12" x14ac:dyDescent="0.2">
      <c r="L1042"/>
    </row>
    <row r="1043" spans="12:12" x14ac:dyDescent="0.2">
      <c r="L1043"/>
    </row>
    <row r="1044" spans="12:12" x14ac:dyDescent="0.2">
      <c r="L1044"/>
    </row>
    <row r="1045" spans="12:12" x14ac:dyDescent="0.2">
      <c r="L1045"/>
    </row>
    <row r="1046" spans="12:12" x14ac:dyDescent="0.2">
      <c r="L1046"/>
    </row>
    <row r="1047" spans="12:12" x14ac:dyDescent="0.2">
      <c r="L1047"/>
    </row>
    <row r="1048" spans="12:12" x14ac:dyDescent="0.2">
      <c r="L1048"/>
    </row>
    <row r="1049" spans="12:12" x14ac:dyDescent="0.2">
      <c r="L1049"/>
    </row>
    <row r="1050" spans="12:12" x14ac:dyDescent="0.2">
      <c r="L1050"/>
    </row>
    <row r="1051" spans="12:12" x14ac:dyDescent="0.2">
      <c r="L1051"/>
    </row>
    <row r="1052" spans="12:12" x14ac:dyDescent="0.2">
      <c r="L1052"/>
    </row>
    <row r="1053" spans="12:12" x14ac:dyDescent="0.2">
      <c r="L1053"/>
    </row>
    <row r="1054" spans="12:12" x14ac:dyDescent="0.2">
      <c r="L1054"/>
    </row>
    <row r="1055" spans="12:12" x14ac:dyDescent="0.2">
      <c r="L1055"/>
    </row>
    <row r="1056" spans="12:12" x14ac:dyDescent="0.2">
      <c r="L1056"/>
    </row>
    <row r="1057" spans="12:12" x14ac:dyDescent="0.2">
      <c r="L1057"/>
    </row>
    <row r="1058" spans="12:12" x14ac:dyDescent="0.2">
      <c r="L1058"/>
    </row>
    <row r="1059" spans="12:12" x14ac:dyDescent="0.2">
      <c r="L1059"/>
    </row>
    <row r="1060" spans="12:12" x14ac:dyDescent="0.2">
      <c r="L1060"/>
    </row>
    <row r="1061" spans="12:12" x14ac:dyDescent="0.2">
      <c r="L1061"/>
    </row>
    <row r="1062" spans="12:12" x14ac:dyDescent="0.2">
      <c r="L1062"/>
    </row>
    <row r="1063" spans="12:12" x14ac:dyDescent="0.2">
      <c r="L1063"/>
    </row>
    <row r="1064" spans="12:12" x14ac:dyDescent="0.2">
      <c r="L1064"/>
    </row>
    <row r="1065" spans="12:12" x14ac:dyDescent="0.2">
      <c r="L1065"/>
    </row>
    <row r="1066" spans="12:12" x14ac:dyDescent="0.2">
      <c r="L1066"/>
    </row>
    <row r="1067" spans="12:12" x14ac:dyDescent="0.2">
      <c r="L1067"/>
    </row>
    <row r="1068" spans="12:12" x14ac:dyDescent="0.2">
      <c r="L1068"/>
    </row>
    <row r="1069" spans="12:12" x14ac:dyDescent="0.2">
      <c r="L1069"/>
    </row>
    <row r="1070" spans="12:12" x14ac:dyDescent="0.2">
      <c r="L1070"/>
    </row>
    <row r="1071" spans="12:12" x14ac:dyDescent="0.2">
      <c r="L1071"/>
    </row>
    <row r="1072" spans="12:12" x14ac:dyDescent="0.2">
      <c r="L1072"/>
    </row>
    <row r="1073" spans="12:12" x14ac:dyDescent="0.2">
      <c r="L1073"/>
    </row>
    <row r="1074" spans="12:12" x14ac:dyDescent="0.2">
      <c r="L1074"/>
    </row>
    <row r="1075" spans="12:12" x14ac:dyDescent="0.2">
      <c r="L1075"/>
    </row>
    <row r="1076" spans="12:12" x14ac:dyDescent="0.2">
      <c r="L1076"/>
    </row>
    <row r="1077" spans="12:12" x14ac:dyDescent="0.2">
      <c r="L1077"/>
    </row>
    <row r="1078" spans="12:12" x14ac:dyDescent="0.2">
      <c r="L1078"/>
    </row>
    <row r="1079" spans="12:12" x14ac:dyDescent="0.2">
      <c r="L1079"/>
    </row>
    <row r="1080" spans="12:12" x14ac:dyDescent="0.2">
      <c r="L1080"/>
    </row>
    <row r="1081" spans="12:12" x14ac:dyDescent="0.2">
      <c r="L1081"/>
    </row>
    <row r="1082" spans="12:12" x14ac:dyDescent="0.2">
      <c r="L1082"/>
    </row>
    <row r="1083" spans="12:12" x14ac:dyDescent="0.2">
      <c r="L1083"/>
    </row>
    <row r="1084" spans="12:12" x14ac:dyDescent="0.2">
      <c r="L1084"/>
    </row>
    <row r="1085" spans="12:12" x14ac:dyDescent="0.2">
      <c r="L1085"/>
    </row>
    <row r="1086" spans="12:12" x14ac:dyDescent="0.2">
      <c r="L1086"/>
    </row>
    <row r="1087" spans="12:12" x14ac:dyDescent="0.2">
      <c r="L1087"/>
    </row>
    <row r="1088" spans="12:12" x14ac:dyDescent="0.2">
      <c r="L1088"/>
    </row>
    <row r="1089" spans="12:12" x14ac:dyDescent="0.2">
      <c r="L1089"/>
    </row>
    <row r="1090" spans="12:12" x14ac:dyDescent="0.2">
      <c r="L1090"/>
    </row>
    <row r="1091" spans="12:12" x14ac:dyDescent="0.2">
      <c r="L1091"/>
    </row>
    <row r="1092" spans="12:12" x14ac:dyDescent="0.2">
      <c r="L1092"/>
    </row>
    <row r="1093" spans="12:12" x14ac:dyDescent="0.2">
      <c r="L1093"/>
    </row>
    <row r="1094" spans="12:12" x14ac:dyDescent="0.2">
      <c r="L1094"/>
    </row>
    <row r="1095" spans="12:12" x14ac:dyDescent="0.2">
      <c r="L1095"/>
    </row>
    <row r="1096" spans="12:12" x14ac:dyDescent="0.2">
      <c r="L1096"/>
    </row>
    <row r="1097" spans="12:12" x14ac:dyDescent="0.2">
      <c r="L1097"/>
    </row>
    <row r="1098" spans="12:12" x14ac:dyDescent="0.2">
      <c r="L1098"/>
    </row>
    <row r="1099" spans="12:12" x14ac:dyDescent="0.2">
      <c r="L1099"/>
    </row>
    <row r="1100" spans="12:12" x14ac:dyDescent="0.2">
      <c r="L1100"/>
    </row>
    <row r="1101" spans="12:12" x14ac:dyDescent="0.2">
      <c r="L1101"/>
    </row>
    <row r="1102" spans="12:12" x14ac:dyDescent="0.2">
      <c r="L1102"/>
    </row>
    <row r="1103" spans="12:12" x14ac:dyDescent="0.2">
      <c r="L1103"/>
    </row>
    <row r="1104" spans="12:12" x14ac:dyDescent="0.2">
      <c r="L1104"/>
    </row>
    <row r="1105" spans="12:12" x14ac:dyDescent="0.2">
      <c r="L1105"/>
    </row>
    <row r="1106" spans="12:12" x14ac:dyDescent="0.2">
      <c r="L1106"/>
    </row>
    <row r="1107" spans="12:12" x14ac:dyDescent="0.2">
      <c r="L1107"/>
    </row>
    <row r="1108" spans="12:12" x14ac:dyDescent="0.2">
      <c r="L1108"/>
    </row>
    <row r="1109" spans="12:12" x14ac:dyDescent="0.2">
      <c r="L1109"/>
    </row>
    <row r="1110" spans="12:12" x14ac:dyDescent="0.2">
      <c r="L1110"/>
    </row>
    <row r="1111" spans="12:12" x14ac:dyDescent="0.2">
      <c r="L1111"/>
    </row>
    <row r="1112" spans="12:12" x14ac:dyDescent="0.2">
      <c r="L1112"/>
    </row>
    <row r="1113" spans="12:12" x14ac:dyDescent="0.2">
      <c r="L1113"/>
    </row>
    <row r="1114" spans="12:12" x14ac:dyDescent="0.2">
      <c r="L1114"/>
    </row>
    <row r="1115" spans="12:12" x14ac:dyDescent="0.2">
      <c r="L1115"/>
    </row>
    <row r="1116" spans="12:12" x14ac:dyDescent="0.2">
      <c r="L1116"/>
    </row>
    <row r="1117" spans="12:12" x14ac:dyDescent="0.2">
      <c r="L1117"/>
    </row>
    <row r="1118" spans="12:12" x14ac:dyDescent="0.2">
      <c r="L1118"/>
    </row>
    <row r="1119" spans="12:12" x14ac:dyDescent="0.2">
      <c r="L1119"/>
    </row>
    <row r="1120" spans="12:12" x14ac:dyDescent="0.2">
      <c r="L1120"/>
    </row>
    <row r="1121" spans="12:12" x14ac:dyDescent="0.2">
      <c r="L1121"/>
    </row>
    <row r="1122" spans="12:12" x14ac:dyDescent="0.2">
      <c r="L1122"/>
    </row>
    <row r="1123" spans="12:12" x14ac:dyDescent="0.2">
      <c r="L1123"/>
    </row>
    <row r="1124" spans="12:12" x14ac:dyDescent="0.2">
      <c r="L1124"/>
    </row>
    <row r="1125" spans="12:12" x14ac:dyDescent="0.2">
      <c r="L1125"/>
    </row>
    <row r="1126" spans="12:12" x14ac:dyDescent="0.2">
      <c r="L1126"/>
    </row>
    <row r="1127" spans="12:12" x14ac:dyDescent="0.2">
      <c r="L1127"/>
    </row>
    <row r="1128" spans="12:12" x14ac:dyDescent="0.2">
      <c r="L1128"/>
    </row>
    <row r="1129" spans="12:12" x14ac:dyDescent="0.2">
      <c r="L1129"/>
    </row>
    <row r="1130" spans="12:12" x14ac:dyDescent="0.2">
      <c r="L1130"/>
    </row>
    <row r="1131" spans="12:12" x14ac:dyDescent="0.2">
      <c r="L1131"/>
    </row>
    <row r="1132" spans="12:12" x14ac:dyDescent="0.2">
      <c r="L1132"/>
    </row>
    <row r="1133" spans="12:12" x14ac:dyDescent="0.2">
      <c r="L1133"/>
    </row>
    <row r="1134" spans="12:12" x14ac:dyDescent="0.2">
      <c r="L1134"/>
    </row>
    <row r="1135" spans="12:12" x14ac:dyDescent="0.2">
      <c r="L1135"/>
    </row>
    <row r="1136" spans="12:12" x14ac:dyDescent="0.2">
      <c r="L1136"/>
    </row>
    <row r="1137" spans="12:12" x14ac:dyDescent="0.2">
      <c r="L1137"/>
    </row>
    <row r="1138" spans="12:12" x14ac:dyDescent="0.2">
      <c r="L1138"/>
    </row>
    <row r="1139" spans="12:12" x14ac:dyDescent="0.2">
      <c r="L1139"/>
    </row>
    <row r="1140" spans="12:12" x14ac:dyDescent="0.2">
      <c r="L1140"/>
    </row>
    <row r="1141" spans="12:12" x14ac:dyDescent="0.2">
      <c r="L1141"/>
    </row>
    <row r="1142" spans="12:12" x14ac:dyDescent="0.2">
      <c r="L1142"/>
    </row>
    <row r="1143" spans="12:12" x14ac:dyDescent="0.2">
      <c r="L1143"/>
    </row>
    <row r="1144" spans="12:12" x14ac:dyDescent="0.2">
      <c r="L1144"/>
    </row>
    <row r="1145" spans="12:12" x14ac:dyDescent="0.2">
      <c r="L1145"/>
    </row>
    <row r="1146" spans="12:12" x14ac:dyDescent="0.2">
      <c r="L1146"/>
    </row>
    <row r="1147" spans="12:12" x14ac:dyDescent="0.2">
      <c r="L1147"/>
    </row>
    <row r="1148" spans="12:12" x14ac:dyDescent="0.2">
      <c r="L1148"/>
    </row>
    <row r="1149" spans="12:12" x14ac:dyDescent="0.2">
      <c r="L1149"/>
    </row>
    <row r="1150" spans="12:12" x14ac:dyDescent="0.2">
      <c r="L1150"/>
    </row>
    <row r="1151" spans="12:12" x14ac:dyDescent="0.2">
      <c r="L1151"/>
    </row>
    <row r="1152" spans="12:12" x14ac:dyDescent="0.2">
      <c r="L1152"/>
    </row>
    <row r="1153" spans="12:12" x14ac:dyDescent="0.2">
      <c r="L1153"/>
    </row>
    <row r="1154" spans="12:12" x14ac:dyDescent="0.2">
      <c r="L1154"/>
    </row>
    <row r="1155" spans="12:12" x14ac:dyDescent="0.2">
      <c r="L1155"/>
    </row>
    <row r="1156" spans="12:12" x14ac:dyDescent="0.2">
      <c r="L1156"/>
    </row>
    <row r="1157" spans="12:12" x14ac:dyDescent="0.2">
      <c r="L1157"/>
    </row>
    <row r="1158" spans="12:12" x14ac:dyDescent="0.2">
      <c r="L1158"/>
    </row>
    <row r="1159" spans="12:12" x14ac:dyDescent="0.2">
      <c r="L1159"/>
    </row>
    <row r="1160" spans="12:12" x14ac:dyDescent="0.2">
      <c r="L1160"/>
    </row>
    <row r="1161" spans="12:12" x14ac:dyDescent="0.2">
      <c r="L1161"/>
    </row>
    <row r="1162" spans="12:12" x14ac:dyDescent="0.2">
      <c r="L1162"/>
    </row>
    <row r="1163" spans="12:12" x14ac:dyDescent="0.2">
      <c r="L1163"/>
    </row>
    <row r="1164" spans="12:12" x14ac:dyDescent="0.2">
      <c r="L1164"/>
    </row>
    <row r="1165" spans="12:12" x14ac:dyDescent="0.2">
      <c r="L1165"/>
    </row>
    <row r="1166" spans="12:12" x14ac:dyDescent="0.2">
      <c r="L1166"/>
    </row>
    <row r="1167" spans="12:12" x14ac:dyDescent="0.2">
      <c r="L1167"/>
    </row>
    <row r="1168" spans="12:12" x14ac:dyDescent="0.2">
      <c r="L1168"/>
    </row>
    <row r="1169" spans="12:12" x14ac:dyDescent="0.2">
      <c r="L1169"/>
    </row>
    <row r="1170" spans="12:12" x14ac:dyDescent="0.2">
      <c r="L1170"/>
    </row>
    <row r="1171" spans="12:12" x14ac:dyDescent="0.2">
      <c r="L1171"/>
    </row>
    <row r="1172" spans="12:12" x14ac:dyDescent="0.2">
      <c r="L1172"/>
    </row>
    <row r="1173" spans="12:12" x14ac:dyDescent="0.2">
      <c r="L1173"/>
    </row>
    <row r="1174" spans="12:12" x14ac:dyDescent="0.2">
      <c r="L1174"/>
    </row>
    <row r="1175" spans="12:12" x14ac:dyDescent="0.2">
      <c r="L1175"/>
    </row>
    <row r="1176" spans="12:12" x14ac:dyDescent="0.2">
      <c r="L1176"/>
    </row>
    <row r="1177" spans="12:12" x14ac:dyDescent="0.2">
      <c r="L1177"/>
    </row>
    <row r="1178" spans="12:12" x14ac:dyDescent="0.2">
      <c r="L1178"/>
    </row>
    <row r="1179" spans="12:12" x14ac:dyDescent="0.2">
      <c r="L1179"/>
    </row>
    <row r="1180" spans="12:12" x14ac:dyDescent="0.2">
      <c r="L1180"/>
    </row>
    <row r="1181" spans="12:12" x14ac:dyDescent="0.2">
      <c r="L1181"/>
    </row>
    <row r="1182" spans="12:12" x14ac:dyDescent="0.2">
      <c r="L1182"/>
    </row>
    <row r="1183" spans="12:12" x14ac:dyDescent="0.2">
      <c r="L1183"/>
    </row>
    <row r="1184" spans="12:12" x14ac:dyDescent="0.2">
      <c r="L1184"/>
    </row>
    <row r="1185" spans="12:12" x14ac:dyDescent="0.2">
      <c r="L1185"/>
    </row>
    <row r="1186" spans="12:12" x14ac:dyDescent="0.2">
      <c r="L1186"/>
    </row>
    <row r="1187" spans="12:12" x14ac:dyDescent="0.2">
      <c r="L1187"/>
    </row>
    <row r="1188" spans="12:12" x14ac:dyDescent="0.2">
      <c r="L1188"/>
    </row>
    <row r="1189" spans="12:12" x14ac:dyDescent="0.2">
      <c r="L1189"/>
    </row>
    <row r="1190" spans="12:12" x14ac:dyDescent="0.2">
      <c r="L1190"/>
    </row>
    <row r="1191" spans="12:12" x14ac:dyDescent="0.2">
      <c r="L1191"/>
    </row>
    <row r="1192" spans="12:12" x14ac:dyDescent="0.2">
      <c r="L1192"/>
    </row>
    <row r="1193" spans="12:12" x14ac:dyDescent="0.2">
      <c r="L1193"/>
    </row>
    <row r="1194" spans="12:12" x14ac:dyDescent="0.2">
      <c r="L1194"/>
    </row>
    <row r="1195" spans="12:12" x14ac:dyDescent="0.2">
      <c r="L1195"/>
    </row>
    <row r="1196" spans="12:12" x14ac:dyDescent="0.2">
      <c r="L1196"/>
    </row>
    <row r="1197" spans="12:12" x14ac:dyDescent="0.2">
      <c r="L1197"/>
    </row>
    <row r="1198" spans="12:12" x14ac:dyDescent="0.2">
      <c r="L1198"/>
    </row>
    <row r="1199" spans="12:12" x14ac:dyDescent="0.2">
      <c r="L1199"/>
    </row>
    <row r="1200" spans="12:12" x14ac:dyDescent="0.2">
      <c r="L1200"/>
    </row>
    <row r="1201" spans="12:12" x14ac:dyDescent="0.2">
      <c r="L1201"/>
    </row>
    <row r="1202" spans="12:12" x14ac:dyDescent="0.2">
      <c r="L1202"/>
    </row>
    <row r="1203" spans="12:12" x14ac:dyDescent="0.2">
      <c r="L1203"/>
    </row>
    <row r="1204" spans="12:12" x14ac:dyDescent="0.2">
      <c r="L1204"/>
    </row>
    <row r="1205" spans="12:12" x14ac:dyDescent="0.2">
      <c r="L1205"/>
    </row>
    <row r="1206" spans="12:12" x14ac:dyDescent="0.2">
      <c r="L1206"/>
    </row>
    <row r="1207" spans="12:12" x14ac:dyDescent="0.2">
      <c r="L1207"/>
    </row>
    <row r="1208" spans="12:12" x14ac:dyDescent="0.2">
      <c r="L1208"/>
    </row>
    <row r="1209" spans="12:12" x14ac:dyDescent="0.2">
      <c r="L1209"/>
    </row>
    <row r="1210" spans="12:12" x14ac:dyDescent="0.2">
      <c r="L1210"/>
    </row>
    <row r="1211" spans="12:12" x14ac:dyDescent="0.2">
      <c r="L1211"/>
    </row>
    <row r="1212" spans="12:12" x14ac:dyDescent="0.2">
      <c r="L1212"/>
    </row>
    <row r="1213" spans="12:12" x14ac:dyDescent="0.2">
      <c r="L1213"/>
    </row>
    <row r="1214" spans="12:12" x14ac:dyDescent="0.2">
      <c r="L1214"/>
    </row>
    <row r="1215" spans="12:12" x14ac:dyDescent="0.2">
      <c r="L1215"/>
    </row>
    <row r="1216" spans="12:12" x14ac:dyDescent="0.2">
      <c r="L1216"/>
    </row>
    <row r="1217" spans="12:12" x14ac:dyDescent="0.2">
      <c r="L1217"/>
    </row>
    <row r="1218" spans="12:12" x14ac:dyDescent="0.2">
      <c r="L1218"/>
    </row>
    <row r="1219" spans="12:12" x14ac:dyDescent="0.2">
      <c r="L1219"/>
    </row>
    <row r="1220" spans="12:12" x14ac:dyDescent="0.2">
      <c r="L1220"/>
    </row>
    <row r="1221" spans="12:12" x14ac:dyDescent="0.2">
      <c r="L1221"/>
    </row>
    <row r="1222" spans="12:12" x14ac:dyDescent="0.2">
      <c r="L1222"/>
    </row>
    <row r="1223" spans="12:12" x14ac:dyDescent="0.2">
      <c r="L1223"/>
    </row>
    <row r="1224" spans="12:12" x14ac:dyDescent="0.2">
      <c r="L1224"/>
    </row>
    <row r="1225" spans="12:12" x14ac:dyDescent="0.2">
      <c r="L1225"/>
    </row>
    <row r="1226" spans="12:12" x14ac:dyDescent="0.2">
      <c r="L1226"/>
    </row>
    <row r="1227" spans="12:12" x14ac:dyDescent="0.2">
      <c r="L1227"/>
    </row>
    <row r="1228" spans="12:12" x14ac:dyDescent="0.2">
      <c r="L1228"/>
    </row>
    <row r="1229" spans="12:12" x14ac:dyDescent="0.2">
      <c r="L1229"/>
    </row>
    <row r="1230" spans="12:12" x14ac:dyDescent="0.2">
      <c r="L1230"/>
    </row>
    <row r="1231" spans="12:12" x14ac:dyDescent="0.2">
      <c r="L1231"/>
    </row>
    <row r="1232" spans="12:12" x14ac:dyDescent="0.2">
      <c r="L1232"/>
    </row>
    <row r="1233" spans="12:12" x14ac:dyDescent="0.2">
      <c r="L1233"/>
    </row>
    <row r="1234" spans="12:12" x14ac:dyDescent="0.2">
      <c r="L1234"/>
    </row>
    <row r="1235" spans="12:12" x14ac:dyDescent="0.2">
      <c r="L1235"/>
    </row>
    <row r="1236" spans="12:12" x14ac:dyDescent="0.2">
      <c r="L1236"/>
    </row>
    <row r="1237" spans="12:12" x14ac:dyDescent="0.2">
      <c r="L1237"/>
    </row>
    <row r="1238" spans="12:12" x14ac:dyDescent="0.2">
      <c r="L1238"/>
    </row>
    <row r="1239" spans="12:12" x14ac:dyDescent="0.2">
      <c r="L1239"/>
    </row>
    <row r="1240" spans="12:12" x14ac:dyDescent="0.2">
      <c r="L1240"/>
    </row>
    <row r="1241" spans="12:12" x14ac:dyDescent="0.2">
      <c r="L1241"/>
    </row>
    <row r="1242" spans="12:12" x14ac:dyDescent="0.2">
      <c r="L1242"/>
    </row>
    <row r="1243" spans="12:12" x14ac:dyDescent="0.2">
      <c r="L1243"/>
    </row>
    <row r="1244" spans="12:12" x14ac:dyDescent="0.2">
      <c r="L1244"/>
    </row>
    <row r="1245" spans="12:12" x14ac:dyDescent="0.2">
      <c r="L1245"/>
    </row>
    <row r="1246" spans="12:12" x14ac:dyDescent="0.2">
      <c r="L1246"/>
    </row>
    <row r="1247" spans="12:12" x14ac:dyDescent="0.2">
      <c r="L1247"/>
    </row>
    <row r="1248" spans="12:12" x14ac:dyDescent="0.2">
      <c r="L1248"/>
    </row>
    <row r="1249" spans="12:12" x14ac:dyDescent="0.2">
      <c r="L1249"/>
    </row>
    <row r="1250" spans="12:12" x14ac:dyDescent="0.2">
      <c r="L1250"/>
    </row>
    <row r="1251" spans="12:12" x14ac:dyDescent="0.2">
      <c r="L1251"/>
    </row>
    <row r="1252" spans="12:12" x14ac:dyDescent="0.2">
      <c r="L1252"/>
    </row>
    <row r="1253" spans="12:12" x14ac:dyDescent="0.2">
      <c r="L1253"/>
    </row>
    <row r="1254" spans="12:12" x14ac:dyDescent="0.2">
      <c r="L1254"/>
    </row>
    <row r="1255" spans="12:12" x14ac:dyDescent="0.2">
      <c r="L1255"/>
    </row>
    <row r="1256" spans="12:12" x14ac:dyDescent="0.2">
      <c r="L1256"/>
    </row>
    <row r="1257" spans="12:12" x14ac:dyDescent="0.2">
      <c r="L1257"/>
    </row>
    <row r="1258" spans="12:12" x14ac:dyDescent="0.2">
      <c r="L1258"/>
    </row>
    <row r="1259" spans="12:12" x14ac:dyDescent="0.2">
      <c r="L1259"/>
    </row>
    <row r="1260" spans="12:12" x14ac:dyDescent="0.2">
      <c r="L1260"/>
    </row>
    <row r="1261" spans="12:12" x14ac:dyDescent="0.2">
      <c r="L1261"/>
    </row>
    <row r="1262" spans="12:12" x14ac:dyDescent="0.2">
      <c r="L1262"/>
    </row>
    <row r="1263" spans="12:12" x14ac:dyDescent="0.2">
      <c r="L1263"/>
    </row>
    <row r="1264" spans="12:12" x14ac:dyDescent="0.2">
      <c r="L1264"/>
    </row>
    <row r="1265" spans="12:12" x14ac:dyDescent="0.2">
      <c r="L1265"/>
    </row>
    <row r="1266" spans="12:12" x14ac:dyDescent="0.2">
      <c r="L1266"/>
    </row>
    <row r="1267" spans="12:12" x14ac:dyDescent="0.2">
      <c r="L1267"/>
    </row>
    <row r="1268" spans="12:12" x14ac:dyDescent="0.2">
      <c r="L1268"/>
    </row>
    <row r="1269" spans="12:12" x14ac:dyDescent="0.2">
      <c r="L1269"/>
    </row>
    <row r="1270" spans="12:12" x14ac:dyDescent="0.2">
      <c r="L1270"/>
    </row>
    <row r="1271" spans="12:12" x14ac:dyDescent="0.2">
      <c r="L1271"/>
    </row>
    <row r="1272" spans="12:12" x14ac:dyDescent="0.2">
      <c r="L1272"/>
    </row>
    <row r="1273" spans="12:12" x14ac:dyDescent="0.2">
      <c r="L1273"/>
    </row>
    <row r="1274" spans="12:12" x14ac:dyDescent="0.2">
      <c r="L1274"/>
    </row>
    <row r="1275" spans="12:12" x14ac:dyDescent="0.2">
      <c r="L1275"/>
    </row>
    <row r="1276" spans="12:12" x14ac:dyDescent="0.2">
      <c r="L1276"/>
    </row>
    <row r="1277" spans="12:12" x14ac:dyDescent="0.2">
      <c r="L1277"/>
    </row>
    <row r="1278" spans="12:12" x14ac:dyDescent="0.2">
      <c r="L1278"/>
    </row>
    <row r="1279" spans="12:12" x14ac:dyDescent="0.2">
      <c r="L1279"/>
    </row>
    <row r="1280" spans="12:12" x14ac:dyDescent="0.2">
      <c r="L1280"/>
    </row>
    <row r="1281" spans="12:12" x14ac:dyDescent="0.2">
      <c r="L1281"/>
    </row>
    <row r="1282" spans="12:12" x14ac:dyDescent="0.2">
      <c r="L1282"/>
    </row>
    <row r="1283" spans="12:12" x14ac:dyDescent="0.2">
      <c r="L1283"/>
    </row>
    <row r="1284" spans="12:12" x14ac:dyDescent="0.2">
      <c r="L1284"/>
    </row>
    <row r="1285" spans="12:12" x14ac:dyDescent="0.2">
      <c r="L1285"/>
    </row>
    <row r="1286" spans="12:12" x14ac:dyDescent="0.2">
      <c r="L1286"/>
    </row>
    <row r="1287" spans="12:12" x14ac:dyDescent="0.2">
      <c r="L1287"/>
    </row>
    <row r="1288" spans="12:12" x14ac:dyDescent="0.2">
      <c r="L1288"/>
    </row>
    <row r="1289" spans="12:12" x14ac:dyDescent="0.2">
      <c r="L1289"/>
    </row>
    <row r="1290" spans="12:12" x14ac:dyDescent="0.2">
      <c r="L1290"/>
    </row>
    <row r="1291" spans="12:12" x14ac:dyDescent="0.2">
      <c r="L1291"/>
    </row>
    <row r="1292" spans="12:12" x14ac:dyDescent="0.2">
      <c r="L1292"/>
    </row>
    <row r="1293" spans="12:12" x14ac:dyDescent="0.2">
      <c r="L1293"/>
    </row>
    <row r="1294" spans="12:12" x14ac:dyDescent="0.2">
      <c r="L1294"/>
    </row>
    <row r="1295" spans="12:12" x14ac:dyDescent="0.2">
      <c r="L1295"/>
    </row>
    <row r="1296" spans="12:12" x14ac:dyDescent="0.2">
      <c r="L1296"/>
    </row>
    <row r="1297" spans="12:12" x14ac:dyDescent="0.2">
      <c r="L1297"/>
    </row>
    <row r="1298" spans="12:12" x14ac:dyDescent="0.2">
      <c r="L1298"/>
    </row>
    <row r="1299" spans="12:12" x14ac:dyDescent="0.2">
      <c r="L1299"/>
    </row>
    <row r="1300" spans="12:12" x14ac:dyDescent="0.2">
      <c r="L1300"/>
    </row>
    <row r="1301" spans="12:12" x14ac:dyDescent="0.2">
      <c r="L1301"/>
    </row>
    <row r="1302" spans="12:12" x14ac:dyDescent="0.2">
      <c r="L1302"/>
    </row>
    <row r="1303" spans="12:12" x14ac:dyDescent="0.2">
      <c r="L1303"/>
    </row>
    <row r="1304" spans="12:12" x14ac:dyDescent="0.2">
      <c r="L1304"/>
    </row>
    <row r="1305" spans="12:12" x14ac:dyDescent="0.2">
      <c r="L1305"/>
    </row>
    <row r="1306" spans="12:12" x14ac:dyDescent="0.2">
      <c r="L1306"/>
    </row>
    <row r="1307" spans="12:12" x14ac:dyDescent="0.2">
      <c r="L1307"/>
    </row>
    <row r="1308" spans="12:12" x14ac:dyDescent="0.2">
      <c r="L1308"/>
    </row>
    <row r="1309" spans="12:12" x14ac:dyDescent="0.2">
      <c r="L1309"/>
    </row>
    <row r="1310" spans="12:12" x14ac:dyDescent="0.2">
      <c r="L1310"/>
    </row>
    <row r="1311" spans="12:12" x14ac:dyDescent="0.2">
      <c r="L1311"/>
    </row>
    <row r="1312" spans="12:12" x14ac:dyDescent="0.2">
      <c r="L1312"/>
    </row>
    <row r="1313" spans="12:12" x14ac:dyDescent="0.2">
      <c r="L1313"/>
    </row>
    <row r="1314" spans="12:12" x14ac:dyDescent="0.2">
      <c r="L1314"/>
    </row>
    <row r="1315" spans="12:12" x14ac:dyDescent="0.2">
      <c r="L1315"/>
    </row>
    <row r="1316" spans="12:12" x14ac:dyDescent="0.2">
      <c r="L1316"/>
    </row>
    <row r="1317" spans="12:12" x14ac:dyDescent="0.2">
      <c r="L1317"/>
    </row>
    <row r="1318" spans="12:12" x14ac:dyDescent="0.2">
      <c r="L1318"/>
    </row>
    <row r="1319" spans="12:12" x14ac:dyDescent="0.2">
      <c r="L1319"/>
    </row>
    <row r="1320" spans="12:12" x14ac:dyDescent="0.2">
      <c r="L1320"/>
    </row>
    <row r="1321" spans="12:12" x14ac:dyDescent="0.2">
      <c r="L1321"/>
    </row>
    <row r="1322" spans="12:12" x14ac:dyDescent="0.2">
      <c r="L1322"/>
    </row>
    <row r="1323" spans="12:12" x14ac:dyDescent="0.2">
      <c r="L1323"/>
    </row>
    <row r="1324" spans="12:12" x14ac:dyDescent="0.2">
      <c r="L1324"/>
    </row>
    <row r="1325" spans="12:12" x14ac:dyDescent="0.2">
      <c r="L1325"/>
    </row>
    <row r="1326" spans="12:12" x14ac:dyDescent="0.2">
      <c r="L1326"/>
    </row>
    <row r="1327" spans="12:12" x14ac:dyDescent="0.2">
      <c r="L1327"/>
    </row>
    <row r="1328" spans="12:12" x14ac:dyDescent="0.2">
      <c r="L1328"/>
    </row>
    <row r="1329" spans="12:12" x14ac:dyDescent="0.2">
      <c r="L1329"/>
    </row>
    <row r="1330" spans="12:12" x14ac:dyDescent="0.2">
      <c r="L1330"/>
    </row>
    <row r="1331" spans="12:12" x14ac:dyDescent="0.2">
      <c r="L1331"/>
    </row>
    <row r="1332" spans="12:12" x14ac:dyDescent="0.2">
      <c r="L1332"/>
    </row>
    <row r="1333" spans="12:12" x14ac:dyDescent="0.2">
      <c r="L1333"/>
    </row>
    <row r="1334" spans="12:12" x14ac:dyDescent="0.2">
      <c r="L1334"/>
    </row>
    <row r="1335" spans="12:12" x14ac:dyDescent="0.2">
      <c r="L1335"/>
    </row>
    <row r="1336" spans="12:12" x14ac:dyDescent="0.2">
      <c r="L1336"/>
    </row>
    <row r="1337" spans="12:12" x14ac:dyDescent="0.2">
      <c r="L1337"/>
    </row>
    <row r="1338" spans="12:12" x14ac:dyDescent="0.2">
      <c r="L1338"/>
    </row>
    <row r="1339" spans="12:12" x14ac:dyDescent="0.2">
      <c r="L1339"/>
    </row>
    <row r="1340" spans="12:12" x14ac:dyDescent="0.2">
      <c r="L1340"/>
    </row>
    <row r="1341" spans="12:12" x14ac:dyDescent="0.2">
      <c r="L1341"/>
    </row>
    <row r="1342" spans="12:12" x14ac:dyDescent="0.2">
      <c r="L1342"/>
    </row>
    <row r="1343" spans="12:12" x14ac:dyDescent="0.2">
      <c r="L1343"/>
    </row>
    <row r="1344" spans="12:12" x14ac:dyDescent="0.2">
      <c r="L1344"/>
    </row>
    <row r="1345" spans="12:12" x14ac:dyDescent="0.2">
      <c r="L1345"/>
    </row>
    <row r="1346" spans="12:12" x14ac:dyDescent="0.2">
      <c r="L1346"/>
    </row>
    <row r="1347" spans="12:12" x14ac:dyDescent="0.2">
      <c r="L1347"/>
    </row>
    <row r="1348" spans="12:12" x14ac:dyDescent="0.2">
      <c r="L1348"/>
    </row>
    <row r="1349" spans="12:12" x14ac:dyDescent="0.2">
      <c r="L1349"/>
    </row>
    <row r="1350" spans="12:12" x14ac:dyDescent="0.2">
      <c r="L1350"/>
    </row>
    <row r="1351" spans="12:12" x14ac:dyDescent="0.2">
      <c r="L1351"/>
    </row>
    <row r="1352" spans="12:12" x14ac:dyDescent="0.2">
      <c r="L1352"/>
    </row>
    <row r="1353" spans="12:12" x14ac:dyDescent="0.2">
      <c r="L1353"/>
    </row>
    <row r="1354" spans="12:12" x14ac:dyDescent="0.2">
      <c r="L1354"/>
    </row>
    <row r="1355" spans="12:12" x14ac:dyDescent="0.2">
      <c r="L1355"/>
    </row>
    <row r="1356" spans="12:12" x14ac:dyDescent="0.2">
      <c r="L1356"/>
    </row>
    <row r="1357" spans="12:12" x14ac:dyDescent="0.2">
      <c r="L1357"/>
    </row>
    <row r="1358" spans="12:12" x14ac:dyDescent="0.2">
      <c r="L1358"/>
    </row>
    <row r="1359" spans="12:12" x14ac:dyDescent="0.2">
      <c r="L1359"/>
    </row>
    <row r="1360" spans="12:12" x14ac:dyDescent="0.2">
      <c r="L1360"/>
    </row>
    <row r="1361" spans="12:12" x14ac:dyDescent="0.2">
      <c r="L1361"/>
    </row>
    <row r="1362" spans="12:12" x14ac:dyDescent="0.2">
      <c r="L1362"/>
    </row>
    <row r="1363" spans="12:12" x14ac:dyDescent="0.2">
      <c r="L1363"/>
    </row>
    <row r="1364" spans="12:12" x14ac:dyDescent="0.2">
      <c r="L1364"/>
    </row>
    <row r="1365" spans="12:12" x14ac:dyDescent="0.2">
      <c r="L1365"/>
    </row>
    <row r="1366" spans="12:12" x14ac:dyDescent="0.2">
      <c r="L1366"/>
    </row>
    <row r="1367" spans="12:12" x14ac:dyDescent="0.2">
      <c r="L1367"/>
    </row>
    <row r="1368" spans="12:12" x14ac:dyDescent="0.2">
      <c r="L1368"/>
    </row>
    <row r="1369" spans="12:12" x14ac:dyDescent="0.2">
      <c r="L1369"/>
    </row>
    <row r="1370" spans="12:12" x14ac:dyDescent="0.2">
      <c r="L1370"/>
    </row>
    <row r="1371" spans="12:12" x14ac:dyDescent="0.2">
      <c r="L1371"/>
    </row>
    <row r="1372" spans="12:12" x14ac:dyDescent="0.2">
      <c r="L1372"/>
    </row>
    <row r="1373" spans="12:12" x14ac:dyDescent="0.2">
      <c r="L1373"/>
    </row>
    <row r="1374" spans="12:12" x14ac:dyDescent="0.2">
      <c r="L1374"/>
    </row>
    <row r="1375" spans="12:12" x14ac:dyDescent="0.2">
      <c r="L1375"/>
    </row>
    <row r="1376" spans="12:12" x14ac:dyDescent="0.2">
      <c r="L1376"/>
    </row>
    <row r="1377" spans="12:12" x14ac:dyDescent="0.2">
      <c r="L1377"/>
    </row>
    <row r="1378" spans="12:12" x14ac:dyDescent="0.2">
      <c r="L1378"/>
    </row>
    <row r="1379" spans="12:12" x14ac:dyDescent="0.2">
      <c r="L1379"/>
    </row>
    <row r="1380" spans="12:12" x14ac:dyDescent="0.2">
      <c r="L1380"/>
    </row>
    <row r="1381" spans="12:12" x14ac:dyDescent="0.2">
      <c r="L1381"/>
    </row>
    <row r="1382" spans="12:12" x14ac:dyDescent="0.2">
      <c r="L1382"/>
    </row>
    <row r="1383" spans="12:12" x14ac:dyDescent="0.2">
      <c r="L1383"/>
    </row>
    <row r="1384" spans="12:12" x14ac:dyDescent="0.2">
      <c r="L1384"/>
    </row>
    <row r="1385" spans="12:12" x14ac:dyDescent="0.2">
      <c r="L1385"/>
    </row>
    <row r="1386" spans="12:12" x14ac:dyDescent="0.2">
      <c r="L1386"/>
    </row>
    <row r="1387" spans="12:12" x14ac:dyDescent="0.2">
      <c r="L1387"/>
    </row>
    <row r="1388" spans="12:12" x14ac:dyDescent="0.2">
      <c r="L1388"/>
    </row>
    <row r="1389" spans="12:12" x14ac:dyDescent="0.2">
      <c r="L1389"/>
    </row>
    <row r="1390" spans="12:12" x14ac:dyDescent="0.2">
      <c r="L1390"/>
    </row>
    <row r="1391" spans="12:12" x14ac:dyDescent="0.2">
      <c r="L1391"/>
    </row>
    <row r="1392" spans="12:12" x14ac:dyDescent="0.2">
      <c r="L1392"/>
    </row>
    <row r="1393" spans="12:12" x14ac:dyDescent="0.2">
      <c r="L1393"/>
    </row>
    <row r="1394" spans="12:12" x14ac:dyDescent="0.2">
      <c r="L1394"/>
    </row>
    <row r="1395" spans="12:12" x14ac:dyDescent="0.2">
      <c r="L1395"/>
    </row>
    <row r="1396" spans="12:12" x14ac:dyDescent="0.2">
      <c r="L1396"/>
    </row>
    <row r="1397" spans="12:12" x14ac:dyDescent="0.2">
      <c r="L1397"/>
    </row>
    <row r="1398" spans="12:12" x14ac:dyDescent="0.2">
      <c r="L1398"/>
    </row>
    <row r="1399" spans="12:12" x14ac:dyDescent="0.2">
      <c r="L1399"/>
    </row>
    <row r="1400" spans="12:12" x14ac:dyDescent="0.2">
      <c r="L1400"/>
    </row>
    <row r="1401" spans="12:12" x14ac:dyDescent="0.2">
      <c r="L1401"/>
    </row>
    <row r="1402" spans="12:12" x14ac:dyDescent="0.2">
      <c r="L1402"/>
    </row>
    <row r="1403" spans="12:12" x14ac:dyDescent="0.2">
      <c r="L1403"/>
    </row>
    <row r="1404" spans="12:12" x14ac:dyDescent="0.2">
      <c r="L1404"/>
    </row>
    <row r="1405" spans="12:12" x14ac:dyDescent="0.2">
      <c r="L1405"/>
    </row>
    <row r="1406" spans="12:12" x14ac:dyDescent="0.2">
      <c r="L1406"/>
    </row>
    <row r="1407" spans="12:12" x14ac:dyDescent="0.2">
      <c r="L1407"/>
    </row>
    <row r="1408" spans="12:12" x14ac:dyDescent="0.2">
      <c r="L1408"/>
    </row>
    <row r="1409" spans="12:12" x14ac:dyDescent="0.2">
      <c r="L1409"/>
    </row>
    <row r="1410" spans="12:12" x14ac:dyDescent="0.2">
      <c r="L1410"/>
    </row>
    <row r="1411" spans="12:12" x14ac:dyDescent="0.2">
      <c r="L1411"/>
    </row>
    <row r="1412" spans="12:12" x14ac:dyDescent="0.2">
      <c r="L1412"/>
    </row>
    <row r="1413" spans="12:12" x14ac:dyDescent="0.2">
      <c r="L1413"/>
    </row>
    <row r="1414" spans="12:12" x14ac:dyDescent="0.2">
      <c r="L1414"/>
    </row>
    <row r="1415" spans="12:12" x14ac:dyDescent="0.2">
      <c r="L1415"/>
    </row>
    <row r="1416" spans="12:12" x14ac:dyDescent="0.2">
      <c r="L1416"/>
    </row>
    <row r="1417" spans="12:12" x14ac:dyDescent="0.2">
      <c r="L1417"/>
    </row>
    <row r="1418" spans="12:12" x14ac:dyDescent="0.2">
      <c r="L1418"/>
    </row>
    <row r="1419" spans="12:12" x14ac:dyDescent="0.2">
      <c r="L1419"/>
    </row>
    <row r="1420" spans="12:12" x14ac:dyDescent="0.2">
      <c r="L1420"/>
    </row>
    <row r="1421" spans="12:12" x14ac:dyDescent="0.2">
      <c r="L1421"/>
    </row>
    <row r="1422" spans="12:12" x14ac:dyDescent="0.2">
      <c r="L1422"/>
    </row>
    <row r="1423" spans="12:12" x14ac:dyDescent="0.2">
      <c r="L1423"/>
    </row>
    <row r="1424" spans="12:12" x14ac:dyDescent="0.2">
      <c r="L1424"/>
    </row>
    <row r="1425" spans="12:12" x14ac:dyDescent="0.2">
      <c r="L1425"/>
    </row>
    <row r="1426" spans="12:12" x14ac:dyDescent="0.2">
      <c r="L1426"/>
    </row>
    <row r="1427" spans="12:12" x14ac:dyDescent="0.2">
      <c r="L1427"/>
    </row>
    <row r="1428" spans="12:12" x14ac:dyDescent="0.2">
      <c r="L1428"/>
    </row>
    <row r="1429" spans="12:12" x14ac:dyDescent="0.2">
      <c r="L1429"/>
    </row>
    <row r="1430" spans="12:12" x14ac:dyDescent="0.2">
      <c r="L1430"/>
    </row>
    <row r="1431" spans="12:12" x14ac:dyDescent="0.2">
      <c r="L1431"/>
    </row>
    <row r="1432" spans="12:12" x14ac:dyDescent="0.2">
      <c r="L1432"/>
    </row>
    <row r="1433" spans="12:12" x14ac:dyDescent="0.2">
      <c r="L1433"/>
    </row>
    <row r="1434" spans="12:12" x14ac:dyDescent="0.2">
      <c r="L1434"/>
    </row>
    <row r="1435" spans="12:12" x14ac:dyDescent="0.2">
      <c r="L1435"/>
    </row>
    <row r="1436" spans="12:12" x14ac:dyDescent="0.2">
      <c r="L1436"/>
    </row>
    <row r="1437" spans="12:12" x14ac:dyDescent="0.2">
      <c r="L1437"/>
    </row>
    <row r="1438" spans="12:12" x14ac:dyDescent="0.2">
      <c r="L1438"/>
    </row>
    <row r="1439" spans="12:12" x14ac:dyDescent="0.2">
      <c r="L1439"/>
    </row>
    <row r="1440" spans="12:12" x14ac:dyDescent="0.2">
      <c r="L1440"/>
    </row>
    <row r="1441" spans="12:12" x14ac:dyDescent="0.2">
      <c r="L1441"/>
    </row>
    <row r="1442" spans="12:12" x14ac:dyDescent="0.2">
      <c r="L1442"/>
    </row>
    <row r="1443" spans="12:12" x14ac:dyDescent="0.2">
      <c r="L1443"/>
    </row>
    <row r="1444" spans="12:12" x14ac:dyDescent="0.2">
      <c r="L1444"/>
    </row>
    <row r="1445" spans="12:12" x14ac:dyDescent="0.2">
      <c r="L1445"/>
    </row>
    <row r="1446" spans="12:12" x14ac:dyDescent="0.2">
      <c r="L1446"/>
    </row>
    <row r="1447" spans="12:12" x14ac:dyDescent="0.2">
      <c r="L1447"/>
    </row>
    <row r="1448" spans="12:12" x14ac:dyDescent="0.2">
      <c r="L1448"/>
    </row>
    <row r="1449" spans="12:12" x14ac:dyDescent="0.2">
      <c r="L1449"/>
    </row>
    <row r="1450" spans="12:12" x14ac:dyDescent="0.2">
      <c r="L1450"/>
    </row>
    <row r="1451" spans="12:12" x14ac:dyDescent="0.2">
      <c r="L1451"/>
    </row>
    <row r="1452" spans="12:12" x14ac:dyDescent="0.2">
      <c r="L1452"/>
    </row>
    <row r="1453" spans="12:12" x14ac:dyDescent="0.2">
      <c r="L1453"/>
    </row>
    <row r="1454" spans="12:12" x14ac:dyDescent="0.2">
      <c r="L1454"/>
    </row>
    <row r="1455" spans="12:12" x14ac:dyDescent="0.2">
      <c r="L1455"/>
    </row>
    <row r="1456" spans="12:12" x14ac:dyDescent="0.2">
      <c r="L1456"/>
    </row>
    <row r="1457" spans="12:12" x14ac:dyDescent="0.2">
      <c r="L1457"/>
    </row>
    <row r="1458" spans="12:12" x14ac:dyDescent="0.2">
      <c r="L1458"/>
    </row>
    <row r="1459" spans="12:12" x14ac:dyDescent="0.2">
      <c r="L1459"/>
    </row>
    <row r="1460" spans="12:12" x14ac:dyDescent="0.2">
      <c r="L1460"/>
    </row>
    <row r="1461" spans="12:12" x14ac:dyDescent="0.2">
      <c r="L1461"/>
    </row>
    <row r="1462" spans="12:12" x14ac:dyDescent="0.2">
      <c r="L1462"/>
    </row>
    <row r="1463" spans="12:12" x14ac:dyDescent="0.2">
      <c r="L1463"/>
    </row>
    <row r="1464" spans="12:12" x14ac:dyDescent="0.2">
      <c r="L1464"/>
    </row>
    <row r="1465" spans="12:12" x14ac:dyDescent="0.2">
      <c r="L1465"/>
    </row>
    <row r="1466" spans="12:12" x14ac:dyDescent="0.2">
      <c r="L1466"/>
    </row>
  </sheetData>
  <mergeCells count="141">
    <mergeCell ref="J745:L745"/>
    <mergeCell ref="D746:E746"/>
    <mergeCell ref="D747:E747"/>
    <mergeCell ref="D748:E748"/>
    <mergeCell ref="D676:E676"/>
    <mergeCell ref="D677:E677"/>
    <mergeCell ref="D678:E678"/>
    <mergeCell ref="D679:E679"/>
    <mergeCell ref="C745:D745"/>
    <mergeCell ref="E745:I745"/>
    <mergeCell ref="D606:E606"/>
    <mergeCell ref="D607:E607"/>
    <mergeCell ref="D608:E608"/>
    <mergeCell ref="C675:D675"/>
    <mergeCell ref="E675:I675"/>
    <mergeCell ref="J675:L675"/>
    <mergeCell ref="J535:L535"/>
    <mergeCell ref="D536:E536"/>
    <mergeCell ref="D537:E537"/>
    <mergeCell ref="D538:E538"/>
    <mergeCell ref="C605:D605"/>
    <mergeCell ref="E605:I605"/>
    <mergeCell ref="J605:L605"/>
    <mergeCell ref="D466:E466"/>
    <mergeCell ref="D467:E467"/>
    <mergeCell ref="D468:E468"/>
    <mergeCell ref="C470:E470"/>
    <mergeCell ref="C535:D535"/>
    <mergeCell ref="E535:I535"/>
    <mergeCell ref="D398:E398"/>
    <mergeCell ref="D399:E399"/>
    <mergeCell ref="C400:E400"/>
    <mergeCell ref="C465:D465"/>
    <mergeCell ref="E465:I465"/>
    <mergeCell ref="J465:L465"/>
    <mergeCell ref="C361:E361"/>
    <mergeCell ref="C395:D395"/>
    <mergeCell ref="E395:I395"/>
    <mergeCell ref="J395:L395"/>
    <mergeCell ref="D396:E396"/>
    <mergeCell ref="D397:E397"/>
    <mergeCell ref="J325:L325"/>
    <mergeCell ref="D326:E326"/>
    <mergeCell ref="D327:E327"/>
    <mergeCell ref="D328:E328"/>
    <mergeCell ref="D329:E329"/>
    <mergeCell ref="C330:E330"/>
    <mergeCell ref="D257:E257"/>
    <mergeCell ref="D258:E258"/>
    <mergeCell ref="D259:E259"/>
    <mergeCell ref="D278:E278"/>
    <mergeCell ref="C325:D325"/>
    <mergeCell ref="E325:I325"/>
    <mergeCell ref="D189:E189"/>
    <mergeCell ref="C190:E190"/>
    <mergeCell ref="C255:D255"/>
    <mergeCell ref="E255:I255"/>
    <mergeCell ref="J255:L255"/>
    <mergeCell ref="D256:E256"/>
    <mergeCell ref="C185:D185"/>
    <mergeCell ref="E185:I185"/>
    <mergeCell ref="J185:L185"/>
    <mergeCell ref="D186:E186"/>
    <mergeCell ref="D187:E187"/>
    <mergeCell ref="D188:E188"/>
    <mergeCell ref="C159:E159"/>
    <mergeCell ref="D162:E162"/>
    <mergeCell ref="C163:E163"/>
    <mergeCell ref="D164:E164"/>
    <mergeCell ref="D165:E165"/>
    <mergeCell ref="D166:E166"/>
    <mergeCell ref="D123:E123"/>
    <mergeCell ref="D124:E124"/>
    <mergeCell ref="D134:E134"/>
    <mergeCell ref="D135:E135"/>
    <mergeCell ref="D157:E157"/>
    <mergeCell ref="D158:E158"/>
    <mergeCell ref="J116:L116"/>
    <mergeCell ref="D117:E117"/>
    <mergeCell ref="D118:E118"/>
    <mergeCell ref="D119:E119"/>
    <mergeCell ref="D120:E120"/>
    <mergeCell ref="C121:E121"/>
    <mergeCell ref="D76:E76"/>
    <mergeCell ref="C77:E77"/>
    <mergeCell ref="C116:D116"/>
    <mergeCell ref="E116:I116"/>
    <mergeCell ref="C72:D72"/>
    <mergeCell ref="E72:I72"/>
    <mergeCell ref="J72:L72"/>
    <mergeCell ref="D73:E73"/>
    <mergeCell ref="D74:E74"/>
    <mergeCell ref="D75:E75"/>
    <mergeCell ref="D31:E31"/>
    <mergeCell ref="D32:E32"/>
    <mergeCell ref="D33:E33"/>
    <mergeCell ref="D34:E34"/>
    <mergeCell ref="C35:E35"/>
    <mergeCell ref="B22:C22"/>
    <mergeCell ref="B23:C23"/>
    <mergeCell ref="B24:C24"/>
    <mergeCell ref="B25:F25"/>
    <mergeCell ref="G25:L25"/>
    <mergeCell ref="C30:D30"/>
    <mergeCell ref="E30:I30"/>
    <mergeCell ref="J30:L30"/>
    <mergeCell ref="C18:D18"/>
    <mergeCell ref="E18:F18"/>
    <mergeCell ref="G18:J18"/>
    <mergeCell ref="K18:L18"/>
    <mergeCell ref="B20:L20"/>
    <mergeCell ref="B21:C21"/>
    <mergeCell ref="C16:D16"/>
    <mergeCell ref="E16:F16"/>
    <mergeCell ref="G16:J16"/>
    <mergeCell ref="K16:L16"/>
    <mergeCell ref="C17:D17"/>
    <mergeCell ref="E17:F17"/>
    <mergeCell ref="G17:J17"/>
    <mergeCell ref="K17:L17"/>
    <mergeCell ref="B14:C14"/>
    <mergeCell ref="D14:F14"/>
    <mergeCell ref="G14:I14"/>
    <mergeCell ref="J14:L14"/>
    <mergeCell ref="C15:D15"/>
    <mergeCell ref="E15:F15"/>
    <mergeCell ref="G15:J15"/>
    <mergeCell ref="K15:L15"/>
    <mergeCell ref="B8:L8"/>
    <mergeCell ref="C9:L9"/>
    <mergeCell ref="C10:L10"/>
    <mergeCell ref="B11:F11"/>
    <mergeCell ref="G11:L11"/>
    <mergeCell ref="B12:F12"/>
    <mergeCell ref="G12:L12"/>
    <mergeCell ref="B3:E3"/>
    <mergeCell ref="F3:L7"/>
    <mergeCell ref="B4:E4"/>
    <mergeCell ref="B5:E5"/>
    <mergeCell ref="B6:E6"/>
    <mergeCell ref="B7:E7"/>
  </mergeCells>
  <dataValidations count="13">
    <dataValidation allowBlank="1" showInputMessage="1" showErrorMessage="1" promptTitle="Input The Team Name" prompt="Some Firms have team names for fun and identification. If you have a team name please enter it here." sqref="E13" xr:uid="{0DD51F2C-AB48-4FB7-A314-A1DE2F5C2111}"/>
    <dataValidation allowBlank="1" showInputMessage="1" showErrorMessage="1" promptTitle="Name" prompt="Please enter the team members name._x000a_" sqref="D14" xr:uid="{167E238D-04C2-4D2F-A242-D7A87FC66AC3}"/>
    <dataValidation allowBlank="1" showInputMessage="1" showErrorMessage="1" promptTitle="Charge Out Rate" prompt="Please enter the charge out rate for this team member, per your capacity plan." sqref="C32 C74 C118 C187 C257 C327 C397 C467 C537 C607 C677 C747" xr:uid="{34EBB61D-E704-4A45-A5C4-A3E8AF2421BA}"/>
    <dataValidation allowBlank="1" showInputMessage="1" showErrorMessage="1" promptTitle="Working Days In Month" prompt="Please enter the working days for this month, taking into account any annual leave, public holidays or training days away from working days." sqref="D32:E32 D74:E74 D118:E118 D187:E187 D257:E257 D327:E327 D397:E397 D467:E467 D537:E537 D607:E607 D677:E677 D747:E747" xr:uid="{C662F662-73AB-4544-A81E-A64551ADB3A1}"/>
    <dataValidation allowBlank="1" showInputMessage="1" showErrorMessage="1" promptTitle="Productivity %" prompt="Please enter this team members productivity %." sqref="F32 F74 F118 F187 F257 F327 F397 F467 F537 F607 F677 F747" xr:uid="{ED7136E7-D38A-42F9-BBAD-6A1836B99AA6}"/>
    <dataValidation allowBlank="1" showInputMessage="1" showErrorMessage="1" promptTitle="Hours Per Day" prompt="Please enter the hours per day this team member works" sqref="G32 G74 G118 G187 G257 G327 G397 G467 G537 G607 G677 G747" xr:uid="{BC758F23-A560-4060-BA7C-BBB5778F67DA}"/>
    <dataValidation allowBlank="1" showInputMessage="1" showErrorMessage="1" promptTitle="Month" prompt="Enter the first month of your financial year" sqref="E30 E72 E116 E185 E255 E325 E395 E465 E535 E605 E675 E745" xr:uid="{88707F02-27C0-4319-AEA9-66C19ABCBA63}"/>
    <dataValidation allowBlank="1" showInputMessage="1" showErrorMessage="1" promptTitle="Entity Group or Client Name" prompt="Enter the Entity Group name or the Client Name or Job name." sqref="C60 C164:C178 C162 C267:C271 C142 C34 C120 C189 C259 C329 C399 C668 C679 C76 C407:C423 C497:C506 C205:C222 C598 C686:C700 C99:C102 C104:C108 C229 C567:C570 C200 C233:C248 C433:C448 C337:C351 C549:C558 C511:C528 C318 C479:C488 C477 C547 C636:C640 C619:C627 C617 C123:C134 C144:C158 C224:C227 C757:C776 C51:C58 C79:C90 C37:C48" xr:uid="{74E53673-EADD-4DA8-9167-55AF2085A776}"/>
    <dataValidation allowBlank="1" showInputMessage="1" showErrorMessage="1" promptTitle="Job Price or Fees Charged" prompt="Enter the job price or Fees charged to the client." sqref="F94:F96 F800:F808 F477 F277 F428:F448 F356:F388 F329:F354 F399:F426 F479:F506 F469:F475 F541:F545 F547 F598 F617 F612:F615 F751:F798 F120:F178 F189:F248 F259:F275 F279:F318 F510:F528 F549:F593 F619:F668 F679:F704 F706:F738 F76:F92 F34:F64" xr:uid="{515FF00C-A40A-4DFA-9D3F-660DB14F095F}"/>
    <dataValidation allowBlank="1" showInputMessage="1" showErrorMessage="1" promptTitle="Team Member Completion %" prompt="This will be 100% if the team member can complete all the job without help. 80% if most of it. This will depend on the job complexity, the team member's ability and experience, whether or not they have done it before and the quality of the bookkeeping. " sqref="H492 G329:G388 H562 G598 H631 G751:G808 G120:G178 G189:G248 G259:G318 G399:G458 G469:G528 G541:G593 G612:G668 G679:G738 G76:G109 G34:G64" xr:uid="{95FB5A15-CAD1-43B7-974F-DAD75AFB934A}"/>
    <dataValidation allowBlank="1" showInputMessage="1" showErrorMessage="1" promptTitle="Pricing or Efficiency Override" prompt="Some jobs are priced high &amp; others the bookkeeping maybe done by your firm and be well prepared. So to complete them based on a charge out rate would allow far too many hours. To reduce hours drop below100%. Training on the job,would increase above 100%." sqref="H493:H528 H259:H318 H469:H491 H541:H561 H612:H630 H751:H808 H120:H178 H189:H248 H329:H388 H399:H458 H563:H598 H632:H668 H679:H738 H76:H109 H34:H64" xr:uid="{8B8360F7-837D-4615-83DC-506083142957}"/>
    <dataValidation allowBlank="1" showInputMessage="1" showErrorMessage="1" promptTitle="Notes" prompt="Make any notes about this job. For example if training is needed for the Team Member or the level of quality of the bookkeeping." sqref="D164:E178 D162:E162 D798:E808 D34:E34 D120:E120 D189:E189 D329:E329 D399:E399 D679:E700 D76:E76 D469:E469 D490:E490 D193:E222 D401:E423 D259:E271 D331:E351 D567:E570 D578:E593 D704:E738 D497:E528 D362:E388 D479:E488 D471:E475 D477:E477 D598:E598 D541:E545 D560:E560 D549:E558 D547:E547 D636:E640 D612:E615 D629:E629 D619:E627 D617:E617 D123:E158 D224:E248 D275:E318 D433:E458 D647:E668 D751:E776 D79:E92 D37:E64" xr:uid="{61E893A3-D9F1-43E3-82E0-32C8F23D2B1B}"/>
    <dataValidation allowBlank="1" showInputMessage="1" showErrorMessage="1" promptTitle="Annual Fees Budget" prompt="Enter the team members annual fees budget. Get this from your Capacity Planner (Wize Step 7.)" sqref="E16" xr:uid="{39F087D4-E74F-4629-8E1A-921DFD5CE514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F3B1-32AC-4FF8-BB87-9637E1074BC8}">
  <sheetPr>
    <tabColor rgb="FF00B0F0"/>
  </sheetPr>
  <dimension ref="B1:T1510"/>
  <sheetViews>
    <sheetView topLeftCell="A120" zoomScale="95" workbookViewId="0">
      <selection activeCell="L104" sqref="L104"/>
    </sheetView>
  </sheetViews>
  <sheetFormatPr defaultRowHeight="15" x14ac:dyDescent="0.2"/>
  <cols>
    <col min="2" max="2" width="3.765625" bestFit="1" customWidth="1"/>
    <col min="3" max="3" width="19.234375" customWidth="1"/>
    <col min="4" max="4" width="11.97265625" customWidth="1"/>
    <col min="5" max="5" width="13.1796875" customWidth="1"/>
    <col min="6" max="6" width="17.62109375" bestFit="1" customWidth="1"/>
    <col min="7" max="7" width="12.375" customWidth="1"/>
    <col min="8" max="8" width="13.5859375" customWidth="1"/>
    <col min="9" max="9" width="15.87109375" customWidth="1"/>
    <col min="10" max="10" width="11.97265625" customWidth="1"/>
    <col min="11" max="11" width="14.125" customWidth="1"/>
    <col min="12" max="12" width="19.50390625" style="118" customWidth="1"/>
  </cols>
  <sheetData>
    <row r="1" spans="2:12" x14ac:dyDescent="0.2">
      <c r="L1"/>
    </row>
    <row r="2" spans="2:12" s="1" customFormat="1" ht="12.75" x14ac:dyDescent="0.15"/>
    <row r="3" spans="2:12" s="1" customFormat="1" ht="22.5" customHeight="1" x14ac:dyDescent="0.15">
      <c r="B3" s="347"/>
      <c r="C3" s="347"/>
      <c r="D3" s="347"/>
      <c r="E3" s="347"/>
      <c r="F3" s="348" t="s">
        <v>79</v>
      </c>
      <c r="G3" s="349"/>
      <c r="H3" s="349"/>
      <c r="I3" s="349"/>
      <c r="J3" s="349"/>
      <c r="K3" s="349"/>
      <c r="L3" s="350"/>
    </row>
    <row r="4" spans="2:12" s="1" customFormat="1" ht="13.35" customHeight="1" x14ac:dyDescent="0.15">
      <c r="B4" s="357"/>
      <c r="C4" s="358"/>
      <c r="D4" s="358"/>
      <c r="E4" s="359"/>
      <c r="F4" s="351"/>
      <c r="G4" s="352"/>
      <c r="H4" s="352"/>
      <c r="I4" s="352"/>
      <c r="J4" s="352"/>
      <c r="K4" s="352"/>
      <c r="L4" s="353"/>
    </row>
    <row r="5" spans="2:12" s="1" customFormat="1" ht="13.35" customHeight="1" x14ac:dyDescent="0.15">
      <c r="B5" s="357"/>
      <c r="C5" s="358"/>
      <c r="D5" s="358"/>
      <c r="E5" s="359"/>
      <c r="F5" s="351"/>
      <c r="G5" s="352"/>
      <c r="H5" s="352"/>
      <c r="I5" s="352"/>
      <c r="J5" s="352"/>
      <c r="K5" s="352"/>
      <c r="L5" s="353"/>
    </row>
    <row r="6" spans="2:12" s="1" customFormat="1" ht="13.35" customHeight="1" x14ac:dyDescent="0.15">
      <c r="B6" s="357"/>
      <c r="C6" s="358"/>
      <c r="D6" s="358"/>
      <c r="E6" s="359"/>
      <c r="F6" s="351"/>
      <c r="G6" s="352"/>
      <c r="H6" s="352"/>
      <c r="I6" s="352"/>
      <c r="J6" s="352"/>
      <c r="K6" s="352"/>
      <c r="L6" s="353"/>
    </row>
    <row r="7" spans="2:12" s="1" customFormat="1" ht="27.75" customHeight="1" x14ac:dyDescent="0.15">
      <c r="B7" s="360"/>
      <c r="C7" s="361"/>
      <c r="D7" s="361"/>
      <c r="E7" s="362"/>
      <c r="F7" s="354"/>
      <c r="G7" s="355"/>
      <c r="H7" s="355"/>
      <c r="I7" s="355"/>
      <c r="J7" s="355"/>
      <c r="K7" s="355"/>
      <c r="L7" s="356"/>
    </row>
    <row r="8" spans="2:12" s="1" customFormat="1" ht="25.5" x14ac:dyDescent="0.15">
      <c r="B8" s="331" t="s">
        <v>80</v>
      </c>
      <c r="C8" s="332"/>
      <c r="D8" s="332"/>
      <c r="E8" s="332"/>
      <c r="F8" s="332"/>
      <c r="G8" s="332"/>
      <c r="H8" s="332"/>
      <c r="I8" s="332"/>
      <c r="J8" s="332"/>
      <c r="K8" s="332"/>
      <c r="L8" s="333"/>
    </row>
    <row r="9" spans="2:12" s="1" customFormat="1" ht="25.5" x14ac:dyDescent="0.15">
      <c r="B9" s="3"/>
      <c r="C9" s="334"/>
      <c r="D9" s="334"/>
      <c r="E9" s="334"/>
      <c r="F9" s="334"/>
      <c r="G9" s="334"/>
      <c r="H9" s="334"/>
      <c r="I9" s="334"/>
      <c r="J9" s="334"/>
      <c r="K9" s="334"/>
      <c r="L9" s="335"/>
    </row>
    <row r="10" spans="2:12" s="4" customFormat="1" ht="25.5" x14ac:dyDescent="0.15">
      <c r="B10" s="3"/>
      <c r="C10" s="336" t="s">
        <v>81</v>
      </c>
      <c r="D10" s="336"/>
      <c r="E10" s="336"/>
      <c r="F10" s="336"/>
      <c r="G10" s="336"/>
      <c r="H10" s="336"/>
      <c r="I10" s="336"/>
      <c r="J10" s="336"/>
      <c r="K10" s="337"/>
      <c r="L10" s="338"/>
    </row>
    <row r="11" spans="2:12" s="5" customFormat="1" ht="16.350000000000001" customHeight="1" x14ac:dyDescent="0.2">
      <c r="B11" s="339" t="s">
        <v>82</v>
      </c>
      <c r="C11" s="340"/>
      <c r="D11" s="340"/>
      <c r="E11" s="340"/>
      <c r="F11" s="341"/>
      <c r="G11" s="342" t="s">
        <v>172</v>
      </c>
      <c r="H11" s="343"/>
      <c r="I11" s="343"/>
      <c r="J11" s="343"/>
      <c r="K11" s="343"/>
      <c r="L11" s="344"/>
    </row>
    <row r="12" spans="2:12" s="5" customFormat="1" ht="16.350000000000001" customHeight="1" x14ac:dyDescent="0.2">
      <c r="B12" s="345" t="s">
        <v>84</v>
      </c>
      <c r="C12" s="345"/>
      <c r="D12" s="345"/>
      <c r="E12" s="345"/>
      <c r="F12" s="345"/>
      <c r="G12" s="346" t="s">
        <v>238</v>
      </c>
      <c r="H12" s="346"/>
      <c r="I12" s="346"/>
      <c r="J12" s="346"/>
      <c r="K12" s="346"/>
      <c r="L12" s="346"/>
    </row>
    <row r="13" spans="2:12" s="5" customFormat="1" ht="16.350000000000001" customHeight="1" x14ac:dyDescent="0.2">
      <c r="B13" s="240"/>
      <c r="C13" s="237"/>
      <c r="D13" s="237"/>
      <c r="E13" s="238"/>
      <c r="F13" s="238"/>
      <c r="G13" s="238"/>
      <c r="H13" s="238"/>
      <c r="I13" s="238"/>
      <c r="J13" s="238"/>
      <c r="L13" s="241"/>
    </row>
    <row r="14" spans="2:12" s="5" customFormat="1" ht="15.4" customHeight="1" x14ac:dyDescent="0.2">
      <c r="B14" s="373" t="s">
        <v>86</v>
      </c>
      <c r="C14" s="373"/>
      <c r="D14" s="374" t="s">
        <v>239</v>
      </c>
      <c r="E14" s="374"/>
      <c r="F14" s="374"/>
      <c r="G14" s="373" t="s">
        <v>88</v>
      </c>
      <c r="H14" s="373"/>
      <c r="I14" s="373"/>
      <c r="J14" s="374" t="s">
        <v>240</v>
      </c>
      <c r="K14" s="374"/>
      <c r="L14" s="374"/>
    </row>
    <row r="15" spans="2:12" s="1" customFormat="1" ht="14.25" customHeight="1" x14ac:dyDescent="0.15">
      <c r="B15" s="236"/>
      <c r="C15" s="375" t="s">
        <v>90</v>
      </c>
      <c r="D15" s="375"/>
      <c r="E15" s="376" t="s">
        <v>91</v>
      </c>
      <c r="F15" s="376"/>
      <c r="G15" s="377" t="s">
        <v>90</v>
      </c>
      <c r="H15" s="377"/>
      <c r="I15" s="377"/>
      <c r="J15" s="377"/>
      <c r="K15" s="378" t="s">
        <v>92</v>
      </c>
      <c r="L15" s="378"/>
    </row>
    <row r="16" spans="2:12" s="1" customFormat="1" ht="13.5" customHeight="1" x14ac:dyDescent="0.15">
      <c r="B16" s="82"/>
      <c r="C16" s="363" t="s">
        <v>93</v>
      </c>
      <c r="D16" s="364"/>
      <c r="E16" s="365">
        <f>50512*12</f>
        <v>606144</v>
      </c>
      <c r="F16" s="366"/>
      <c r="G16" s="363" t="s">
        <v>94</v>
      </c>
      <c r="H16" s="367"/>
      <c r="I16" s="367"/>
      <c r="J16" s="364"/>
      <c r="K16" s="368">
        <f>E16/C32</f>
        <v>1346.9866666666667</v>
      </c>
      <c r="L16" s="369"/>
    </row>
    <row r="17" spans="2:12" s="1" customFormat="1" ht="13.5" customHeight="1" x14ac:dyDescent="0.15">
      <c r="B17" s="82"/>
      <c r="C17" s="370" t="s">
        <v>95</v>
      </c>
      <c r="D17" s="370"/>
      <c r="E17" s="371">
        <f>+I88+I154+I223+I293+I363+I433+I503+I573+I643+I713+I783+I853</f>
        <v>89730.791376000008</v>
      </c>
      <c r="F17" s="371"/>
      <c r="G17" s="370" t="s">
        <v>96</v>
      </c>
      <c r="H17" s="370"/>
      <c r="I17" s="370"/>
      <c r="J17" s="370"/>
      <c r="K17" s="372">
        <f>+J88+J154+J223+J293+J363+J433+J503+J573+J643+J713+J783+J853</f>
        <v>199.40175861333336</v>
      </c>
      <c r="L17" s="372"/>
    </row>
    <row r="18" spans="2:12" s="1" customFormat="1" ht="12.75" customHeight="1" x14ac:dyDescent="0.15">
      <c r="B18" s="82"/>
      <c r="C18" s="370" t="s">
        <v>97</v>
      </c>
      <c r="D18" s="370"/>
      <c r="E18" s="383">
        <f>E17-E16</f>
        <v>-516413.20862399996</v>
      </c>
      <c r="F18" s="383"/>
      <c r="G18" s="370" t="s">
        <v>97</v>
      </c>
      <c r="H18" s="370"/>
      <c r="I18" s="370"/>
      <c r="J18" s="370"/>
      <c r="K18" s="384">
        <f>K17-K16</f>
        <v>-1147.5849080533333</v>
      </c>
      <c r="L18" s="384"/>
    </row>
    <row r="19" spans="2:12" s="1" customFormat="1" ht="12.75" x14ac:dyDescent="0.15">
      <c r="B19" s="244"/>
      <c r="C19" s="225"/>
      <c r="D19" s="243"/>
      <c r="G19" s="225"/>
      <c r="H19" s="225"/>
      <c r="I19" s="225"/>
      <c r="J19" s="228"/>
      <c r="L19" s="246"/>
    </row>
    <row r="20" spans="2:12" s="1" customFormat="1" ht="14.25" customHeight="1" x14ac:dyDescent="0.15">
      <c r="B20" s="385" t="s">
        <v>98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</row>
    <row r="21" spans="2:12" s="1" customFormat="1" ht="12.75" x14ac:dyDescent="0.15">
      <c r="B21" s="386"/>
      <c r="C21" s="387"/>
      <c r="D21" s="245" t="s">
        <v>99</v>
      </c>
      <c r="E21" s="6">
        <f>J32</f>
        <v>49.57850958222221</v>
      </c>
      <c r="F21" s="234" t="s">
        <v>100</v>
      </c>
      <c r="G21" s="6">
        <f>+J231</f>
        <v>121.60000000000001</v>
      </c>
      <c r="H21" s="234" t="s">
        <v>101</v>
      </c>
      <c r="I21" s="6">
        <f>+J441</f>
        <v>134.4</v>
      </c>
      <c r="J21" s="234" t="s">
        <v>102</v>
      </c>
      <c r="K21" s="6">
        <f>+J651</f>
        <v>147.20000000000002</v>
      </c>
      <c r="L21" s="82"/>
    </row>
    <row r="22" spans="2:12" s="1" customFormat="1" ht="12.75" x14ac:dyDescent="0.15">
      <c r="B22" s="386"/>
      <c r="C22" s="387"/>
      <c r="D22" s="235" t="s">
        <v>103</v>
      </c>
      <c r="E22" s="6">
        <f>+J97</f>
        <v>13.419731804444439</v>
      </c>
      <c r="F22" s="234" t="s">
        <v>104</v>
      </c>
      <c r="G22" s="6">
        <f>+J301</f>
        <v>140.80000000000001</v>
      </c>
      <c r="H22" s="234" t="s">
        <v>105</v>
      </c>
      <c r="I22" s="6">
        <f>J511</f>
        <v>134.4</v>
      </c>
      <c r="J22" s="234" t="s">
        <v>106</v>
      </c>
      <c r="K22" s="6">
        <f>+J721</f>
        <v>128</v>
      </c>
      <c r="L22" s="82"/>
    </row>
    <row r="23" spans="2:12" s="1" customFormat="1" ht="12.75" x14ac:dyDescent="0.15">
      <c r="B23" s="386"/>
      <c r="C23" s="387"/>
      <c r="D23" s="235" t="s">
        <v>107</v>
      </c>
      <c r="E23" s="6">
        <f>+J162</f>
        <v>134.4</v>
      </c>
      <c r="F23" s="234" t="s">
        <v>108</v>
      </c>
      <c r="G23" s="6">
        <f>+J371</f>
        <v>128</v>
      </c>
      <c r="H23" s="234" t="s">
        <v>109</v>
      </c>
      <c r="I23" s="6">
        <f>+J581</f>
        <v>134.4</v>
      </c>
      <c r="J23" s="234" t="s">
        <v>110</v>
      </c>
      <c r="K23" s="6">
        <f>+J791</f>
        <v>128</v>
      </c>
      <c r="L23" s="82"/>
    </row>
    <row r="24" spans="2:12" s="1" customFormat="1" ht="12.75" x14ac:dyDescent="0.15">
      <c r="B24" s="386"/>
      <c r="C24" s="387"/>
      <c r="D24" s="235"/>
      <c r="E24" s="6"/>
      <c r="F24" s="234"/>
      <c r="G24" s="6"/>
      <c r="H24" s="234"/>
      <c r="I24" s="6"/>
      <c r="J24" s="234"/>
      <c r="K24" s="6"/>
      <c r="L24" s="82"/>
    </row>
    <row r="25" spans="2:12" s="1" customFormat="1" ht="13.5" customHeight="1" x14ac:dyDescent="0.15">
      <c r="B25" s="385" t="s">
        <v>111</v>
      </c>
      <c r="C25" s="385"/>
      <c r="D25" s="385"/>
      <c r="E25" s="385"/>
      <c r="F25" s="385"/>
      <c r="G25" s="379">
        <f>SUM(E21:E23)+SUM(G21:G23)+SUM(I21:I23)+SUM(K21:K23)</f>
        <v>1394.1982413866667</v>
      </c>
      <c r="H25" s="379"/>
      <c r="I25" s="379"/>
      <c r="J25" s="379"/>
      <c r="K25" s="379"/>
      <c r="L25" s="379"/>
    </row>
    <row r="26" spans="2:12" s="1" customFormat="1" ht="13.5" customHeight="1" x14ac:dyDescent="0.15">
      <c r="C26" s="225"/>
      <c r="D26" s="226"/>
      <c r="G26" s="227"/>
      <c r="H26" s="227"/>
      <c r="I26" s="227"/>
      <c r="J26" s="228"/>
    </row>
    <row r="27" spans="2:12" s="1" customFormat="1" ht="13.5" customHeight="1" x14ac:dyDescent="0.15">
      <c r="C27" s="225"/>
      <c r="D27" s="226"/>
      <c r="G27" s="227"/>
      <c r="H27" s="227"/>
      <c r="I27" s="227"/>
      <c r="J27" s="228"/>
    </row>
    <row r="28" spans="2:12" s="1" customFormat="1" ht="13.5" customHeight="1" x14ac:dyDescent="0.15">
      <c r="C28" s="225"/>
      <c r="D28" s="226"/>
      <c r="G28" s="227"/>
      <c r="H28" s="227"/>
      <c r="I28" s="227"/>
      <c r="J28" s="228"/>
    </row>
    <row r="29" spans="2:12" s="1" customFormat="1" ht="13.5" customHeight="1" x14ac:dyDescent="0.15">
      <c r="C29" s="225"/>
      <c r="D29" s="226"/>
      <c r="G29" s="227"/>
      <c r="H29" s="227"/>
      <c r="I29" s="227"/>
      <c r="J29" s="228"/>
    </row>
    <row r="30" spans="2:12" s="247" customFormat="1" ht="32.25" x14ac:dyDescent="0.4">
      <c r="B30" s="248"/>
      <c r="C30" s="380" t="s">
        <v>112</v>
      </c>
      <c r="D30" s="380"/>
      <c r="E30" s="381" t="s">
        <v>113</v>
      </c>
      <c r="F30" s="381"/>
      <c r="G30" s="381"/>
      <c r="H30" s="381"/>
      <c r="I30" s="381"/>
      <c r="J30" s="382">
        <v>2026</v>
      </c>
      <c r="K30" s="382"/>
      <c r="L30" s="382"/>
    </row>
    <row r="31" spans="2:12" s="1" customFormat="1" ht="22.5" x14ac:dyDescent="0.15">
      <c r="B31" s="82"/>
      <c r="C31" s="102" t="s">
        <v>114</v>
      </c>
      <c r="D31" s="388" t="s">
        <v>115</v>
      </c>
      <c r="E31" s="388"/>
      <c r="F31" s="102" t="s">
        <v>116</v>
      </c>
      <c r="G31" s="102" t="s">
        <v>117</v>
      </c>
      <c r="H31" s="102" t="s">
        <v>118</v>
      </c>
      <c r="I31" s="102" t="s">
        <v>119</v>
      </c>
      <c r="J31" s="102" t="s">
        <v>120</v>
      </c>
      <c r="K31" s="82"/>
      <c r="L31" s="82"/>
    </row>
    <row r="32" spans="2:12" s="1" customFormat="1" ht="12.75" x14ac:dyDescent="0.15">
      <c r="B32" s="82"/>
      <c r="C32" s="229">
        <v>450</v>
      </c>
      <c r="D32" s="389">
        <v>21</v>
      </c>
      <c r="E32" s="389"/>
      <c r="F32" s="7">
        <v>0.8</v>
      </c>
      <c r="G32" s="8">
        <v>8</v>
      </c>
      <c r="H32" s="142">
        <f>D32*G32*F32</f>
        <v>134.4</v>
      </c>
      <c r="I32" s="66">
        <f>I88</f>
        <v>38169.670687999998</v>
      </c>
      <c r="J32" s="143">
        <f>H32-J88</f>
        <v>49.57850958222221</v>
      </c>
      <c r="K32" s="82"/>
      <c r="L32" s="82"/>
    </row>
    <row r="33" spans="2:12" s="1" customFormat="1" ht="33.75" x14ac:dyDescent="0.15">
      <c r="B33" s="120"/>
      <c r="C33" s="230" t="s">
        <v>121</v>
      </c>
      <c r="D33" s="390" t="s">
        <v>122</v>
      </c>
      <c r="E33" s="390"/>
      <c r="F33" s="231" t="s">
        <v>123</v>
      </c>
      <c r="G33" s="232" t="s">
        <v>124</v>
      </c>
      <c r="H33" s="233" t="s">
        <v>125</v>
      </c>
      <c r="I33" s="233" t="s">
        <v>126</v>
      </c>
      <c r="J33" s="232" t="s">
        <v>127</v>
      </c>
      <c r="K33" s="123" t="s">
        <v>128</v>
      </c>
      <c r="L33" s="114" t="s">
        <v>129</v>
      </c>
    </row>
    <row r="34" spans="2:12" s="1" customFormat="1" ht="12.75" x14ac:dyDescent="0.15">
      <c r="B34" s="82"/>
      <c r="C34" s="89"/>
      <c r="D34" s="391"/>
      <c r="E34" s="391"/>
      <c r="F34" s="184"/>
      <c r="G34" s="92"/>
      <c r="H34" s="92"/>
      <c r="I34" s="93"/>
      <c r="J34" s="94"/>
      <c r="K34" s="82"/>
      <c r="L34" s="82"/>
    </row>
    <row r="35" spans="2:12" s="1" customFormat="1" ht="12.75" x14ac:dyDescent="0.15">
      <c r="B35" s="82"/>
      <c r="C35" s="392" t="s">
        <v>130</v>
      </c>
      <c r="D35" s="392"/>
      <c r="E35" s="392"/>
      <c r="F35" s="184"/>
      <c r="G35" s="92"/>
      <c r="H35" s="92"/>
      <c r="I35" s="93"/>
      <c r="J35" s="94"/>
      <c r="K35" s="82"/>
      <c r="L35" s="82"/>
    </row>
    <row r="36" spans="2:12" s="1" customFormat="1" ht="12.75" x14ac:dyDescent="0.15">
      <c r="B36" s="82"/>
      <c r="C36" s="167" t="s">
        <v>131</v>
      </c>
      <c r="D36" s="167"/>
      <c r="E36" s="167"/>
      <c r="F36" s="184"/>
      <c r="G36" s="92"/>
      <c r="H36" s="92"/>
      <c r="I36" s="93"/>
      <c r="J36" s="94"/>
      <c r="K36" s="82"/>
      <c r="L36" s="82"/>
    </row>
    <row r="37" spans="2:12" s="1" customFormat="1" ht="12.75" customHeight="1" x14ac:dyDescent="0.2">
      <c r="B37" s="82"/>
      <c r="C37" s="89"/>
      <c r="D37" s="90"/>
      <c r="E37" s="90"/>
      <c r="F37" s="65"/>
      <c r="G37" s="290"/>
      <c r="H37" s="92"/>
      <c r="I37" s="218"/>
      <c r="J37" s="271"/>
      <c r="K37" s="82"/>
      <c r="L37" s="82"/>
    </row>
    <row r="38" spans="2:12" s="1" customFormat="1" ht="12.75" customHeight="1" x14ac:dyDescent="0.15">
      <c r="B38" s="82"/>
      <c r="C38" s="203"/>
      <c r="D38" s="90"/>
      <c r="E38" s="90"/>
      <c r="F38" s="223"/>
      <c r="G38" s="92"/>
      <c r="H38" s="92"/>
      <c r="I38" s="218"/>
      <c r="J38" s="94"/>
      <c r="K38" s="82"/>
      <c r="L38" s="82"/>
    </row>
    <row r="39" spans="2:12" s="1" customFormat="1" ht="12.75" customHeight="1" x14ac:dyDescent="0.15">
      <c r="B39" s="82"/>
      <c r="C39" s="203"/>
      <c r="D39" s="90"/>
      <c r="E39" s="90"/>
      <c r="F39" s="223"/>
      <c r="G39" s="92"/>
      <c r="H39" s="92"/>
      <c r="I39" s="218"/>
      <c r="J39" s="94"/>
      <c r="K39" s="82"/>
      <c r="L39" s="82"/>
    </row>
    <row r="40" spans="2:12" s="1" customFormat="1" ht="12.75" customHeight="1" x14ac:dyDescent="0.15">
      <c r="B40" s="82"/>
      <c r="C40" s="187" t="s">
        <v>153</v>
      </c>
      <c r="D40" s="90"/>
      <c r="E40" s="90"/>
      <c r="F40" s="223"/>
      <c r="G40" s="92"/>
      <c r="H40" s="92"/>
      <c r="I40" s="218"/>
      <c r="J40" s="94"/>
      <c r="K40" s="82"/>
      <c r="L40" s="82"/>
    </row>
    <row r="41" spans="2:12" s="1" customFormat="1" ht="14.25" x14ac:dyDescent="0.15">
      <c r="B41" s="82">
        <v>1</v>
      </c>
      <c r="C41" s="188" t="s">
        <v>17</v>
      </c>
      <c r="D41" s="169"/>
      <c r="E41" s="169"/>
      <c r="F41" s="223">
        <v>26548.799999999999</v>
      </c>
      <c r="G41" s="92">
        <v>0.3</v>
      </c>
      <c r="H41" s="92">
        <v>1</v>
      </c>
      <c r="I41" s="218">
        <f>J41*$C$32</f>
        <v>7964.6399999999985</v>
      </c>
      <c r="J41" s="271">
        <f>(F41*G41*H41)/$C$32</f>
        <v>17.699199999999998</v>
      </c>
      <c r="K41" s="82"/>
      <c r="L41" s="82"/>
    </row>
    <row r="42" spans="2:12" s="1" customFormat="1" ht="14.25" x14ac:dyDescent="0.15">
      <c r="B42" s="82">
        <f>B41+1</f>
        <v>2</v>
      </c>
      <c r="C42" s="188" t="s">
        <v>23</v>
      </c>
      <c r="D42" s="169"/>
      <c r="E42" s="169"/>
      <c r="F42" s="223">
        <v>2351.77</v>
      </c>
      <c r="G42" s="92">
        <v>0.21</v>
      </c>
      <c r="H42" s="92">
        <v>1</v>
      </c>
      <c r="I42" s="218">
        <f t="shared" ref="I42:I65" si="0">J42*$C$32</f>
        <v>493.87169999999998</v>
      </c>
      <c r="J42" s="271">
        <f t="shared" ref="J42:J65" si="1">(F42*G42*H42)/$C$32</f>
        <v>1.0974926666666667</v>
      </c>
      <c r="K42" s="82"/>
      <c r="L42" s="82"/>
    </row>
    <row r="43" spans="2:12" s="1" customFormat="1" ht="14.25" x14ac:dyDescent="0.15">
      <c r="B43" s="82">
        <f t="shared" ref="B43:B65" si="2">B42+1</f>
        <v>3</v>
      </c>
      <c r="C43" s="189" t="s">
        <v>24</v>
      </c>
      <c r="D43" s="169"/>
      <c r="E43" s="169"/>
      <c r="F43" s="223">
        <v>10198.789999999999</v>
      </c>
      <c r="G43" s="92">
        <v>0.35</v>
      </c>
      <c r="H43" s="92">
        <v>1</v>
      </c>
      <c r="I43" s="218">
        <f t="shared" si="0"/>
        <v>3569.5764999999997</v>
      </c>
      <c r="J43" s="271">
        <f t="shared" si="1"/>
        <v>7.9323922222222212</v>
      </c>
      <c r="K43" s="82"/>
      <c r="L43" s="82"/>
    </row>
    <row r="44" spans="2:12" s="1" customFormat="1" ht="14.25" x14ac:dyDescent="0.15">
      <c r="B44" s="82">
        <f t="shared" si="2"/>
        <v>4</v>
      </c>
      <c r="C44" s="188" t="s">
        <v>25</v>
      </c>
      <c r="D44" s="190"/>
      <c r="E44" s="190"/>
      <c r="F44" s="223">
        <v>3649.02</v>
      </c>
      <c r="G44" s="92">
        <v>0.13</v>
      </c>
      <c r="H44" s="92">
        <v>1</v>
      </c>
      <c r="I44" s="218">
        <f t="shared" si="0"/>
        <v>474.37260000000009</v>
      </c>
      <c r="J44" s="271">
        <f t="shared" si="1"/>
        <v>1.0541613333333335</v>
      </c>
      <c r="K44" s="82"/>
      <c r="L44" s="82"/>
    </row>
    <row r="45" spans="2:12" s="1" customFormat="1" ht="14.25" x14ac:dyDescent="0.15">
      <c r="B45" s="82">
        <f t="shared" si="2"/>
        <v>5</v>
      </c>
      <c r="C45" s="188" t="s">
        <v>26</v>
      </c>
      <c r="D45" s="169"/>
      <c r="E45" s="169"/>
      <c r="F45" s="223">
        <v>3294.5</v>
      </c>
      <c r="G45" s="92">
        <v>0.15</v>
      </c>
      <c r="H45" s="92">
        <v>1</v>
      </c>
      <c r="I45" s="218">
        <f t="shared" si="0"/>
        <v>494.17499999999995</v>
      </c>
      <c r="J45" s="271">
        <f t="shared" si="1"/>
        <v>1.0981666666666665</v>
      </c>
      <c r="K45" s="82"/>
      <c r="L45" s="82"/>
    </row>
    <row r="46" spans="2:12" s="1" customFormat="1" ht="14.25" x14ac:dyDescent="0.15">
      <c r="B46" s="82">
        <f t="shared" si="2"/>
        <v>6</v>
      </c>
      <c r="C46" s="188" t="s">
        <v>31</v>
      </c>
      <c r="D46" s="169"/>
      <c r="E46" s="169"/>
      <c r="F46" s="223">
        <v>6662.57</v>
      </c>
      <c r="G46" s="92">
        <v>0.19</v>
      </c>
      <c r="H46" s="92">
        <v>1</v>
      </c>
      <c r="I46" s="218">
        <f t="shared" si="0"/>
        <v>1265.8883000000001</v>
      </c>
      <c r="J46" s="271">
        <f t="shared" si="1"/>
        <v>2.8130851111111115</v>
      </c>
      <c r="K46" s="82"/>
      <c r="L46" s="82"/>
    </row>
    <row r="47" spans="2:12" s="1" customFormat="1" ht="14.25" x14ac:dyDescent="0.15">
      <c r="B47" s="82">
        <f t="shared" si="2"/>
        <v>7</v>
      </c>
      <c r="C47" s="89" t="s">
        <v>34</v>
      </c>
      <c r="D47" s="90"/>
      <c r="E47" s="90"/>
      <c r="F47" s="223">
        <f>'Work Component  Split'!F27</f>
        <v>5328.2934779999996</v>
      </c>
      <c r="G47" s="92">
        <v>0</v>
      </c>
      <c r="H47" s="92">
        <v>1</v>
      </c>
      <c r="I47" s="218">
        <f t="shared" si="0"/>
        <v>0</v>
      </c>
      <c r="J47" s="271">
        <f t="shared" si="1"/>
        <v>0</v>
      </c>
      <c r="K47" s="82"/>
      <c r="L47" s="82"/>
    </row>
    <row r="48" spans="2:12" s="1" customFormat="1" ht="22.5" x14ac:dyDescent="0.15">
      <c r="B48" s="82">
        <f t="shared" si="2"/>
        <v>8</v>
      </c>
      <c r="C48" s="82" t="s">
        <v>36</v>
      </c>
      <c r="D48" s="90"/>
      <c r="E48" s="90"/>
      <c r="F48" s="223">
        <v>3443.7747999999997</v>
      </c>
      <c r="G48" s="92">
        <v>0.31</v>
      </c>
      <c r="H48" s="92">
        <v>1</v>
      </c>
      <c r="I48" s="218">
        <f t="shared" si="0"/>
        <v>1067.5701879999999</v>
      </c>
      <c r="J48" s="271">
        <f t="shared" si="1"/>
        <v>2.3723781955555552</v>
      </c>
      <c r="K48" s="82"/>
      <c r="L48" s="82"/>
    </row>
    <row r="49" spans="2:12" s="1" customFormat="1" ht="14.25" x14ac:dyDescent="0.15">
      <c r="B49" s="82">
        <f t="shared" si="2"/>
        <v>9</v>
      </c>
      <c r="C49" s="89" t="s">
        <v>37</v>
      </c>
      <c r="D49" s="169"/>
      <c r="E49" s="169"/>
      <c r="F49" s="223">
        <v>540</v>
      </c>
      <c r="G49" s="92">
        <v>1</v>
      </c>
      <c r="H49" s="92">
        <v>1</v>
      </c>
      <c r="I49" s="218">
        <f t="shared" si="0"/>
        <v>540</v>
      </c>
      <c r="J49" s="271">
        <f t="shared" si="1"/>
        <v>1.2</v>
      </c>
      <c r="K49" s="82"/>
      <c r="L49" s="82"/>
    </row>
    <row r="50" spans="2:12" s="1" customFormat="1" ht="14.25" x14ac:dyDescent="0.15">
      <c r="B50" s="82">
        <f t="shared" si="2"/>
        <v>10</v>
      </c>
      <c r="C50" s="89" t="s">
        <v>38</v>
      </c>
      <c r="D50" s="169"/>
      <c r="E50" s="169"/>
      <c r="F50" s="223">
        <v>4639.8520000000008</v>
      </c>
      <c r="G50" s="92">
        <v>0.12</v>
      </c>
      <c r="H50" s="92">
        <v>1</v>
      </c>
      <c r="I50" s="218">
        <f t="shared" si="0"/>
        <v>556.78224000000012</v>
      </c>
      <c r="J50" s="271">
        <f t="shared" si="1"/>
        <v>1.2372938666666669</v>
      </c>
      <c r="K50" s="82"/>
      <c r="L50" s="82"/>
    </row>
    <row r="51" spans="2:12" s="1" customFormat="1" ht="14.25" x14ac:dyDescent="0.15">
      <c r="B51" s="82">
        <f t="shared" si="2"/>
        <v>11</v>
      </c>
      <c r="C51" s="89" t="s">
        <v>43</v>
      </c>
      <c r="D51" s="169"/>
      <c r="E51" s="169"/>
      <c r="F51" s="223">
        <v>7347.6720000000005</v>
      </c>
      <c r="G51" s="92">
        <v>0.17</v>
      </c>
      <c r="H51" s="92">
        <v>1</v>
      </c>
      <c r="I51" s="218">
        <f t="shared" si="0"/>
        <v>1249.1042400000001</v>
      </c>
      <c r="J51" s="271">
        <f t="shared" si="1"/>
        <v>2.7757872000000003</v>
      </c>
      <c r="K51" s="82"/>
      <c r="L51" s="82"/>
    </row>
    <row r="52" spans="2:12" s="1" customFormat="1" ht="14.25" x14ac:dyDescent="0.15">
      <c r="B52" s="82">
        <f t="shared" si="2"/>
        <v>12</v>
      </c>
      <c r="C52" s="89" t="s">
        <v>44</v>
      </c>
      <c r="D52" s="169"/>
      <c r="E52" s="169"/>
      <c r="F52" s="223">
        <v>4480</v>
      </c>
      <c r="G52" s="92">
        <v>0.16</v>
      </c>
      <c r="H52" s="92">
        <v>1</v>
      </c>
      <c r="I52" s="218">
        <f t="shared" si="0"/>
        <v>716.80000000000007</v>
      </c>
      <c r="J52" s="271">
        <f t="shared" si="1"/>
        <v>1.592888888888889</v>
      </c>
      <c r="K52" s="82"/>
      <c r="L52" s="82"/>
    </row>
    <row r="53" spans="2:12" s="1" customFormat="1" ht="14.25" x14ac:dyDescent="0.15">
      <c r="B53" s="82">
        <f t="shared" si="2"/>
        <v>13</v>
      </c>
      <c r="C53" s="89" t="s">
        <v>51</v>
      </c>
      <c r="D53" s="169"/>
      <c r="E53" s="169"/>
      <c r="F53" s="223">
        <v>2613.6000000000004</v>
      </c>
      <c r="G53" s="92">
        <v>0.19</v>
      </c>
      <c r="H53" s="92">
        <v>1</v>
      </c>
      <c r="I53" s="218">
        <f t="shared" si="0"/>
        <v>496.584</v>
      </c>
      <c r="J53" s="271">
        <f t="shared" si="1"/>
        <v>1.1035200000000001</v>
      </c>
      <c r="K53" s="82"/>
      <c r="L53" s="115"/>
    </row>
    <row r="54" spans="2:12" s="1" customFormat="1" ht="14.25" x14ac:dyDescent="0.15">
      <c r="B54" s="82">
        <f t="shared" si="2"/>
        <v>14</v>
      </c>
      <c r="C54" s="203" t="s">
        <v>55</v>
      </c>
      <c r="D54" s="169"/>
      <c r="E54" s="90"/>
      <c r="F54" s="223">
        <v>4807</v>
      </c>
      <c r="G54" s="92">
        <v>0.1</v>
      </c>
      <c r="H54" s="92">
        <v>1</v>
      </c>
      <c r="I54" s="218">
        <f t="shared" si="0"/>
        <v>480.7000000000001</v>
      </c>
      <c r="J54" s="271">
        <f t="shared" si="1"/>
        <v>1.0682222222222224</v>
      </c>
      <c r="K54" s="82"/>
      <c r="L54" s="115"/>
    </row>
    <row r="55" spans="2:12" s="1" customFormat="1" ht="14.25" x14ac:dyDescent="0.15">
      <c r="B55" s="82">
        <f t="shared" si="2"/>
        <v>15</v>
      </c>
      <c r="C55" s="203" t="s">
        <v>62</v>
      </c>
      <c r="D55" s="90"/>
      <c r="E55" s="90"/>
      <c r="F55" s="223">
        <v>4708.2159999999994</v>
      </c>
      <c r="G55" s="92">
        <v>0.12</v>
      </c>
      <c r="H55" s="92">
        <v>1</v>
      </c>
      <c r="I55" s="218">
        <f t="shared" si="0"/>
        <v>564.98591999999996</v>
      </c>
      <c r="J55" s="271">
        <f t="shared" si="1"/>
        <v>1.2555242666666666</v>
      </c>
      <c r="K55" s="82"/>
      <c r="L55" s="115"/>
    </row>
    <row r="56" spans="2:12" s="1" customFormat="1" ht="14.25" x14ac:dyDescent="0.15">
      <c r="B56" s="82">
        <f t="shared" si="2"/>
        <v>16</v>
      </c>
      <c r="C56" s="203" t="s">
        <v>69</v>
      </c>
      <c r="D56" s="90"/>
      <c r="E56" s="90"/>
      <c r="F56" s="223">
        <v>496.8</v>
      </c>
      <c r="G56" s="92">
        <v>1</v>
      </c>
      <c r="H56" s="92">
        <v>1</v>
      </c>
      <c r="I56" s="218">
        <f t="shared" si="0"/>
        <v>496.80000000000007</v>
      </c>
      <c r="J56" s="271">
        <f t="shared" si="1"/>
        <v>1.1040000000000001</v>
      </c>
      <c r="K56" s="82"/>
      <c r="L56" s="115"/>
    </row>
    <row r="57" spans="2:12" s="1" customFormat="1" ht="14.25" x14ac:dyDescent="0.15">
      <c r="B57" s="82">
        <f t="shared" si="2"/>
        <v>17</v>
      </c>
      <c r="C57" s="203" t="s">
        <v>70</v>
      </c>
      <c r="D57" s="90"/>
      <c r="E57" s="90"/>
      <c r="F57" s="223">
        <v>2918.7000000000003</v>
      </c>
      <c r="G57" s="92">
        <v>1</v>
      </c>
      <c r="H57" s="92">
        <v>1</v>
      </c>
      <c r="I57" s="218">
        <f t="shared" si="0"/>
        <v>2918.7000000000003</v>
      </c>
      <c r="J57" s="271">
        <f t="shared" si="1"/>
        <v>6.4860000000000007</v>
      </c>
      <c r="K57" s="82"/>
      <c r="L57" s="115"/>
    </row>
    <row r="58" spans="2:12" s="1" customFormat="1" ht="14.25" x14ac:dyDescent="0.15">
      <c r="B58" s="82">
        <f t="shared" si="2"/>
        <v>18</v>
      </c>
      <c r="C58" s="203" t="s">
        <v>23</v>
      </c>
      <c r="D58" s="90"/>
      <c r="E58" s="90"/>
      <c r="F58" s="223">
        <v>500</v>
      </c>
      <c r="G58" s="92">
        <v>1</v>
      </c>
      <c r="H58" s="92">
        <v>1</v>
      </c>
      <c r="I58" s="218">
        <f t="shared" si="0"/>
        <v>500</v>
      </c>
      <c r="J58" s="271">
        <f t="shared" si="1"/>
        <v>1.1111111111111112</v>
      </c>
      <c r="K58" s="82"/>
      <c r="L58" s="115"/>
    </row>
    <row r="59" spans="2:12" s="1" customFormat="1" ht="14.25" x14ac:dyDescent="0.15">
      <c r="B59" s="82">
        <f t="shared" si="2"/>
        <v>19</v>
      </c>
      <c r="C59" s="203" t="s">
        <v>71</v>
      </c>
      <c r="D59" s="90"/>
      <c r="E59" s="90"/>
      <c r="F59" s="223">
        <v>7781.4000000000005</v>
      </c>
      <c r="G59" s="92">
        <v>1</v>
      </c>
      <c r="H59" s="92">
        <v>1</v>
      </c>
      <c r="I59" s="218">
        <f t="shared" si="0"/>
        <v>7781.4000000000005</v>
      </c>
      <c r="J59" s="271">
        <f t="shared" si="1"/>
        <v>17.292000000000002</v>
      </c>
      <c r="K59" s="82"/>
      <c r="L59" s="115"/>
    </row>
    <row r="60" spans="2:12" s="1" customFormat="1" ht="14.25" x14ac:dyDescent="0.15">
      <c r="B60" s="82">
        <f t="shared" si="2"/>
        <v>20</v>
      </c>
      <c r="C60" s="89" t="s">
        <v>72</v>
      </c>
      <c r="D60" s="90"/>
      <c r="E60" s="90"/>
      <c r="F60" s="223">
        <v>1944.0000000000002</v>
      </c>
      <c r="G60" s="92">
        <v>1</v>
      </c>
      <c r="H60" s="92">
        <v>1</v>
      </c>
      <c r="I60" s="218">
        <f t="shared" si="0"/>
        <v>1944.0000000000002</v>
      </c>
      <c r="J60" s="271">
        <f t="shared" si="1"/>
        <v>4.32</v>
      </c>
      <c r="K60" s="82"/>
      <c r="L60" s="115"/>
    </row>
    <row r="61" spans="2:12" s="1" customFormat="1" ht="14.25" x14ac:dyDescent="0.15">
      <c r="B61" s="82">
        <f t="shared" si="2"/>
        <v>21</v>
      </c>
      <c r="C61" s="89" t="s">
        <v>73</v>
      </c>
      <c r="D61" s="90"/>
      <c r="E61" s="90"/>
      <c r="F61" s="223">
        <v>819.72</v>
      </c>
      <c r="G61" s="92">
        <v>1</v>
      </c>
      <c r="H61" s="92">
        <v>1</v>
      </c>
      <c r="I61" s="218">
        <f t="shared" si="0"/>
        <v>819.72</v>
      </c>
      <c r="J61" s="271">
        <f t="shared" si="1"/>
        <v>1.8216000000000001</v>
      </c>
      <c r="K61" s="82"/>
      <c r="L61" s="115"/>
    </row>
    <row r="62" spans="2:12" s="1" customFormat="1" ht="14.25" x14ac:dyDescent="0.15">
      <c r="B62" s="82">
        <f t="shared" si="2"/>
        <v>22</v>
      </c>
      <c r="C62" s="89" t="s">
        <v>74</v>
      </c>
      <c r="D62" s="90"/>
      <c r="E62" s="90"/>
      <c r="F62" s="223">
        <v>1026</v>
      </c>
      <c r="G62" s="92">
        <v>1</v>
      </c>
      <c r="H62" s="92">
        <v>1</v>
      </c>
      <c r="I62" s="218">
        <f t="shared" si="0"/>
        <v>1026</v>
      </c>
      <c r="J62" s="271">
        <f t="shared" si="1"/>
        <v>2.2799999999999998</v>
      </c>
      <c r="K62" s="82"/>
      <c r="L62" s="115"/>
    </row>
    <row r="63" spans="2:12" s="1" customFormat="1" ht="14.25" x14ac:dyDescent="0.15">
      <c r="B63" s="82">
        <f t="shared" si="2"/>
        <v>23</v>
      </c>
      <c r="C63" s="89" t="s">
        <v>75</v>
      </c>
      <c r="D63" s="90"/>
      <c r="E63" s="90"/>
      <c r="F63" s="223">
        <v>1214.4000000000001</v>
      </c>
      <c r="G63" s="92">
        <v>1</v>
      </c>
      <c r="H63" s="92">
        <v>1</v>
      </c>
      <c r="I63" s="218">
        <f t="shared" si="0"/>
        <v>1214.4000000000001</v>
      </c>
      <c r="J63" s="271">
        <f t="shared" si="1"/>
        <v>2.698666666666667</v>
      </c>
      <c r="K63" s="82"/>
      <c r="L63" s="115"/>
    </row>
    <row r="64" spans="2:12" s="1" customFormat="1" ht="14.25" x14ac:dyDescent="0.15">
      <c r="B64" s="82">
        <f t="shared" si="2"/>
        <v>24</v>
      </c>
      <c r="C64" s="89" t="s">
        <v>76</v>
      </c>
      <c r="D64" s="90"/>
      <c r="E64" s="90"/>
      <c r="F64" s="223">
        <v>540</v>
      </c>
      <c r="G64" s="92">
        <v>1</v>
      </c>
      <c r="H64" s="92">
        <v>1</v>
      </c>
      <c r="I64" s="218">
        <f t="shared" si="0"/>
        <v>540</v>
      </c>
      <c r="J64" s="271">
        <f t="shared" si="1"/>
        <v>1.2</v>
      </c>
      <c r="K64" s="82"/>
      <c r="L64" s="115"/>
    </row>
    <row r="65" spans="2:12" s="1" customFormat="1" ht="14.25" x14ac:dyDescent="0.15">
      <c r="B65" s="82">
        <f t="shared" si="2"/>
        <v>25</v>
      </c>
      <c r="C65" s="89" t="s">
        <v>77</v>
      </c>
      <c r="D65" s="90"/>
      <c r="E65" s="90"/>
      <c r="F65" s="223">
        <v>993.6</v>
      </c>
      <c r="G65" s="92">
        <v>1</v>
      </c>
      <c r="H65" s="92">
        <v>1</v>
      </c>
      <c r="I65" s="218">
        <f t="shared" si="0"/>
        <v>993.60000000000014</v>
      </c>
      <c r="J65" s="271">
        <f t="shared" si="1"/>
        <v>2.2080000000000002</v>
      </c>
      <c r="K65" s="82"/>
      <c r="L65" s="115"/>
    </row>
    <row r="66" spans="2:12" s="1" customFormat="1" ht="14.25" x14ac:dyDescent="0.15">
      <c r="B66" s="82"/>
      <c r="C66" s="89"/>
      <c r="D66" s="90"/>
      <c r="E66" s="90"/>
      <c r="F66" s="223"/>
      <c r="G66" s="92"/>
      <c r="H66" s="92"/>
      <c r="I66" s="168"/>
      <c r="J66" s="271"/>
      <c r="K66" s="82"/>
      <c r="L66" s="115"/>
    </row>
    <row r="67" spans="2:12" s="1" customFormat="1" ht="14.25" x14ac:dyDescent="0.15">
      <c r="B67" s="82"/>
      <c r="C67" s="89"/>
      <c r="D67" s="90"/>
      <c r="E67" s="90"/>
      <c r="F67" s="223"/>
      <c r="G67" s="92"/>
      <c r="H67" s="92"/>
      <c r="I67" s="168"/>
      <c r="J67" s="271"/>
      <c r="K67" s="82"/>
      <c r="L67" s="115"/>
    </row>
    <row r="68" spans="2:12" s="1" customFormat="1" ht="14.25" x14ac:dyDescent="0.15">
      <c r="B68" s="82"/>
      <c r="C68" s="239" t="s">
        <v>160</v>
      </c>
      <c r="D68" s="90"/>
      <c r="E68" s="90"/>
      <c r="F68" s="223"/>
      <c r="G68" s="92"/>
      <c r="H68" s="92"/>
      <c r="I68" s="168"/>
      <c r="J68" s="271"/>
      <c r="K68" s="82"/>
      <c r="L68" s="115"/>
    </row>
    <row r="69" spans="2:12" s="1" customFormat="1" ht="14.25" x14ac:dyDescent="0.15">
      <c r="B69" s="82">
        <v>1</v>
      </c>
      <c r="C69" s="89" t="s">
        <v>241</v>
      </c>
      <c r="D69" s="90" t="s">
        <v>181</v>
      </c>
      <c r="E69" s="90"/>
      <c r="F69" s="223"/>
      <c r="G69" s="92"/>
      <c r="H69" s="92">
        <v>1</v>
      </c>
      <c r="I69" s="168">
        <f t="shared" ref="I69:I86" si="3">J69*$C$32</f>
        <v>0</v>
      </c>
      <c r="J69" s="271">
        <f t="shared" ref="J69:J86" si="4">(F70*G69*H69)/$C$32</f>
        <v>0</v>
      </c>
      <c r="K69" s="82"/>
      <c r="L69" s="115"/>
    </row>
    <row r="70" spans="2:12" s="1" customFormat="1" ht="14.25" x14ac:dyDescent="0.15">
      <c r="B70" s="82">
        <v>2</v>
      </c>
      <c r="C70" s="89" t="s">
        <v>242</v>
      </c>
      <c r="D70" s="90" t="s">
        <v>243</v>
      </c>
      <c r="E70" s="90"/>
      <c r="F70" s="223"/>
      <c r="G70" s="92"/>
      <c r="H70" s="92">
        <v>1</v>
      </c>
      <c r="I70" s="168">
        <f t="shared" si="3"/>
        <v>0</v>
      </c>
      <c r="J70" s="271">
        <f t="shared" si="4"/>
        <v>0</v>
      </c>
      <c r="K70" s="82"/>
      <c r="L70" s="115"/>
    </row>
    <row r="71" spans="2:12" s="1" customFormat="1" ht="14.25" x14ac:dyDescent="0.15">
      <c r="B71" s="82">
        <v>3</v>
      </c>
      <c r="C71" s="89" t="s">
        <v>137</v>
      </c>
      <c r="D71" s="90" t="s">
        <v>244</v>
      </c>
      <c r="E71" s="90"/>
      <c r="F71" s="223"/>
      <c r="G71" s="92"/>
      <c r="H71" s="92">
        <v>1</v>
      </c>
      <c r="I71" s="168">
        <f t="shared" si="3"/>
        <v>0</v>
      </c>
      <c r="J71" s="271">
        <f t="shared" si="4"/>
        <v>0</v>
      </c>
      <c r="K71" s="82"/>
      <c r="L71" s="115"/>
    </row>
    <row r="72" spans="2:12" s="1" customFormat="1" ht="14.25" x14ac:dyDescent="0.15">
      <c r="B72" s="82">
        <v>4</v>
      </c>
      <c r="C72" s="89" t="s">
        <v>245</v>
      </c>
      <c r="D72" s="90" t="s">
        <v>246</v>
      </c>
      <c r="E72" s="90"/>
      <c r="F72" s="223"/>
      <c r="G72" s="92"/>
      <c r="H72" s="92">
        <v>1</v>
      </c>
      <c r="I72" s="168">
        <f t="shared" si="3"/>
        <v>0</v>
      </c>
      <c r="J72" s="271">
        <f t="shared" si="4"/>
        <v>0</v>
      </c>
      <c r="K72" s="82"/>
      <c r="L72" s="115"/>
    </row>
    <row r="73" spans="2:12" s="1" customFormat="1" ht="14.25" x14ac:dyDescent="0.15">
      <c r="B73" s="82">
        <v>5</v>
      </c>
      <c r="C73" s="89" t="s">
        <v>247</v>
      </c>
      <c r="D73" s="90" t="s">
        <v>248</v>
      </c>
      <c r="E73" s="90"/>
      <c r="F73" s="223"/>
      <c r="G73" s="92"/>
      <c r="H73" s="92">
        <v>1</v>
      </c>
      <c r="I73" s="168">
        <f t="shared" si="3"/>
        <v>0</v>
      </c>
      <c r="J73" s="271">
        <f t="shared" si="4"/>
        <v>0</v>
      </c>
      <c r="K73" s="82"/>
      <c r="L73" s="115"/>
    </row>
    <row r="74" spans="2:12" s="1" customFormat="1" ht="14.25" x14ac:dyDescent="0.15">
      <c r="B74" s="82">
        <v>6</v>
      </c>
      <c r="C74" s="89" t="s">
        <v>249</v>
      </c>
      <c r="D74" s="90" t="s">
        <v>250</v>
      </c>
      <c r="E74" s="90"/>
      <c r="F74" s="223"/>
      <c r="G74" s="92"/>
      <c r="H74" s="92">
        <v>1</v>
      </c>
      <c r="I74" s="168">
        <f t="shared" si="3"/>
        <v>0</v>
      </c>
      <c r="J74" s="271">
        <f t="shared" si="4"/>
        <v>0</v>
      </c>
      <c r="K74" s="82"/>
      <c r="L74" s="115"/>
    </row>
    <row r="75" spans="2:12" s="1" customFormat="1" ht="14.25" x14ac:dyDescent="0.15">
      <c r="B75" s="82">
        <v>7</v>
      </c>
      <c r="C75" s="89" t="s">
        <v>251</v>
      </c>
      <c r="D75" s="90" t="s">
        <v>252</v>
      </c>
      <c r="E75" s="90"/>
      <c r="F75" s="223"/>
      <c r="G75" s="92"/>
      <c r="H75" s="92">
        <v>1</v>
      </c>
      <c r="I75" s="168">
        <f t="shared" si="3"/>
        <v>0</v>
      </c>
      <c r="J75" s="271">
        <f t="shared" si="4"/>
        <v>0</v>
      </c>
      <c r="K75" s="82"/>
      <c r="L75" s="115"/>
    </row>
    <row r="76" spans="2:12" s="1" customFormat="1" ht="14.25" x14ac:dyDescent="0.15">
      <c r="B76" s="82">
        <v>8</v>
      </c>
      <c r="C76" s="89" t="s">
        <v>49</v>
      </c>
      <c r="D76" s="90" t="s">
        <v>253</v>
      </c>
      <c r="E76" s="90"/>
      <c r="F76" s="223"/>
      <c r="G76" s="92"/>
      <c r="H76" s="92">
        <v>1</v>
      </c>
      <c r="I76" s="168">
        <f t="shared" si="3"/>
        <v>0</v>
      </c>
      <c r="J76" s="271">
        <f t="shared" si="4"/>
        <v>0</v>
      </c>
      <c r="K76" s="82"/>
      <c r="L76" s="115"/>
    </row>
    <row r="77" spans="2:12" s="1" customFormat="1" ht="14.25" x14ac:dyDescent="0.15">
      <c r="B77" s="82">
        <v>9</v>
      </c>
      <c r="C77" s="89" t="s">
        <v>254</v>
      </c>
      <c r="D77" s="90" t="s">
        <v>134</v>
      </c>
      <c r="E77" s="90"/>
      <c r="F77" s="223"/>
      <c r="G77" s="92"/>
      <c r="H77" s="92">
        <v>1</v>
      </c>
      <c r="I77" s="168">
        <f t="shared" si="3"/>
        <v>0</v>
      </c>
      <c r="J77" s="271">
        <f t="shared" si="4"/>
        <v>0</v>
      </c>
      <c r="K77" s="82"/>
      <c r="L77" s="115"/>
    </row>
    <row r="78" spans="2:12" s="1" customFormat="1" ht="14.25" x14ac:dyDescent="0.15">
      <c r="B78" s="82">
        <v>10</v>
      </c>
      <c r="C78" s="89" t="s">
        <v>255</v>
      </c>
      <c r="D78" s="90" t="s">
        <v>256</v>
      </c>
      <c r="E78" s="90"/>
      <c r="F78" s="223"/>
      <c r="G78" s="92"/>
      <c r="H78" s="92">
        <v>1</v>
      </c>
      <c r="I78" s="168">
        <f t="shared" si="3"/>
        <v>0</v>
      </c>
      <c r="J78" s="271">
        <f t="shared" si="4"/>
        <v>0</v>
      </c>
      <c r="K78" s="82"/>
      <c r="L78" s="115"/>
    </row>
    <row r="79" spans="2:12" s="1" customFormat="1" ht="14.25" x14ac:dyDescent="0.15">
      <c r="B79" s="82">
        <v>11</v>
      </c>
      <c r="C79" s="89" t="s">
        <v>143</v>
      </c>
      <c r="D79" s="316" t="s">
        <v>257</v>
      </c>
      <c r="E79" s="90"/>
      <c r="F79" s="223"/>
      <c r="G79" s="92"/>
      <c r="H79" s="92">
        <v>1</v>
      </c>
      <c r="I79" s="168">
        <f t="shared" si="3"/>
        <v>0</v>
      </c>
      <c r="J79" s="94">
        <f t="shared" si="4"/>
        <v>0</v>
      </c>
      <c r="K79" s="82"/>
      <c r="L79" s="115"/>
    </row>
    <row r="80" spans="2:12" s="1" customFormat="1" ht="14.25" x14ac:dyDescent="0.15">
      <c r="B80" s="82">
        <v>12</v>
      </c>
      <c r="C80" s="89" t="s">
        <v>258</v>
      </c>
      <c r="D80" s="169" t="s">
        <v>259</v>
      </c>
      <c r="E80" s="169"/>
      <c r="F80" s="223"/>
      <c r="G80" s="214"/>
      <c r="H80" s="92">
        <v>1</v>
      </c>
      <c r="I80" s="218">
        <f t="shared" si="3"/>
        <v>0</v>
      </c>
      <c r="J80" s="94">
        <f t="shared" si="4"/>
        <v>0</v>
      </c>
      <c r="K80" s="82"/>
      <c r="L80" s="82"/>
    </row>
    <row r="81" spans="2:12" s="1" customFormat="1" ht="14.25" x14ac:dyDescent="0.15">
      <c r="B81" s="82">
        <v>13</v>
      </c>
      <c r="C81" s="89" t="s">
        <v>260</v>
      </c>
      <c r="D81" s="90" t="s">
        <v>261</v>
      </c>
      <c r="E81" s="90"/>
      <c r="F81" s="223"/>
      <c r="G81" s="214"/>
      <c r="H81" s="92">
        <v>1</v>
      </c>
      <c r="I81" s="218">
        <f t="shared" si="3"/>
        <v>0</v>
      </c>
      <c r="J81" s="94">
        <f t="shared" si="4"/>
        <v>0</v>
      </c>
      <c r="K81" s="82"/>
      <c r="L81" s="115"/>
    </row>
    <row r="82" spans="2:12" s="1" customFormat="1" ht="14.25" x14ac:dyDescent="0.15">
      <c r="B82" s="82">
        <v>14</v>
      </c>
      <c r="C82" s="203"/>
      <c r="D82" s="90"/>
      <c r="E82" s="90"/>
      <c r="F82" s="223"/>
      <c r="G82" s="214"/>
      <c r="H82" s="92">
        <v>1</v>
      </c>
      <c r="I82" s="218">
        <f t="shared" si="3"/>
        <v>0</v>
      </c>
      <c r="J82" s="94">
        <f t="shared" si="4"/>
        <v>0</v>
      </c>
      <c r="K82" s="82"/>
      <c r="L82" s="115"/>
    </row>
    <row r="83" spans="2:12" s="1" customFormat="1" ht="14.25" x14ac:dyDescent="0.15">
      <c r="B83" s="82">
        <v>16</v>
      </c>
      <c r="C83" s="203"/>
      <c r="D83" s="90"/>
      <c r="E83" s="90"/>
      <c r="F83" s="223"/>
      <c r="G83" s="214"/>
      <c r="H83" s="92">
        <v>1</v>
      </c>
      <c r="I83" s="218">
        <f t="shared" si="3"/>
        <v>0</v>
      </c>
      <c r="J83" s="94">
        <f t="shared" si="4"/>
        <v>0</v>
      </c>
      <c r="K83" s="82"/>
      <c r="L83" s="115"/>
    </row>
    <row r="84" spans="2:12" s="1" customFormat="1" ht="14.25" x14ac:dyDescent="0.15">
      <c r="B84" s="82">
        <v>17</v>
      </c>
      <c r="C84" s="203"/>
      <c r="D84" s="90"/>
      <c r="E84" s="90"/>
      <c r="F84" s="223"/>
      <c r="G84" s="214"/>
      <c r="H84" s="92">
        <v>1</v>
      </c>
      <c r="I84" s="218">
        <f t="shared" si="3"/>
        <v>0</v>
      </c>
      <c r="J84" s="94">
        <f t="shared" si="4"/>
        <v>0</v>
      </c>
      <c r="K84" s="82"/>
      <c r="L84" s="115"/>
    </row>
    <row r="85" spans="2:12" s="1" customFormat="1" ht="14.25" x14ac:dyDescent="0.15">
      <c r="B85" s="82">
        <v>19</v>
      </c>
      <c r="C85" s="203"/>
      <c r="D85" s="90"/>
      <c r="E85" s="90"/>
      <c r="F85" s="223"/>
      <c r="G85" s="214"/>
      <c r="H85" s="92">
        <v>1</v>
      </c>
      <c r="I85" s="218">
        <f t="shared" si="3"/>
        <v>0</v>
      </c>
      <c r="J85" s="94">
        <f t="shared" si="4"/>
        <v>0</v>
      </c>
      <c r="K85" s="82"/>
      <c r="L85" s="115"/>
    </row>
    <row r="86" spans="2:12" s="1" customFormat="1" ht="14.25" x14ac:dyDescent="0.15">
      <c r="B86" s="82">
        <v>20</v>
      </c>
      <c r="C86" s="203"/>
      <c r="D86" s="90"/>
      <c r="E86" s="90"/>
      <c r="F86" s="223"/>
      <c r="G86" s="214"/>
      <c r="H86" s="92">
        <v>1</v>
      </c>
      <c r="I86" s="218">
        <f t="shared" si="3"/>
        <v>0</v>
      </c>
      <c r="J86" s="94">
        <f t="shared" si="4"/>
        <v>0</v>
      </c>
      <c r="K86" s="82"/>
      <c r="L86" s="115"/>
    </row>
    <row r="87" spans="2:12" s="1" customFormat="1" ht="14.25" x14ac:dyDescent="0.15">
      <c r="B87" s="82"/>
      <c r="C87" s="203"/>
      <c r="D87" s="90"/>
      <c r="E87" s="90"/>
      <c r="F87" s="223"/>
      <c r="G87" s="92"/>
      <c r="H87" s="92"/>
      <c r="I87" s="168"/>
      <c r="J87" s="94"/>
      <c r="K87" s="82"/>
      <c r="L87" s="115"/>
    </row>
    <row r="88" spans="2:12" s="1" customFormat="1" ht="14.25" x14ac:dyDescent="0.15">
      <c r="B88" s="82"/>
      <c r="C88" s="102"/>
      <c r="D88" s="103"/>
      <c r="E88" s="102"/>
      <c r="F88" s="224">
        <f>SUM(F37:F87)</f>
        <v>108848.47827800001</v>
      </c>
      <c r="G88" s="104"/>
      <c r="H88" s="105"/>
      <c r="I88" s="128">
        <f>SUM(I35:I87)</f>
        <v>38169.670687999998</v>
      </c>
      <c r="J88" s="106">
        <f>SUM(J34:J87)</f>
        <v>84.821490417777795</v>
      </c>
      <c r="K88" s="82"/>
      <c r="L88" s="115"/>
    </row>
    <row r="89" spans="2:12" s="1" customFormat="1" ht="14.25" x14ac:dyDescent="0.15">
      <c r="B89" s="82"/>
      <c r="C89" s="102"/>
      <c r="D89" s="103"/>
      <c r="E89" s="102" t="s">
        <v>147</v>
      </c>
      <c r="F89" s="224">
        <f>100/115*F88</f>
        <v>94650.850676521746</v>
      </c>
      <c r="G89" s="104"/>
      <c r="H89" s="105" t="s">
        <v>147</v>
      </c>
      <c r="I89" s="128">
        <f>100/115*I88</f>
        <v>33191.017989565218</v>
      </c>
      <c r="J89" s="257"/>
      <c r="L89" s="222"/>
    </row>
    <row r="90" spans="2:12" s="1" customFormat="1" ht="14.25" x14ac:dyDescent="0.15">
      <c r="B90" s="82"/>
      <c r="C90" s="102"/>
      <c r="D90" s="103"/>
      <c r="E90" s="102"/>
      <c r="F90" s="224"/>
      <c r="G90" s="104"/>
      <c r="H90" s="105"/>
      <c r="I90" s="128"/>
      <c r="J90" s="106"/>
      <c r="L90" s="222"/>
    </row>
    <row r="91" spans="2:12" s="1" customFormat="1" ht="14.25" x14ac:dyDescent="0.15">
      <c r="L91" s="222"/>
    </row>
    <row r="92" spans="2:12" s="1" customFormat="1" ht="14.25" x14ac:dyDescent="0.15">
      <c r="L92" s="222"/>
    </row>
    <row r="93" spans="2:12" s="1" customFormat="1" ht="14.25" x14ac:dyDescent="0.15">
      <c r="L93" s="222"/>
    </row>
    <row r="94" spans="2:12" s="1" customFormat="1" ht="14.25" x14ac:dyDescent="0.15">
      <c r="L94" s="222"/>
    </row>
    <row r="95" spans="2:12" s="247" customFormat="1" ht="31.5" customHeight="1" x14ac:dyDescent="0.4">
      <c r="B95" s="248"/>
      <c r="C95" s="380" t="s">
        <v>112</v>
      </c>
      <c r="D95" s="380"/>
      <c r="E95" s="396" t="s">
        <v>148</v>
      </c>
      <c r="F95" s="397"/>
      <c r="G95" s="397"/>
      <c r="H95" s="397"/>
      <c r="I95" s="398"/>
      <c r="J95" s="382">
        <v>2026</v>
      </c>
      <c r="K95" s="382"/>
      <c r="L95" s="382"/>
    </row>
    <row r="96" spans="2:12" s="1" customFormat="1" ht="22.5" x14ac:dyDescent="0.15">
      <c r="B96" s="82"/>
      <c r="C96" s="102" t="s">
        <v>114</v>
      </c>
      <c r="D96" s="388" t="s">
        <v>115</v>
      </c>
      <c r="E96" s="388"/>
      <c r="F96" s="102" t="s">
        <v>116</v>
      </c>
      <c r="G96" s="102" t="s">
        <v>117</v>
      </c>
      <c r="H96" s="102" t="s">
        <v>118</v>
      </c>
      <c r="I96" s="102" t="s">
        <v>119</v>
      </c>
      <c r="J96" s="102" t="s">
        <v>120</v>
      </c>
      <c r="K96" s="82"/>
      <c r="L96" s="82"/>
    </row>
    <row r="97" spans="2:12" s="1" customFormat="1" ht="12.75" x14ac:dyDescent="0.15">
      <c r="B97" s="82"/>
      <c r="C97" s="66">
        <f>C32</f>
        <v>450</v>
      </c>
      <c r="D97" s="389">
        <v>20</v>
      </c>
      <c r="E97" s="389"/>
      <c r="F97" s="13">
        <f>F32</f>
        <v>0.8</v>
      </c>
      <c r="G97" s="14">
        <f>G32</f>
        <v>8</v>
      </c>
      <c r="H97" s="142">
        <f>D97*G97*F97</f>
        <v>128</v>
      </c>
      <c r="I97" s="66">
        <f>I154</f>
        <v>51561.120688000003</v>
      </c>
      <c r="J97" s="143">
        <f>H97-J154</f>
        <v>13.419731804444439</v>
      </c>
      <c r="K97" s="82"/>
      <c r="L97" s="82"/>
    </row>
    <row r="98" spans="2:12" s="1" customFormat="1" ht="33.75" x14ac:dyDescent="0.15">
      <c r="B98" s="82"/>
      <c r="C98" s="167" t="s">
        <v>121</v>
      </c>
      <c r="D98" s="395" t="s">
        <v>122</v>
      </c>
      <c r="E98" s="395"/>
      <c r="F98" s="177" t="s">
        <v>123</v>
      </c>
      <c r="G98" s="178" t="s">
        <v>124</v>
      </c>
      <c r="H98" s="179" t="s">
        <v>125</v>
      </c>
      <c r="I98" s="180" t="s">
        <v>126</v>
      </c>
      <c r="J98" s="178" t="s">
        <v>127</v>
      </c>
      <c r="K98" s="114" t="s">
        <v>128</v>
      </c>
      <c r="L98" s="114" t="s">
        <v>129</v>
      </c>
    </row>
    <row r="99" spans="2:12" s="1" customFormat="1" ht="12.75" x14ac:dyDescent="0.15">
      <c r="B99" s="82"/>
      <c r="C99" s="89"/>
      <c r="D99" s="391"/>
      <c r="E99" s="391"/>
      <c r="F99" s="184"/>
      <c r="G99" s="92"/>
      <c r="H99" s="92"/>
      <c r="I99" s="168"/>
      <c r="J99" s="185"/>
      <c r="K99" s="82"/>
      <c r="L99" s="82"/>
    </row>
    <row r="100" spans="2:12" s="1" customFormat="1" ht="12.75" x14ac:dyDescent="0.15">
      <c r="B100" s="82"/>
      <c r="C100" s="392" t="s">
        <v>130</v>
      </c>
      <c r="D100" s="392"/>
      <c r="E100" s="392"/>
      <c r="F100" s="184"/>
      <c r="G100" s="92"/>
      <c r="H100" s="92"/>
      <c r="I100" s="168"/>
      <c r="J100" s="185"/>
      <c r="K100" s="82"/>
      <c r="L100" s="82"/>
    </row>
    <row r="101" spans="2:12" s="1" customFormat="1" ht="12.75" x14ac:dyDescent="0.15">
      <c r="B101" s="82"/>
      <c r="C101" s="167" t="s">
        <v>149</v>
      </c>
      <c r="D101" s="167"/>
      <c r="E101" s="167"/>
      <c r="F101" s="168"/>
      <c r="G101" s="92"/>
      <c r="H101" s="92"/>
      <c r="I101" s="168"/>
      <c r="J101" s="185"/>
      <c r="K101" s="82"/>
      <c r="L101" s="82"/>
    </row>
    <row r="102" spans="2:12" s="1" customFormat="1" ht="12.75" customHeight="1" x14ac:dyDescent="0.15">
      <c r="B102" s="82">
        <v>1</v>
      </c>
      <c r="C102" s="203" t="s">
        <v>60</v>
      </c>
      <c r="D102" s="90"/>
      <c r="E102" s="90"/>
      <c r="F102" s="168">
        <f>'Work Component  Split'!F53</f>
        <v>3237.3</v>
      </c>
      <c r="G102" s="92">
        <v>1</v>
      </c>
      <c r="H102" s="92">
        <v>1</v>
      </c>
      <c r="I102" s="218">
        <f>J102*$C$32</f>
        <v>3237.3</v>
      </c>
      <c r="J102" s="94">
        <f t="shared" ref="J102:J104" si="5">(F102*G102*H102)/$C$32</f>
        <v>7.1940000000000008</v>
      </c>
      <c r="K102" s="82"/>
      <c r="L102" s="82"/>
    </row>
    <row r="103" spans="2:12" s="1" customFormat="1" ht="12.75" customHeight="1" x14ac:dyDescent="0.15">
      <c r="B103" s="82">
        <v>2</v>
      </c>
      <c r="C103" s="203" t="s">
        <v>61</v>
      </c>
      <c r="D103" s="90"/>
      <c r="E103" s="90"/>
      <c r="F103" s="168">
        <f>'Work Component  Split'!F54</f>
        <v>1784.59</v>
      </c>
      <c r="G103" s="92">
        <v>1</v>
      </c>
      <c r="H103" s="92">
        <v>1</v>
      </c>
      <c r="I103" s="218">
        <f>J103*$C$32</f>
        <v>1784.59</v>
      </c>
      <c r="J103" s="94">
        <f t="shared" si="5"/>
        <v>3.9657555555555555</v>
      </c>
      <c r="K103" s="82"/>
      <c r="L103" s="82"/>
    </row>
    <row r="104" spans="2:12" s="1" customFormat="1" ht="12.75" customHeight="1" x14ac:dyDescent="0.15">
      <c r="B104" s="82">
        <v>3</v>
      </c>
      <c r="C104" s="203" t="s">
        <v>22</v>
      </c>
      <c r="D104" s="90"/>
      <c r="E104" s="90"/>
      <c r="F104" s="168">
        <f>'Work Component  Split'!F15</f>
        <v>0</v>
      </c>
      <c r="G104" s="92">
        <v>1</v>
      </c>
      <c r="H104" s="92">
        <v>1</v>
      </c>
      <c r="I104" s="218">
        <f t="shared" ref="I104" si="6">J104*$C$32</f>
        <v>0</v>
      </c>
      <c r="J104" s="94">
        <f t="shared" si="5"/>
        <v>0</v>
      </c>
      <c r="K104" s="82"/>
      <c r="L104" s="82"/>
    </row>
    <row r="105" spans="2:12" s="1" customFormat="1" ht="12.75" customHeight="1" x14ac:dyDescent="0.15">
      <c r="B105" s="82"/>
      <c r="C105" s="203"/>
      <c r="D105" s="90"/>
      <c r="E105" s="90"/>
      <c r="F105" s="168"/>
      <c r="G105" s="92"/>
      <c r="H105" s="92"/>
      <c r="I105" s="218"/>
      <c r="J105" s="94"/>
      <c r="K105" s="82"/>
      <c r="L105" s="82"/>
    </row>
    <row r="106" spans="2:12" s="1" customFormat="1" ht="12.75" customHeight="1" x14ac:dyDescent="0.15">
      <c r="B106" s="82"/>
      <c r="C106" s="203"/>
      <c r="D106" s="90"/>
      <c r="E106" s="90"/>
      <c r="F106" s="168"/>
      <c r="G106" s="92"/>
      <c r="H106" s="92"/>
      <c r="I106" s="218"/>
      <c r="J106" s="94"/>
      <c r="K106" s="82"/>
      <c r="L106" s="82"/>
    </row>
    <row r="107" spans="2:12" s="1" customFormat="1" ht="12.75" customHeight="1" x14ac:dyDescent="0.15">
      <c r="B107" s="82"/>
      <c r="C107" s="187" t="s">
        <v>153</v>
      </c>
      <c r="D107" s="90"/>
      <c r="E107" s="90"/>
      <c r="F107" s="168"/>
      <c r="G107" s="92"/>
      <c r="H107" s="92"/>
      <c r="I107" s="218"/>
      <c r="J107" s="94"/>
      <c r="K107" s="82"/>
      <c r="L107" s="82"/>
    </row>
    <row r="108" spans="2:12" s="1" customFormat="1" ht="12.75" x14ac:dyDescent="0.15">
      <c r="B108" s="82">
        <v>1</v>
      </c>
      <c r="C108" s="188" t="s">
        <v>17</v>
      </c>
      <c r="D108" s="204"/>
      <c r="E108" s="204"/>
      <c r="F108" s="218">
        <v>26548.799999999999</v>
      </c>
      <c r="G108" s="212">
        <v>0.3</v>
      </c>
      <c r="H108" s="92">
        <v>1</v>
      </c>
      <c r="I108" s="218">
        <f t="shared" ref="I108:I126" si="7">J108*$C$32</f>
        <v>7964.6399999999985</v>
      </c>
      <c r="J108" s="94">
        <f t="shared" ref="J108:J127" si="8">(F108*G108*H108)/$C$32</f>
        <v>17.699199999999998</v>
      </c>
      <c r="K108" s="82"/>
      <c r="L108" s="82"/>
    </row>
    <row r="109" spans="2:12" s="1" customFormat="1" ht="12.75" x14ac:dyDescent="0.15">
      <c r="B109" s="82">
        <v>2</v>
      </c>
      <c r="C109" s="188" t="s">
        <v>23</v>
      </c>
      <c r="D109" s="204"/>
      <c r="E109" s="204"/>
      <c r="F109" s="218">
        <v>2351.77</v>
      </c>
      <c r="G109" s="212">
        <v>0.21</v>
      </c>
      <c r="H109" s="92">
        <v>1</v>
      </c>
      <c r="I109" s="218">
        <f t="shared" si="7"/>
        <v>493.87169999999998</v>
      </c>
      <c r="J109" s="213">
        <f t="shared" si="8"/>
        <v>1.0974926666666667</v>
      </c>
      <c r="K109" s="82"/>
      <c r="L109" s="82"/>
    </row>
    <row r="110" spans="2:12" s="1" customFormat="1" ht="12.75" x14ac:dyDescent="0.15">
      <c r="B110" s="82">
        <v>3</v>
      </c>
      <c r="C110" s="189" t="s">
        <v>24</v>
      </c>
      <c r="D110" s="204"/>
      <c r="E110" s="204"/>
      <c r="F110" s="218">
        <v>10198.789999999999</v>
      </c>
      <c r="G110" s="212">
        <v>0.35</v>
      </c>
      <c r="H110" s="92">
        <v>1</v>
      </c>
      <c r="I110" s="218">
        <f t="shared" si="7"/>
        <v>3569.5764999999997</v>
      </c>
      <c r="J110" s="94">
        <f t="shared" si="8"/>
        <v>7.9323922222222212</v>
      </c>
      <c r="K110" s="82"/>
      <c r="L110" s="82"/>
    </row>
    <row r="111" spans="2:12" s="1" customFormat="1" ht="12.75" x14ac:dyDescent="0.15">
      <c r="B111" s="82">
        <v>4</v>
      </c>
      <c r="C111" s="188" t="s">
        <v>25</v>
      </c>
      <c r="D111" s="205"/>
      <c r="E111" s="205"/>
      <c r="F111" s="218">
        <v>3649.02</v>
      </c>
      <c r="G111" s="212">
        <v>0.13</v>
      </c>
      <c r="H111" s="92">
        <v>1</v>
      </c>
      <c r="I111" s="218">
        <f t="shared" si="7"/>
        <v>474.37260000000009</v>
      </c>
      <c r="J111" s="94">
        <f t="shared" si="8"/>
        <v>1.0541613333333335</v>
      </c>
      <c r="K111" s="82"/>
      <c r="L111" s="82"/>
    </row>
    <row r="112" spans="2:12" s="1" customFormat="1" ht="12.75" x14ac:dyDescent="0.15">
      <c r="B112" s="82">
        <v>5</v>
      </c>
      <c r="C112" s="188" t="s">
        <v>26</v>
      </c>
      <c r="D112" s="204"/>
      <c r="E112" s="204"/>
      <c r="F112" s="218">
        <v>3294.5</v>
      </c>
      <c r="G112" s="212">
        <v>0.15</v>
      </c>
      <c r="H112" s="92">
        <v>1</v>
      </c>
      <c r="I112" s="218">
        <f t="shared" si="7"/>
        <v>494.17499999999995</v>
      </c>
      <c r="J112" s="94">
        <f t="shared" si="8"/>
        <v>1.0981666666666665</v>
      </c>
      <c r="K112" s="82"/>
      <c r="L112" s="82"/>
    </row>
    <row r="113" spans="2:12" s="1" customFormat="1" ht="12.75" x14ac:dyDescent="0.15">
      <c r="B113" s="82">
        <v>6</v>
      </c>
      <c r="C113" s="188" t="s">
        <v>31</v>
      </c>
      <c r="D113" s="204"/>
      <c r="E113" s="204"/>
      <c r="F113" s="218">
        <v>6662.57</v>
      </c>
      <c r="G113" s="212">
        <v>0.19</v>
      </c>
      <c r="H113" s="92">
        <v>1</v>
      </c>
      <c r="I113" s="218">
        <f t="shared" si="7"/>
        <v>1265.8883000000001</v>
      </c>
      <c r="J113" s="94">
        <f t="shared" si="8"/>
        <v>2.8130851111111115</v>
      </c>
      <c r="K113" s="82"/>
      <c r="L113" s="82"/>
    </row>
    <row r="114" spans="2:12" s="1" customFormat="1" ht="12.75" x14ac:dyDescent="0.15">
      <c r="B114" s="82">
        <v>7</v>
      </c>
      <c r="C114" s="188" t="s">
        <v>34</v>
      </c>
      <c r="D114" s="206"/>
      <c r="E114" s="206"/>
      <c r="F114" s="218">
        <f>'Work Component  Split'!F27</f>
        <v>5328.2934779999996</v>
      </c>
      <c r="G114" s="212">
        <v>0</v>
      </c>
      <c r="H114" s="92">
        <v>1</v>
      </c>
      <c r="I114" s="218">
        <f t="shared" si="7"/>
        <v>0</v>
      </c>
      <c r="J114" s="94">
        <f t="shared" si="8"/>
        <v>0</v>
      </c>
      <c r="K114" s="82"/>
      <c r="L114" s="82"/>
    </row>
    <row r="115" spans="2:12" s="1" customFormat="1" ht="22.5" x14ac:dyDescent="0.15">
      <c r="B115" s="82">
        <v>8</v>
      </c>
      <c r="C115" s="113" t="s">
        <v>36</v>
      </c>
      <c r="D115" s="206"/>
      <c r="E115" s="206"/>
      <c r="F115" s="218">
        <v>3443.7747999999997</v>
      </c>
      <c r="G115" s="212">
        <v>0.31</v>
      </c>
      <c r="H115" s="92">
        <v>1</v>
      </c>
      <c r="I115" s="218">
        <f t="shared" si="7"/>
        <v>1067.5701879999999</v>
      </c>
      <c r="J115" s="94">
        <f t="shared" si="8"/>
        <v>2.3723781955555552</v>
      </c>
      <c r="K115" s="82"/>
      <c r="L115" s="82"/>
    </row>
    <row r="116" spans="2:12" s="1" customFormat="1" ht="12.75" x14ac:dyDescent="0.15">
      <c r="B116" s="82">
        <v>9</v>
      </c>
      <c r="C116" s="188" t="s">
        <v>37</v>
      </c>
      <c r="D116" s="204"/>
      <c r="E116" s="204"/>
      <c r="F116" s="218">
        <v>540</v>
      </c>
      <c r="G116" s="212">
        <v>1</v>
      </c>
      <c r="H116" s="92">
        <v>1</v>
      </c>
      <c r="I116" s="218">
        <f t="shared" si="7"/>
        <v>540</v>
      </c>
      <c r="J116" s="94">
        <f t="shared" si="8"/>
        <v>1.2</v>
      </c>
      <c r="K116" s="82"/>
      <c r="L116" s="82"/>
    </row>
    <row r="117" spans="2:12" s="1" customFormat="1" ht="12.75" x14ac:dyDescent="0.15">
      <c r="B117" s="82">
        <v>10</v>
      </c>
      <c r="C117" s="188" t="s">
        <v>38</v>
      </c>
      <c r="D117" s="204"/>
      <c r="E117" s="204"/>
      <c r="F117" s="218">
        <v>4639.8520000000008</v>
      </c>
      <c r="G117" s="212">
        <v>0.12</v>
      </c>
      <c r="H117" s="92">
        <v>1</v>
      </c>
      <c r="I117" s="218">
        <f t="shared" si="7"/>
        <v>556.78224000000012</v>
      </c>
      <c r="J117" s="94">
        <f t="shared" si="8"/>
        <v>1.2372938666666669</v>
      </c>
      <c r="K117" s="82"/>
      <c r="L117" s="82"/>
    </row>
    <row r="118" spans="2:12" s="1" customFormat="1" ht="12.75" x14ac:dyDescent="0.15">
      <c r="B118" s="82">
        <v>11</v>
      </c>
      <c r="C118" s="188" t="s">
        <v>43</v>
      </c>
      <c r="D118" s="204"/>
      <c r="E118" s="204"/>
      <c r="F118" s="218">
        <v>7347.6720000000005</v>
      </c>
      <c r="G118" s="212">
        <v>0.17</v>
      </c>
      <c r="H118" s="92">
        <v>1</v>
      </c>
      <c r="I118" s="218">
        <f t="shared" si="7"/>
        <v>1249.1042400000001</v>
      </c>
      <c r="J118" s="94">
        <f t="shared" si="8"/>
        <v>2.7757872000000003</v>
      </c>
      <c r="K118" s="82"/>
      <c r="L118" s="82"/>
    </row>
    <row r="119" spans="2:12" s="1" customFormat="1" ht="12.75" x14ac:dyDescent="0.15">
      <c r="B119" s="82">
        <v>12</v>
      </c>
      <c r="C119" s="188" t="s">
        <v>44</v>
      </c>
      <c r="D119" s="204"/>
      <c r="E119" s="204"/>
      <c r="F119" s="218">
        <v>4480</v>
      </c>
      <c r="G119" s="212">
        <v>0.16</v>
      </c>
      <c r="H119" s="92">
        <v>1</v>
      </c>
      <c r="I119" s="218">
        <f t="shared" si="7"/>
        <v>716.80000000000007</v>
      </c>
      <c r="J119" s="94">
        <f t="shared" si="8"/>
        <v>1.592888888888889</v>
      </c>
      <c r="K119" s="82"/>
      <c r="L119" s="82"/>
    </row>
    <row r="120" spans="2:12" s="1" customFormat="1" ht="14.25" x14ac:dyDescent="0.15">
      <c r="B120" s="82">
        <v>13</v>
      </c>
      <c r="C120" s="188" t="s">
        <v>51</v>
      </c>
      <c r="D120" s="204"/>
      <c r="E120" s="204"/>
      <c r="F120" s="218">
        <v>2613.6000000000004</v>
      </c>
      <c r="G120" s="212">
        <v>0.19</v>
      </c>
      <c r="H120" s="92">
        <v>1</v>
      </c>
      <c r="I120" s="218">
        <f t="shared" si="7"/>
        <v>496.584</v>
      </c>
      <c r="J120" s="94">
        <f t="shared" si="8"/>
        <v>1.1035200000000001</v>
      </c>
      <c r="K120" s="82"/>
      <c r="L120" s="115"/>
    </row>
    <row r="121" spans="2:12" s="1" customFormat="1" ht="14.25" x14ac:dyDescent="0.15">
      <c r="B121" s="82">
        <v>14</v>
      </c>
      <c r="C121" s="189" t="s">
        <v>55</v>
      </c>
      <c r="D121" s="204"/>
      <c r="E121" s="206"/>
      <c r="F121" s="218">
        <v>4807</v>
      </c>
      <c r="G121" s="212">
        <v>0.1</v>
      </c>
      <c r="H121" s="92">
        <v>1</v>
      </c>
      <c r="I121" s="218">
        <f t="shared" si="7"/>
        <v>480.7000000000001</v>
      </c>
      <c r="J121" s="94">
        <f t="shared" si="8"/>
        <v>1.0682222222222224</v>
      </c>
      <c r="K121" s="82"/>
      <c r="L121" s="115"/>
    </row>
    <row r="122" spans="2:12" s="1" customFormat="1" ht="14.25" x14ac:dyDescent="0.15">
      <c r="B122" s="82">
        <v>15</v>
      </c>
      <c r="C122" s="189" t="s">
        <v>62</v>
      </c>
      <c r="D122" s="206"/>
      <c r="E122" s="206"/>
      <c r="F122" s="218">
        <v>4708.2159999999994</v>
      </c>
      <c r="G122" s="212">
        <v>0.12</v>
      </c>
      <c r="H122" s="92">
        <v>1</v>
      </c>
      <c r="I122" s="218">
        <f t="shared" si="7"/>
        <v>564.98591999999996</v>
      </c>
      <c r="J122" s="94">
        <f t="shared" si="8"/>
        <v>1.2555242666666666</v>
      </c>
      <c r="K122" s="82"/>
      <c r="L122" s="115"/>
    </row>
    <row r="123" spans="2:12" s="1" customFormat="1" ht="14.25" x14ac:dyDescent="0.15">
      <c r="B123" s="82">
        <v>16</v>
      </c>
      <c r="C123" s="189" t="s">
        <v>69</v>
      </c>
      <c r="D123" s="206"/>
      <c r="E123" s="206"/>
      <c r="F123" s="221">
        <v>496.8</v>
      </c>
      <c r="G123" s="212">
        <v>1</v>
      </c>
      <c r="H123" s="92">
        <v>1</v>
      </c>
      <c r="I123" s="218">
        <f t="shared" si="7"/>
        <v>496.80000000000007</v>
      </c>
      <c r="J123" s="94">
        <f t="shared" si="8"/>
        <v>1.1040000000000001</v>
      </c>
      <c r="K123" s="82"/>
      <c r="L123" s="115"/>
    </row>
    <row r="124" spans="2:12" s="1" customFormat="1" ht="14.25" x14ac:dyDescent="0.15">
      <c r="B124" s="82">
        <v>17</v>
      </c>
      <c r="C124" s="189" t="s">
        <v>70</v>
      </c>
      <c r="D124" s="206"/>
      <c r="E124" s="206"/>
      <c r="F124" s="218">
        <v>2918.7000000000003</v>
      </c>
      <c r="G124" s="212">
        <v>1</v>
      </c>
      <c r="H124" s="92">
        <v>1</v>
      </c>
      <c r="I124" s="218">
        <f t="shared" si="7"/>
        <v>2918.7000000000003</v>
      </c>
      <c r="J124" s="94">
        <f t="shared" si="8"/>
        <v>6.4860000000000007</v>
      </c>
      <c r="K124" s="82"/>
      <c r="L124" s="115"/>
    </row>
    <row r="125" spans="2:12" s="1" customFormat="1" ht="14.25" x14ac:dyDescent="0.15">
      <c r="B125" s="82">
        <v>18</v>
      </c>
      <c r="C125" s="189" t="s">
        <v>23</v>
      </c>
      <c r="D125" s="206"/>
      <c r="E125" s="206"/>
      <c r="F125" s="218">
        <v>500</v>
      </c>
      <c r="G125" s="212">
        <v>1</v>
      </c>
      <c r="H125" s="92">
        <v>1</v>
      </c>
      <c r="I125" s="218">
        <f t="shared" si="7"/>
        <v>500</v>
      </c>
      <c r="J125" s="94">
        <f t="shared" si="8"/>
        <v>1.1111111111111112</v>
      </c>
      <c r="K125" s="82"/>
      <c r="L125" s="115"/>
    </row>
    <row r="126" spans="2:12" s="1" customFormat="1" ht="14.25" x14ac:dyDescent="0.15">
      <c r="B126" s="82">
        <v>19</v>
      </c>
      <c r="C126" s="189" t="s">
        <v>71</v>
      </c>
      <c r="D126" s="206"/>
      <c r="E126" s="206"/>
      <c r="F126" s="218">
        <v>7781.4000000000005</v>
      </c>
      <c r="G126" s="212">
        <v>1</v>
      </c>
      <c r="H126" s="92">
        <v>1</v>
      </c>
      <c r="I126" s="168">
        <f t="shared" si="7"/>
        <v>7781.4000000000005</v>
      </c>
      <c r="J126" s="94">
        <f t="shared" si="8"/>
        <v>17.292000000000002</v>
      </c>
      <c r="K126" s="82"/>
      <c r="L126" s="115"/>
    </row>
    <row r="127" spans="2:12" s="1" customFormat="1" ht="14.25" x14ac:dyDescent="0.15">
      <c r="B127" s="82">
        <v>20</v>
      </c>
      <c r="C127" s="189" t="s">
        <v>72</v>
      </c>
      <c r="D127" s="206"/>
      <c r="E127" s="206"/>
      <c r="F127" s="218">
        <v>1944.0000000000002</v>
      </c>
      <c r="G127" s="212">
        <v>1</v>
      </c>
      <c r="H127" s="92">
        <v>1</v>
      </c>
      <c r="I127" s="168">
        <f>J127*$C$32</f>
        <v>1944.0000000000002</v>
      </c>
      <c r="J127" s="94">
        <f t="shared" si="8"/>
        <v>4.32</v>
      </c>
      <c r="K127" s="82"/>
      <c r="L127" s="115"/>
    </row>
    <row r="128" spans="2:12" s="1" customFormat="1" ht="14.25" x14ac:dyDescent="0.15">
      <c r="B128" s="82">
        <v>21</v>
      </c>
      <c r="C128" s="188" t="s">
        <v>73</v>
      </c>
      <c r="D128" s="206"/>
      <c r="E128" s="206"/>
      <c r="F128" s="218">
        <v>819.72</v>
      </c>
      <c r="G128" s="212">
        <v>1</v>
      </c>
      <c r="H128" s="92">
        <v>1</v>
      </c>
      <c r="I128" s="168">
        <f t="shared" ref="I128:I130" si="9">J128*$C$32</f>
        <v>819.72</v>
      </c>
      <c r="J128" s="94">
        <f t="shared" ref="J128:J130" si="10">(F128*G128*H128)/$C$32</f>
        <v>1.8216000000000001</v>
      </c>
      <c r="K128" s="82"/>
      <c r="L128" s="115"/>
    </row>
    <row r="129" spans="2:12" s="1" customFormat="1" ht="14.25" x14ac:dyDescent="0.15">
      <c r="B129" s="82">
        <v>22</v>
      </c>
      <c r="C129" s="188" t="s">
        <v>74</v>
      </c>
      <c r="D129" s="206"/>
      <c r="E129" s="206"/>
      <c r="F129" s="218">
        <v>1026</v>
      </c>
      <c r="G129" s="212">
        <v>1</v>
      </c>
      <c r="H129" s="92">
        <v>1</v>
      </c>
      <c r="I129" s="168">
        <f t="shared" si="9"/>
        <v>1026</v>
      </c>
      <c r="J129" s="94">
        <f t="shared" si="10"/>
        <v>2.2799999999999998</v>
      </c>
      <c r="K129" s="82"/>
      <c r="L129" s="115"/>
    </row>
    <row r="130" spans="2:12" s="1" customFormat="1" ht="14.25" x14ac:dyDescent="0.15">
      <c r="B130" s="82">
        <v>23</v>
      </c>
      <c r="C130" s="89" t="s">
        <v>75</v>
      </c>
      <c r="D130" s="90"/>
      <c r="E130" s="90"/>
      <c r="F130" s="168">
        <v>1214.4000000000001</v>
      </c>
      <c r="G130" s="92">
        <v>1</v>
      </c>
      <c r="H130" s="92">
        <v>1</v>
      </c>
      <c r="I130" s="168">
        <f t="shared" si="9"/>
        <v>1214.4000000000001</v>
      </c>
      <c r="J130" s="94">
        <f t="shared" si="10"/>
        <v>2.698666666666667</v>
      </c>
      <c r="K130" s="82"/>
      <c r="L130" s="115"/>
    </row>
    <row r="131" spans="2:12" s="1" customFormat="1" ht="14.25" x14ac:dyDescent="0.15">
      <c r="B131" s="82">
        <v>24</v>
      </c>
      <c r="C131" s="189" t="s">
        <v>76</v>
      </c>
      <c r="D131" s="206"/>
      <c r="E131" s="206"/>
      <c r="F131" s="168">
        <v>540</v>
      </c>
      <c r="G131" s="214">
        <v>1</v>
      </c>
      <c r="H131" s="92">
        <v>1</v>
      </c>
      <c r="I131" s="218">
        <f t="shared" ref="I131:I142" si="11">J131*$C$32</f>
        <v>540</v>
      </c>
      <c r="J131" s="94">
        <f t="shared" ref="J131:J142" si="12">(F131*G131*H131)/$C$32</f>
        <v>1.2</v>
      </c>
      <c r="K131" s="82"/>
      <c r="L131" s="115"/>
    </row>
    <row r="132" spans="2:12" s="1" customFormat="1" ht="12.75" x14ac:dyDescent="0.15">
      <c r="B132" s="82">
        <v>25</v>
      </c>
      <c r="C132" s="189" t="s">
        <v>77</v>
      </c>
      <c r="D132" s="393"/>
      <c r="E132" s="393"/>
      <c r="F132" s="168">
        <v>993.6</v>
      </c>
      <c r="G132" s="92">
        <v>1</v>
      </c>
      <c r="H132" s="92">
        <v>1</v>
      </c>
      <c r="I132" s="168">
        <f t="shared" si="11"/>
        <v>993.60000000000014</v>
      </c>
      <c r="J132" s="185">
        <f t="shared" si="12"/>
        <v>2.2080000000000002</v>
      </c>
      <c r="K132" s="82"/>
      <c r="L132" s="82"/>
    </row>
    <row r="133" spans="2:12" s="1" customFormat="1" ht="12.75" x14ac:dyDescent="0.15">
      <c r="B133" s="82"/>
      <c r="C133" s="189"/>
      <c r="D133" s="315"/>
      <c r="E133" s="315"/>
      <c r="F133" s="168"/>
      <c r="G133" s="92"/>
      <c r="H133" s="92"/>
      <c r="I133" s="168">
        <f t="shared" si="11"/>
        <v>0</v>
      </c>
      <c r="J133" s="185">
        <f t="shared" si="12"/>
        <v>0</v>
      </c>
      <c r="K133" s="82"/>
      <c r="L133" s="82"/>
    </row>
    <row r="134" spans="2:12" s="1" customFormat="1" ht="12.75" x14ac:dyDescent="0.15">
      <c r="B134" s="82"/>
      <c r="C134" s="189"/>
      <c r="D134" s="315"/>
      <c r="E134" s="315"/>
      <c r="F134" s="168"/>
      <c r="G134" s="92"/>
      <c r="H134" s="92"/>
      <c r="I134" s="168">
        <f t="shared" si="11"/>
        <v>0</v>
      </c>
      <c r="J134" s="185">
        <f t="shared" si="12"/>
        <v>0</v>
      </c>
      <c r="K134" s="82"/>
      <c r="L134" s="82"/>
    </row>
    <row r="135" spans="2:12" s="1" customFormat="1" ht="12.75" x14ac:dyDescent="0.15">
      <c r="B135" s="82"/>
      <c r="C135" s="189" t="s">
        <v>262</v>
      </c>
      <c r="D135" s="315"/>
      <c r="E135" s="315"/>
      <c r="F135" s="168"/>
      <c r="G135" s="92"/>
      <c r="H135" s="92"/>
      <c r="I135" s="168">
        <f t="shared" si="11"/>
        <v>0</v>
      </c>
      <c r="J135" s="185">
        <f t="shared" si="12"/>
        <v>0</v>
      </c>
      <c r="K135" s="82"/>
      <c r="L135" s="82"/>
    </row>
    <row r="136" spans="2:12" s="1" customFormat="1" ht="12.75" x14ac:dyDescent="0.15">
      <c r="B136" s="82">
        <v>1</v>
      </c>
      <c r="C136" s="189" t="s">
        <v>263</v>
      </c>
      <c r="D136" s="394" t="s">
        <v>264</v>
      </c>
      <c r="E136" s="394"/>
      <c r="F136" s="168">
        <v>2728.26</v>
      </c>
      <c r="G136" s="92">
        <v>1</v>
      </c>
      <c r="H136" s="92">
        <v>1</v>
      </c>
      <c r="I136" s="168">
        <f t="shared" si="11"/>
        <v>2728.26</v>
      </c>
      <c r="J136" s="185">
        <f t="shared" si="12"/>
        <v>6.0628000000000002</v>
      </c>
      <c r="K136" s="82"/>
      <c r="L136" s="82"/>
    </row>
    <row r="137" spans="2:12" s="1" customFormat="1" ht="12.75" x14ac:dyDescent="0.15">
      <c r="B137" s="82">
        <v>2</v>
      </c>
      <c r="C137" s="189" t="s">
        <v>51</v>
      </c>
      <c r="D137" s="206" t="s">
        <v>264</v>
      </c>
      <c r="E137" s="206"/>
      <c r="F137" s="168">
        <v>1336.96</v>
      </c>
      <c r="G137" s="92">
        <v>1</v>
      </c>
      <c r="H137" s="92">
        <v>1</v>
      </c>
      <c r="I137" s="168">
        <f t="shared" si="11"/>
        <v>1336.96</v>
      </c>
      <c r="J137" s="185">
        <f t="shared" si="12"/>
        <v>2.9710222222222225</v>
      </c>
      <c r="K137" s="82"/>
      <c r="L137" s="82"/>
    </row>
    <row r="138" spans="2:12" s="1" customFormat="1" ht="12.75" x14ac:dyDescent="0.15">
      <c r="B138" s="82">
        <v>3</v>
      </c>
      <c r="C138" s="189" t="s">
        <v>265</v>
      </c>
      <c r="D138" s="206" t="s">
        <v>266</v>
      </c>
      <c r="E138" s="206"/>
      <c r="F138" s="168">
        <v>3913.04</v>
      </c>
      <c r="G138" s="92">
        <v>1</v>
      </c>
      <c r="H138" s="92">
        <v>1</v>
      </c>
      <c r="I138" s="168">
        <f t="shared" si="11"/>
        <v>3913.0399999999995</v>
      </c>
      <c r="J138" s="185">
        <f t="shared" si="12"/>
        <v>8.6956444444444436</v>
      </c>
      <c r="K138" s="82"/>
      <c r="L138" s="82"/>
    </row>
    <row r="139" spans="2:12" s="1" customFormat="1" ht="12.75" x14ac:dyDescent="0.15">
      <c r="B139" s="82">
        <v>4</v>
      </c>
      <c r="C139" s="189" t="s">
        <v>245</v>
      </c>
      <c r="D139" s="206" t="s">
        <v>267</v>
      </c>
      <c r="E139" s="206"/>
      <c r="F139" s="168">
        <v>391.3</v>
      </c>
      <c r="G139" s="92">
        <v>1</v>
      </c>
      <c r="H139" s="92">
        <v>1</v>
      </c>
      <c r="I139" s="168">
        <f t="shared" si="11"/>
        <v>391.3</v>
      </c>
      <c r="J139" s="185">
        <f t="shared" si="12"/>
        <v>0.86955555555555553</v>
      </c>
      <c r="K139" s="82"/>
      <c r="L139" s="82"/>
    </row>
    <row r="140" spans="2:12" s="1" customFormat="1" ht="12.75" x14ac:dyDescent="0.15">
      <c r="B140" s="82">
        <v>5</v>
      </c>
      <c r="C140" s="189"/>
      <c r="D140" s="206"/>
      <c r="E140" s="206"/>
      <c r="F140" s="168"/>
      <c r="G140" s="92"/>
      <c r="H140" s="92">
        <v>1</v>
      </c>
      <c r="I140" s="168">
        <f t="shared" si="11"/>
        <v>0</v>
      </c>
      <c r="J140" s="185">
        <f t="shared" si="12"/>
        <v>0</v>
      </c>
      <c r="K140" s="82"/>
      <c r="L140" s="82"/>
    </row>
    <row r="141" spans="2:12" s="1" customFormat="1" ht="12.75" x14ac:dyDescent="0.15">
      <c r="B141" s="82">
        <v>6</v>
      </c>
      <c r="C141" s="189"/>
      <c r="D141" s="206"/>
      <c r="E141" s="206"/>
      <c r="F141" s="168"/>
      <c r="G141" s="92"/>
      <c r="H141" s="92">
        <v>1</v>
      </c>
      <c r="I141" s="168">
        <f t="shared" si="11"/>
        <v>0</v>
      </c>
      <c r="J141" s="185">
        <f t="shared" si="12"/>
        <v>0</v>
      </c>
      <c r="K141" s="82"/>
      <c r="L141" s="82"/>
    </row>
    <row r="142" spans="2:12" s="1" customFormat="1" ht="12.75" x14ac:dyDescent="0.15">
      <c r="B142" s="82">
        <v>7</v>
      </c>
      <c r="C142" s="189"/>
      <c r="D142" s="206"/>
      <c r="E142" s="206"/>
      <c r="F142" s="168"/>
      <c r="G142" s="92"/>
      <c r="H142" s="92">
        <v>1</v>
      </c>
      <c r="I142" s="168">
        <f t="shared" si="11"/>
        <v>0</v>
      </c>
      <c r="J142" s="185">
        <f t="shared" si="12"/>
        <v>0</v>
      </c>
      <c r="K142" s="82"/>
      <c r="L142" s="82"/>
    </row>
    <row r="143" spans="2:12" s="1" customFormat="1" ht="12.75" x14ac:dyDescent="0.15">
      <c r="B143" s="82">
        <v>8</v>
      </c>
      <c r="C143" s="189"/>
      <c r="D143" s="206"/>
      <c r="E143" s="206"/>
      <c r="F143" s="168"/>
      <c r="G143" s="92"/>
      <c r="H143" s="92">
        <v>1</v>
      </c>
      <c r="I143" s="168"/>
      <c r="J143" s="185"/>
      <c r="K143" s="82"/>
      <c r="L143" s="82"/>
    </row>
    <row r="144" spans="2:12" s="1" customFormat="1" ht="12.75" x14ac:dyDescent="0.15">
      <c r="B144" s="82">
        <v>9</v>
      </c>
      <c r="C144" s="189"/>
      <c r="D144" s="206"/>
      <c r="E144" s="206"/>
      <c r="F144" s="168"/>
      <c r="G144" s="92"/>
      <c r="H144" s="92">
        <v>1</v>
      </c>
      <c r="I144" s="168"/>
      <c r="J144" s="185"/>
      <c r="K144" s="82"/>
      <c r="L144" s="82"/>
    </row>
    <row r="145" spans="2:12" s="1" customFormat="1" ht="12.75" x14ac:dyDescent="0.15">
      <c r="B145" s="82">
        <v>10</v>
      </c>
      <c r="C145" s="189"/>
      <c r="D145" s="206"/>
      <c r="E145" s="206"/>
      <c r="F145" s="168"/>
      <c r="G145" s="92"/>
      <c r="H145" s="92">
        <v>1</v>
      </c>
      <c r="I145" s="168">
        <f t="shared" ref="I145:I151" si="13">J145*$C$32</f>
        <v>0</v>
      </c>
      <c r="J145" s="185">
        <f t="shared" ref="J145:J151" si="14">(F145*G145*H145)/$C$32</f>
        <v>0</v>
      </c>
      <c r="K145" s="82"/>
      <c r="L145" s="82"/>
    </row>
    <row r="146" spans="2:12" s="1" customFormat="1" ht="12.75" x14ac:dyDescent="0.15">
      <c r="B146" s="82">
        <v>11</v>
      </c>
      <c r="C146" s="189"/>
      <c r="D146" s="206"/>
      <c r="E146" s="206"/>
      <c r="F146" s="168"/>
      <c r="G146" s="92"/>
      <c r="H146" s="92">
        <v>1</v>
      </c>
      <c r="I146" s="168">
        <f t="shared" si="13"/>
        <v>0</v>
      </c>
      <c r="J146" s="185">
        <f t="shared" si="14"/>
        <v>0</v>
      </c>
      <c r="K146" s="82"/>
      <c r="L146" s="82"/>
    </row>
    <row r="147" spans="2:12" s="1" customFormat="1" ht="12.75" x14ac:dyDescent="0.15">
      <c r="B147" s="82">
        <v>12</v>
      </c>
      <c r="C147" s="189"/>
      <c r="D147" s="206"/>
      <c r="E147" s="206"/>
      <c r="F147" s="168"/>
      <c r="G147" s="92"/>
      <c r="H147" s="92">
        <v>1</v>
      </c>
      <c r="I147" s="168">
        <f t="shared" si="13"/>
        <v>0</v>
      </c>
      <c r="J147" s="185">
        <f t="shared" si="14"/>
        <v>0</v>
      </c>
      <c r="K147" s="82"/>
      <c r="L147" s="82"/>
    </row>
    <row r="148" spans="2:12" s="1" customFormat="1" ht="12.75" x14ac:dyDescent="0.15">
      <c r="B148" s="82">
        <v>13</v>
      </c>
      <c r="C148" s="189"/>
      <c r="D148" s="206"/>
      <c r="E148" s="206"/>
      <c r="F148" s="168"/>
      <c r="G148" s="92"/>
      <c r="H148" s="92">
        <v>1</v>
      </c>
      <c r="I148" s="168">
        <f t="shared" si="13"/>
        <v>0</v>
      </c>
      <c r="J148" s="185">
        <f t="shared" si="14"/>
        <v>0</v>
      </c>
      <c r="K148" s="82"/>
      <c r="L148" s="82"/>
    </row>
    <row r="149" spans="2:12" s="1" customFormat="1" ht="12.75" x14ac:dyDescent="0.15">
      <c r="B149" s="82">
        <v>14</v>
      </c>
      <c r="C149" s="189"/>
      <c r="D149" s="206"/>
      <c r="E149" s="206"/>
      <c r="F149" s="168"/>
      <c r="G149" s="92"/>
      <c r="H149" s="92">
        <v>1</v>
      </c>
      <c r="I149" s="168">
        <f t="shared" si="13"/>
        <v>0</v>
      </c>
      <c r="J149" s="185">
        <f t="shared" si="14"/>
        <v>0</v>
      </c>
      <c r="K149" s="242"/>
      <c r="L149" s="82"/>
    </row>
    <row r="150" spans="2:12" s="1" customFormat="1" ht="12.75" x14ac:dyDescent="0.15">
      <c r="B150" s="82">
        <v>15</v>
      </c>
      <c r="C150" s="189"/>
      <c r="D150" s="206"/>
      <c r="E150" s="206"/>
      <c r="F150" s="168"/>
      <c r="G150" s="92"/>
      <c r="H150" s="92">
        <v>1</v>
      </c>
      <c r="I150" s="168">
        <f t="shared" si="13"/>
        <v>0</v>
      </c>
      <c r="J150" s="185">
        <f t="shared" si="14"/>
        <v>0</v>
      </c>
      <c r="K150" s="215"/>
      <c r="L150" s="82"/>
    </row>
    <row r="151" spans="2:12" s="1" customFormat="1" ht="12.75" x14ac:dyDescent="0.15">
      <c r="B151" s="82">
        <v>16</v>
      </c>
      <c r="C151" s="189"/>
      <c r="D151" s="206"/>
      <c r="E151" s="206"/>
      <c r="F151" s="168"/>
      <c r="G151" s="92"/>
      <c r="H151" s="92">
        <v>1</v>
      </c>
      <c r="I151" s="168">
        <f t="shared" si="13"/>
        <v>0</v>
      </c>
      <c r="J151" s="185">
        <f t="shared" si="14"/>
        <v>0</v>
      </c>
      <c r="K151" s="82"/>
      <c r="L151" s="82"/>
    </row>
    <row r="152" spans="2:12" s="1" customFormat="1" ht="12.75" x14ac:dyDescent="0.15">
      <c r="B152" s="82"/>
      <c r="C152" s="189"/>
      <c r="D152" s="206"/>
      <c r="E152" s="206"/>
      <c r="F152" s="168"/>
      <c r="G152" s="92"/>
      <c r="H152" s="92"/>
      <c r="I152" s="168"/>
      <c r="J152" s="185"/>
      <c r="K152" s="82"/>
      <c r="L152" s="82"/>
    </row>
    <row r="153" spans="2:12" s="1" customFormat="1" ht="12.75" x14ac:dyDescent="0.15">
      <c r="B153" s="82"/>
      <c r="C153" s="189"/>
      <c r="D153" s="206"/>
      <c r="E153" s="206"/>
      <c r="F153" s="168"/>
      <c r="G153" s="92"/>
      <c r="H153" s="92"/>
      <c r="I153" s="168"/>
      <c r="J153" s="185"/>
      <c r="K153" s="82"/>
      <c r="L153" s="82"/>
    </row>
    <row r="154" spans="2:12" s="1" customFormat="1" ht="12.75" x14ac:dyDescent="0.15">
      <c r="B154" s="82"/>
      <c r="C154" s="102"/>
      <c r="D154" s="103"/>
      <c r="E154" s="102"/>
      <c r="F154" s="128">
        <f>SUM(F100:F153)</f>
        <v>122239.92827800001</v>
      </c>
      <c r="G154" s="104"/>
      <c r="H154" s="105"/>
      <c r="I154" s="128">
        <f>SUM(I102:I153)</f>
        <v>51561.120688000003</v>
      </c>
      <c r="J154" s="257">
        <f>SUM(J99:J153)</f>
        <v>114.58026819555556</v>
      </c>
    </row>
    <row r="155" spans="2:12" s="1" customFormat="1" ht="12.75" x14ac:dyDescent="0.15">
      <c r="B155" s="82"/>
      <c r="C155" s="102"/>
      <c r="D155" s="103"/>
      <c r="E155" s="102" t="s">
        <v>147</v>
      </c>
      <c r="F155" s="128">
        <f>100/115*F154</f>
        <v>106295.58980695653</v>
      </c>
      <c r="G155" s="104"/>
      <c r="H155" s="105" t="s">
        <v>147</v>
      </c>
      <c r="I155" s="128">
        <f>100/115*I154</f>
        <v>44835.757120000002</v>
      </c>
      <c r="J155" s="106"/>
    </row>
    <row r="156" spans="2:12" s="1" customFormat="1" ht="12.75" x14ac:dyDescent="0.15"/>
    <row r="157" spans="2:12" s="1" customFormat="1" ht="12.75" x14ac:dyDescent="0.15"/>
    <row r="158" spans="2:12" s="1" customFormat="1" ht="12.75" x14ac:dyDescent="0.15"/>
    <row r="159" spans="2:12" s="1" customFormat="1" ht="12.75" x14ac:dyDescent="0.15"/>
    <row r="160" spans="2:12" s="247" customFormat="1" ht="32.25" x14ac:dyDescent="0.4">
      <c r="B160" s="248"/>
      <c r="C160" s="380" t="s">
        <v>112</v>
      </c>
      <c r="D160" s="380"/>
      <c r="E160" s="400" t="s">
        <v>151</v>
      </c>
      <c r="F160" s="401"/>
      <c r="G160" s="401"/>
      <c r="H160" s="401"/>
      <c r="I160" s="402"/>
      <c r="J160" s="382">
        <v>2026</v>
      </c>
      <c r="K160" s="382"/>
      <c r="L160" s="382"/>
    </row>
    <row r="161" spans="2:12" s="1" customFormat="1" ht="22.5" x14ac:dyDescent="0.15">
      <c r="B161" s="82"/>
      <c r="C161" s="102" t="s">
        <v>114</v>
      </c>
      <c r="D161" s="388" t="s">
        <v>115</v>
      </c>
      <c r="E161" s="388"/>
      <c r="F161" s="102" t="s">
        <v>116</v>
      </c>
      <c r="G161" s="102" t="s">
        <v>117</v>
      </c>
      <c r="H161" s="102" t="s">
        <v>118</v>
      </c>
      <c r="I161" s="102" t="s">
        <v>119</v>
      </c>
      <c r="J161" s="102" t="s">
        <v>120</v>
      </c>
      <c r="K161" s="82"/>
      <c r="L161" s="82"/>
    </row>
    <row r="162" spans="2:12" s="1" customFormat="1" ht="12.75" x14ac:dyDescent="0.15">
      <c r="B162" s="2"/>
      <c r="C162" s="220">
        <f>C97</f>
        <v>450</v>
      </c>
      <c r="D162" s="399">
        <v>21</v>
      </c>
      <c r="E162" s="399"/>
      <c r="F162" s="208">
        <f>F97</f>
        <v>0.8</v>
      </c>
      <c r="G162" s="209">
        <f>G97</f>
        <v>8</v>
      </c>
      <c r="H162" s="210">
        <f>D162*G162*F162</f>
        <v>134.4</v>
      </c>
      <c r="I162" s="216">
        <f>I223</f>
        <v>0</v>
      </c>
      <c r="J162" s="211">
        <f>H162-J223</f>
        <v>134.4</v>
      </c>
      <c r="K162" s="120"/>
      <c r="L162" s="120"/>
    </row>
    <row r="163" spans="2:12" s="1" customFormat="1" ht="33.75" x14ac:dyDescent="0.15">
      <c r="B163" s="2"/>
      <c r="C163" s="167" t="s">
        <v>121</v>
      </c>
      <c r="D163" s="395" t="s">
        <v>122</v>
      </c>
      <c r="E163" s="395"/>
      <c r="F163" s="177" t="s">
        <v>123</v>
      </c>
      <c r="G163" s="198" t="s">
        <v>124</v>
      </c>
      <c r="H163" s="15" t="s">
        <v>125</v>
      </c>
      <c r="I163" s="217" t="s">
        <v>126</v>
      </c>
      <c r="J163" s="178" t="s">
        <v>127</v>
      </c>
      <c r="K163" s="114" t="s">
        <v>128</v>
      </c>
      <c r="L163" s="114" t="s">
        <v>129</v>
      </c>
    </row>
    <row r="164" spans="2:12" s="1" customFormat="1" ht="12.75" x14ac:dyDescent="0.15">
      <c r="B164" s="2"/>
      <c r="C164" s="89"/>
      <c r="D164" s="391"/>
      <c r="E164" s="391"/>
      <c r="F164" s="91"/>
      <c r="G164" s="199"/>
      <c r="H164" s="9"/>
      <c r="I164" s="218"/>
      <c r="J164" s="94"/>
      <c r="K164" s="82"/>
      <c r="L164" s="82"/>
    </row>
    <row r="165" spans="2:12" s="1" customFormat="1" ht="13.35" customHeight="1" x14ac:dyDescent="0.15">
      <c r="B165" s="2"/>
      <c r="C165" s="392" t="s">
        <v>130</v>
      </c>
      <c r="D165" s="392"/>
      <c r="E165" s="392"/>
      <c r="F165" s="184"/>
      <c r="G165" s="200"/>
      <c r="H165" s="9"/>
      <c r="I165" s="218"/>
      <c r="J165" s="94"/>
      <c r="K165" s="82"/>
      <c r="L165" s="82"/>
    </row>
    <row r="166" spans="2:12" s="1" customFormat="1" ht="13.35" customHeight="1" x14ac:dyDescent="0.15">
      <c r="B166" s="2"/>
      <c r="C166" s="167" t="s">
        <v>152</v>
      </c>
      <c r="D166" s="167"/>
      <c r="E166" s="167"/>
      <c r="F166" s="168"/>
      <c r="G166" s="200"/>
      <c r="H166" s="9"/>
      <c r="I166" s="218"/>
      <c r="J166" s="94"/>
      <c r="K166" s="82"/>
      <c r="L166" s="82"/>
    </row>
    <row r="167" spans="2:12" s="1" customFormat="1" ht="12.75" customHeight="1" x14ac:dyDescent="0.15">
      <c r="B167" s="2">
        <v>1</v>
      </c>
      <c r="C167" s="203"/>
      <c r="D167" s="391"/>
      <c r="E167" s="391"/>
      <c r="F167" s="168"/>
      <c r="G167" s="200"/>
      <c r="H167" s="9">
        <v>1</v>
      </c>
      <c r="I167" s="218">
        <f>J167*$C$32</f>
        <v>0</v>
      </c>
      <c r="J167" s="94">
        <f t="shared" ref="J167:J177" si="15">(F167*G167*H167)/$C$32</f>
        <v>0</v>
      </c>
      <c r="K167" s="82"/>
      <c r="L167" s="82"/>
    </row>
    <row r="168" spans="2:12" s="1" customFormat="1" ht="12.75" customHeight="1" x14ac:dyDescent="0.15">
      <c r="B168" s="2">
        <v>2</v>
      </c>
      <c r="C168" s="203"/>
      <c r="D168" s="391"/>
      <c r="E168" s="391"/>
      <c r="F168" s="168"/>
      <c r="G168" s="200"/>
      <c r="H168" s="9">
        <v>1</v>
      </c>
      <c r="I168" s="218">
        <f>J168*$C$32</f>
        <v>0</v>
      </c>
      <c r="J168" s="94">
        <f t="shared" si="15"/>
        <v>0</v>
      </c>
      <c r="K168" s="82"/>
      <c r="L168" s="82"/>
    </row>
    <row r="169" spans="2:12" s="1" customFormat="1" ht="12.75" customHeight="1" x14ac:dyDescent="0.15">
      <c r="B169" s="2">
        <v>3</v>
      </c>
      <c r="C169" s="203"/>
      <c r="D169" s="90"/>
      <c r="E169" s="90"/>
      <c r="F169" s="168"/>
      <c r="G169" s="200"/>
      <c r="H169" s="9">
        <v>1</v>
      </c>
      <c r="I169" s="218">
        <f t="shared" ref="I169:I221" si="16">J169*$C$32</f>
        <v>0</v>
      </c>
      <c r="J169" s="94">
        <f t="shared" si="15"/>
        <v>0</v>
      </c>
      <c r="K169" s="82"/>
      <c r="L169" s="82"/>
    </row>
    <row r="170" spans="2:12" s="1" customFormat="1" ht="12.75" customHeight="1" x14ac:dyDescent="0.15">
      <c r="B170" s="2">
        <v>4</v>
      </c>
      <c r="C170" s="203"/>
      <c r="D170" s="90"/>
      <c r="E170" s="90"/>
      <c r="F170" s="168"/>
      <c r="G170" s="200"/>
      <c r="H170" s="9">
        <v>1</v>
      </c>
      <c r="I170" s="218">
        <f t="shared" si="16"/>
        <v>0</v>
      </c>
      <c r="J170" s="94">
        <f t="shared" si="15"/>
        <v>0</v>
      </c>
      <c r="K170" s="82"/>
      <c r="L170" s="82"/>
    </row>
    <row r="171" spans="2:12" s="1" customFormat="1" ht="12.75" customHeight="1" x14ac:dyDescent="0.15">
      <c r="B171" s="2">
        <v>5</v>
      </c>
      <c r="C171" s="203"/>
      <c r="D171" s="90"/>
      <c r="E171" s="90"/>
      <c r="F171" s="168"/>
      <c r="G171" s="200"/>
      <c r="H171" s="9">
        <v>1</v>
      </c>
      <c r="I171" s="218">
        <f t="shared" si="16"/>
        <v>0</v>
      </c>
      <c r="J171" s="94">
        <f t="shared" si="15"/>
        <v>0</v>
      </c>
      <c r="K171" s="82"/>
      <c r="L171" s="82"/>
    </row>
    <row r="172" spans="2:12" s="1" customFormat="1" ht="12.75" customHeight="1" x14ac:dyDescent="0.15">
      <c r="B172" s="2">
        <v>6</v>
      </c>
      <c r="C172" s="203"/>
      <c r="D172" s="90"/>
      <c r="E172" s="90"/>
      <c r="F172" s="168"/>
      <c r="G172" s="200"/>
      <c r="H172" s="9">
        <v>1</v>
      </c>
      <c r="I172" s="218">
        <f t="shared" si="16"/>
        <v>0</v>
      </c>
      <c r="J172" s="94">
        <f t="shared" si="15"/>
        <v>0</v>
      </c>
      <c r="K172" s="82"/>
      <c r="L172" s="82"/>
    </row>
    <row r="173" spans="2:12" s="1" customFormat="1" ht="12.75" customHeight="1" x14ac:dyDescent="0.15">
      <c r="B173" s="2">
        <v>7</v>
      </c>
      <c r="C173" s="203"/>
      <c r="D173" s="90"/>
      <c r="E173" s="90"/>
      <c r="F173" s="168"/>
      <c r="G173" s="200"/>
      <c r="H173" s="9">
        <v>1</v>
      </c>
      <c r="I173" s="218">
        <f t="shared" si="16"/>
        <v>0</v>
      </c>
      <c r="J173" s="94">
        <f t="shared" si="15"/>
        <v>0</v>
      </c>
      <c r="K173" s="82"/>
      <c r="L173" s="82"/>
    </row>
    <row r="174" spans="2:12" s="1" customFormat="1" ht="12.75" customHeight="1" x14ac:dyDescent="0.15">
      <c r="B174" s="2">
        <v>8</v>
      </c>
      <c r="C174" s="203"/>
      <c r="D174" s="90"/>
      <c r="E174" s="90"/>
      <c r="F174" s="168"/>
      <c r="G174" s="200"/>
      <c r="H174" s="9">
        <v>1</v>
      </c>
      <c r="I174" s="218">
        <f t="shared" si="16"/>
        <v>0</v>
      </c>
      <c r="J174" s="94">
        <f t="shared" si="15"/>
        <v>0</v>
      </c>
      <c r="K174" s="82"/>
      <c r="L174" s="82"/>
    </row>
    <row r="175" spans="2:12" s="1" customFormat="1" ht="12.75" customHeight="1" x14ac:dyDescent="0.15">
      <c r="B175" s="2">
        <v>9</v>
      </c>
      <c r="C175" s="203"/>
      <c r="D175" s="90"/>
      <c r="E175" s="90"/>
      <c r="F175" s="168"/>
      <c r="G175" s="200"/>
      <c r="H175" s="9">
        <v>1</v>
      </c>
      <c r="I175" s="218">
        <f t="shared" si="16"/>
        <v>0</v>
      </c>
      <c r="J175" s="94">
        <f t="shared" si="15"/>
        <v>0</v>
      </c>
      <c r="K175" s="82"/>
      <c r="L175" s="82"/>
    </row>
    <row r="176" spans="2:12" s="1" customFormat="1" ht="12.75" customHeight="1" x14ac:dyDescent="0.15">
      <c r="B176" s="2">
        <v>10</v>
      </c>
      <c r="C176" s="203"/>
      <c r="D176" s="90"/>
      <c r="E176" s="90"/>
      <c r="F176" s="168"/>
      <c r="G176" s="200"/>
      <c r="H176" s="9">
        <v>1</v>
      </c>
      <c r="I176" s="218">
        <f t="shared" si="16"/>
        <v>0</v>
      </c>
      <c r="J176" s="94">
        <f t="shared" si="15"/>
        <v>0</v>
      </c>
      <c r="K176" s="82"/>
      <c r="L176" s="82"/>
    </row>
    <row r="177" spans="2:12" s="1" customFormat="1" ht="12.75" customHeight="1" x14ac:dyDescent="0.15">
      <c r="B177" s="2"/>
      <c r="C177" s="203"/>
      <c r="D177" s="90"/>
      <c r="E177" s="90"/>
      <c r="F177" s="168"/>
      <c r="G177" s="200"/>
      <c r="H177" s="9">
        <v>1</v>
      </c>
      <c r="I177" s="218">
        <f t="shared" si="16"/>
        <v>0</v>
      </c>
      <c r="J177" s="94">
        <f t="shared" si="15"/>
        <v>0</v>
      </c>
      <c r="K177" s="82"/>
      <c r="L177" s="82"/>
    </row>
    <row r="178" spans="2:12" s="1" customFormat="1" ht="12.75" customHeight="1" x14ac:dyDescent="0.15">
      <c r="B178" s="2"/>
      <c r="C178" s="203"/>
      <c r="D178" s="391"/>
      <c r="E178" s="391"/>
      <c r="F178" s="168"/>
      <c r="G178" s="200"/>
      <c r="H178" s="9"/>
      <c r="I178" s="218"/>
      <c r="J178" s="94"/>
      <c r="K178" s="82"/>
      <c r="L178" s="82"/>
    </row>
    <row r="179" spans="2:12" s="1" customFormat="1" ht="12.75" customHeight="1" x14ac:dyDescent="0.15">
      <c r="B179" s="2"/>
      <c r="C179" s="187" t="s">
        <v>153</v>
      </c>
      <c r="D179" s="391"/>
      <c r="E179" s="391"/>
      <c r="F179" s="168"/>
      <c r="G179" s="200"/>
      <c r="H179" s="9"/>
      <c r="I179" s="218"/>
      <c r="J179" s="94"/>
      <c r="K179" s="82"/>
      <c r="L179" s="82"/>
    </row>
    <row r="180" spans="2:12" s="1" customFormat="1" ht="15" customHeight="1" x14ac:dyDescent="0.15">
      <c r="B180" s="2">
        <v>1</v>
      </c>
      <c r="C180" s="188"/>
      <c r="D180" s="204"/>
      <c r="E180" s="204"/>
      <c r="F180" s="168"/>
      <c r="G180" s="200"/>
      <c r="H180" s="9">
        <v>1</v>
      </c>
      <c r="I180" s="218">
        <f t="shared" si="16"/>
        <v>0</v>
      </c>
      <c r="J180" s="94">
        <f t="shared" ref="J180:J198" si="17">(F180*G180*H180)/$C$32</f>
        <v>0</v>
      </c>
      <c r="K180" s="82"/>
      <c r="L180" s="82"/>
    </row>
    <row r="181" spans="2:12" s="1" customFormat="1" ht="13.35" customHeight="1" x14ac:dyDescent="0.15">
      <c r="B181" s="2">
        <v>2</v>
      </c>
      <c r="C181" s="188"/>
      <c r="D181" s="204"/>
      <c r="E181" s="204"/>
      <c r="F181" s="168"/>
      <c r="G181" s="200"/>
      <c r="H181" s="9">
        <v>1</v>
      </c>
      <c r="I181" s="218">
        <f t="shared" si="16"/>
        <v>0</v>
      </c>
      <c r="J181" s="94">
        <f t="shared" si="17"/>
        <v>0</v>
      </c>
      <c r="K181" s="82"/>
      <c r="L181" s="82"/>
    </row>
    <row r="182" spans="2:12" s="1" customFormat="1" ht="13.35" customHeight="1" x14ac:dyDescent="0.15">
      <c r="B182" s="2">
        <v>3</v>
      </c>
      <c r="C182" s="189"/>
      <c r="D182" s="204"/>
      <c r="E182" s="204"/>
      <c r="F182" s="168"/>
      <c r="G182" s="200"/>
      <c r="H182" s="9">
        <v>1</v>
      </c>
      <c r="I182" s="218">
        <f t="shared" si="16"/>
        <v>0</v>
      </c>
      <c r="J182" s="94">
        <f t="shared" si="17"/>
        <v>0</v>
      </c>
      <c r="K182" s="82"/>
      <c r="L182" s="82"/>
    </row>
    <row r="183" spans="2:12" s="1" customFormat="1" ht="13.35" customHeight="1" x14ac:dyDescent="0.15">
      <c r="B183" s="2">
        <v>5</v>
      </c>
      <c r="C183" s="188"/>
      <c r="D183" s="205"/>
      <c r="E183" s="205"/>
      <c r="F183" s="168"/>
      <c r="G183" s="200"/>
      <c r="H183" s="9">
        <v>1</v>
      </c>
      <c r="I183" s="218">
        <f t="shared" si="16"/>
        <v>0</v>
      </c>
      <c r="J183" s="94">
        <f t="shared" si="17"/>
        <v>0</v>
      </c>
      <c r="K183" s="82"/>
      <c r="L183" s="82"/>
    </row>
    <row r="184" spans="2:12" s="1" customFormat="1" ht="13.35" customHeight="1" x14ac:dyDescent="0.15">
      <c r="B184" s="2">
        <v>6</v>
      </c>
      <c r="C184" s="188"/>
      <c r="D184" s="204"/>
      <c r="E184" s="204"/>
      <c r="F184" s="168"/>
      <c r="G184" s="200"/>
      <c r="H184" s="9">
        <v>1</v>
      </c>
      <c r="I184" s="218">
        <f t="shared" si="16"/>
        <v>0</v>
      </c>
      <c r="J184" s="94">
        <f t="shared" si="17"/>
        <v>0</v>
      </c>
      <c r="K184" s="82"/>
      <c r="L184" s="82"/>
    </row>
    <row r="185" spans="2:12" s="1" customFormat="1" ht="13.35" customHeight="1" x14ac:dyDescent="0.15">
      <c r="B185" s="2">
        <v>7</v>
      </c>
      <c r="C185" s="188"/>
      <c r="D185" s="204"/>
      <c r="E185" s="204"/>
      <c r="F185" s="168"/>
      <c r="G185" s="200"/>
      <c r="H185" s="9">
        <v>1</v>
      </c>
      <c r="I185" s="168">
        <f t="shared" si="16"/>
        <v>0</v>
      </c>
      <c r="J185" s="94">
        <f t="shared" si="17"/>
        <v>0</v>
      </c>
      <c r="K185" s="82"/>
      <c r="L185" s="82"/>
    </row>
    <row r="186" spans="2:12" s="1" customFormat="1" ht="13.35" customHeight="1" x14ac:dyDescent="0.15">
      <c r="B186" s="2">
        <v>8</v>
      </c>
      <c r="C186" s="188"/>
      <c r="D186" s="206"/>
      <c r="E186" s="206"/>
      <c r="F186" s="168"/>
      <c r="G186" s="200"/>
      <c r="H186" s="9">
        <v>1</v>
      </c>
      <c r="I186" s="168">
        <f t="shared" si="16"/>
        <v>0</v>
      </c>
      <c r="J186" s="94">
        <f t="shared" si="17"/>
        <v>0</v>
      </c>
      <c r="K186" s="82"/>
      <c r="L186" s="82"/>
    </row>
    <row r="187" spans="2:12" s="1" customFormat="1" ht="13.35" customHeight="1" x14ac:dyDescent="0.15">
      <c r="B187" s="2">
        <v>9</v>
      </c>
      <c r="C187" s="113"/>
      <c r="D187" s="206"/>
      <c r="E187" s="206"/>
      <c r="F187" s="168"/>
      <c r="G187" s="200"/>
      <c r="H187" s="9">
        <v>1</v>
      </c>
      <c r="I187" s="168">
        <f>J187*$C$32</f>
        <v>0</v>
      </c>
      <c r="J187" s="94">
        <f t="shared" si="17"/>
        <v>0</v>
      </c>
      <c r="K187" s="82"/>
      <c r="L187" s="82"/>
    </row>
    <row r="188" spans="2:12" s="1" customFormat="1" ht="13.35" customHeight="1" x14ac:dyDescent="0.15">
      <c r="B188" s="2">
        <v>10</v>
      </c>
      <c r="C188" s="188"/>
      <c r="D188" s="204"/>
      <c r="E188" s="204"/>
      <c r="F188" s="168"/>
      <c r="G188" s="200"/>
      <c r="H188" s="9">
        <v>1</v>
      </c>
      <c r="I188" s="168">
        <f t="shared" si="16"/>
        <v>0</v>
      </c>
      <c r="J188" s="94">
        <f t="shared" si="17"/>
        <v>0</v>
      </c>
      <c r="K188" s="82"/>
      <c r="L188" s="82"/>
    </row>
    <row r="189" spans="2:12" s="1" customFormat="1" ht="13.35" customHeight="1" x14ac:dyDescent="0.15">
      <c r="B189" s="2">
        <v>11</v>
      </c>
      <c r="C189" s="188"/>
      <c r="D189" s="204"/>
      <c r="E189" s="204"/>
      <c r="F189" s="168"/>
      <c r="G189" s="200"/>
      <c r="H189" s="9">
        <v>1</v>
      </c>
      <c r="I189" s="168">
        <f t="shared" si="16"/>
        <v>0</v>
      </c>
      <c r="J189" s="94">
        <f t="shared" si="17"/>
        <v>0</v>
      </c>
      <c r="K189" s="82"/>
      <c r="L189" s="82"/>
    </row>
    <row r="190" spans="2:12" s="1" customFormat="1" ht="13.35" customHeight="1" x14ac:dyDescent="0.15">
      <c r="B190" s="2">
        <v>12</v>
      </c>
      <c r="C190" s="188"/>
      <c r="D190" s="204"/>
      <c r="E190" s="204"/>
      <c r="F190" s="168"/>
      <c r="G190" s="200"/>
      <c r="H190" s="9">
        <v>1</v>
      </c>
      <c r="I190" s="168">
        <f t="shared" si="16"/>
        <v>0</v>
      </c>
      <c r="J190" s="94">
        <f t="shared" si="17"/>
        <v>0</v>
      </c>
      <c r="K190" s="82"/>
      <c r="L190" s="82"/>
    </row>
    <row r="191" spans="2:12" s="1" customFormat="1" ht="13.35" customHeight="1" x14ac:dyDescent="0.15">
      <c r="B191" s="2">
        <v>13</v>
      </c>
      <c r="C191" s="188"/>
      <c r="D191" s="204"/>
      <c r="E191" s="204"/>
      <c r="F191" s="168"/>
      <c r="G191" s="200"/>
      <c r="H191" s="9">
        <v>1</v>
      </c>
      <c r="I191" s="168">
        <f t="shared" si="16"/>
        <v>0</v>
      </c>
      <c r="J191" s="94">
        <f t="shared" si="17"/>
        <v>0</v>
      </c>
      <c r="K191" s="82"/>
      <c r="L191" s="82"/>
    </row>
    <row r="192" spans="2:12" s="1" customFormat="1" ht="13.35" customHeight="1" x14ac:dyDescent="0.15">
      <c r="B192" s="2">
        <v>14</v>
      </c>
      <c r="C192" s="188"/>
      <c r="D192" s="204"/>
      <c r="E192" s="204"/>
      <c r="F192" s="168"/>
      <c r="G192" s="200"/>
      <c r="H192" s="9">
        <v>1</v>
      </c>
      <c r="I192" s="168">
        <f t="shared" si="16"/>
        <v>0</v>
      </c>
      <c r="J192" s="94">
        <f t="shared" si="17"/>
        <v>0</v>
      </c>
      <c r="K192" s="82"/>
      <c r="L192" s="82"/>
    </row>
    <row r="193" spans="2:12" s="1" customFormat="1" ht="13.35" customHeight="1" x14ac:dyDescent="0.15">
      <c r="B193" s="2">
        <v>15</v>
      </c>
      <c r="C193" s="189"/>
      <c r="D193" s="204"/>
      <c r="E193" s="206"/>
      <c r="F193" s="168"/>
      <c r="G193" s="200"/>
      <c r="H193" s="9">
        <v>1</v>
      </c>
      <c r="I193" s="168">
        <f t="shared" si="16"/>
        <v>0</v>
      </c>
      <c r="J193" s="94">
        <f t="shared" si="17"/>
        <v>0</v>
      </c>
      <c r="K193" s="82"/>
      <c r="L193" s="82"/>
    </row>
    <row r="194" spans="2:12" s="1" customFormat="1" ht="13.35" customHeight="1" x14ac:dyDescent="0.15">
      <c r="B194" s="2">
        <v>16</v>
      </c>
      <c r="C194" s="189"/>
      <c r="D194" s="206"/>
      <c r="E194" s="206"/>
      <c r="F194" s="168"/>
      <c r="G194" s="200"/>
      <c r="H194" s="9">
        <v>1</v>
      </c>
      <c r="I194" s="168">
        <f t="shared" si="16"/>
        <v>0</v>
      </c>
      <c r="J194" s="94">
        <f t="shared" si="17"/>
        <v>0</v>
      </c>
      <c r="K194" s="82"/>
      <c r="L194" s="82"/>
    </row>
    <row r="195" spans="2:12" s="1" customFormat="1" ht="14.45" customHeight="1" x14ac:dyDescent="0.15">
      <c r="B195" s="2">
        <v>17</v>
      </c>
      <c r="C195" s="189"/>
      <c r="D195" s="206"/>
      <c r="E195" s="206"/>
      <c r="F195" s="219"/>
      <c r="G195" s="200"/>
      <c r="H195" s="9">
        <v>1</v>
      </c>
      <c r="I195" s="168">
        <f t="shared" si="16"/>
        <v>0</v>
      </c>
      <c r="J195" s="94">
        <f t="shared" si="17"/>
        <v>0</v>
      </c>
      <c r="K195" s="82"/>
      <c r="L195" s="82"/>
    </row>
    <row r="196" spans="2:12" s="1" customFormat="1" ht="13.35" customHeight="1" x14ac:dyDescent="0.15">
      <c r="B196" s="2">
        <v>18</v>
      </c>
      <c r="C196" s="189"/>
      <c r="D196" s="206"/>
      <c r="E196" s="206"/>
      <c r="F196" s="168"/>
      <c r="G196" s="200"/>
      <c r="H196" s="9">
        <v>1</v>
      </c>
      <c r="I196" s="168">
        <f t="shared" si="16"/>
        <v>0</v>
      </c>
      <c r="J196" s="94">
        <f t="shared" si="17"/>
        <v>0</v>
      </c>
      <c r="K196" s="82"/>
      <c r="L196" s="82"/>
    </row>
    <row r="197" spans="2:12" s="1" customFormat="1" ht="13.35" customHeight="1" x14ac:dyDescent="0.15">
      <c r="B197" s="2">
        <v>19</v>
      </c>
      <c r="C197" s="189"/>
      <c r="D197" s="206"/>
      <c r="E197" s="206"/>
      <c r="F197" s="168"/>
      <c r="G197" s="200"/>
      <c r="H197" s="9">
        <v>1</v>
      </c>
      <c r="I197" s="168">
        <f t="shared" si="16"/>
        <v>0</v>
      </c>
      <c r="J197" s="94">
        <f t="shared" si="17"/>
        <v>0</v>
      </c>
      <c r="K197" s="82"/>
      <c r="L197" s="82"/>
    </row>
    <row r="198" spans="2:12" s="1" customFormat="1" ht="13.35" customHeight="1" x14ac:dyDescent="0.15">
      <c r="B198" s="2">
        <v>20</v>
      </c>
      <c r="C198" s="189"/>
      <c r="D198" s="206"/>
      <c r="E198" s="206"/>
      <c r="F198" s="168"/>
      <c r="G198" s="200"/>
      <c r="H198" s="9">
        <v>1</v>
      </c>
      <c r="I198" s="168">
        <f t="shared" si="16"/>
        <v>0</v>
      </c>
      <c r="J198" s="94">
        <f t="shared" si="17"/>
        <v>0</v>
      </c>
      <c r="K198" s="82"/>
      <c r="L198" s="82"/>
    </row>
    <row r="199" spans="2:12" s="1" customFormat="1" ht="12.75" x14ac:dyDescent="0.15">
      <c r="B199" s="2"/>
      <c r="C199" s="89"/>
      <c r="D199" s="90"/>
      <c r="E199" s="90"/>
      <c r="F199" s="168"/>
      <c r="G199" s="200"/>
      <c r="H199" s="9"/>
      <c r="I199" s="168"/>
      <c r="J199" s="94"/>
      <c r="K199" s="82"/>
      <c r="L199" s="82"/>
    </row>
    <row r="200" spans="2:12" s="1" customFormat="1" ht="12.75" x14ac:dyDescent="0.15">
      <c r="B200" s="2"/>
      <c r="C200" s="203"/>
      <c r="D200" s="169"/>
      <c r="E200" s="169"/>
      <c r="F200" s="168"/>
      <c r="G200" s="200"/>
      <c r="H200" s="9"/>
      <c r="I200" s="168"/>
      <c r="J200" s="94"/>
      <c r="K200" s="82"/>
      <c r="L200" s="82"/>
    </row>
    <row r="201" spans="2:12" s="1" customFormat="1" ht="12.75" x14ac:dyDescent="0.15">
      <c r="B201" s="2"/>
      <c r="C201" s="167" t="s">
        <v>154</v>
      </c>
      <c r="D201" s="391"/>
      <c r="E201" s="391"/>
      <c r="F201" s="168"/>
      <c r="G201" s="200"/>
      <c r="H201" s="9"/>
      <c r="I201" s="168"/>
      <c r="J201" s="94"/>
      <c r="K201" s="82"/>
      <c r="L201" s="82"/>
    </row>
    <row r="202" spans="2:12" s="1" customFormat="1" ht="12.75" x14ac:dyDescent="0.15">
      <c r="B202" s="2">
        <v>1</v>
      </c>
      <c r="C202" s="207"/>
      <c r="D202" s="391"/>
      <c r="E202" s="391"/>
      <c r="F202" s="168"/>
      <c r="G202" s="200"/>
      <c r="H202" s="9">
        <v>1</v>
      </c>
      <c r="I202" s="168">
        <f t="shared" si="16"/>
        <v>0</v>
      </c>
      <c r="J202" s="94">
        <f t="shared" ref="J202:J221" si="18">(F202*G202*H202)/$C$32</f>
        <v>0</v>
      </c>
      <c r="K202" s="82"/>
      <c r="L202" s="82"/>
    </row>
    <row r="203" spans="2:12" s="1" customFormat="1" ht="12.75" x14ac:dyDescent="0.15">
      <c r="B203" s="2">
        <v>2</v>
      </c>
      <c r="C203" s="403"/>
      <c r="D203" s="403"/>
      <c r="E203" s="403"/>
      <c r="F203" s="168"/>
      <c r="G203" s="200"/>
      <c r="H203" s="9">
        <v>1</v>
      </c>
      <c r="I203" s="168">
        <f t="shared" si="16"/>
        <v>0</v>
      </c>
      <c r="J203" s="94">
        <f t="shared" si="18"/>
        <v>0</v>
      </c>
      <c r="K203" s="82"/>
      <c r="L203" s="82"/>
    </row>
    <row r="204" spans="2:12" s="1" customFormat="1" ht="12.75" x14ac:dyDescent="0.15">
      <c r="B204" s="2">
        <f>B203+1</f>
        <v>3</v>
      </c>
      <c r="C204" s="183"/>
      <c r="D204" s="89"/>
      <c r="E204" s="89"/>
      <c r="F204" s="168"/>
      <c r="G204" s="200"/>
      <c r="H204" s="9">
        <v>1</v>
      </c>
      <c r="I204" s="168">
        <f t="shared" si="16"/>
        <v>0</v>
      </c>
      <c r="J204" s="94">
        <f t="shared" si="18"/>
        <v>0</v>
      </c>
      <c r="K204" s="82"/>
      <c r="L204" s="82"/>
    </row>
    <row r="205" spans="2:12" s="1" customFormat="1" ht="12.75" x14ac:dyDescent="0.15">
      <c r="B205" s="2">
        <f>B204+1</f>
        <v>4</v>
      </c>
      <c r="C205" s="89"/>
      <c r="D205" s="89"/>
      <c r="E205" s="89"/>
      <c r="F205" s="168"/>
      <c r="G205" s="200"/>
      <c r="H205" s="9">
        <v>1</v>
      </c>
      <c r="I205" s="168">
        <f t="shared" si="16"/>
        <v>0</v>
      </c>
      <c r="J205" s="94">
        <f t="shared" si="18"/>
        <v>0</v>
      </c>
      <c r="K205" s="82"/>
      <c r="L205" s="82"/>
    </row>
    <row r="206" spans="2:12" s="1" customFormat="1" ht="12.75" x14ac:dyDescent="0.15">
      <c r="B206" s="2">
        <f>B205+1</f>
        <v>5</v>
      </c>
      <c r="C206" s="89"/>
      <c r="D206" s="391"/>
      <c r="E206" s="391"/>
      <c r="F206" s="168"/>
      <c r="G206" s="200"/>
      <c r="H206" s="9">
        <v>1</v>
      </c>
      <c r="I206" s="168">
        <f t="shared" si="16"/>
        <v>0</v>
      </c>
      <c r="J206" s="94">
        <f t="shared" si="18"/>
        <v>0</v>
      </c>
      <c r="K206" s="82"/>
      <c r="L206" s="82"/>
    </row>
    <row r="207" spans="2:12" s="1" customFormat="1" ht="12.75" x14ac:dyDescent="0.15">
      <c r="B207" s="2">
        <f>B206+1</f>
        <v>6</v>
      </c>
      <c r="C207" s="392"/>
      <c r="D207" s="392"/>
      <c r="E207" s="392"/>
      <c r="F207" s="168"/>
      <c r="G207" s="200"/>
      <c r="H207" s="9">
        <v>1</v>
      </c>
      <c r="I207" s="168">
        <f t="shared" si="16"/>
        <v>0</v>
      </c>
      <c r="J207" s="94">
        <f t="shared" si="18"/>
        <v>0</v>
      </c>
      <c r="K207" s="82"/>
      <c r="L207" s="82"/>
    </row>
    <row r="208" spans="2:12" s="1" customFormat="1" ht="12.75" x14ac:dyDescent="0.15">
      <c r="B208" s="2">
        <f t="shared" ref="B208:B210" si="19">B207+1</f>
        <v>7</v>
      </c>
      <c r="C208" s="183"/>
      <c r="D208" s="391"/>
      <c r="E208" s="391"/>
      <c r="F208" s="168"/>
      <c r="G208" s="200"/>
      <c r="H208" s="9">
        <v>1</v>
      </c>
      <c r="I208" s="168">
        <f t="shared" si="16"/>
        <v>0</v>
      </c>
      <c r="J208" s="94">
        <f t="shared" si="18"/>
        <v>0</v>
      </c>
      <c r="K208" s="82"/>
      <c r="L208" s="82"/>
    </row>
    <row r="209" spans="2:12" s="1" customFormat="1" ht="12.75" x14ac:dyDescent="0.15">
      <c r="B209" s="2">
        <f t="shared" si="19"/>
        <v>8</v>
      </c>
      <c r="C209" s="183"/>
      <c r="D209" s="391"/>
      <c r="E209" s="391"/>
      <c r="F209" s="168"/>
      <c r="G209" s="200"/>
      <c r="H209" s="9">
        <v>1</v>
      </c>
      <c r="I209" s="168">
        <f t="shared" si="16"/>
        <v>0</v>
      </c>
      <c r="J209" s="94">
        <f t="shared" si="18"/>
        <v>0</v>
      </c>
      <c r="K209" s="82"/>
      <c r="L209" s="82"/>
    </row>
    <row r="210" spans="2:12" s="1" customFormat="1" ht="12.75" x14ac:dyDescent="0.15">
      <c r="B210" s="2">
        <f t="shared" si="19"/>
        <v>9</v>
      </c>
      <c r="C210" s="183"/>
      <c r="D210" s="391"/>
      <c r="E210" s="391"/>
      <c r="F210" s="168"/>
      <c r="G210" s="200"/>
      <c r="H210" s="9">
        <v>1</v>
      </c>
      <c r="I210" s="168">
        <f t="shared" si="16"/>
        <v>0</v>
      </c>
      <c r="J210" s="94">
        <f t="shared" si="18"/>
        <v>0</v>
      </c>
      <c r="K210" s="82"/>
      <c r="L210" s="82"/>
    </row>
    <row r="211" spans="2:12" s="1" customFormat="1" ht="12.75" x14ac:dyDescent="0.15">
      <c r="B211" s="2">
        <v>10</v>
      </c>
      <c r="C211" s="183"/>
      <c r="D211" s="90"/>
      <c r="E211" s="90"/>
      <c r="F211" s="168"/>
      <c r="G211" s="200"/>
      <c r="H211" s="9">
        <v>1</v>
      </c>
      <c r="I211" s="168">
        <f t="shared" si="16"/>
        <v>0</v>
      </c>
      <c r="J211" s="94">
        <f t="shared" si="18"/>
        <v>0</v>
      </c>
      <c r="K211" s="82"/>
      <c r="L211" s="82"/>
    </row>
    <row r="212" spans="2:12" s="1" customFormat="1" ht="12.75" x14ac:dyDescent="0.15">
      <c r="B212" s="2">
        <v>11</v>
      </c>
      <c r="C212" s="183"/>
      <c r="D212" s="90"/>
      <c r="E212" s="90"/>
      <c r="F212" s="168"/>
      <c r="G212" s="200"/>
      <c r="H212" s="9">
        <v>1</v>
      </c>
      <c r="I212" s="168">
        <f t="shared" si="16"/>
        <v>0</v>
      </c>
      <c r="J212" s="94">
        <f t="shared" si="18"/>
        <v>0</v>
      </c>
      <c r="K212" s="82"/>
      <c r="L212" s="82"/>
    </row>
    <row r="213" spans="2:12" s="1" customFormat="1" ht="12.75" x14ac:dyDescent="0.15">
      <c r="B213" s="2">
        <v>12</v>
      </c>
      <c r="C213" s="183"/>
      <c r="D213" s="90"/>
      <c r="E213" s="90"/>
      <c r="F213" s="168"/>
      <c r="G213" s="200"/>
      <c r="H213" s="9">
        <v>1</v>
      </c>
      <c r="I213" s="168">
        <f t="shared" si="16"/>
        <v>0</v>
      </c>
      <c r="J213" s="94">
        <f t="shared" si="18"/>
        <v>0</v>
      </c>
      <c r="K213" s="82"/>
      <c r="L213" s="82"/>
    </row>
    <row r="214" spans="2:12" s="1" customFormat="1" ht="12.75" x14ac:dyDescent="0.15">
      <c r="B214" s="2">
        <v>13</v>
      </c>
      <c r="C214" s="183"/>
      <c r="D214" s="90"/>
      <c r="E214" s="90"/>
      <c r="F214" s="168"/>
      <c r="G214" s="200"/>
      <c r="H214" s="9">
        <v>1</v>
      </c>
      <c r="I214" s="168">
        <f t="shared" si="16"/>
        <v>0</v>
      </c>
      <c r="J214" s="94">
        <f t="shared" si="18"/>
        <v>0</v>
      </c>
      <c r="K214" s="82"/>
      <c r="L214" s="82"/>
    </row>
    <row r="215" spans="2:12" s="1" customFormat="1" ht="12.75" x14ac:dyDescent="0.15">
      <c r="B215" s="2">
        <v>14</v>
      </c>
      <c r="C215" s="183"/>
      <c r="D215" s="90"/>
      <c r="E215" s="90"/>
      <c r="F215" s="168"/>
      <c r="G215" s="200"/>
      <c r="H215" s="9">
        <v>1</v>
      </c>
      <c r="I215" s="168">
        <f t="shared" si="16"/>
        <v>0</v>
      </c>
      <c r="J215" s="94">
        <f t="shared" si="18"/>
        <v>0</v>
      </c>
      <c r="K215" s="82"/>
      <c r="L215" s="82"/>
    </row>
    <row r="216" spans="2:12" s="1" customFormat="1" ht="12.75" x14ac:dyDescent="0.15">
      <c r="B216" s="2">
        <v>15</v>
      </c>
      <c r="C216" s="183"/>
      <c r="D216" s="90"/>
      <c r="E216" s="90"/>
      <c r="F216" s="168"/>
      <c r="G216" s="200"/>
      <c r="H216" s="9">
        <v>1</v>
      </c>
      <c r="I216" s="168">
        <f t="shared" si="16"/>
        <v>0</v>
      </c>
      <c r="J216" s="94">
        <f t="shared" si="18"/>
        <v>0</v>
      </c>
      <c r="K216" s="82"/>
      <c r="L216" s="82"/>
    </row>
    <row r="217" spans="2:12" s="1" customFormat="1" ht="12.75" x14ac:dyDescent="0.15">
      <c r="B217" s="2">
        <v>16</v>
      </c>
      <c r="C217" s="183"/>
      <c r="D217" s="90"/>
      <c r="E217" s="90"/>
      <c r="F217" s="168"/>
      <c r="G217" s="200"/>
      <c r="H217" s="9">
        <v>1</v>
      </c>
      <c r="I217" s="168">
        <f t="shared" si="16"/>
        <v>0</v>
      </c>
      <c r="J217" s="94">
        <f t="shared" si="18"/>
        <v>0</v>
      </c>
      <c r="K217" s="82"/>
      <c r="L217" s="82"/>
    </row>
    <row r="218" spans="2:12" s="1" customFormat="1" ht="12.75" x14ac:dyDescent="0.15">
      <c r="B218" s="2">
        <v>17</v>
      </c>
      <c r="C218" s="183"/>
      <c r="D218" s="90"/>
      <c r="E218" s="90"/>
      <c r="F218" s="168"/>
      <c r="G218" s="200"/>
      <c r="H218" s="9">
        <v>1</v>
      </c>
      <c r="I218" s="168">
        <f t="shared" si="16"/>
        <v>0</v>
      </c>
      <c r="J218" s="94">
        <f t="shared" si="18"/>
        <v>0</v>
      </c>
      <c r="K218" s="82"/>
      <c r="L218" s="82"/>
    </row>
    <row r="219" spans="2:12" s="1" customFormat="1" ht="12.75" x14ac:dyDescent="0.15">
      <c r="B219" s="2">
        <v>18</v>
      </c>
      <c r="C219" s="183"/>
      <c r="D219" s="90"/>
      <c r="E219" s="90"/>
      <c r="F219" s="168"/>
      <c r="G219" s="200"/>
      <c r="H219" s="9">
        <v>1</v>
      </c>
      <c r="I219" s="168">
        <f t="shared" si="16"/>
        <v>0</v>
      </c>
      <c r="J219" s="94">
        <f t="shared" si="18"/>
        <v>0</v>
      </c>
      <c r="K219" s="82"/>
      <c r="L219" s="82"/>
    </row>
    <row r="220" spans="2:12" s="1" customFormat="1" ht="12.75" x14ac:dyDescent="0.15">
      <c r="B220" s="2">
        <v>19</v>
      </c>
      <c r="C220" s="183"/>
      <c r="D220" s="90"/>
      <c r="E220" s="90"/>
      <c r="F220" s="168"/>
      <c r="G220" s="201"/>
      <c r="H220" s="197">
        <v>1</v>
      </c>
      <c r="I220" s="168">
        <f t="shared" si="16"/>
        <v>0</v>
      </c>
      <c r="J220" s="94">
        <f t="shared" si="18"/>
        <v>0</v>
      </c>
      <c r="K220" s="82"/>
      <c r="L220" s="82"/>
    </row>
    <row r="221" spans="2:12" s="1" customFormat="1" ht="12.75" x14ac:dyDescent="0.15">
      <c r="B221" s="112">
        <v>20</v>
      </c>
      <c r="C221" s="183"/>
      <c r="D221" s="90"/>
      <c r="E221" s="90"/>
      <c r="F221" s="168"/>
      <c r="G221" s="202"/>
      <c r="H221" s="92">
        <v>1</v>
      </c>
      <c r="I221" s="168">
        <f t="shared" si="16"/>
        <v>0</v>
      </c>
      <c r="J221" s="94">
        <f t="shared" si="18"/>
        <v>0</v>
      </c>
      <c r="K221" s="82"/>
      <c r="L221" s="82"/>
    </row>
    <row r="222" spans="2:12" s="1" customFormat="1" ht="12.75" x14ac:dyDescent="0.15">
      <c r="B222" s="82"/>
      <c r="C222" s="183"/>
      <c r="D222" s="90"/>
      <c r="E222" s="90"/>
      <c r="F222" s="168"/>
      <c r="G222" s="92"/>
      <c r="H222" s="92"/>
      <c r="I222" s="168"/>
      <c r="J222" s="94"/>
      <c r="K222" s="82"/>
      <c r="L222" s="82"/>
    </row>
    <row r="223" spans="2:12" s="1" customFormat="1" ht="12.75" x14ac:dyDescent="0.15">
      <c r="B223" s="82"/>
      <c r="C223" s="102"/>
      <c r="D223" s="103"/>
      <c r="E223" s="102"/>
      <c r="F223" s="128">
        <f>SUM(F164:F222)</f>
        <v>0</v>
      </c>
      <c r="G223" s="104"/>
      <c r="H223" s="105"/>
      <c r="I223" s="128">
        <f>SUM(I165:I222)</f>
        <v>0</v>
      </c>
      <c r="J223" s="257">
        <f>SUM(J164:J222)</f>
        <v>0</v>
      </c>
    </row>
    <row r="224" spans="2:12" s="1" customFormat="1" ht="12.75" x14ac:dyDescent="0.15">
      <c r="B224" s="82"/>
      <c r="C224" s="102"/>
      <c r="D224" s="103"/>
      <c r="E224" s="102" t="s">
        <v>147</v>
      </c>
      <c r="F224" s="128">
        <f>100/115*F223</f>
        <v>0</v>
      </c>
      <c r="G224" s="104"/>
      <c r="H224" s="105" t="s">
        <v>147</v>
      </c>
      <c r="I224" s="128">
        <f>100/115*I223</f>
        <v>0</v>
      </c>
      <c r="J224" s="106"/>
    </row>
    <row r="225" spans="2:12" s="1" customFormat="1" ht="12.75" x14ac:dyDescent="0.15"/>
    <row r="226" spans="2:12" s="1" customFormat="1" ht="12.75" x14ac:dyDescent="0.15"/>
    <row r="227" spans="2:12" s="1" customFormat="1" ht="12.75" x14ac:dyDescent="0.15"/>
    <row r="228" spans="2:12" s="1" customFormat="1" ht="12.75" x14ac:dyDescent="0.15"/>
    <row r="229" spans="2:12" s="247" customFormat="1" ht="32.25" x14ac:dyDescent="0.4">
      <c r="B229" s="248"/>
      <c r="C229" s="380" t="s">
        <v>112</v>
      </c>
      <c r="D229" s="380"/>
      <c r="E229" s="400" t="s">
        <v>155</v>
      </c>
      <c r="F229" s="401"/>
      <c r="G229" s="401"/>
      <c r="H229" s="401"/>
      <c r="I229" s="402"/>
      <c r="J229" s="382">
        <v>2026</v>
      </c>
      <c r="K229" s="382"/>
      <c r="L229" s="382"/>
    </row>
    <row r="230" spans="2:12" s="1" customFormat="1" ht="22.5" x14ac:dyDescent="0.15">
      <c r="B230" s="82"/>
      <c r="C230" s="102" t="s">
        <v>114</v>
      </c>
      <c r="D230" s="388" t="s">
        <v>115</v>
      </c>
      <c r="E230" s="388"/>
      <c r="F230" s="102" t="s">
        <v>116</v>
      </c>
      <c r="G230" s="102" t="s">
        <v>117</v>
      </c>
      <c r="H230" s="102" t="s">
        <v>118</v>
      </c>
      <c r="I230" s="102" t="s">
        <v>119</v>
      </c>
      <c r="J230" s="102" t="s">
        <v>120</v>
      </c>
      <c r="K230" s="82"/>
      <c r="L230" s="82"/>
    </row>
    <row r="231" spans="2:12" s="1" customFormat="1" ht="12.75" x14ac:dyDescent="0.15">
      <c r="B231" s="82"/>
      <c r="C231" s="66">
        <f>C162</f>
        <v>450</v>
      </c>
      <c r="D231" s="389">
        <v>19</v>
      </c>
      <c r="E231" s="389"/>
      <c r="F231" s="13">
        <f>F162</f>
        <v>0.8</v>
      </c>
      <c r="G231" s="14">
        <f>G162</f>
        <v>8</v>
      </c>
      <c r="H231" s="142">
        <f>D231*G231*F231</f>
        <v>121.60000000000001</v>
      </c>
      <c r="I231" s="66">
        <f>I293</f>
        <v>0</v>
      </c>
      <c r="J231" s="143">
        <f>H231-J293</f>
        <v>121.60000000000001</v>
      </c>
      <c r="K231" s="82"/>
      <c r="L231" s="82"/>
    </row>
    <row r="232" spans="2:12" s="1" customFormat="1" ht="33.75" x14ac:dyDescent="0.15">
      <c r="B232" s="82"/>
      <c r="C232" s="167" t="s">
        <v>121</v>
      </c>
      <c r="D232" s="395" t="s">
        <v>122</v>
      </c>
      <c r="E232" s="395"/>
      <c r="F232" s="177" t="s">
        <v>123</v>
      </c>
      <c r="G232" s="178" t="s">
        <v>124</v>
      </c>
      <c r="H232" s="179" t="s">
        <v>125</v>
      </c>
      <c r="I232" s="180" t="s">
        <v>126</v>
      </c>
      <c r="J232" s="178" t="s">
        <v>127</v>
      </c>
      <c r="K232" s="114" t="s">
        <v>128</v>
      </c>
      <c r="L232" s="114" t="s">
        <v>129</v>
      </c>
    </row>
    <row r="233" spans="2:12" s="1" customFormat="1" ht="12.75" x14ac:dyDescent="0.15">
      <c r="B233" s="79"/>
      <c r="C233" s="193"/>
      <c r="D233" s="406"/>
      <c r="E233" s="406"/>
      <c r="F233" s="194"/>
      <c r="G233" s="195"/>
      <c r="H233" s="196"/>
      <c r="I233" s="176"/>
      <c r="J233" s="88"/>
      <c r="K233" s="79"/>
      <c r="L233" s="120"/>
    </row>
    <row r="234" spans="2:12" s="1" customFormat="1" ht="12.75" x14ac:dyDescent="0.15">
      <c r="B234" s="80"/>
      <c r="C234" s="392" t="s">
        <v>130</v>
      </c>
      <c r="D234" s="392"/>
      <c r="E234" s="392"/>
      <c r="F234" s="184"/>
      <c r="G234" s="92"/>
      <c r="H234" s="163"/>
      <c r="I234" s="126"/>
      <c r="J234" s="21"/>
      <c r="K234" s="80"/>
      <c r="L234" s="82"/>
    </row>
    <row r="235" spans="2:12" s="1" customFormat="1" ht="12.75" x14ac:dyDescent="0.15">
      <c r="B235" s="80"/>
      <c r="C235" s="167" t="s">
        <v>149</v>
      </c>
      <c r="D235" s="167"/>
      <c r="E235" s="167"/>
      <c r="F235" s="168"/>
      <c r="G235" s="92"/>
      <c r="H235" s="163"/>
      <c r="I235" s="126"/>
      <c r="J235" s="21"/>
      <c r="K235" s="80"/>
      <c r="L235" s="82"/>
    </row>
    <row r="236" spans="2:12" s="1" customFormat="1" ht="12.75" x14ac:dyDescent="0.15">
      <c r="B236" s="80">
        <v>1</v>
      </c>
      <c r="C236" s="89"/>
      <c r="D236" s="167"/>
      <c r="E236" s="167"/>
      <c r="F236" s="168"/>
      <c r="G236" s="92"/>
      <c r="H236" s="163">
        <v>1</v>
      </c>
      <c r="I236" s="126">
        <f>J236*$C$32</f>
        <v>0</v>
      </c>
      <c r="J236" s="21">
        <f t="shared" ref="J236:J245" si="20">(F236*G236*H236)/$C$32</f>
        <v>0</v>
      </c>
      <c r="K236" s="80"/>
      <c r="L236" s="82"/>
    </row>
    <row r="237" spans="2:12" s="1" customFormat="1" ht="12.75" customHeight="1" x14ac:dyDescent="0.15">
      <c r="B237" s="80">
        <v>2</v>
      </c>
      <c r="C237" s="187"/>
      <c r="D237" s="90"/>
      <c r="E237" s="90"/>
      <c r="F237" s="168"/>
      <c r="G237" s="92"/>
      <c r="H237" s="163">
        <v>1</v>
      </c>
      <c r="I237" s="126">
        <f>J237*$C$32</f>
        <v>0</v>
      </c>
      <c r="J237" s="21">
        <f t="shared" si="20"/>
        <v>0</v>
      </c>
      <c r="K237" s="80"/>
      <c r="L237" s="82"/>
    </row>
    <row r="238" spans="2:12" s="1" customFormat="1" ht="12.75" customHeight="1" x14ac:dyDescent="0.15">
      <c r="B238" s="80">
        <v>3</v>
      </c>
      <c r="C238" s="188"/>
      <c r="D238" s="169"/>
      <c r="E238" s="169"/>
      <c r="F238" s="168"/>
      <c r="G238" s="92"/>
      <c r="H238" s="163">
        <v>1</v>
      </c>
      <c r="I238" s="126">
        <f t="shared" ref="I238:I268" si="21">J238*$C$32</f>
        <v>0</v>
      </c>
      <c r="J238" s="21">
        <f t="shared" si="20"/>
        <v>0</v>
      </c>
      <c r="K238" s="80"/>
      <c r="L238" s="82"/>
    </row>
    <row r="239" spans="2:12" s="1" customFormat="1" ht="12.75" customHeight="1" x14ac:dyDescent="0.15">
      <c r="B239" s="80">
        <v>4</v>
      </c>
      <c r="C239" s="188"/>
      <c r="D239" s="169"/>
      <c r="E239" s="169"/>
      <c r="F239" s="168"/>
      <c r="G239" s="92"/>
      <c r="H239" s="163">
        <v>1</v>
      </c>
      <c r="I239" s="126">
        <f t="shared" si="21"/>
        <v>0</v>
      </c>
      <c r="J239" s="21">
        <f t="shared" si="20"/>
        <v>0</v>
      </c>
      <c r="K239" s="80"/>
      <c r="L239" s="82"/>
    </row>
    <row r="240" spans="2:12" s="1" customFormat="1" ht="12.75" customHeight="1" x14ac:dyDescent="0.15">
      <c r="B240" s="80">
        <v>5</v>
      </c>
      <c r="C240" s="189"/>
      <c r="D240" s="169"/>
      <c r="E240" s="169"/>
      <c r="F240" s="168"/>
      <c r="G240" s="92"/>
      <c r="H240" s="163">
        <v>1</v>
      </c>
      <c r="I240" s="126">
        <f t="shared" si="21"/>
        <v>0</v>
      </c>
      <c r="J240" s="21">
        <f t="shared" si="20"/>
        <v>0</v>
      </c>
      <c r="K240" s="80"/>
      <c r="L240" s="82"/>
    </row>
    <row r="241" spans="2:12" s="1" customFormat="1" ht="12.75" customHeight="1" x14ac:dyDescent="0.15">
      <c r="B241" s="80">
        <v>6</v>
      </c>
      <c r="C241" s="188"/>
      <c r="D241" s="190"/>
      <c r="E241" s="190"/>
      <c r="F241" s="168"/>
      <c r="G241" s="92"/>
      <c r="H241" s="163">
        <v>1</v>
      </c>
      <c r="I241" s="126">
        <f t="shared" si="21"/>
        <v>0</v>
      </c>
      <c r="J241" s="21">
        <f t="shared" si="20"/>
        <v>0</v>
      </c>
      <c r="K241" s="80"/>
      <c r="L241" s="82"/>
    </row>
    <row r="242" spans="2:12" s="1" customFormat="1" ht="12.75" customHeight="1" x14ac:dyDescent="0.15">
      <c r="B242" s="80">
        <v>7</v>
      </c>
      <c r="C242" s="188"/>
      <c r="D242" s="169"/>
      <c r="E242" s="169"/>
      <c r="F242" s="168"/>
      <c r="G242" s="92"/>
      <c r="H242" s="163">
        <v>1</v>
      </c>
      <c r="I242" s="126">
        <f t="shared" si="21"/>
        <v>0</v>
      </c>
      <c r="J242" s="21">
        <f t="shared" si="20"/>
        <v>0</v>
      </c>
      <c r="K242" s="80"/>
      <c r="L242" s="82"/>
    </row>
    <row r="243" spans="2:12" s="1" customFormat="1" ht="12.75" customHeight="1" x14ac:dyDescent="0.15">
      <c r="B243" s="80">
        <v>8</v>
      </c>
      <c r="C243" s="188"/>
      <c r="D243" s="169"/>
      <c r="E243" s="169"/>
      <c r="F243" s="168"/>
      <c r="G243" s="92"/>
      <c r="H243" s="163">
        <v>1</v>
      </c>
      <c r="I243" s="192">
        <f t="shared" si="21"/>
        <v>0</v>
      </c>
      <c r="J243" s="21">
        <f t="shared" si="20"/>
        <v>0</v>
      </c>
      <c r="K243" s="80"/>
      <c r="L243" s="82"/>
    </row>
    <row r="244" spans="2:12" s="1" customFormat="1" ht="12.75" customHeight="1" x14ac:dyDescent="0.15">
      <c r="B244" s="80">
        <v>9</v>
      </c>
      <c r="C244" s="188"/>
      <c r="D244" s="90"/>
      <c r="E244" s="90"/>
      <c r="F244" s="168"/>
      <c r="G244" s="92"/>
      <c r="H244" s="163">
        <v>1</v>
      </c>
      <c r="I244" s="192">
        <f t="shared" si="21"/>
        <v>0</v>
      </c>
      <c r="J244" s="21">
        <f t="shared" si="20"/>
        <v>0</v>
      </c>
      <c r="K244" s="80"/>
      <c r="L244" s="82"/>
    </row>
    <row r="245" spans="2:12" s="1" customFormat="1" ht="12.75" x14ac:dyDescent="0.15">
      <c r="B245" s="80">
        <v>10</v>
      </c>
      <c r="C245" s="113"/>
      <c r="D245" s="90"/>
      <c r="E245" s="90"/>
      <c r="F245" s="168"/>
      <c r="G245" s="92"/>
      <c r="H245" s="163">
        <v>1</v>
      </c>
      <c r="I245" s="192">
        <f t="shared" si="21"/>
        <v>0</v>
      </c>
      <c r="J245" s="21">
        <f t="shared" si="20"/>
        <v>0</v>
      </c>
      <c r="K245" s="80"/>
      <c r="L245" s="82"/>
    </row>
    <row r="246" spans="2:12" s="1" customFormat="1" ht="12.75" x14ac:dyDescent="0.15">
      <c r="B246" s="80"/>
      <c r="C246" s="113"/>
      <c r="D246" s="90"/>
      <c r="E246" s="90"/>
      <c r="F246" s="168"/>
      <c r="G246" s="92"/>
      <c r="H246" s="163"/>
      <c r="I246" s="192"/>
      <c r="J246" s="21"/>
      <c r="K246" s="80"/>
      <c r="L246" s="82"/>
    </row>
    <row r="247" spans="2:12" s="1" customFormat="1" ht="12.75" x14ac:dyDescent="0.15">
      <c r="B247" s="80"/>
      <c r="C247" s="113"/>
      <c r="D247" s="90"/>
      <c r="E247" s="90"/>
      <c r="F247" s="168"/>
      <c r="G247" s="92"/>
      <c r="H247" s="163"/>
      <c r="I247" s="192"/>
      <c r="J247" s="21"/>
      <c r="K247" s="80"/>
      <c r="L247" s="82"/>
    </row>
    <row r="248" spans="2:12" s="1" customFormat="1" ht="12.75" x14ac:dyDescent="0.15">
      <c r="B248" s="80"/>
      <c r="C248" s="117" t="s">
        <v>156</v>
      </c>
      <c r="D248" s="90"/>
      <c r="E248" s="90"/>
      <c r="F248" s="168"/>
      <c r="G248" s="92"/>
      <c r="H248" s="163"/>
      <c r="I248" s="192"/>
      <c r="J248" s="21"/>
      <c r="K248" s="80"/>
      <c r="L248" s="82"/>
    </row>
    <row r="249" spans="2:12" s="1" customFormat="1" ht="12.75" x14ac:dyDescent="0.15">
      <c r="B249" s="80">
        <v>1</v>
      </c>
      <c r="C249" s="188"/>
      <c r="D249" s="169"/>
      <c r="E249" s="169"/>
      <c r="F249" s="168"/>
      <c r="G249" s="92"/>
      <c r="H249" s="163">
        <v>1</v>
      </c>
      <c r="I249" s="192">
        <f t="shared" si="21"/>
        <v>0</v>
      </c>
      <c r="J249" s="21">
        <f t="shared" ref="J249:J268" si="22">(F249*G249*H249)/$C$32</f>
        <v>0</v>
      </c>
      <c r="K249" s="80"/>
      <c r="L249" s="82"/>
    </row>
    <row r="250" spans="2:12" s="1" customFormat="1" ht="12.75" x14ac:dyDescent="0.15">
      <c r="B250" s="80">
        <v>2</v>
      </c>
      <c r="C250" s="188"/>
      <c r="D250" s="169"/>
      <c r="E250" s="169"/>
      <c r="F250" s="168"/>
      <c r="G250" s="92"/>
      <c r="H250" s="163">
        <v>1</v>
      </c>
      <c r="I250" s="192">
        <f t="shared" si="21"/>
        <v>0</v>
      </c>
      <c r="J250" s="21">
        <f t="shared" si="22"/>
        <v>0</v>
      </c>
      <c r="K250" s="80"/>
      <c r="L250" s="82"/>
    </row>
    <row r="251" spans="2:12" s="1" customFormat="1" ht="12.75" x14ac:dyDescent="0.15">
      <c r="B251" s="80">
        <v>3</v>
      </c>
      <c r="C251" s="188"/>
      <c r="D251" s="169"/>
      <c r="E251" s="169"/>
      <c r="F251" s="168"/>
      <c r="G251" s="92"/>
      <c r="H251" s="163">
        <v>1</v>
      </c>
      <c r="I251" s="192">
        <f t="shared" si="21"/>
        <v>0</v>
      </c>
      <c r="J251" s="21">
        <f t="shared" si="22"/>
        <v>0</v>
      </c>
      <c r="K251" s="80"/>
      <c r="L251" s="82"/>
    </row>
    <row r="252" spans="2:12" s="1" customFormat="1" ht="13.5" customHeight="1" x14ac:dyDescent="0.15">
      <c r="B252" s="80">
        <v>4</v>
      </c>
      <c r="C252" s="188"/>
      <c r="D252" s="169"/>
      <c r="E252" s="169"/>
      <c r="F252" s="168"/>
      <c r="G252" s="92"/>
      <c r="H252" s="163">
        <v>1</v>
      </c>
      <c r="I252" s="192">
        <f t="shared" si="21"/>
        <v>0</v>
      </c>
      <c r="J252" s="21">
        <f t="shared" si="22"/>
        <v>0</v>
      </c>
      <c r="K252" s="80"/>
      <c r="L252" s="82"/>
    </row>
    <row r="253" spans="2:12" s="1" customFormat="1" ht="13.5" customHeight="1" x14ac:dyDescent="0.15">
      <c r="B253" s="80">
        <v>5</v>
      </c>
      <c r="C253" s="188"/>
      <c r="D253" s="169"/>
      <c r="E253" s="169"/>
      <c r="F253" s="168"/>
      <c r="G253" s="92"/>
      <c r="H253" s="163">
        <v>1</v>
      </c>
      <c r="I253" s="129">
        <f t="shared" si="21"/>
        <v>0</v>
      </c>
      <c r="J253" s="21">
        <f t="shared" si="22"/>
        <v>0</v>
      </c>
      <c r="K253" s="80"/>
      <c r="L253" s="82"/>
    </row>
    <row r="254" spans="2:12" s="1" customFormat="1" ht="13.5" customHeight="1" x14ac:dyDescent="0.15">
      <c r="B254" s="80">
        <v>6</v>
      </c>
      <c r="C254" s="189"/>
      <c r="D254" s="169"/>
      <c r="E254" s="90"/>
      <c r="F254" s="168"/>
      <c r="G254" s="92"/>
      <c r="H254" s="163">
        <v>1</v>
      </c>
      <c r="I254" s="129">
        <f t="shared" si="21"/>
        <v>0</v>
      </c>
      <c r="J254" s="21">
        <f t="shared" si="22"/>
        <v>0</v>
      </c>
      <c r="K254" s="80"/>
      <c r="L254" s="82"/>
    </row>
    <row r="255" spans="2:12" s="1" customFormat="1" ht="13.5" customHeight="1" x14ac:dyDescent="0.15">
      <c r="B255" s="80">
        <v>7</v>
      </c>
      <c r="C255" s="189"/>
      <c r="D255" s="90"/>
      <c r="E255" s="90"/>
      <c r="F255" s="168"/>
      <c r="G255" s="92"/>
      <c r="H255" s="163">
        <v>1</v>
      </c>
      <c r="I255" s="129">
        <f t="shared" si="21"/>
        <v>0</v>
      </c>
      <c r="J255" s="21">
        <f t="shared" si="22"/>
        <v>0</v>
      </c>
      <c r="K255" s="80"/>
      <c r="L255" s="82"/>
    </row>
    <row r="256" spans="2:12" s="1" customFormat="1" ht="13.5" customHeight="1" x14ac:dyDescent="0.15">
      <c r="B256" s="80">
        <v>8</v>
      </c>
      <c r="C256" s="189"/>
      <c r="D256" s="90"/>
      <c r="E256" s="90"/>
      <c r="F256" s="191"/>
      <c r="G256" s="92"/>
      <c r="H256" s="163">
        <v>1</v>
      </c>
      <c r="I256" s="129">
        <f t="shared" si="21"/>
        <v>0</v>
      </c>
      <c r="J256" s="21">
        <f t="shared" si="22"/>
        <v>0</v>
      </c>
      <c r="K256" s="80"/>
      <c r="L256" s="82"/>
    </row>
    <row r="257" spans="2:12" s="1" customFormat="1" ht="13.5" customHeight="1" x14ac:dyDescent="0.15">
      <c r="B257" s="80">
        <v>9</v>
      </c>
      <c r="C257" s="189"/>
      <c r="D257" s="90"/>
      <c r="E257" s="90"/>
      <c r="F257" s="168"/>
      <c r="G257" s="92"/>
      <c r="H257" s="163">
        <v>1</v>
      </c>
      <c r="I257" s="129">
        <f t="shared" si="21"/>
        <v>0</v>
      </c>
      <c r="J257" s="21">
        <f t="shared" si="22"/>
        <v>0</v>
      </c>
      <c r="K257" s="80"/>
      <c r="L257" s="82"/>
    </row>
    <row r="258" spans="2:12" s="1" customFormat="1" ht="13.5" customHeight="1" x14ac:dyDescent="0.15">
      <c r="B258" s="80">
        <v>10</v>
      </c>
      <c r="C258" s="189"/>
      <c r="D258" s="90"/>
      <c r="E258" s="90"/>
      <c r="F258" s="168"/>
      <c r="G258" s="92"/>
      <c r="H258" s="163">
        <v>1</v>
      </c>
      <c r="I258" s="129">
        <f t="shared" si="21"/>
        <v>0</v>
      </c>
      <c r="J258" s="21">
        <f t="shared" si="22"/>
        <v>0</v>
      </c>
      <c r="K258" s="80"/>
      <c r="L258" s="82"/>
    </row>
    <row r="259" spans="2:12" s="1" customFormat="1" ht="12.75" x14ac:dyDescent="0.15">
      <c r="B259" s="80">
        <v>11</v>
      </c>
      <c r="C259" s="189"/>
      <c r="D259" s="90"/>
      <c r="E259" s="90"/>
      <c r="F259" s="168"/>
      <c r="G259" s="92"/>
      <c r="H259" s="163">
        <v>1</v>
      </c>
      <c r="I259" s="129">
        <f t="shared" si="21"/>
        <v>0</v>
      </c>
      <c r="J259" s="21">
        <f t="shared" si="22"/>
        <v>0</v>
      </c>
      <c r="K259" s="80"/>
      <c r="L259" s="82"/>
    </row>
    <row r="260" spans="2:12" s="1" customFormat="1" ht="12.75" x14ac:dyDescent="0.15">
      <c r="B260" s="80">
        <v>12</v>
      </c>
      <c r="C260" s="189"/>
      <c r="D260" s="90"/>
      <c r="E260" s="90"/>
      <c r="F260" s="168"/>
      <c r="G260" s="92"/>
      <c r="H260" s="163">
        <v>1</v>
      </c>
      <c r="I260" s="129">
        <f t="shared" si="21"/>
        <v>0</v>
      </c>
      <c r="J260" s="21">
        <f t="shared" si="22"/>
        <v>0</v>
      </c>
      <c r="K260" s="80"/>
      <c r="L260" s="82"/>
    </row>
    <row r="261" spans="2:12" s="1" customFormat="1" ht="12.75" x14ac:dyDescent="0.15">
      <c r="B261" s="80">
        <v>13</v>
      </c>
      <c r="C261" s="189"/>
      <c r="D261" s="90"/>
      <c r="E261" s="90"/>
      <c r="F261" s="168"/>
      <c r="G261" s="92"/>
      <c r="H261" s="163">
        <v>1</v>
      </c>
      <c r="I261" s="129">
        <f t="shared" si="21"/>
        <v>0</v>
      </c>
      <c r="J261" s="21">
        <f t="shared" si="22"/>
        <v>0</v>
      </c>
      <c r="K261" s="80"/>
      <c r="L261" s="82"/>
    </row>
    <row r="262" spans="2:12" s="1" customFormat="1" ht="12.75" x14ac:dyDescent="0.15">
      <c r="B262" s="80">
        <v>14</v>
      </c>
      <c r="C262" s="189"/>
      <c r="D262" s="90"/>
      <c r="E262" s="90"/>
      <c r="F262" s="168"/>
      <c r="G262" s="92"/>
      <c r="H262" s="163">
        <v>1</v>
      </c>
      <c r="I262" s="129">
        <f t="shared" si="21"/>
        <v>0</v>
      </c>
      <c r="J262" s="21">
        <f t="shared" si="22"/>
        <v>0</v>
      </c>
      <c r="K262" s="80"/>
      <c r="L262" s="82"/>
    </row>
    <row r="263" spans="2:12" s="1" customFormat="1" ht="12.75" x14ac:dyDescent="0.15">
      <c r="B263" s="80">
        <v>15</v>
      </c>
      <c r="C263" s="189"/>
      <c r="D263" s="90"/>
      <c r="E263" s="90"/>
      <c r="F263" s="168"/>
      <c r="G263" s="92"/>
      <c r="H263" s="163">
        <v>1</v>
      </c>
      <c r="I263" s="129">
        <f t="shared" si="21"/>
        <v>0</v>
      </c>
      <c r="J263" s="21">
        <f t="shared" si="22"/>
        <v>0</v>
      </c>
      <c r="K263" s="80"/>
      <c r="L263" s="82"/>
    </row>
    <row r="264" spans="2:12" s="1" customFormat="1" ht="12.75" x14ac:dyDescent="0.15">
      <c r="B264" s="80">
        <v>16</v>
      </c>
      <c r="C264" s="189"/>
      <c r="D264" s="90"/>
      <c r="E264" s="90"/>
      <c r="F264" s="168"/>
      <c r="G264" s="92"/>
      <c r="H264" s="163">
        <v>1</v>
      </c>
      <c r="I264" s="129">
        <f t="shared" si="21"/>
        <v>0</v>
      </c>
      <c r="J264" s="21">
        <f t="shared" si="22"/>
        <v>0</v>
      </c>
      <c r="K264" s="80"/>
      <c r="L264" s="82"/>
    </row>
    <row r="265" spans="2:12" s="1" customFormat="1" ht="12.75" x14ac:dyDescent="0.15">
      <c r="B265" s="80">
        <v>17</v>
      </c>
      <c r="C265" s="189"/>
      <c r="D265" s="90"/>
      <c r="E265" s="90"/>
      <c r="F265" s="168"/>
      <c r="G265" s="92"/>
      <c r="H265" s="163">
        <v>1</v>
      </c>
      <c r="I265" s="129">
        <f t="shared" si="21"/>
        <v>0</v>
      </c>
      <c r="J265" s="21">
        <f t="shared" si="22"/>
        <v>0</v>
      </c>
      <c r="K265" s="80"/>
      <c r="L265" s="82"/>
    </row>
    <row r="266" spans="2:12" s="1" customFormat="1" ht="12.75" x14ac:dyDescent="0.15">
      <c r="B266" s="80">
        <v>18</v>
      </c>
      <c r="C266" s="189"/>
      <c r="D266" s="90"/>
      <c r="E266" s="90"/>
      <c r="F266" s="168"/>
      <c r="G266" s="92"/>
      <c r="H266" s="163">
        <v>1</v>
      </c>
      <c r="I266" s="129">
        <f t="shared" si="21"/>
        <v>0</v>
      </c>
      <c r="J266" s="21">
        <f t="shared" si="22"/>
        <v>0</v>
      </c>
      <c r="K266" s="80"/>
      <c r="L266" s="82"/>
    </row>
    <row r="267" spans="2:12" s="1" customFormat="1" ht="12.75" x14ac:dyDescent="0.15">
      <c r="B267" s="80">
        <v>19</v>
      </c>
      <c r="C267" s="188"/>
      <c r="D267" s="89"/>
      <c r="E267" s="89"/>
      <c r="F267" s="168"/>
      <c r="G267" s="92"/>
      <c r="H267" s="163">
        <v>1</v>
      </c>
      <c r="I267" s="129">
        <f t="shared" si="21"/>
        <v>0</v>
      </c>
      <c r="J267" s="21">
        <f t="shared" si="22"/>
        <v>0</v>
      </c>
      <c r="K267" s="80"/>
      <c r="L267" s="82"/>
    </row>
    <row r="268" spans="2:12" s="1" customFormat="1" ht="12.75" x14ac:dyDescent="0.15">
      <c r="B268" s="80">
        <v>20</v>
      </c>
      <c r="C268" s="188"/>
      <c r="D268" s="90"/>
      <c r="E268" s="90"/>
      <c r="F268" s="168"/>
      <c r="G268" s="92"/>
      <c r="H268" s="163">
        <v>1</v>
      </c>
      <c r="I268" s="129">
        <f t="shared" si="21"/>
        <v>0</v>
      </c>
      <c r="J268" s="21">
        <f t="shared" si="22"/>
        <v>0</v>
      </c>
      <c r="K268" s="80"/>
      <c r="L268" s="82"/>
    </row>
    <row r="269" spans="2:12" s="1" customFormat="1" ht="12.75" x14ac:dyDescent="0.15">
      <c r="B269" s="80"/>
      <c r="C269" s="188"/>
      <c r="D269" s="90"/>
      <c r="E269" s="90"/>
      <c r="F269" s="168"/>
      <c r="G269" s="92"/>
      <c r="H269" s="163"/>
      <c r="I269" s="129"/>
      <c r="J269" s="21"/>
      <c r="K269" s="80"/>
      <c r="L269" s="82"/>
    </row>
    <row r="270" spans="2:12" s="1" customFormat="1" ht="12.75" x14ac:dyDescent="0.15">
      <c r="B270" s="80"/>
      <c r="C270" s="188"/>
      <c r="D270" s="90"/>
      <c r="E270" s="90"/>
      <c r="F270" s="168"/>
      <c r="G270" s="92"/>
      <c r="H270" s="163"/>
      <c r="I270" s="129"/>
      <c r="J270" s="21"/>
      <c r="K270" s="80"/>
      <c r="L270" s="82"/>
    </row>
    <row r="271" spans="2:12" s="1" customFormat="1" ht="12.75" x14ac:dyDescent="0.15">
      <c r="B271" s="80"/>
      <c r="C271" s="167" t="s">
        <v>157</v>
      </c>
      <c r="D271" s="90"/>
      <c r="E271" s="90"/>
      <c r="F271" s="168"/>
      <c r="G271" s="92"/>
      <c r="H271" s="163"/>
      <c r="I271" s="129"/>
      <c r="J271" s="27"/>
      <c r="K271" s="80"/>
      <c r="L271" s="82"/>
    </row>
    <row r="272" spans="2:12" s="1" customFormat="1" ht="12.75" x14ac:dyDescent="0.15">
      <c r="B272" s="80">
        <v>1</v>
      </c>
      <c r="C272" s="89"/>
      <c r="D272" s="90"/>
      <c r="E272" s="90"/>
      <c r="F272" s="168"/>
      <c r="G272" s="92"/>
      <c r="H272" s="163">
        <v>1</v>
      </c>
      <c r="I272" s="129">
        <f t="shared" ref="I272:I291" si="23">J272*$C$32</f>
        <v>0</v>
      </c>
      <c r="J272" s="27">
        <f t="shared" ref="J272:J291" si="24">(F272*G272*H272)/$C$32</f>
        <v>0</v>
      </c>
      <c r="K272" s="80"/>
      <c r="L272" s="82"/>
    </row>
    <row r="273" spans="2:12" s="1" customFormat="1" ht="12.75" x14ac:dyDescent="0.15">
      <c r="B273" s="80">
        <v>2</v>
      </c>
      <c r="C273" s="183"/>
      <c r="D273" s="90"/>
      <c r="E273" s="90"/>
      <c r="F273" s="168"/>
      <c r="G273" s="92"/>
      <c r="H273" s="163">
        <v>1</v>
      </c>
      <c r="I273" s="129">
        <f t="shared" si="23"/>
        <v>0</v>
      </c>
      <c r="J273" s="27">
        <f t="shared" si="24"/>
        <v>0</v>
      </c>
      <c r="K273" s="80"/>
      <c r="L273" s="82"/>
    </row>
    <row r="274" spans="2:12" s="1" customFormat="1" ht="12.75" x14ac:dyDescent="0.15">
      <c r="B274" s="80">
        <v>3</v>
      </c>
      <c r="C274" s="89"/>
      <c r="D274" s="90"/>
      <c r="E274" s="90"/>
      <c r="F274" s="168"/>
      <c r="G274" s="92"/>
      <c r="H274" s="163">
        <v>1</v>
      </c>
      <c r="I274" s="129">
        <f t="shared" si="23"/>
        <v>0</v>
      </c>
      <c r="J274" s="27">
        <f t="shared" si="24"/>
        <v>0</v>
      </c>
      <c r="K274" s="80"/>
      <c r="L274" s="82"/>
    </row>
    <row r="275" spans="2:12" s="1" customFormat="1" ht="12.75" x14ac:dyDescent="0.15">
      <c r="B275" s="80">
        <v>4</v>
      </c>
      <c r="C275" s="169"/>
      <c r="D275" s="90"/>
      <c r="E275" s="90"/>
      <c r="F275" s="168"/>
      <c r="G275" s="92"/>
      <c r="H275" s="163">
        <v>1</v>
      </c>
      <c r="I275" s="129">
        <f t="shared" si="23"/>
        <v>0</v>
      </c>
      <c r="J275" s="27">
        <f t="shared" si="24"/>
        <v>0</v>
      </c>
      <c r="K275" s="80"/>
      <c r="L275" s="82"/>
    </row>
    <row r="276" spans="2:12" s="1" customFormat="1" ht="12.75" x14ac:dyDescent="0.15">
      <c r="B276" s="80">
        <v>5</v>
      </c>
      <c r="C276" s="183"/>
      <c r="D276" s="90"/>
      <c r="E276" s="90"/>
      <c r="F276" s="168"/>
      <c r="G276" s="92"/>
      <c r="H276" s="163">
        <v>1</v>
      </c>
      <c r="I276" s="129">
        <f t="shared" si="23"/>
        <v>0</v>
      </c>
      <c r="J276" s="27">
        <f t="shared" si="24"/>
        <v>0</v>
      </c>
      <c r="K276" s="80"/>
      <c r="L276" s="82"/>
    </row>
    <row r="277" spans="2:12" s="1" customFormat="1" ht="12.75" x14ac:dyDescent="0.15">
      <c r="B277" s="80">
        <v>6</v>
      </c>
      <c r="C277" s="89"/>
      <c r="D277" s="90"/>
      <c r="E277" s="90"/>
      <c r="F277" s="168"/>
      <c r="G277" s="92"/>
      <c r="H277" s="163">
        <v>1</v>
      </c>
      <c r="I277" s="129">
        <f t="shared" si="23"/>
        <v>0</v>
      </c>
      <c r="J277" s="27">
        <f t="shared" si="24"/>
        <v>0</v>
      </c>
      <c r="K277" s="80"/>
      <c r="L277" s="82"/>
    </row>
    <row r="278" spans="2:12" s="1" customFormat="1" ht="12.75" x14ac:dyDescent="0.15">
      <c r="B278" s="80">
        <v>7</v>
      </c>
      <c r="C278" s="183"/>
      <c r="D278" s="90"/>
      <c r="E278" s="90"/>
      <c r="F278" s="168"/>
      <c r="G278" s="92"/>
      <c r="H278" s="163">
        <v>1</v>
      </c>
      <c r="I278" s="129">
        <f t="shared" si="23"/>
        <v>0</v>
      </c>
      <c r="J278" s="27">
        <f t="shared" si="24"/>
        <v>0</v>
      </c>
      <c r="K278" s="80"/>
      <c r="L278" s="82"/>
    </row>
    <row r="279" spans="2:12" s="1" customFormat="1" ht="12.75" x14ac:dyDescent="0.15">
      <c r="B279" s="80">
        <v>8</v>
      </c>
      <c r="C279" s="183"/>
      <c r="D279" s="90"/>
      <c r="E279" s="90"/>
      <c r="F279" s="168"/>
      <c r="G279" s="92"/>
      <c r="H279" s="163">
        <v>1</v>
      </c>
      <c r="I279" s="129">
        <f t="shared" si="23"/>
        <v>0</v>
      </c>
      <c r="J279" s="27">
        <f t="shared" si="24"/>
        <v>0</v>
      </c>
      <c r="K279" s="80"/>
      <c r="L279" s="82"/>
    </row>
    <row r="280" spans="2:12" s="1" customFormat="1" ht="12.75" x14ac:dyDescent="0.15">
      <c r="B280" s="80">
        <v>9</v>
      </c>
      <c r="C280" s="183"/>
      <c r="D280" s="90"/>
      <c r="E280" s="90"/>
      <c r="F280" s="168"/>
      <c r="G280" s="92"/>
      <c r="H280" s="163">
        <v>1</v>
      </c>
      <c r="I280" s="129">
        <f t="shared" si="23"/>
        <v>0</v>
      </c>
      <c r="J280" s="27">
        <f t="shared" si="24"/>
        <v>0</v>
      </c>
      <c r="K280" s="80"/>
      <c r="L280" s="82"/>
    </row>
    <row r="281" spans="2:12" s="1" customFormat="1" ht="12.75" x14ac:dyDescent="0.15">
      <c r="B281" s="80">
        <v>10</v>
      </c>
      <c r="C281" s="183"/>
      <c r="D281" s="90"/>
      <c r="E281" s="90"/>
      <c r="F281" s="168"/>
      <c r="G281" s="92"/>
      <c r="H281" s="163">
        <v>1</v>
      </c>
      <c r="I281" s="129">
        <f t="shared" si="23"/>
        <v>0</v>
      </c>
      <c r="J281" s="27">
        <f t="shared" si="24"/>
        <v>0</v>
      </c>
      <c r="K281" s="80"/>
      <c r="L281" s="82"/>
    </row>
    <row r="282" spans="2:12" s="1" customFormat="1" ht="12.75" x14ac:dyDescent="0.15">
      <c r="B282" s="80">
        <v>11</v>
      </c>
      <c r="C282" s="183"/>
      <c r="D282" s="90"/>
      <c r="E282" s="90"/>
      <c r="F282" s="168"/>
      <c r="G282" s="92"/>
      <c r="H282" s="163">
        <v>1</v>
      </c>
      <c r="I282" s="129">
        <f t="shared" si="23"/>
        <v>0</v>
      </c>
      <c r="J282" s="27">
        <f t="shared" si="24"/>
        <v>0</v>
      </c>
      <c r="K282" s="80"/>
      <c r="L282" s="82"/>
    </row>
    <row r="283" spans="2:12" s="1" customFormat="1" ht="12.75" x14ac:dyDescent="0.15">
      <c r="B283" s="80">
        <v>12</v>
      </c>
      <c r="C283" s="183"/>
      <c r="D283" s="90"/>
      <c r="E283" s="90"/>
      <c r="F283" s="168"/>
      <c r="G283" s="92"/>
      <c r="H283" s="163">
        <v>1</v>
      </c>
      <c r="I283" s="129">
        <f t="shared" si="23"/>
        <v>0</v>
      </c>
      <c r="J283" s="27">
        <f t="shared" si="24"/>
        <v>0</v>
      </c>
      <c r="K283" s="80"/>
      <c r="L283" s="82"/>
    </row>
    <row r="284" spans="2:12" s="1" customFormat="1" ht="12.75" x14ac:dyDescent="0.15">
      <c r="B284" s="80">
        <v>13</v>
      </c>
      <c r="C284" s="183"/>
      <c r="D284" s="90"/>
      <c r="E284" s="90"/>
      <c r="F284" s="168"/>
      <c r="G284" s="92"/>
      <c r="H284" s="163">
        <v>1</v>
      </c>
      <c r="I284" s="129">
        <f t="shared" si="23"/>
        <v>0</v>
      </c>
      <c r="J284" s="27">
        <f t="shared" si="24"/>
        <v>0</v>
      </c>
      <c r="K284" s="80"/>
      <c r="L284" s="82"/>
    </row>
    <row r="285" spans="2:12" s="1" customFormat="1" ht="12.75" x14ac:dyDescent="0.15">
      <c r="B285" s="80">
        <v>14</v>
      </c>
      <c r="C285" s="183"/>
      <c r="D285" s="90"/>
      <c r="E285" s="90"/>
      <c r="F285" s="168"/>
      <c r="G285" s="92"/>
      <c r="H285" s="163">
        <v>1</v>
      </c>
      <c r="I285" s="129">
        <f t="shared" si="23"/>
        <v>0</v>
      </c>
      <c r="J285" s="27">
        <f t="shared" si="24"/>
        <v>0</v>
      </c>
      <c r="K285" s="80"/>
      <c r="L285" s="82"/>
    </row>
    <row r="286" spans="2:12" s="1" customFormat="1" ht="12.75" x14ac:dyDescent="0.15">
      <c r="B286" s="80">
        <v>15</v>
      </c>
      <c r="C286" s="183"/>
      <c r="D286" s="90"/>
      <c r="E286" s="90"/>
      <c r="F286" s="168"/>
      <c r="G286" s="92"/>
      <c r="H286" s="163">
        <v>1</v>
      </c>
      <c r="I286" s="129">
        <f t="shared" si="23"/>
        <v>0</v>
      </c>
      <c r="J286" s="27">
        <f t="shared" si="24"/>
        <v>0</v>
      </c>
      <c r="K286" s="80"/>
      <c r="L286" s="82"/>
    </row>
    <row r="287" spans="2:12" s="1" customFormat="1" ht="12.75" x14ac:dyDescent="0.15">
      <c r="B287" s="80">
        <v>16</v>
      </c>
      <c r="C287" s="183"/>
      <c r="D287" s="90"/>
      <c r="E287" s="90"/>
      <c r="F287" s="168"/>
      <c r="G287" s="92"/>
      <c r="H287" s="163">
        <v>1</v>
      </c>
      <c r="I287" s="129">
        <f t="shared" si="23"/>
        <v>0</v>
      </c>
      <c r="J287" s="27">
        <f t="shared" si="24"/>
        <v>0</v>
      </c>
      <c r="K287" s="80"/>
      <c r="L287" s="82"/>
    </row>
    <row r="288" spans="2:12" s="1" customFormat="1" ht="12.75" x14ac:dyDescent="0.15">
      <c r="B288" s="80">
        <v>17</v>
      </c>
      <c r="C288" s="183"/>
      <c r="D288" s="90"/>
      <c r="E288" s="90"/>
      <c r="F288" s="168"/>
      <c r="G288" s="92"/>
      <c r="H288" s="163">
        <v>1</v>
      </c>
      <c r="I288" s="129">
        <f t="shared" si="23"/>
        <v>0</v>
      </c>
      <c r="J288" s="27">
        <f t="shared" si="24"/>
        <v>0</v>
      </c>
      <c r="K288" s="80"/>
      <c r="L288" s="82"/>
    </row>
    <row r="289" spans="2:12" s="1" customFormat="1" ht="12.75" x14ac:dyDescent="0.15">
      <c r="B289" s="80">
        <v>18</v>
      </c>
      <c r="C289" s="183"/>
      <c r="D289" s="90"/>
      <c r="E289" s="90"/>
      <c r="F289" s="168"/>
      <c r="G289" s="92"/>
      <c r="H289" s="163">
        <v>1</v>
      </c>
      <c r="I289" s="132">
        <f t="shared" si="23"/>
        <v>0</v>
      </c>
      <c r="J289" s="182">
        <f t="shared" si="24"/>
        <v>0</v>
      </c>
      <c r="K289" s="111"/>
      <c r="L289" s="119"/>
    </row>
    <row r="290" spans="2:12" s="1" customFormat="1" ht="12.75" x14ac:dyDescent="0.15">
      <c r="B290" s="16">
        <v>19</v>
      </c>
      <c r="C290" s="186"/>
      <c r="D290" s="85"/>
      <c r="E290" s="85"/>
      <c r="F290" s="166"/>
      <c r="G290" s="87"/>
      <c r="H290" s="267">
        <v>1</v>
      </c>
      <c r="I290" s="168">
        <f t="shared" si="23"/>
        <v>0</v>
      </c>
      <c r="J290" s="185">
        <f t="shared" si="24"/>
        <v>0</v>
      </c>
      <c r="K290" s="82"/>
      <c r="L290" s="82"/>
    </row>
    <row r="291" spans="2:12" s="1" customFormat="1" ht="12.75" x14ac:dyDescent="0.15">
      <c r="B291" s="83">
        <v>20</v>
      </c>
      <c r="C291" s="181"/>
      <c r="D291" s="75"/>
      <c r="E291" s="75"/>
      <c r="F291" s="132"/>
      <c r="G291" s="77"/>
      <c r="H291" s="268">
        <v>1</v>
      </c>
      <c r="I291" s="168">
        <f t="shared" si="23"/>
        <v>0</v>
      </c>
      <c r="J291" s="185">
        <f t="shared" si="24"/>
        <v>0</v>
      </c>
      <c r="K291" s="82"/>
      <c r="L291" s="82"/>
    </row>
    <row r="292" spans="2:12" s="1" customFormat="1" ht="12.75" x14ac:dyDescent="0.15">
      <c r="B292" s="82"/>
      <c r="C292" s="183"/>
      <c r="D292" s="90"/>
      <c r="E292" s="90"/>
      <c r="F292" s="168"/>
      <c r="G292" s="92"/>
      <c r="H292" s="269"/>
      <c r="I292" s="168"/>
      <c r="J292" s="185"/>
      <c r="K292" s="82"/>
      <c r="L292" s="82"/>
    </row>
    <row r="293" spans="2:12" s="1" customFormat="1" ht="12.75" x14ac:dyDescent="0.15">
      <c r="B293" s="82"/>
      <c r="C293" s="102"/>
      <c r="D293" s="103"/>
      <c r="E293" s="102"/>
      <c r="F293" s="128">
        <f>SUM(F233:F292)</f>
        <v>0</v>
      </c>
      <c r="G293" s="104"/>
      <c r="H293" s="253"/>
      <c r="I293" s="128">
        <f>SUM(I234:I292)</f>
        <v>0</v>
      </c>
      <c r="J293" s="257">
        <f>SUM(J237:J278)</f>
        <v>0</v>
      </c>
    </row>
    <row r="294" spans="2:12" s="67" customFormat="1" ht="12.75" x14ac:dyDescent="0.15">
      <c r="B294" s="116"/>
      <c r="C294" s="114"/>
      <c r="D294" s="114"/>
      <c r="E294" s="114" t="s">
        <v>147</v>
      </c>
      <c r="F294" s="162">
        <f>100/115*F293</f>
        <v>0</v>
      </c>
      <c r="G294" s="161"/>
      <c r="H294" s="270" t="s">
        <v>147</v>
      </c>
      <c r="I294" s="162">
        <f>100/115*I293</f>
        <v>0</v>
      </c>
      <c r="J294" s="114"/>
    </row>
    <row r="295" spans="2:12" s="1" customFormat="1" ht="12.75" x14ac:dyDescent="0.15"/>
    <row r="296" spans="2:12" s="1" customFormat="1" ht="12.75" x14ac:dyDescent="0.15"/>
    <row r="297" spans="2:12" s="1" customFormat="1" ht="12.75" x14ac:dyDescent="0.15"/>
    <row r="298" spans="2:12" s="1" customFormat="1" ht="12.75" x14ac:dyDescent="0.15"/>
    <row r="299" spans="2:12" s="247" customFormat="1" ht="32.25" x14ac:dyDescent="0.4">
      <c r="B299" s="248"/>
      <c r="C299" s="380" t="s">
        <v>112</v>
      </c>
      <c r="D299" s="380"/>
      <c r="E299" s="400" t="s">
        <v>104</v>
      </c>
      <c r="F299" s="401"/>
      <c r="G299" s="401"/>
      <c r="H299" s="401"/>
      <c r="I299" s="402"/>
      <c r="J299" s="382">
        <v>2026</v>
      </c>
      <c r="K299" s="382"/>
      <c r="L299" s="382"/>
    </row>
    <row r="300" spans="2:12" s="1" customFormat="1" ht="22.5" x14ac:dyDescent="0.15">
      <c r="B300" s="82"/>
      <c r="C300" s="102" t="s">
        <v>114</v>
      </c>
      <c r="D300" s="388" t="s">
        <v>115</v>
      </c>
      <c r="E300" s="388"/>
      <c r="F300" s="102" t="s">
        <v>116</v>
      </c>
      <c r="G300" s="102" t="s">
        <v>117</v>
      </c>
      <c r="H300" s="102" t="s">
        <v>118</v>
      </c>
      <c r="I300" s="102" t="s">
        <v>119</v>
      </c>
      <c r="J300" s="102" t="s">
        <v>120</v>
      </c>
      <c r="K300" s="82"/>
      <c r="L300" s="82"/>
    </row>
    <row r="301" spans="2:12" s="1" customFormat="1" ht="12.75" x14ac:dyDescent="0.15">
      <c r="B301" s="82"/>
      <c r="C301" s="66">
        <f>C231</f>
        <v>450</v>
      </c>
      <c r="D301" s="389">
        <v>22</v>
      </c>
      <c r="E301" s="389"/>
      <c r="F301" s="13">
        <f>F231</f>
        <v>0.8</v>
      </c>
      <c r="G301" s="14">
        <f>G231</f>
        <v>8</v>
      </c>
      <c r="H301" s="142">
        <f>D301*G301*F301</f>
        <v>140.80000000000001</v>
      </c>
      <c r="I301" s="66">
        <f>I363</f>
        <v>0</v>
      </c>
      <c r="J301" s="143">
        <f>H301-J363</f>
        <v>140.80000000000001</v>
      </c>
      <c r="K301" s="82"/>
      <c r="L301" s="82"/>
    </row>
    <row r="302" spans="2:12" s="1" customFormat="1" ht="33.75" x14ac:dyDescent="0.15">
      <c r="B302" s="82"/>
      <c r="C302" s="167" t="s">
        <v>121</v>
      </c>
      <c r="D302" s="395" t="s">
        <v>122</v>
      </c>
      <c r="E302" s="395"/>
      <c r="F302" s="177" t="s">
        <v>123</v>
      </c>
      <c r="G302" s="178" t="s">
        <v>124</v>
      </c>
      <c r="H302" s="179" t="s">
        <v>125</v>
      </c>
      <c r="I302" s="180" t="s">
        <v>126</v>
      </c>
      <c r="J302" s="178" t="s">
        <v>127</v>
      </c>
      <c r="K302" s="114" t="s">
        <v>128</v>
      </c>
      <c r="L302" s="114" t="s">
        <v>129</v>
      </c>
    </row>
    <row r="303" spans="2:12" s="1" customFormat="1" ht="12.75" x14ac:dyDescent="0.15">
      <c r="B303" s="84"/>
      <c r="C303" s="81"/>
      <c r="D303" s="404"/>
      <c r="E303" s="404"/>
      <c r="F303" s="86"/>
      <c r="G303" s="87"/>
      <c r="H303" s="87"/>
      <c r="I303" s="176"/>
      <c r="J303" s="88"/>
      <c r="K303" s="79"/>
      <c r="L303" s="120"/>
    </row>
    <row r="304" spans="2:12" s="1" customFormat="1" ht="13.35" customHeight="1" x14ac:dyDescent="0.15">
      <c r="B304" s="16"/>
      <c r="C304" s="37" t="s">
        <v>158</v>
      </c>
      <c r="D304" s="24"/>
      <c r="E304" s="24"/>
      <c r="F304" s="129"/>
      <c r="G304" s="20"/>
      <c r="H304" s="20"/>
      <c r="I304" s="126"/>
      <c r="J304" s="38"/>
      <c r="K304" s="80"/>
      <c r="L304" s="82"/>
    </row>
    <row r="305" spans="2:20" s="1" customFormat="1" ht="13.35" customHeight="1" x14ac:dyDescent="0.15">
      <c r="B305" s="16"/>
      <c r="C305" s="37" t="s">
        <v>149</v>
      </c>
      <c r="D305" s="24"/>
      <c r="E305" s="24"/>
      <c r="F305" s="129"/>
      <c r="G305" s="20"/>
      <c r="H305" s="20"/>
      <c r="I305" s="126"/>
      <c r="J305" s="38"/>
      <c r="K305" s="80"/>
      <c r="L305" s="82"/>
    </row>
    <row r="306" spans="2:20" s="1" customFormat="1" ht="13.35" customHeight="1" x14ac:dyDescent="0.15">
      <c r="B306" s="16">
        <v>1</v>
      </c>
      <c r="C306" s="23"/>
      <c r="D306" s="24"/>
      <c r="E306" s="24"/>
      <c r="F306" s="129"/>
      <c r="G306" s="20"/>
      <c r="H306" s="20">
        <v>1</v>
      </c>
      <c r="I306" s="126">
        <f t="shared" ref="I306:I322" si="25">J306*$C$32</f>
        <v>0</v>
      </c>
      <c r="J306" s="38">
        <f t="shared" ref="J306:J315" si="26">(F306*G306*H306)/$C$32</f>
        <v>0</v>
      </c>
      <c r="K306" s="80"/>
      <c r="L306" s="82"/>
    </row>
    <row r="307" spans="2:20" s="1" customFormat="1" ht="13.35" customHeight="1" x14ac:dyDescent="0.15">
      <c r="B307" s="16">
        <v>2</v>
      </c>
      <c r="C307" s="23"/>
      <c r="D307" s="24"/>
      <c r="E307" s="24"/>
      <c r="F307" s="126"/>
      <c r="G307" s="20"/>
      <c r="H307" s="20">
        <v>1</v>
      </c>
      <c r="I307" s="126">
        <f t="shared" si="25"/>
        <v>0</v>
      </c>
      <c r="J307" s="38">
        <f t="shared" si="26"/>
        <v>0</v>
      </c>
      <c r="K307" s="80"/>
      <c r="L307" s="82"/>
    </row>
    <row r="308" spans="2:20" s="1" customFormat="1" ht="13.35" customHeight="1" x14ac:dyDescent="0.15">
      <c r="B308" s="16">
        <v>3</v>
      </c>
      <c r="C308" s="23"/>
      <c r="D308" s="25"/>
      <c r="E308" s="25"/>
      <c r="F308" s="129"/>
      <c r="G308" s="20"/>
      <c r="H308" s="20">
        <v>1</v>
      </c>
      <c r="I308" s="126">
        <f t="shared" si="25"/>
        <v>0</v>
      </c>
      <c r="J308" s="38">
        <f t="shared" si="26"/>
        <v>0</v>
      </c>
      <c r="K308" s="80"/>
      <c r="L308" s="82"/>
    </row>
    <row r="309" spans="2:20" s="1" customFormat="1" ht="13.35" customHeight="1" x14ac:dyDescent="0.15">
      <c r="B309" s="16">
        <v>4</v>
      </c>
      <c r="C309" s="23"/>
      <c r="D309" s="24"/>
      <c r="E309" s="24"/>
      <c r="F309" s="129"/>
      <c r="G309" s="20"/>
      <c r="H309" s="20">
        <v>1</v>
      </c>
      <c r="I309" s="126">
        <f t="shared" si="25"/>
        <v>0</v>
      </c>
      <c r="J309" s="38">
        <f t="shared" si="26"/>
        <v>0</v>
      </c>
      <c r="K309" s="80"/>
      <c r="L309" s="82"/>
    </row>
    <row r="310" spans="2:20" s="1" customFormat="1" ht="13.35" customHeight="1" x14ac:dyDescent="0.15">
      <c r="B310" s="16">
        <v>5</v>
      </c>
      <c r="C310" s="16"/>
      <c r="D310" s="18"/>
      <c r="E310" s="18"/>
      <c r="F310" s="129"/>
      <c r="G310" s="20"/>
      <c r="H310" s="20">
        <v>1</v>
      </c>
      <c r="I310" s="126">
        <f t="shared" si="25"/>
        <v>0</v>
      </c>
      <c r="J310" s="38">
        <f t="shared" si="26"/>
        <v>0</v>
      </c>
      <c r="K310" s="80"/>
      <c r="L310" s="82"/>
    </row>
    <row r="311" spans="2:20" s="1" customFormat="1" ht="13.35" customHeight="1" x14ac:dyDescent="0.15">
      <c r="B311" s="16">
        <v>6</v>
      </c>
      <c r="C311" s="17"/>
      <c r="D311" s="24"/>
      <c r="E311" s="24"/>
      <c r="F311" s="129"/>
      <c r="G311" s="20"/>
      <c r="H311" s="20">
        <v>1</v>
      </c>
      <c r="I311" s="126">
        <f t="shared" si="25"/>
        <v>0</v>
      </c>
      <c r="J311" s="38">
        <f t="shared" si="26"/>
        <v>0</v>
      </c>
      <c r="K311" s="80"/>
      <c r="L311" s="82"/>
    </row>
    <row r="312" spans="2:20" s="1" customFormat="1" ht="13.35" customHeight="1" x14ac:dyDescent="0.15">
      <c r="B312" s="16">
        <v>7</v>
      </c>
      <c r="C312" s="17"/>
      <c r="D312" s="24"/>
      <c r="E312" s="24"/>
      <c r="F312" s="129"/>
      <c r="G312" s="20"/>
      <c r="H312" s="20">
        <v>1</v>
      </c>
      <c r="I312" s="126">
        <f t="shared" si="25"/>
        <v>0</v>
      </c>
      <c r="J312" s="38">
        <f t="shared" si="26"/>
        <v>0</v>
      </c>
      <c r="K312" s="80"/>
      <c r="L312" s="82"/>
    </row>
    <row r="313" spans="2:20" s="1" customFormat="1" ht="13.35" customHeight="1" x14ac:dyDescent="0.15">
      <c r="B313" s="16">
        <v>8</v>
      </c>
      <c r="C313" s="17"/>
      <c r="D313" s="24"/>
      <c r="E313" s="24"/>
      <c r="F313" s="129"/>
      <c r="G313" s="20"/>
      <c r="H313" s="20">
        <v>1</v>
      </c>
      <c r="I313" s="126">
        <f t="shared" si="25"/>
        <v>0</v>
      </c>
      <c r="J313" s="38">
        <f t="shared" si="26"/>
        <v>0</v>
      </c>
      <c r="K313" s="80"/>
      <c r="L313" s="82"/>
    </row>
    <row r="314" spans="2:20" s="1" customFormat="1" ht="13.35" customHeight="1" x14ac:dyDescent="0.15">
      <c r="B314" s="16">
        <v>9</v>
      </c>
      <c r="C314" s="17"/>
      <c r="D314" s="24"/>
      <c r="E314" s="24"/>
      <c r="F314" s="129"/>
      <c r="G314" s="20"/>
      <c r="H314" s="20">
        <v>1</v>
      </c>
      <c r="I314" s="126">
        <f t="shared" si="25"/>
        <v>0</v>
      </c>
      <c r="J314" s="38">
        <f t="shared" si="26"/>
        <v>0</v>
      </c>
      <c r="K314" s="80"/>
      <c r="L314" s="82"/>
    </row>
    <row r="315" spans="2:20" s="1" customFormat="1" ht="13.35" customHeight="1" x14ac:dyDescent="0.15">
      <c r="B315" s="16">
        <v>10</v>
      </c>
      <c r="C315" s="17"/>
      <c r="D315" s="24"/>
      <c r="E315" s="24"/>
      <c r="F315" s="129"/>
      <c r="G315" s="20"/>
      <c r="H315" s="20">
        <v>1</v>
      </c>
      <c r="I315" s="126">
        <f t="shared" si="25"/>
        <v>0</v>
      </c>
      <c r="J315" s="38">
        <f t="shared" si="26"/>
        <v>0</v>
      </c>
      <c r="K315" s="80"/>
      <c r="L315" s="82"/>
    </row>
    <row r="316" spans="2:20" s="1" customFormat="1" ht="13.35" customHeight="1" x14ac:dyDescent="0.15">
      <c r="B316" s="16"/>
      <c r="C316" s="17"/>
      <c r="D316" s="24"/>
      <c r="E316" s="24"/>
      <c r="F316" s="129"/>
      <c r="G316" s="20"/>
      <c r="H316" s="20"/>
      <c r="I316" s="126"/>
      <c r="J316" s="38"/>
      <c r="K316" s="80"/>
      <c r="L316" s="82"/>
      <c r="N316" s="41"/>
    </row>
    <row r="317" spans="2:20" s="1" customFormat="1" ht="13.35" customHeight="1" x14ac:dyDescent="0.15">
      <c r="B317" s="16"/>
      <c r="C317" s="17"/>
      <c r="D317" s="24"/>
      <c r="E317" s="24"/>
      <c r="F317" s="129"/>
      <c r="G317" s="20"/>
      <c r="H317" s="20"/>
      <c r="I317" s="126"/>
      <c r="J317" s="21"/>
      <c r="K317" s="80"/>
      <c r="L317" s="82"/>
    </row>
    <row r="318" spans="2:20" s="1" customFormat="1" ht="13.35" customHeight="1" x14ac:dyDescent="0.15">
      <c r="B318" s="16"/>
      <c r="C318" s="22" t="s">
        <v>156</v>
      </c>
      <c r="D318" s="24"/>
      <c r="E318" s="24"/>
      <c r="F318" s="129"/>
      <c r="G318" s="20"/>
      <c r="H318" s="20"/>
      <c r="I318" s="126"/>
      <c r="J318" s="21"/>
      <c r="K318" s="80"/>
      <c r="L318" s="82"/>
    </row>
    <row r="319" spans="2:20" s="1" customFormat="1" ht="16.5" x14ac:dyDescent="0.15">
      <c r="B319" s="16">
        <v>1</v>
      </c>
      <c r="C319" s="44"/>
      <c r="D319" s="18"/>
      <c r="E319" s="18"/>
      <c r="F319" s="129"/>
      <c r="G319" s="20"/>
      <c r="H319" s="20">
        <v>1</v>
      </c>
      <c r="I319" s="126">
        <f t="shared" si="25"/>
        <v>0</v>
      </c>
      <c r="J319" s="38">
        <f>(F319*G319*H319)/$C$32</f>
        <v>0</v>
      </c>
      <c r="K319" s="80"/>
      <c r="L319" s="82"/>
      <c r="M319" s="10"/>
      <c r="N319" s="42"/>
      <c r="O319" s="10"/>
      <c r="P319" s="10"/>
      <c r="Q319" s="43"/>
      <c r="R319" s="10"/>
      <c r="T319" s="10"/>
    </row>
    <row r="320" spans="2:20" s="1" customFormat="1" ht="16.5" x14ac:dyDescent="0.15">
      <c r="B320" s="16">
        <v>2</v>
      </c>
      <c r="C320" s="45"/>
      <c r="D320" s="18"/>
      <c r="E320" s="18"/>
      <c r="F320" s="129"/>
      <c r="G320" s="20"/>
      <c r="H320" s="20">
        <v>1</v>
      </c>
      <c r="I320" s="126">
        <f>J320*$C$32</f>
        <v>0</v>
      </c>
      <c r="J320" s="38">
        <f>(F320*G320*H320)/$C$32</f>
        <v>0</v>
      </c>
      <c r="K320" s="80"/>
      <c r="L320" s="82"/>
      <c r="M320" s="10"/>
      <c r="N320" s="42"/>
      <c r="O320" s="10"/>
      <c r="P320" s="10"/>
      <c r="Q320" s="43"/>
      <c r="R320" s="10"/>
      <c r="T320" s="10"/>
    </row>
    <row r="321" spans="2:20" s="1" customFormat="1" ht="12.95" customHeight="1" x14ac:dyDescent="0.15">
      <c r="B321" s="16">
        <v>3</v>
      </c>
      <c r="C321" s="44"/>
      <c r="D321" s="18"/>
      <c r="E321" s="18"/>
      <c r="F321" s="129"/>
      <c r="G321" s="20"/>
      <c r="H321" s="20">
        <v>1</v>
      </c>
      <c r="I321" s="126">
        <f t="shared" si="25"/>
        <v>0</v>
      </c>
      <c r="J321" s="21">
        <f>(F321*G321*H321)/$C$32</f>
        <v>0</v>
      </c>
      <c r="K321" s="80"/>
      <c r="L321" s="82"/>
      <c r="M321" s="10"/>
      <c r="N321" s="42"/>
      <c r="O321" s="10"/>
      <c r="P321" s="10"/>
      <c r="Q321" s="43"/>
      <c r="R321" s="10"/>
      <c r="T321" s="10"/>
    </row>
    <row r="322" spans="2:20" s="1" customFormat="1" ht="14.25" x14ac:dyDescent="0.15">
      <c r="B322" s="16">
        <v>4</v>
      </c>
      <c r="C322" s="46"/>
      <c r="D322" s="405"/>
      <c r="E322" s="405"/>
      <c r="F322" s="129"/>
      <c r="G322" s="20"/>
      <c r="H322" s="20">
        <v>1</v>
      </c>
      <c r="I322" s="126">
        <f t="shared" si="25"/>
        <v>0</v>
      </c>
      <c r="J322" s="38">
        <f>(F323*G322*H322)/$C$32</f>
        <v>0</v>
      </c>
      <c r="K322" s="80"/>
      <c r="L322" s="82"/>
      <c r="M322" s="10"/>
      <c r="N322" s="42"/>
      <c r="O322" s="10"/>
      <c r="P322" s="10"/>
      <c r="Q322" s="43"/>
      <c r="R322" s="10"/>
      <c r="T322" s="10"/>
    </row>
    <row r="323" spans="2:20" s="1" customFormat="1" ht="14.25" x14ac:dyDescent="0.15">
      <c r="B323" s="16">
        <v>5</v>
      </c>
      <c r="C323" s="11"/>
      <c r="D323" s="18"/>
      <c r="E323" s="18"/>
      <c r="F323" s="129"/>
      <c r="G323" s="20"/>
      <c r="H323" s="20">
        <v>1</v>
      </c>
      <c r="I323" s="126">
        <f t="shared" ref="I323:I361" si="27">J323*$C$32</f>
        <v>0</v>
      </c>
      <c r="J323" s="38">
        <f t="shared" ref="J323:J328" si="28">(F325*G323*H323)/$C$32</f>
        <v>0</v>
      </c>
      <c r="K323" s="80"/>
      <c r="L323" s="82"/>
      <c r="M323" s="10"/>
      <c r="N323" s="42"/>
      <c r="O323" s="10"/>
      <c r="P323" s="10"/>
      <c r="Q323" s="43"/>
      <c r="R323" s="10"/>
      <c r="T323" s="10"/>
    </row>
    <row r="324" spans="2:20" s="1" customFormat="1" ht="14.25" x14ac:dyDescent="0.15">
      <c r="B324" s="16">
        <v>6</v>
      </c>
      <c r="C324" s="11"/>
      <c r="D324" s="18"/>
      <c r="E324" s="18"/>
      <c r="F324" s="129"/>
      <c r="G324" s="20"/>
      <c r="H324" s="20">
        <v>1</v>
      </c>
      <c r="I324" s="126">
        <f t="shared" si="27"/>
        <v>0</v>
      </c>
      <c r="J324" s="38">
        <f t="shared" si="28"/>
        <v>0</v>
      </c>
      <c r="K324" s="80"/>
      <c r="L324" s="82"/>
      <c r="M324" s="10"/>
      <c r="N324" s="42"/>
      <c r="O324" s="10"/>
      <c r="P324" s="10"/>
      <c r="Q324" s="43"/>
      <c r="R324" s="10"/>
      <c r="T324" s="10"/>
    </row>
    <row r="325" spans="2:20" s="1" customFormat="1" ht="16.5" x14ac:dyDescent="0.2">
      <c r="B325" s="16">
        <v>7</v>
      </c>
      <c r="C325" s="47"/>
      <c r="D325" s="18"/>
      <c r="E325" s="18"/>
      <c r="F325" s="129"/>
      <c r="G325" s="20"/>
      <c r="H325" s="20">
        <v>1</v>
      </c>
      <c r="I325" s="126">
        <f t="shared" si="27"/>
        <v>0</v>
      </c>
      <c r="J325" s="38">
        <f t="shared" si="28"/>
        <v>0</v>
      </c>
      <c r="K325" s="80"/>
      <c r="L325" s="82"/>
      <c r="M325" s="10"/>
      <c r="N325" s="42"/>
      <c r="O325" s="10"/>
      <c r="P325" s="10"/>
      <c r="Q325" s="43"/>
      <c r="R325" s="10"/>
      <c r="T325" s="10"/>
    </row>
    <row r="326" spans="2:20" s="1" customFormat="1" ht="14.25" x14ac:dyDescent="0.15">
      <c r="B326" s="16">
        <v>8</v>
      </c>
      <c r="C326" s="11"/>
      <c r="D326" s="18"/>
      <c r="E326" s="18"/>
      <c r="F326" s="129"/>
      <c r="G326" s="20"/>
      <c r="H326" s="20">
        <v>1</v>
      </c>
      <c r="I326" s="126">
        <f t="shared" si="27"/>
        <v>0</v>
      </c>
      <c r="J326" s="21">
        <f t="shared" si="28"/>
        <v>0</v>
      </c>
      <c r="K326" s="80"/>
      <c r="L326" s="82"/>
      <c r="M326" s="10"/>
      <c r="N326" s="42"/>
      <c r="O326" s="10"/>
      <c r="P326" s="10"/>
      <c r="Q326" s="43"/>
      <c r="R326" s="10"/>
      <c r="T326" s="10"/>
    </row>
    <row r="327" spans="2:20" s="1" customFormat="1" ht="14.25" x14ac:dyDescent="0.15">
      <c r="B327" s="16">
        <v>9</v>
      </c>
      <c r="C327" s="11"/>
      <c r="D327" s="18"/>
      <c r="E327" s="18"/>
      <c r="F327" s="129"/>
      <c r="G327" s="20"/>
      <c r="H327" s="20">
        <v>1</v>
      </c>
      <c r="I327" s="126">
        <f t="shared" si="27"/>
        <v>0</v>
      </c>
      <c r="J327" s="38">
        <f t="shared" si="28"/>
        <v>0</v>
      </c>
      <c r="K327" s="80"/>
      <c r="L327" s="82"/>
      <c r="M327" s="10"/>
      <c r="N327" s="42"/>
      <c r="O327" s="10"/>
      <c r="P327" s="10"/>
      <c r="Q327" s="43"/>
      <c r="R327" s="10"/>
      <c r="T327" s="10"/>
    </row>
    <row r="328" spans="2:20" s="1" customFormat="1" ht="14.25" x14ac:dyDescent="0.15">
      <c r="B328" s="16">
        <v>10</v>
      </c>
      <c r="C328" s="11"/>
      <c r="D328" s="18"/>
      <c r="E328" s="18"/>
      <c r="F328" s="129"/>
      <c r="G328" s="20"/>
      <c r="H328" s="20">
        <v>1</v>
      </c>
      <c r="I328" s="126">
        <f t="shared" si="27"/>
        <v>0</v>
      </c>
      <c r="J328" s="38">
        <f t="shared" si="28"/>
        <v>0</v>
      </c>
      <c r="K328" s="80"/>
      <c r="L328" s="82"/>
      <c r="M328" s="10"/>
      <c r="N328" s="42"/>
      <c r="O328" s="10"/>
      <c r="P328" s="10"/>
      <c r="Q328" s="43"/>
      <c r="R328" s="10"/>
      <c r="T328" s="10"/>
    </row>
    <row r="329" spans="2:20" s="1" customFormat="1" ht="14.25" x14ac:dyDescent="0.15">
      <c r="B329" s="16">
        <v>11</v>
      </c>
      <c r="C329" s="11"/>
      <c r="D329" s="18"/>
      <c r="E329" s="18"/>
      <c r="F329" s="129"/>
      <c r="G329" s="20"/>
      <c r="H329" s="20">
        <v>1</v>
      </c>
      <c r="I329" s="126">
        <f t="shared" si="27"/>
        <v>0</v>
      </c>
      <c r="J329" s="38">
        <f t="shared" ref="J329:J338" si="29">(F329*G329*H329)/$C$32</f>
        <v>0</v>
      </c>
      <c r="K329" s="80"/>
      <c r="L329" s="82"/>
      <c r="M329" s="10"/>
      <c r="N329" s="42"/>
      <c r="O329" s="10"/>
      <c r="P329" s="10"/>
      <c r="Q329" s="43"/>
      <c r="R329" s="10"/>
      <c r="T329" s="10"/>
    </row>
    <row r="330" spans="2:20" s="1" customFormat="1" ht="14.25" x14ac:dyDescent="0.15">
      <c r="B330" s="16">
        <v>12</v>
      </c>
      <c r="C330" s="11"/>
      <c r="D330" s="18"/>
      <c r="E330" s="18"/>
      <c r="F330" s="129"/>
      <c r="G330" s="20"/>
      <c r="H330" s="20">
        <v>1</v>
      </c>
      <c r="I330" s="126">
        <f t="shared" si="27"/>
        <v>0</v>
      </c>
      <c r="J330" s="21">
        <f t="shared" si="29"/>
        <v>0</v>
      </c>
      <c r="K330" s="80"/>
      <c r="L330" s="82"/>
      <c r="M330" s="10"/>
      <c r="N330" s="42"/>
      <c r="O330" s="10"/>
      <c r="P330" s="10"/>
      <c r="Q330" s="43"/>
      <c r="R330" s="10"/>
      <c r="T330" s="10"/>
    </row>
    <row r="331" spans="2:20" s="1" customFormat="1" ht="14.25" x14ac:dyDescent="0.15">
      <c r="B331" s="16">
        <v>13</v>
      </c>
      <c r="C331" s="11"/>
      <c r="D331" s="18"/>
      <c r="E331" s="18"/>
      <c r="F331" s="129"/>
      <c r="G331" s="20"/>
      <c r="H331" s="20">
        <v>1</v>
      </c>
      <c r="I331" s="126">
        <f t="shared" si="27"/>
        <v>0</v>
      </c>
      <c r="J331" s="38">
        <f t="shared" si="29"/>
        <v>0</v>
      </c>
      <c r="K331" s="80"/>
      <c r="L331" s="82"/>
      <c r="M331" s="10"/>
      <c r="N331" s="42"/>
      <c r="O331" s="10"/>
      <c r="P331" s="10"/>
      <c r="Q331" s="43"/>
      <c r="R331" s="10"/>
      <c r="T331" s="10"/>
    </row>
    <row r="332" spans="2:20" s="1" customFormat="1" ht="14.25" x14ac:dyDescent="0.15">
      <c r="B332" s="16">
        <v>14</v>
      </c>
      <c r="C332" s="11"/>
      <c r="D332" s="18"/>
      <c r="E332" s="18"/>
      <c r="F332" s="129"/>
      <c r="G332" s="20"/>
      <c r="H332" s="20">
        <v>1</v>
      </c>
      <c r="I332" s="126">
        <f t="shared" si="27"/>
        <v>0</v>
      </c>
      <c r="J332" s="38">
        <f t="shared" si="29"/>
        <v>0</v>
      </c>
      <c r="K332" s="80"/>
      <c r="L332" s="82"/>
      <c r="M332" s="10"/>
      <c r="N332" s="42"/>
      <c r="O332" s="10"/>
      <c r="P332" s="10"/>
      <c r="Q332" s="43"/>
      <c r="R332" s="10"/>
      <c r="T332" s="10"/>
    </row>
    <row r="333" spans="2:20" s="1" customFormat="1" ht="14.25" x14ac:dyDescent="0.15">
      <c r="B333" s="16">
        <v>15</v>
      </c>
      <c r="C333" s="11"/>
      <c r="D333" s="18"/>
      <c r="E333" s="18"/>
      <c r="F333" s="129"/>
      <c r="G333" s="20"/>
      <c r="H333" s="20">
        <v>1</v>
      </c>
      <c r="I333" s="126">
        <f t="shared" si="27"/>
        <v>0</v>
      </c>
      <c r="J333" s="38">
        <f t="shared" si="29"/>
        <v>0</v>
      </c>
      <c r="K333" s="80"/>
      <c r="L333" s="82"/>
      <c r="M333" s="10"/>
      <c r="N333" s="42"/>
      <c r="O333" s="10"/>
      <c r="P333" s="10"/>
      <c r="Q333" s="43"/>
      <c r="R333" s="10"/>
      <c r="T333" s="10"/>
    </row>
    <row r="334" spans="2:20" s="1" customFormat="1" ht="14.25" x14ac:dyDescent="0.15">
      <c r="B334" s="16">
        <v>16</v>
      </c>
      <c r="C334" s="11"/>
      <c r="D334" s="18"/>
      <c r="E334" s="18"/>
      <c r="F334" s="129"/>
      <c r="G334" s="20"/>
      <c r="H334" s="20">
        <v>1</v>
      </c>
      <c r="I334" s="126">
        <f t="shared" si="27"/>
        <v>0</v>
      </c>
      <c r="J334" s="21">
        <f t="shared" si="29"/>
        <v>0</v>
      </c>
      <c r="K334" s="80"/>
      <c r="L334" s="82"/>
      <c r="M334" s="10"/>
      <c r="N334" s="42"/>
      <c r="O334" s="10"/>
      <c r="P334" s="10"/>
      <c r="Q334" s="43"/>
      <c r="R334" s="10"/>
      <c r="T334" s="10"/>
    </row>
    <row r="335" spans="2:20" s="1" customFormat="1" ht="14.25" x14ac:dyDescent="0.15">
      <c r="B335" s="16">
        <v>17</v>
      </c>
      <c r="C335" s="11"/>
      <c r="D335" s="18"/>
      <c r="E335" s="18"/>
      <c r="F335" s="129"/>
      <c r="G335" s="20"/>
      <c r="H335" s="20">
        <v>1</v>
      </c>
      <c r="I335" s="126">
        <f t="shared" si="27"/>
        <v>0</v>
      </c>
      <c r="J335" s="38">
        <f t="shared" si="29"/>
        <v>0</v>
      </c>
      <c r="K335" s="80"/>
      <c r="L335" s="82"/>
      <c r="M335" s="10"/>
      <c r="N335" s="42"/>
      <c r="O335" s="10"/>
      <c r="P335" s="10"/>
      <c r="Q335" s="43"/>
      <c r="R335" s="10"/>
      <c r="T335" s="10"/>
    </row>
    <row r="336" spans="2:20" s="1" customFormat="1" ht="14.25" x14ac:dyDescent="0.15">
      <c r="B336" s="16">
        <v>18</v>
      </c>
      <c r="C336" s="11"/>
      <c r="D336" s="18"/>
      <c r="E336" s="18"/>
      <c r="F336" s="129"/>
      <c r="G336" s="20"/>
      <c r="H336" s="20">
        <v>1</v>
      </c>
      <c r="I336" s="126">
        <f t="shared" si="27"/>
        <v>0</v>
      </c>
      <c r="J336" s="38">
        <f t="shared" si="29"/>
        <v>0</v>
      </c>
      <c r="K336" s="80"/>
      <c r="L336" s="82"/>
      <c r="M336" s="10"/>
      <c r="N336" s="42"/>
      <c r="O336" s="10"/>
      <c r="P336" s="10"/>
      <c r="Q336" s="43"/>
      <c r="R336" s="10"/>
      <c r="T336" s="10"/>
    </row>
    <row r="337" spans="2:20" s="1" customFormat="1" ht="14.25" x14ac:dyDescent="0.15">
      <c r="B337" s="16">
        <v>19</v>
      </c>
      <c r="C337" s="11"/>
      <c r="D337" s="18"/>
      <c r="E337" s="18"/>
      <c r="F337" s="129"/>
      <c r="G337" s="20"/>
      <c r="H337" s="20">
        <v>1</v>
      </c>
      <c r="I337" s="126">
        <f t="shared" si="27"/>
        <v>0</v>
      </c>
      <c r="J337" s="38">
        <f t="shared" si="29"/>
        <v>0</v>
      </c>
      <c r="K337" s="80"/>
      <c r="L337" s="82"/>
      <c r="M337" s="10"/>
      <c r="N337" s="42"/>
      <c r="O337" s="10"/>
      <c r="P337" s="10"/>
      <c r="Q337" s="43"/>
      <c r="R337" s="10"/>
      <c r="T337" s="10"/>
    </row>
    <row r="338" spans="2:20" s="1" customFormat="1" ht="14.25" x14ac:dyDescent="0.15">
      <c r="B338" s="16">
        <v>20</v>
      </c>
      <c r="C338" s="11"/>
      <c r="D338" s="18"/>
      <c r="E338" s="18"/>
      <c r="F338" s="129"/>
      <c r="G338" s="20"/>
      <c r="H338" s="20">
        <v>1</v>
      </c>
      <c r="I338" s="126">
        <f t="shared" si="27"/>
        <v>0</v>
      </c>
      <c r="J338" s="21">
        <f t="shared" si="29"/>
        <v>0</v>
      </c>
      <c r="K338" s="80"/>
      <c r="L338" s="82"/>
      <c r="M338" s="10"/>
      <c r="N338" s="42"/>
      <c r="O338" s="10"/>
      <c r="P338" s="10"/>
      <c r="Q338" s="43"/>
      <c r="R338" s="10"/>
      <c r="T338" s="10"/>
    </row>
    <row r="339" spans="2:20" s="1" customFormat="1" ht="14.25" x14ac:dyDescent="0.15">
      <c r="B339" s="16"/>
      <c r="C339" s="11"/>
      <c r="D339" s="18"/>
      <c r="E339" s="18"/>
      <c r="F339" s="129"/>
      <c r="G339" s="20"/>
      <c r="H339" s="20"/>
      <c r="I339" s="126"/>
      <c r="J339" s="21"/>
      <c r="K339" s="80"/>
      <c r="L339" s="82"/>
      <c r="M339" s="10"/>
      <c r="N339" s="42"/>
      <c r="O339" s="10"/>
      <c r="P339" s="10"/>
      <c r="Q339" s="43"/>
      <c r="R339" s="10"/>
      <c r="T339" s="10"/>
    </row>
    <row r="340" spans="2:20" s="1" customFormat="1" ht="14.25" x14ac:dyDescent="0.15">
      <c r="B340" s="16"/>
      <c r="C340" s="11"/>
      <c r="D340" s="18"/>
      <c r="E340" s="18"/>
      <c r="F340" s="129"/>
      <c r="G340" s="20"/>
      <c r="H340" s="20"/>
      <c r="I340" s="126"/>
      <c r="J340" s="21"/>
      <c r="K340" s="80"/>
      <c r="L340" s="82"/>
      <c r="M340" s="10"/>
      <c r="N340" s="42"/>
      <c r="O340" s="10"/>
      <c r="P340" s="10"/>
      <c r="Q340" s="43"/>
      <c r="R340" s="10"/>
      <c r="T340" s="10"/>
    </row>
    <row r="341" spans="2:20" s="1" customFormat="1" ht="14.25" x14ac:dyDescent="0.15">
      <c r="B341" s="16"/>
      <c r="C341" s="46" t="s">
        <v>159</v>
      </c>
      <c r="D341" s="18"/>
      <c r="E341" s="18"/>
      <c r="F341" s="129"/>
      <c r="G341" s="20"/>
      <c r="H341" s="20"/>
      <c r="I341" s="126"/>
      <c r="J341" s="21"/>
      <c r="K341" s="80"/>
      <c r="L341" s="82"/>
      <c r="M341" s="10"/>
      <c r="N341" s="10"/>
      <c r="O341" s="10"/>
      <c r="P341" s="10"/>
      <c r="Q341" s="43"/>
      <c r="R341" s="10"/>
      <c r="T341" s="10"/>
    </row>
    <row r="342" spans="2:20" s="1" customFormat="1" ht="14.25" x14ac:dyDescent="0.15">
      <c r="B342" s="16">
        <v>1</v>
      </c>
      <c r="C342" s="11"/>
      <c r="D342" s="18"/>
      <c r="E342" s="18"/>
      <c r="F342" s="129"/>
      <c r="G342" s="20"/>
      <c r="H342" s="20">
        <v>1</v>
      </c>
      <c r="I342" s="126">
        <f t="shared" si="27"/>
        <v>0</v>
      </c>
      <c r="J342" s="21">
        <f t="shared" ref="J342:J361" si="30">(F342*G342*H342)/$C$32</f>
        <v>0</v>
      </c>
      <c r="K342" s="80"/>
      <c r="L342" s="82"/>
      <c r="M342" s="10"/>
      <c r="N342" s="10"/>
      <c r="O342" s="10"/>
      <c r="P342" s="10"/>
      <c r="Q342" s="43"/>
      <c r="R342" s="10"/>
      <c r="T342" s="10"/>
    </row>
    <row r="343" spans="2:20" s="1" customFormat="1" ht="14.25" x14ac:dyDescent="0.15">
      <c r="B343" s="16">
        <v>2</v>
      </c>
      <c r="C343" s="11"/>
      <c r="D343" s="18"/>
      <c r="E343" s="18"/>
      <c r="F343" s="129"/>
      <c r="G343" s="20"/>
      <c r="H343" s="20">
        <v>1</v>
      </c>
      <c r="I343" s="126">
        <f t="shared" si="27"/>
        <v>0</v>
      </c>
      <c r="J343" s="21">
        <f t="shared" si="30"/>
        <v>0</v>
      </c>
      <c r="K343" s="80"/>
      <c r="L343" s="82"/>
      <c r="M343" s="10"/>
      <c r="N343" s="10"/>
      <c r="O343" s="10"/>
      <c r="P343" s="10"/>
      <c r="Q343" s="43"/>
      <c r="R343" s="10"/>
      <c r="T343" s="10"/>
    </row>
    <row r="344" spans="2:20" s="1" customFormat="1" ht="14.25" x14ac:dyDescent="0.15">
      <c r="B344" s="16">
        <v>3</v>
      </c>
      <c r="C344" s="11"/>
      <c r="D344" s="18"/>
      <c r="E344" s="18"/>
      <c r="F344" s="129"/>
      <c r="G344" s="20"/>
      <c r="H344" s="20">
        <v>1</v>
      </c>
      <c r="I344" s="126">
        <f t="shared" si="27"/>
        <v>0</v>
      </c>
      <c r="J344" s="21">
        <f t="shared" si="30"/>
        <v>0</v>
      </c>
      <c r="K344" s="80"/>
      <c r="L344" s="82"/>
      <c r="M344" s="10"/>
      <c r="N344" s="10"/>
      <c r="O344" s="10"/>
      <c r="P344" s="10"/>
      <c r="Q344" s="43"/>
      <c r="R344" s="10"/>
      <c r="T344" s="10"/>
    </row>
    <row r="345" spans="2:20" s="1" customFormat="1" ht="14.25" x14ac:dyDescent="0.15">
      <c r="B345" s="16">
        <v>4</v>
      </c>
      <c r="C345" s="11"/>
      <c r="D345" s="18"/>
      <c r="E345" s="18"/>
      <c r="F345" s="129"/>
      <c r="G345" s="20"/>
      <c r="H345" s="20">
        <v>1</v>
      </c>
      <c r="I345" s="126">
        <f t="shared" si="27"/>
        <v>0</v>
      </c>
      <c r="J345" s="21">
        <f t="shared" si="30"/>
        <v>0</v>
      </c>
      <c r="K345" s="80"/>
      <c r="L345" s="82"/>
      <c r="M345" s="10"/>
      <c r="N345" s="10"/>
      <c r="O345" s="10"/>
      <c r="P345" s="10"/>
      <c r="Q345" s="43"/>
      <c r="R345" s="10"/>
      <c r="T345" s="10"/>
    </row>
    <row r="346" spans="2:20" s="1" customFormat="1" ht="14.25" x14ac:dyDescent="0.15">
      <c r="B346" s="16">
        <v>5</v>
      </c>
      <c r="C346" s="11"/>
      <c r="D346" s="18"/>
      <c r="E346" s="18"/>
      <c r="F346" s="129"/>
      <c r="G346" s="20"/>
      <c r="H346" s="20">
        <v>1</v>
      </c>
      <c r="I346" s="126">
        <f t="shared" si="27"/>
        <v>0</v>
      </c>
      <c r="J346" s="21">
        <f t="shared" si="30"/>
        <v>0</v>
      </c>
      <c r="K346" s="80"/>
      <c r="L346" s="82"/>
      <c r="M346" s="10"/>
      <c r="N346" s="10"/>
      <c r="O346" s="10"/>
      <c r="P346" s="10"/>
      <c r="Q346" s="43"/>
      <c r="R346" s="10"/>
      <c r="T346" s="10"/>
    </row>
    <row r="347" spans="2:20" s="1" customFormat="1" ht="14.25" x14ac:dyDescent="0.15">
      <c r="B347" s="16">
        <v>6</v>
      </c>
      <c r="C347" s="11"/>
      <c r="D347" s="18"/>
      <c r="E347" s="18"/>
      <c r="F347" s="129"/>
      <c r="G347" s="20"/>
      <c r="H347" s="20">
        <v>1</v>
      </c>
      <c r="I347" s="126">
        <f t="shared" si="27"/>
        <v>0</v>
      </c>
      <c r="J347" s="21">
        <f t="shared" si="30"/>
        <v>0</v>
      </c>
      <c r="K347" s="80"/>
      <c r="L347" s="82"/>
      <c r="M347" s="10"/>
      <c r="N347" s="10"/>
      <c r="O347" s="10"/>
      <c r="P347" s="10"/>
      <c r="Q347" s="43"/>
      <c r="R347" s="10"/>
      <c r="T347" s="10"/>
    </row>
    <row r="348" spans="2:20" s="1" customFormat="1" ht="14.25" x14ac:dyDescent="0.15">
      <c r="B348" s="16">
        <v>7</v>
      </c>
      <c r="C348" s="11"/>
      <c r="D348" s="18"/>
      <c r="E348" s="18"/>
      <c r="F348" s="129"/>
      <c r="G348" s="20"/>
      <c r="H348" s="20">
        <v>1</v>
      </c>
      <c r="I348" s="126">
        <f t="shared" si="27"/>
        <v>0</v>
      </c>
      <c r="J348" s="21">
        <f t="shared" si="30"/>
        <v>0</v>
      </c>
      <c r="K348" s="80"/>
      <c r="L348" s="82"/>
      <c r="M348" s="10"/>
      <c r="N348" s="10"/>
      <c r="O348" s="10"/>
      <c r="P348" s="10"/>
      <c r="Q348" s="43"/>
      <c r="R348" s="10"/>
      <c r="T348" s="10"/>
    </row>
    <row r="349" spans="2:20" s="1" customFormat="1" ht="14.25" x14ac:dyDescent="0.15">
      <c r="B349" s="16">
        <v>8</v>
      </c>
      <c r="C349" s="11"/>
      <c r="D349" s="18"/>
      <c r="E349" s="18"/>
      <c r="F349" s="129"/>
      <c r="G349" s="20"/>
      <c r="H349" s="20">
        <v>1</v>
      </c>
      <c r="I349" s="126">
        <f t="shared" si="27"/>
        <v>0</v>
      </c>
      <c r="J349" s="21">
        <f t="shared" si="30"/>
        <v>0</v>
      </c>
      <c r="K349" s="80"/>
      <c r="L349" s="82"/>
      <c r="M349" s="10"/>
      <c r="N349" s="10"/>
      <c r="O349" s="10"/>
      <c r="P349" s="10"/>
      <c r="Q349" s="43"/>
      <c r="R349" s="10"/>
      <c r="T349" s="10"/>
    </row>
    <row r="350" spans="2:20" s="1" customFormat="1" ht="14.25" x14ac:dyDescent="0.15">
      <c r="B350" s="16">
        <v>9</v>
      </c>
      <c r="C350" s="11"/>
      <c r="D350" s="18"/>
      <c r="E350" s="18"/>
      <c r="F350" s="129"/>
      <c r="G350" s="20"/>
      <c r="H350" s="20">
        <v>1</v>
      </c>
      <c r="I350" s="126">
        <f t="shared" si="27"/>
        <v>0</v>
      </c>
      <c r="J350" s="21">
        <f t="shared" si="30"/>
        <v>0</v>
      </c>
      <c r="K350" s="80"/>
      <c r="L350" s="82"/>
      <c r="M350" s="10"/>
      <c r="N350" s="10"/>
      <c r="O350" s="10"/>
      <c r="P350" s="10"/>
      <c r="Q350" s="43"/>
      <c r="R350" s="10"/>
      <c r="T350" s="10"/>
    </row>
    <row r="351" spans="2:20" s="1" customFormat="1" ht="14.25" x14ac:dyDescent="0.15">
      <c r="B351" s="16">
        <v>10</v>
      </c>
      <c r="C351" s="11"/>
      <c r="D351" s="18"/>
      <c r="E351" s="18"/>
      <c r="F351" s="129"/>
      <c r="G351" s="20"/>
      <c r="H351" s="20">
        <v>1</v>
      </c>
      <c r="I351" s="126">
        <f t="shared" si="27"/>
        <v>0</v>
      </c>
      <c r="J351" s="21">
        <f t="shared" si="30"/>
        <v>0</v>
      </c>
      <c r="K351" s="80"/>
      <c r="L351" s="82"/>
      <c r="M351" s="10"/>
      <c r="N351" s="10"/>
      <c r="O351" s="10"/>
      <c r="P351" s="10"/>
      <c r="Q351" s="43"/>
      <c r="R351" s="10"/>
      <c r="T351" s="10"/>
    </row>
    <row r="352" spans="2:20" s="1" customFormat="1" ht="14.25" x14ac:dyDescent="0.15">
      <c r="B352" s="16">
        <v>11</v>
      </c>
      <c r="C352" s="11"/>
      <c r="D352" s="18"/>
      <c r="E352" s="18"/>
      <c r="F352" s="129"/>
      <c r="G352" s="20"/>
      <c r="H352" s="20">
        <v>1</v>
      </c>
      <c r="I352" s="126">
        <f t="shared" si="27"/>
        <v>0</v>
      </c>
      <c r="J352" s="21">
        <f t="shared" si="30"/>
        <v>0</v>
      </c>
      <c r="K352" s="80"/>
      <c r="L352" s="82"/>
      <c r="M352" s="10"/>
      <c r="N352" s="10"/>
      <c r="O352" s="10"/>
      <c r="P352" s="10"/>
      <c r="Q352" s="43"/>
      <c r="R352" s="10"/>
      <c r="T352" s="10"/>
    </row>
    <row r="353" spans="2:20" s="1" customFormat="1" ht="14.25" x14ac:dyDescent="0.15">
      <c r="B353" s="16">
        <v>12</v>
      </c>
      <c r="C353" s="11"/>
      <c r="D353" s="18"/>
      <c r="E353" s="18"/>
      <c r="F353" s="129"/>
      <c r="G353" s="20"/>
      <c r="H353" s="20">
        <v>1</v>
      </c>
      <c r="I353" s="126">
        <f t="shared" si="27"/>
        <v>0</v>
      </c>
      <c r="J353" s="21">
        <f t="shared" si="30"/>
        <v>0</v>
      </c>
      <c r="K353" s="80"/>
      <c r="L353" s="82"/>
      <c r="M353" s="10"/>
      <c r="N353" s="10"/>
      <c r="O353" s="10"/>
      <c r="P353" s="10"/>
      <c r="Q353" s="43"/>
      <c r="R353" s="10"/>
      <c r="T353" s="10"/>
    </row>
    <row r="354" spans="2:20" s="1" customFormat="1" ht="14.25" x14ac:dyDescent="0.15">
      <c r="B354" s="16">
        <v>13</v>
      </c>
      <c r="C354" s="11"/>
      <c r="D354" s="18"/>
      <c r="E354" s="18"/>
      <c r="F354" s="129"/>
      <c r="G354" s="20"/>
      <c r="H354" s="20">
        <v>1</v>
      </c>
      <c r="I354" s="126">
        <f t="shared" si="27"/>
        <v>0</v>
      </c>
      <c r="J354" s="21">
        <f t="shared" si="30"/>
        <v>0</v>
      </c>
      <c r="K354" s="80"/>
      <c r="L354" s="82"/>
      <c r="M354" s="10"/>
      <c r="N354" s="10"/>
      <c r="O354" s="10"/>
      <c r="P354" s="10"/>
      <c r="Q354" s="43"/>
      <c r="R354" s="10"/>
      <c r="T354" s="10"/>
    </row>
    <row r="355" spans="2:20" s="1" customFormat="1" ht="14.25" x14ac:dyDescent="0.15">
      <c r="B355" s="16">
        <v>14</v>
      </c>
      <c r="C355" s="11"/>
      <c r="D355" s="18"/>
      <c r="E355" s="18"/>
      <c r="F355" s="129"/>
      <c r="G355" s="20"/>
      <c r="H355" s="20">
        <v>1</v>
      </c>
      <c r="I355" s="126">
        <f t="shared" si="27"/>
        <v>0</v>
      </c>
      <c r="J355" s="21">
        <f t="shared" si="30"/>
        <v>0</v>
      </c>
      <c r="K355" s="80"/>
      <c r="L355" s="82"/>
      <c r="M355" s="10"/>
      <c r="N355" s="10"/>
      <c r="O355" s="10"/>
      <c r="P355" s="10"/>
      <c r="Q355" s="43"/>
      <c r="R355" s="10"/>
      <c r="T355" s="10"/>
    </row>
    <row r="356" spans="2:20" s="1" customFormat="1" ht="14.25" x14ac:dyDescent="0.15">
      <c r="B356" s="16">
        <v>15</v>
      </c>
      <c r="C356" s="11"/>
      <c r="D356" s="18"/>
      <c r="E356" s="18"/>
      <c r="F356" s="129"/>
      <c r="G356" s="20"/>
      <c r="H356" s="20">
        <v>1</v>
      </c>
      <c r="I356" s="126">
        <f t="shared" si="27"/>
        <v>0</v>
      </c>
      <c r="J356" s="21">
        <f t="shared" si="30"/>
        <v>0</v>
      </c>
      <c r="K356" s="80"/>
      <c r="L356" s="82"/>
      <c r="M356" s="10"/>
      <c r="N356" s="10"/>
      <c r="O356" s="10"/>
      <c r="P356" s="10"/>
      <c r="Q356" s="43"/>
      <c r="R356" s="10"/>
      <c r="T356" s="10"/>
    </row>
    <row r="357" spans="2:20" s="1" customFormat="1" ht="14.25" x14ac:dyDescent="0.15">
      <c r="B357" s="16">
        <v>16</v>
      </c>
      <c r="C357" s="11"/>
      <c r="D357" s="18"/>
      <c r="E357" s="18"/>
      <c r="F357" s="129"/>
      <c r="G357" s="20"/>
      <c r="H357" s="20">
        <v>1</v>
      </c>
      <c r="I357" s="126">
        <f t="shared" si="27"/>
        <v>0</v>
      </c>
      <c r="J357" s="21">
        <f t="shared" si="30"/>
        <v>0</v>
      </c>
      <c r="K357" s="80"/>
      <c r="L357" s="82"/>
      <c r="M357" s="10"/>
      <c r="N357" s="10"/>
      <c r="O357" s="10"/>
      <c r="P357" s="10"/>
      <c r="Q357" s="43"/>
      <c r="R357" s="10"/>
      <c r="T357" s="10"/>
    </row>
    <row r="358" spans="2:20" s="1" customFormat="1" ht="14.25" x14ac:dyDescent="0.15">
      <c r="B358" s="16">
        <v>17</v>
      </c>
      <c r="C358" s="11"/>
      <c r="D358" s="18"/>
      <c r="E358" s="18"/>
      <c r="F358" s="129"/>
      <c r="G358" s="20"/>
      <c r="H358" s="20">
        <v>1</v>
      </c>
      <c r="I358" s="126">
        <f t="shared" si="27"/>
        <v>0</v>
      </c>
      <c r="J358" s="21">
        <f t="shared" si="30"/>
        <v>0</v>
      </c>
      <c r="K358" s="80"/>
      <c r="L358" s="82"/>
      <c r="M358" s="10"/>
      <c r="N358" s="10"/>
      <c r="O358" s="10"/>
      <c r="P358" s="10"/>
      <c r="Q358" s="43"/>
      <c r="R358" s="10"/>
      <c r="T358" s="10"/>
    </row>
    <row r="359" spans="2:20" s="1" customFormat="1" ht="14.25" x14ac:dyDescent="0.15">
      <c r="B359" s="16">
        <v>18</v>
      </c>
      <c r="C359" s="11"/>
      <c r="D359" s="18"/>
      <c r="E359" s="18"/>
      <c r="F359" s="129"/>
      <c r="G359" s="20"/>
      <c r="H359" s="20">
        <v>1</v>
      </c>
      <c r="I359" s="126">
        <f t="shared" si="27"/>
        <v>0</v>
      </c>
      <c r="J359" s="78">
        <f t="shared" si="30"/>
        <v>0</v>
      </c>
      <c r="K359" s="111"/>
      <c r="L359" s="119"/>
      <c r="M359" s="10"/>
      <c r="N359" s="10"/>
      <c r="O359" s="10"/>
      <c r="P359" s="10"/>
      <c r="Q359" s="43"/>
      <c r="R359" s="10"/>
      <c r="T359" s="10"/>
    </row>
    <row r="360" spans="2:20" s="1" customFormat="1" ht="14.25" x14ac:dyDescent="0.15">
      <c r="B360" s="16">
        <v>19</v>
      </c>
      <c r="C360" s="11"/>
      <c r="D360" s="18"/>
      <c r="E360" s="18"/>
      <c r="F360" s="129"/>
      <c r="G360" s="20"/>
      <c r="H360" s="20">
        <v>1</v>
      </c>
      <c r="I360" s="254">
        <f t="shared" si="27"/>
        <v>0</v>
      </c>
      <c r="J360" s="94">
        <f t="shared" si="30"/>
        <v>0</v>
      </c>
      <c r="K360" s="82"/>
      <c r="L360" s="82"/>
      <c r="M360" s="10"/>
      <c r="N360" s="10"/>
      <c r="O360" s="10"/>
      <c r="P360" s="10"/>
      <c r="Q360" s="43"/>
      <c r="R360" s="10"/>
      <c r="T360" s="10"/>
    </row>
    <row r="361" spans="2:20" s="1" customFormat="1" ht="14.25" x14ac:dyDescent="0.15">
      <c r="B361" s="16">
        <v>20</v>
      </c>
      <c r="C361" s="11"/>
      <c r="D361" s="18"/>
      <c r="E361" s="18"/>
      <c r="F361" s="129"/>
      <c r="G361" s="20"/>
      <c r="H361" s="20">
        <v>1</v>
      </c>
      <c r="I361" s="254">
        <f t="shared" si="27"/>
        <v>0</v>
      </c>
      <c r="J361" s="94">
        <f t="shared" si="30"/>
        <v>0</v>
      </c>
      <c r="K361" s="82"/>
      <c r="L361" s="82"/>
      <c r="M361" s="10"/>
      <c r="N361" s="10"/>
      <c r="O361" s="10"/>
      <c r="P361" s="10"/>
      <c r="Q361" s="43"/>
      <c r="R361" s="10"/>
      <c r="T361" s="10"/>
    </row>
    <row r="362" spans="2:20" s="1" customFormat="1" ht="14.25" x14ac:dyDescent="0.15">
      <c r="B362" s="83"/>
      <c r="C362" s="160"/>
      <c r="D362" s="75"/>
      <c r="E362" s="75"/>
      <c r="F362" s="132"/>
      <c r="G362" s="77"/>
      <c r="H362" s="77"/>
      <c r="I362" s="255"/>
      <c r="J362" s="94"/>
      <c r="K362" s="82"/>
      <c r="L362" s="82"/>
      <c r="M362" s="10"/>
      <c r="N362" s="10"/>
      <c r="O362" s="10"/>
      <c r="P362" s="10"/>
      <c r="Q362" s="43"/>
      <c r="R362" s="10"/>
      <c r="T362" s="10"/>
    </row>
    <row r="363" spans="2:20" s="1" customFormat="1" ht="14.25" x14ac:dyDescent="0.15">
      <c r="B363" s="82"/>
      <c r="C363" s="102"/>
      <c r="D363" s="103"/>
      <c r="E363" s="102"/>
      <c r="F363" s="128">
        <f>SUM(F303:F362)</f>
        <v>0</v>
      </c>
      <c r="G363" s="104"/>
      <c r="H363" s="105"/>
      <c r="I363" s="256">
        <f>SUM(I304:I362)</f>
        <v>0</v>
      </c>
      <c r="J363" s="257">
        <f>SUM(J303:J322)</f>
        <v>0</v>
      </c>
      <c r="M363" s="10"/>
      <c r="N363" s="10"/>
      <c r="O363" s="10"/>
      <c r="P363" s="10"/>
      <c r="Q363" s="43"/>
      <c r="R363" s="10"/>
      <c r="T363" s="10"/>
    </row>
    <row r="364" spans="2:20" s="67" customFormat="1" ht="14.25" x14ac:dyDescent="0.15">
      <c r="B364" s="116"/>
      <c r="C364" s="114"/>
      <c r="D364" s="114"/>
      <c r="E364" s="114" t="s">
        <v>147</v>
      </c>
      <c r="F364" s="162">
        <f>100/115*F363</f>
        <v>0</v>
      </c>
      <c r="G364" s="161"/>
      <c r="H364" s="161" t="s">
        <v>147</v>
      </c>
      <c r="I364" s="264">
        <f>100/115*I363</f>
        <v>0</v>
      </c>
      <c r="J364" s="114"/>
      <c r="M364" s="68"/>
      <c r="N364" s="68"/>
      <c r="O364" s="68"/>
      <c r="P364" s="68"/>
      <c r="Q364" s="69"/>
      <c r="R364" s="68"/>
      <c r="T364" s="68"/>
    </row>
    <row r="365" spans="2:20" s="1" customFormat="1" ht="14.25" x14ac:dyDescent="0.15">
      <c r="M365" s="10"/>
      <c r="N365" s="10"/>
      <c r="O365" s="10"/>
      <c r="P365" s="10"/>
      <c r="Q365" s="43"/>
      <c r="R365" s="10"/>
      <c r="T365" s="10"/>
    </row>
    <row r="366" spans="2:20" s="1" customFormat="1" ht="14.25" x14ac:dyDescent="0.15">
      <c r="M366" s="10"/>
      <c r="N366" s="10"/>
      <c r="O366" s="10"/>
      <c r="P366" s="10"/>
      <c r="Q366" s="43"/>
      <c r="R366" s="10"/>
      <c r="T366" s="10"/>
    </row>
    <row r="367" spans="2:20" s="1" customFormat="1" ht="14.25" x14ac:dyDescent="0.15">
      <c r="M367" s="10"/>
      <c r="N367" s="10"/>
      <c r="O367" s="10"/>
      <c r="P367" s="10"/>
      <c r="Q367" s="43"/>
      <c r="R367" s="10"/>
      <c r="T367" s="10"/>
    </row>
    <row r="368" spans="2:20" s="1" customFormat="1" ht="14.25" x14ac:dyDescent="0.15">
      <c r="M368" s="10"/>
      <c r="N368" s="10"/>
      <c r="O368" s="10"/>
      <c r="P368" s="10"/>
      <c r="Q368" s="43"/>
      <c r="R368" s="10"/>
      <c r="T368" s="10"/>
    </row>
    <row r="369" spans="2:20" s="247" customFormat="1" ht="32.25" x14ac:dyDescent="0.4">
      <c r="B369" s="248"/>
      <c r="C369" s="380" t="s">
        <v>112</v>
      </c>
      <c r="D369" s="380"/>
      <c r="E369" s="400" t="s">
        <v>108</v>
      </c>
      <c r="F369" s="401"/>
      <c r="G369" s="401"/>
      <c r="H369" s="401"/>
      <c r="I369" s="402"/>
      <c r="J369" s="382">
        <v>2026</v>
      </c>
      <c r="K369" s="382"/>
      <c r="L369" s="382"/>
      <c r="M369" s="249"/>
      <c r="N369" s="249"/>
      <c r="O369" s="249"/>
      <c r="P369" s="249"/>
      <c r="Q369" s="250"/>
      <c r="R369" s="249"/>
      <c r="T369" s="249"/>
    </row>
    <row r="370" spans="2:20" s="1" customFormat="1" ht="22.5" x14ac:dyDescent="0.15">
      <c r="B370" s="82"/>
      <c r="C370" s="102" t="s">
        <v>114</v>
      </c>
      <c r="D370" s="388" t="s">
        <v>115</v>
      </c>
      <c r="E370" s="388"/>
      <c r="F370" s="102" t="s">
        <v>116</v>
      </c>
      <c r="G370" s="102" t="s">
        <v>117</v>
      </c>
      <c r="H370" s="102" t="s">
        <v>118</v>
      </c>
      <c r="I370" s="102" t="s">
        <v>119</v>
      </c>
      <c r="J370" s="102" t="s">
        <v>120</v>
      </c>
      <c r="K370" s="82"/>
      <c r="L370" s="82"/>
      <c r="M370" s="10"/>
      <c r="N370" s="10"/>
      <c r="O370" s="10"/>
      <c r="P370" s="10"/>
      <c r="Q370" s="43"/>
      <c r="R370" s="10"/>
      <c r="T370" s="10"/>
    </row>
    <row r="371" spans="2:20" s="1" customFormat="1" ht="14.25" x14ac:dyDescent="0.15">
      <c r="B371" s="82"/>
      <c r="C371" s="66">
        <f>C301</f>
        <v>450</v>
      </c>
      <c r="D371" s="389">
        <v>20</v>
      </c>
      <c r="E371" s="389"/>
      <c r="F371" s="13">
        <f>F301</f>
        <v>0.8</v>
      </c>
      <c r="G371" s="14">
        <f>G301</f>
        <v>8</v>
      </c>
      <c r="H371" s="142">
        <f>D371*G371*F371</f>
        <v>128</v>
      </c>
      <c r="I371" s="66">
        <f>I433</f>
        <v>0</v>
      </c>
      <c r="J371" s="143">
        <f>H371-J433</f>
        <v>128</v>
      </c>
      <c r="K371" s="82"/>
      <c r="L371" s="82"/>
      <c r="M371" s="10"/>
      <c r="N371" s="10"/>
      <c r="O371" s="10"/>
      <c r="P371" s="10"/>
      <c r="Q371" s="43"/>
      <c r="R371" s="10"/>
      <c r="T371" s="10"/>
    </row>
    <row r="372" spans="2:20" s="1" customFormat="1" ht="33.75" x14ac:dyDescent="0.15">
      <c r="B372" s="82"/>
      <c r="C372" s="167" t="s">
        <v>121</v>
      </c>
      <c r="D372" s="395" t="s">
        <v>122</v>
      </c>
      <c r="E372" s="395"/>
      <c r="F372" s="177" t="s">
        <v>123</v>
      </c>
      <c r="G372" s="178" t="s">
        <v>124</v>
      </c>
      <c r="H372" s="179" t="s">
        <v>125</v>
      </c>
      <c r="I372" s="180" t="s">
        <v>126</v>
      </c>
      <c r="J372" s="178" t="s">
        <v>127</v>
      </c>
      <c r="K372" s="114" t="s">
        <v>128</v>
      </c>
      <c r="L372" s="114" t="s">
        <v>129</v>
      </c>
      <c r="M372" s="10"/>
      <c r="N372" s="10"/>
      <c r="O372" s="10"/>
      <c r="P372" s="10"/>
      <c r="Q372" s="43"/>
      <c r="R372" s="10"/>
      <c r="T372" s="10"/>
    </row>
    <row r="373" spans="2:20" s="1" customFormat="1" ht="14.25" x14ac:dyDescent="0.15">
      <c r="B373" s="84"/>
      <c r="C373" s="81"/>
      <c r="D373" s="404"/>
      <c r="E373" s="404"/>
      <c r="F373" s="175"/>
      <c r="G373" s="87"/>
      <c r="H373" s="87"/>
      <c r="I373" s="176"/>
      <c r="J373" s="88"/>
      <c r="K373" s="79"/>
      <c r="L373" s="120"/>
      <c r="M373" s="10"/>
      <c r="N373" s="10"/>
      <c r="O373" s="10"/>
      <c r="P373" s="10"/>
      <c r="Q373" s="43"/>
      <c r="R373" s="10"/>
      <c r="T373" s="10"/>
    </row>
    <row r="374" spans="2:20" s="1" customFormat="1" ht="12.95" customHeight="1" x14ac:dyDescent="0.15">
      <c r="B374" s="16"/>
      <c r="C374" s="411" t="s">
        <v>130</v>
      </c>
      <c r="D374" s="411"/>
      <c r="E374" s="411"/>
      <c r="F374" s="129"/>
      <c r="G374" s="20"/>
      <c r="H374" s="20"/>
      <c r="I374" s="126"/>
      <c r="J374" s="21"/>
      <c r="K374" s="80"/>
      <c r="L374" s="82"/>
      <c r="M374" s="10"/>
      <c r="N374" s="10"/>
      <c r="O374" s="10"/>
      <c r="P374" s="10"/>
      <c r="Q374" s="43"/>
      <c r="R374" s="10"/>
      <c r="T374" s="10"/>
    </row>
    <row r="375" spans="2:20" s="1" customFormat="1" ht="12.95" customHeight="1" x14ac:dyDescent="0.15">
      <c r="B375" s="16"/>
      <c r="C375" s="37" t="s">
        <v>149</v>
      </c>
      <c r="D375" s="24"/>
      <c r="E375" s="24"/>
      <c r="F375" s="129"/>
      <c r="G375" s="20"/>
      <c r="H375" s="20">
        <v>1</v>
      </c>
      <c r="I375" s="126">
        <f>J375*$C$32</f>
        <v>0</v>
      </c>
      <c r="J375" s="38">
        <f t="shared" ref="J375:J385" si="31">(F375*G375*H375)/$C$32</f>
        <v>0</v>
      </c>
      <c r="K375" s="80"/>
      <c r="L375" s="82"/>
    </row>
    <row r="376" spans="2:20" s="1" customFormat="1" ht="12.95" customHeight="1" x14ac:dyDescent="0.15">
      <c r="B376" s="16">
        <v>1</v>
      </c>
      <c r="C376" s="23"/>
      <c r="D376" s="24"/>
      <c r="E376" s="24"/>
      <c r="F376" s="129"/>
      <c r="G376" s="20"/>
      <c r="H376" s="20">
        <v>1</v>
      </c>
      <c r="I376" s="126">
        <f t="shared" ref="I376:I405" si="32">J376*$C$32</f>
        <v>0</v>
      </c>
      <c r="J376" s="38">
        <f t="shared" si="31"/>
        <v>0</v>
      </c>
      <c r="K376" s="80"/>
      <c r="L376" s="82"/>
    </row>
    <row r="377" spans="2:20" s="1" customFormat="1" ht="12.95" customHeight="1" x14ac:dyDescent="0.15">
      <c r="B377" s="16">
        <v>2</v>
      </c>
      <c r="C377" s="23"/>
      <c r="D377" s="24"/>
      <c r="E377" s="24"/>
      <c r="F377" s="126"/>
      <c r="G377" s="20"/>
      <c r="H377" s="20">
        <v>1</v>
      </c>
      <c r="I377" s="126">
        <f t="shared" si="32"/>
        <v>0</v>
      </c>
      <c r="J377" s="38">
        <f t="shared" si="31"/>
        <v>0</v>
      </c>
      <c r="K377" s="80"/>
      <c r="L377" s="82"/>
    </row>
    <row r="378" spans="2:20" s="1" customFormat="1" ht="12.95" customHeight="1" x14ac:dyDescent="0.15">
      <c r="B378" s="16">
        <v>3</v>
      </c>
      <c r="C378" s="23"/>
      <c r="D378" s="25"/>
      <c r="E378" s="25"/>
      <c r="F378" s="129"/>
      <c r="G378" s="20"/>
      <c r="H378" s="20">
        <v>1</v>
      </c>
      <c r="I378" s="126">
        <f t="shared" si="32"/>
        <v>0</v>
      </c>
      <c r="J378" s="38">
        <f t="shared" si="31"/>
        <v>0</v>
      </c>
      <c r="K378" s="80"/>
      <c r="L378" s="82"/>
    </row>
    <row r="379" spans="2:20" s="1" customFormat="1" ht="12.95" customHeight="1" x14ac:dyDescent="0.15">
      <c r="B379" s="16">
        <v>4</v>
      </c>
      <c r="C379" s="23"/>
      <c r="D379" s="24"/>
      <c r="E379" s="24"/>
      <c r="F379" s="129"/>
      <c r="G379" s="20"/>
      <c r="H379" s="20">
        <v>1</v>
      </c>
      <c r="I379" s="126">
        <f t="shared" si="32"/>
        <v>0</v>
      </c>
      <c r="J379" s="38">
        <f t="shared" si="31"/>
        <v>0</v>
      </c>
      <c r="K379" s="80"/>
      <c r="L379" s="82"/>
    </row>
    <row r="380" spans="2:20" s="1" customFormat="1" ht="12.95" customHeight="1" x14ac:dyDescent="0.15">
      <c r="B380" s="16">
        <v>5</v>
      </c>
      <c r="C380" s="16"/>
      <c r="D380" s="18"/>
      <c r="E380" s="18"/>
      <c r="F380" s="129"/>
      <c r="G380" s="20"/>
      <c r="H380" s="20">
        <v>1</v>
      </c>
      <c r="I380" s="126">
        <f t="shared" si="32"/>
        <v>0</v>
      </c>
      <c r="J380" s="38">
        <f t="shared" si="31"/>
        <v>0</v>
      </c>
      <c r="K380" s="80"/>
      <c r="L380" s="82"/>
    </row>
    <row r="381" spans="2:20" s="1" customFormat="1" ht="12.95" customHeight="1" x14ac:dyDescent="0.15">
      <c r="B381" s="16">
        <v>6</v>
      </c>
      <c r="C381" s="17"/>
      <c r="D381" s="24"/>
      <c r="E381" s="24"/>
      <c r="F381" s="129"/>
      <c r="G381" s="20"/>
      <c r="H381" s="20">
        <v>1</v>
      </c>
      <c r="I381" s="126">
        <f t="shared" si="32"/>
        <v>0</v>
      </c>
      <c r="J381" s="38">
        <f t="shared" si="31"/>
        <v>0</v>
      </c>
      <c r="K381" s="80"/>
      <c r="L381" s="82"/>
    </row>
    <row r="382" spans="2:20" s="1" customFormat="1" ht="12.95" customHeight="1" x14ac:dyDescent="0.15">
      <c r="B382" s="16">
        <v>7</v>
      </c>
      <c r="C382" s="17"/>
      <c r="D382" s="24"/>
      <c r="E382" s="24"/>
      <c r="F382" s="129"/>
      <c r="G382" s="20"/>
      <c r="H382" s="20">
        <v>1</v>
      </c>
      <c r="I382" s="126">
        <f t="shared" si="32"/>
        <v>0</v>
      </c>
      <c r="J382" s="38">
        <f t="shared" si="31"/>
        <v>0</v>
      </c>
      <c r="K382" s="80"/>
      <c r="L382" s="82"/>
    </row>
    <row r="383" spans="2:20" s="1" customFormat="1" ht="12.95" customHeight="1" x14ac:dyDescent="0.15">
      <c r="B383" s="16">
        <v>8</v>
      </c>
      <c r="C383" s="23"/>
      <c r="D383" s="48"/>
      <c r="E383" s="48"/>
      <c r="F383" s="129"/>
      <c r="G383" s="20"/>
      <c r="H383" s="20">
        <v>1</v>
      </c>
      <c r="I383" s="126">
        <f t="shared" si="32"/>
        <v>0</v>
      </c>
      <c r="J383" s="38">
        <f t="shared" si="31"/>
        <v>0</v>
      </c>
      <c r="K383" s="80"/>
      <c r="L383" s="82"/>
    </row>
    <row r="384" spans="2:20" s="1" customFormat="1" ht="12.95" customHeight="1" x14ac:dyDescent="0.15">
      <c r="B384" s="16">
        <v>9</v>
      </c>
      <c r="C384" s="23"/>
      <c r="D384" s="48"/>
      <c r="E384" s="48"/>
      <c r="F384" s="129"/>
      <c r="G384" s="20"/>
      <c r="H384" s="20">
        <v>1</v>
      </c>
      <c r="I384" s="126">
        <f t="shared" si="32"/>
        <v>0</v>
      </c>
      <c r="J384" s="38">
        <f t="shared" si="31"/>
        <v>0</v>
      </c>
      <c r="K384" s="80"/>
      <c r="L384" s="82"/>
    </row>
    <row r="385" spans="2:15" s="1" customFormat="1" ht="12.95" customHeight="1" x14ac:dyDescent="0.15">
      <c r="B385" s="16">
        <v>10</v>
      </c>
      <c r="C385" s="23"/>
      <c r="D385" s="48"/>
      <c r="E385" s="48"/>
      <c r="F385" s="129"/>
      <c r="G385" s="20"/>
      <c r="H385" s="20">
        <v>1</v>
      </c>
      <c r="I385" s="126">
        <f t="shared" si="32"/>
        <v>0</v>
      </c>
      <c r="J385" s="38">
        <f t="shared" si="31"/>
        <v>0</v>
      </c>
      <c r="K385" s="80"/>
      <c r="L385" s="82"/>
    </row>
    <row r="386" spans="2:15" s="1" customFormat="1" ht="12.95" customHeight="1" x14ac:dyDescent="0.15">
      <c r="B386" s="16"/>
      <c r="C386" s="23"/>
      <c r="D386" s="49"/>
      <c r="E386" s="48"/>
      <c r="F386" s="129"/>
      <c r="G386" s="20"/>
      <c r="H386" s="20"/>
      <c r="I386" s="126"/>
      <c r="J386" s="38"/>
      <c r="K386" s="80"/>
      <c r="L386" s="82"/>
    </row>
    <row r="387" spans="2:15" s="1" customFormat="1" ht="12.95" customHeight="1" x14ac:dyDescent="0.15">
      <c r="B387" s="16"/>
      <c r="C387" s="23"/>
      <c r="D387" s="49"/>
      <c r="E387" s="48"/>
      <c r="F387" s="129"/>
      <c r="G387" s="20"/>
      <c r="H387" s="20"/>
      <c r="I387" s="126"/>
      <c r="J387" s="38"/>
      <c r="K387" s="80"/>
      <c r="L387" s="82"/>
    </row>
    <row r="388" spans="2:15" s="1" customFormat="1" ht="12.95" customHeight="1" x14ac:dyDescent="0.15">
      <c r="B388" s="16"/>
      <c r="C388" s="72" t="s">
        <v>153</v>
      </c>
      <c r="D388" s="48"/>
      <c r="E388" s="49"/>
      <c r="F388" s="129"/>
      <c r="G388" s="20"/>
      <c r="H388" s="20"/>
      <c r="I388" s="126"/>
      <c r="J388" s="38"/>
      <c r="K388" s="80"/>
      <c r="L388" s="82"/>
    </row>
    <row r="389" spans="2:15" s="1" customFormat="1" ht="12.95" customHeight="1" x14ac:dyDescent="0.15">
      <c r="B389" s="16">
        <v>1</v>
      </c>
      <c r="C389" s="23"/>
      <c r="D389" s="48"/>
      <c r="E389" s="49"/>
      <c r="F389" s="129"/>
      <c r="G389" s="20"/>
      <c r="H389" s="20">
        <v>1</v>
      </c>
      <c r="I389" s="126">
        <f t="shared" si="32"/>
        <v>0</v>
      </c>
      <c r="J389" s="38">
        <f t="shared" ref="J389:J408" si="33">(F389*G389*H389)/$C$32</f>
        <v>0</v>
      </c>
      <c r="K389" s="80"/>
      <c r="L389" s="82"/>
    </row>
    <row r="390" spans="2:15" s="1" customFormat="1" ht="14.85" customHeight="1" x14ac:dyDescent="0.15">
      <c r="B390" s="16">
        <v>2</v>
      </c>
      <c r="C390" s="23"/>
      <c r="D390" s="48"/>
      <c r="E390" s="49"/>
      <c r="F390" s="129"/>
      <c r="G390" s="20"/>
      <c r="H390" s="20">
        <v>1</v>
      </c>
      <c r="I390" s="126">
        <f t="shared" si="32"/>
        <v>0</v>
      </c>
      <c r="J390" s="38">
        <f t="shared" si="33"/>
        <v>0</v>
      </c>
      <c r="K390" s="80"/>
      <c r="L390" s="82"/>
    </row>
    <row r="391" spans="2:15" s="1" customFormat="1" ht="12.95" customHeight="1" x14ac:dyDescent="0.15">
      <c r="B391" s="16">
        <v>3</v>
      </c>
      <c r="C391" s="23"/>
      <c r="D391" s="48"/>
      <c r="E391" s="49"/>
      <c r="F391" s="129"/>
      <c r="G391" s="20"/>
      <c r="H391" s="20">
        <v>1</v>
      </c>
      <c r="I391" s="126">
        <f t="shared" si="32"/>
        <v>0</v>
      </c>
      <c r="J391" s="38">
        <f t="shared" si="33"/>
        <v>0</v>
      </c>
      <c r="K391" s="80"/>
      <c r="L391" s="82"/>
    </row>
    <row r="392" spans="2:15" s="1" customFormat="1" ht="12.95" customHeight="1" x14ac:dyDescent="0.15">
      <c r="B392" s="16">
        <v>4</v>
      </c>
      <c r="C392" s="23"/>
      <c r="D392" s="48"/>
      <c r="E392" s="49"/>
      <c r="F392" s="129"/>
      <c r="G392" s="20"/>
      <c r="H392" s="20">
        <v>1</v>
      </c>
      <c r="I392" s="126">
        <f t="shared" si="32"/>
        <v>0</v>
      </c>
      <c r="J392" s="38">
        <f t="shared" si="33"/>
        <v>0</v>
      </c>
      <c r="K392" s="80"/>
      <c r="L392" s="82"/>
    </row>
    <row r="393" spans="2:15" s="1" customFormat="1" ht="12.95" customHeight="1" x14ac:dyDescent="0.15">
      <c r="B393" s="16">
        <v>5</v>
      </c>
      <c r="C393" s="23"/>
      <c r="D393" s="48"/>
      <c r="E393" s="48"/>
      <c r="F393" s="129"/>
      <c r="G393" s="20"/>
      <c r="H393" s="20">
        <v>1</v>
      </c>
      <c r="I393" s="126">
        <f t="shared" si="32"/>
        <v>0</v>
      </c>
      <c r="J393" s="38">
        <f t="shared" si="33"/>
        <v>0</v>
      </c>
      <c r="K393" s="80"/>
      <c r="L393" s="82"/>
    </row>
    <row r="394" spans="2:15" s="1" customFormat="1" ht="12.95" customHeight="1" x14ac:dyDescent="0.15">
      <c r="B394" s="16">
        <v>6</v>
      </c>
      <c r="C394" s="23"/>
      <c r="D394" s="48"/>
      <c r="E394" s="48"/>
      <c r="F394" s="129"/>
      <c r="G394" s="20"/>
      <c r="H394" s="20">
        <v>1</v>
      </c>
      <c r="I394" s="126">
        <f t="shared" si="32"/>
        <v>0</v>
      </c>
      <c r="J394" s="38">
        <f t="shared" si="33"/>
        <v>0</v>
      </c>
      <c r="K394" s="80"/>
      <c r="L394" s="82"/>
    </row>
    <row r="395" spans="2:15" s="1" customFormat="1" ht="12.95" customHeight="1" x14ac:dyDescent="0.15">
      <c r="B395" s="16">
        <v>7</v>
      </c>
      <c r="C395" s="23"/>
      <c r="D395" s="48"/>
      <c r="E395" s="48"/>
      <c r="F395" s="129"/>
      <c r="G395" s="20"/>
      <c r="H395" s="20">
        <v>1</v>
      </c>
      <c r="I395" s="126">
        <f t="shared" si="32"/>
        <v>0</v>
      </c>
      <c r="J395" s="38">
        <f t="shared" si="33"/>
        <v>0</v>
      </c>
      <c r="K395" s="80"/>
      <c r="L395" s="82"/>
    </row>
    <row r="396" spans="2:15" s="1" customFormat="1" ht="12.95" customHeight="1" x14ac:dyDescent="0.15">
      <c r="B396" s="16">
        <v>8</v>
      </c>
      <c r="C396" s="23"/>
      <c r="D396" s="48"/>
      <c r="E396" s="48"/>
      <c r="F396" s="129"/>
      <c r="G396" s="20"/>
      <c r="H396" s="20">
        <v>1</v>
      </c>
      <c r="I396" s="126">
        <f t="shared" si="32"/>
        <v>0</v>
      </c>
      <c r="J396" s="38">
        <f t="shared" si="33"/>
        <v>0</v>
      </c>
      <c r="K396" s="80"/>
      <c r="L396" s="82"/>
      <c r="M396" s="39"/>
      <c r="N396" s="40"/>
      <c r="O396" s="40"/>
    </row>
    <row r="397" spans="2:15" s="1" customFormat="1" ht="12.95" customHeight="1" x14ac:dyDescent="0.15">
      <c r="B397" s="16">
        <v>9</v>
      </c>
      <c r="C397" s="23"/>
      <c r="D397" s="48"/>
      <c r="E397" s="48"/>
      <c r="F397" s="129"/>
      <c r="G397" s="20"/>
      <c r="H397" s="20">
        <v>1</v>
      </c>
      <c r="I397" s="126">
        <f t="shared" si="32"/>
        <v>0</v>
      </c>
      <c r="J397" s="38">
        <f t="shared" si="33"/>
        <v>0</v>
      </c>
      <c r="K397" s="80"/>
      <c r="L397" s="82"/>
    </row>
    <row r="398" spans="2:15" s="1" customFormat="1" ht="12.95" customHeight="1" x14ac:dyDescent="0.15">
      <c r="B398" s="16">
        <v>10</v>
      </c>
      <c r="C398" s="23"/>
      <c r="D398" s="48"/>
      <c r="E398" s="48"/>
      <c r="F398" s="129"/>
      <c r="G398" s="20"/>
      <c r="H398" s="20">
        <v>1</v>
      </c>
      <c r="I398" s="126">
        <f t="shared" si="32"/>
        <v>0</v>
      </c>
      <c r="J398" s="38">
        <f t="shared" si="33"/>
        <v>0</v>
      </c>
      <c r="K398" s="80"/>
      <c r="L398" s="82"/>
    </row>
    <row r="399" spans="2:15" s="1" customFormat="1" ht="12.95" customHeight="1" x14ac:dyDescent="0.15">
      <c r="B399" s="16">
        <v>11</v>
      </c>
      <c r="C399" s="23"/>
      <c r="D399" s="48"/>
      <c r="E399" s="48"/>
      <c r="F399" s="130"/>
      <c r="G399" s="20"/>
      <c r="H399" s="20">
        <v>1</v>
      </c>
      <c r="I399" s="126">
        <f t="shared" si="32"/>
        <v>0</v>
      </c>
      <c r="J399" s="38">
        <f t="shared" si="33"/>
        <v>0</v>
      </c>
      <c r="K399" s="80"/>
      <c r="L399" s="82"/>
    </row>
    <row r="400" spans="2:15" s="1" customFormat="1" ht="12.95" customHeight="1" x14ac:dyDescent="0.15">
      <c r="B400" s="16">
        <v>12</v>
      </c>
      <c r="C400" s="23"/>
      <c r="D400" s="48"/>
      <c r="E400" s="48"/>
      <c r="F400" s="129"/>
      <c r="G400" s="20"/>
      <c r="H400" s="20">
        <v>1</v>
      </c>
      <c r="I400" s="126">
        <f t="shared" si="32"/>
        <v>0</v>
      </c>
      <c r="J400" s="38">
        <f t="shared" si="33"/>
        <v>0</v>
      </c>
      <c r="K400" s="80"/>
      <c r="L400" s="82"/>
    </row>
    <row r="401" spans="2:20" s="1" customFormat="1" ht="12.95" customHeight="1" x14ac:dyDescent="0.15">
      <c r="B401" s="16">
        <v>13</v>
      </c>
      <c r="C401" s="23"/>
      <c r="D401" s="48"/>
      <c r="E401" s="48"/>
      <c r="F401" s="129"/>
      <c r="G401" s="20"/>
      <c r="H401" s="20">
        <v>1</v>
      </c>
      <c r="I401" s="126">
        <f t="shared" si="32"/>
        <v>0</v>
      </c>
      <c r="J401" s="38">
        <f t="shared" si="33"/>
        <v>0</v>
      </c>
      <c r="K401" s="80"/>
      <c r="L401" s="82"/>
    </row>
    <row r="402" spans="2:20" s="1" customFormat="1" ht="12.95" customHeight="1" x14ac:dyDescent="0.15">
      <c r="B402" s="16">
        <v>14</v>
      </c>
      <c r="C402" s="23"/>
      <c r="D402" s="48"/>
      <c r="E402" s="48"/>
      <c r="F402" s="129"/>
      <c r="G402" s="20"/>
      <c r="H402" s="20">
        <v>1</v>
      </c>
      <c r="I402" s="126">
        <f t="shared" si="32"/>
        <v>0</v>
      </c>
      <c r="J402" s="38">
        <f t="shared" si="33"/>
        <v>0</v>
      </c>
      <c r="K402" s="80"/>
      <c r="L402" s="82"/>
    </row>
    <row r="403" spans="2:20" s="1" customFormat="1" ht="12.95" customHeight="1" x14ac:dyDescent="0.15">
      <c r="B403" s="16">
        <v>15</v>
      </c>
      <c r="C403" s="23"/>
      <c r="D403" s="48"/>
      <c r="E403" s="48"/>
      <c r="F403" s="129"/>
      <c r="G403" s="20"/>
      <c r="H403" s="20">
        <v>1</v>
      </c>
      <c r="I403" s="126">
        <f t="shared" si="32"/>
        <v>0</v>
      </c>
      <c r="J403" s="38">
        <f t="shared" si="33"/>
        <v>0</v>
      </c>
      <c r="K403" s="80"/>
      <c r="L403" s="82"/>
    </row>
    <row r="404" spans="2:20" s="1" customFormat="1" ht="12.95" customHeight="1" x14ac:dyDescent="0.15">
      <c r="B404" s="16">
        <v>16</v>
      </c>
      <c r="C404" s="23"/>
      <c r="D404" s="48"/>
      <c r="E404" s="48"/>
      <c r="F404" s="129"/>
      <c r="G404" s="20"/>
      <c r="H404" s="20">
        <v>1</v>
      </c>
      <c r="I404" s="126">
        <f t="shared" si="32"/>
        <v>0</v>
      </c>
      <c r="J404" s="38">
        <f t="shared" si="33"/>
        <v>0</v>
      </c>
      <c r="K404" s="80"/>
      <c r="L404" s="82"/>
    </row>
    <row r="405" spans="2:20" s="1" customFormat="1" ht="12.95" customHeight="1" x14ac:dyDescent="0.2">
      <c r="B405" s="16">
        <v>17</v>
      </c>
      <c r="C405" s="410"/>
      <c r="D405" s="410"/>
      <c r="E405" s="410"/>
      <c r="F405" s="129"/>
      <c r="G405" s="20"/>
      <c r="H405" s="20">
        <v>1</v>
      </c>
      <c r="I405" s="126">
        <f t="shared" si="32"/>
        <v>0</v>
      </c>
      <c r="J405" s="21">
        <f t="shared" si="33"/>
        <v>0</v>
      </c>
      <c r="K405" s="80"/>
      <c r="L405" s="82"/>
      <c r="M405" s="10"/>
      <c r="N405" s="10"/>
      <c r="O405" s="10"/>
      <c r="P405" s="10"/>
      <c r="Q405" s="43"/>
      <c r="R405" s="10"/>
      <c r="T405" s="10"/>
    </row>
    <row r="406" spans="2:20" s="1" customFormat="1" ht="12.95" customHeight="1" x14ac:dyDescent="0.15">
      <c r="B406" s="16">
        <v>18</v>
      </c>
      <c r="C406" s="60"/>
      <c r="D406" s="49"/>
      <c r="E406" s="49"/>
      <c r="F406" s="129"/>
      <c r="G406" s="20"/>
      <c r="H406" s="20">
        <v>1</v>
      </c>
      <c r="I406" s="126">
        <f>J406*$C$32</f>
        <v>0</v>
      </c>
      <c r="J406" s="21">
        <f t="shared" si="33"/>
        <v>0</v>
      </c>
      <c r="K406" s="80"/>
      <c r="L406" s="82"/>
      <c r="M406" s="10"/>
      <c r="N406" s="10"/>
      <c r="O406" s="10"/>
      <c r="P406" s="10"/>
      <c r="Q406" s="43"/>
      <c r="R406" s="10"/>
      <c r="T406" s="10"/>
    </row>
    <row r="407" spans="2:20" s="1" customFormat="1" ht="12.95" customHeight="1" x14ac:dyDescent="0.15">
      <c r="B407" s="16">
        <v>19</v>
      </c>
      <c r="C407" s="59"/>
      <c r="D407" s="49"/>
      <c r="E407" s="49"/>
      <c r="F407" s="129"/>
      <c r="G407" s="20"/>
      <c r="H407" s="20">
        <v>1</v>
      </c>
      <c r="I407" s="126">
        <f t="shared" ref="I407:I421" si="34">J407*$C$32</f>
        <v>0</v>
      </c>
      <c r="J407" s="21">
        <f t="shared" si="33"/>
        <v>0</v>
      </c>
      <c r="K407" s="80"/>
      <c r="L407" s="82"/>
      <c r="M407" s="10"/>
      <c r="N407" s="10"/>
      <c r="O407" s="10"/>
      <c r="P407" s="10"/>
      <c r="Q407" s="43"/>
      <c r="R407" s="10"/>
      <c r="T407" s="10"/>
    </row>
    <row r="408" spans="2:20" s="1" customFormat="1" ht="12.95" customHeight="1" x14ac:dyDescent="0.15">
      <c r="B408" s="16">
        <v>20</v>
      </c>
      <c r="C408" s="70"/>
      <c r="D408" s="49"/>
      <c r="E408" s="49"/>
      <c r="F408" s="129"/>
      <c r="G408" s="20"/>
      <c r="H408" s="20">
        <v>1</v>
      </c>
      <c r="I408" s="126">
        <f t="shared" si="34"/>
        <v>0</v>
      </c>
      <c r="J408" s="21">
        <f t="shared" si="33"/>
        <v>0</v>
      </c>
      <c r="K408" s="80"/>
      <c r="L408" s="82"/>
      <c r="M408" s="10"/>
      <c r="N408" s="10"/>
      <c r="O408" s="10"/>
      <c r="P408" s="10"/>
      <c r="Q408" s="43"/>
      <c r="R408" s="10"/>
      <c r="T408" s="10"/>
    </row>
    <row r="409" spans="2:20" s="1" customFormat="1" ht="12.95" customHeight="1" x14ac:dyDescent="0.15">
      <c r="B409" s="16"/>
      <c r="C409" s="70"/>
      <c r="D409" s="49"/>
      <c r="E409" s="49"/>
      <c r="F409" s="129"/>
      <c r="G409" s="20"/>
      <c r="H409" s="20"/>
      <c r="I409" s="126"/>
      <c r="J409" s="21"/>
      <c r="K409" s="80"/>
      <c r="L409" s="82"/>
      <c r="M409" s="10"/>
      <c r="N409" s="10"/>
      <c r="O409" s="10"/>
      <c r="P409" s="10"/>
      <c r="Q409" s="43"/>
      <c r="R409" s="10"/>
      <c r="T409" s="10"/>
    </row>
    <row r="410" spans="2:20" s="1" customFormat="1" ht="12.95" customHeight="1" x14ac:dyDescent="0.15">
      <c r="B410" s="16"/>
      <c r="C410" s="70"/>
      <c r="D410" s="49"/>
      <c r="E410" s="49"/>
      <c r="F410" s="129"/>
      <c r="G410" s="20"/>
      <c r="H410" s="20"/>
      <c r="I410" s="126"/>
      <c r="J410" s="21"/>
      <c r="K410" s="80"/>
      <c r="L410" s="82"/>
      <c r="M410" s="10"/>
      <c r="N410" s="10"/>
      <c r="O410" s="10"/>
      <c r="P410" s="10"/>
      <c r="Q410" s="43"/>
      <c r="R410" s="10"/>
      <c r="T410" s="10"/>
    </row>
    <row r="411" spans="2:20" s="1" customFormat="1" ht="12.95" customHeight="1" x14ac:dyDescent="0.15">
      <c r="B411" s="16"/>
      <c r="C411" s="70" t="s">
        <v>159</v>
      </c>
      <c r="D411" s="49"/>
      <c r="E411" s="49"/>
      <c r="F411" s="129"/>
      <c r="G411" s="20"/>
      <c r="H411" s="20"/>
      <c r="I411" s="126"/>
      <c r="J411" s="21"/>
      <c r="K411" s="80"/>
      <c r="L411" s="82"/>
      <c r="M411" s="10"/>
      <c r="N411" s="10"/>
      <c r="O411" s="10"/>
      <c r="P411" s="10"/>
      <c r="Q411" s="43"/>
      <c r="R411" s="10"/>
      <c r="T411" s="10"/>
    </row>
    <row r="412" spans="2:20" s="1" customFormat="1" ht="12.95" customHeight="1" x14ac:dyDescent="0.15">
      <c r="B412" s="16">
        <v>1</v>
      </c>
      <c r="C412" s="61"/>
      <c r="D412" s="49"/>
      <c r="E412" s="49"/>
      <c r="F412" s="129"/>
      <c r="G412" s="20"/>
      <c r="H412" s="20">
        <v>1</v>
      </c>
      <c r="I412" s="126">
        <f t="shared" si="34"/>
        <v>0</v>
      </c>
      <c r="J412" s="21">
        <f t="shared" ref="J412:J431" si="35">(F412*G412*H412)/$C$32</f>
        <v>0</v>
      </c>
      <c r="K412" s="80"/>
      <c r="L412" s="82"/>
      <c r="M412" s="10"/>
      <c r="N412" s="10"/>
      <c r="O412" s="10"/>
      <c r="P412" s="10"/>
      <c r="Q412" s="43"/>
      <c r="R412" s="10"/>
      <c r="T412" s="10"/>
    </row>
    <row r="413" spans="2:20" s="1" customFormat="1" ht="14.25" x14ac:dyDescent="0.15">
      <c r="B413" s="16">
        <v>2</v>
      </c>
      <c r="C413" s="61"/>
      <c r="D413" s="49"/>
      <c r="E413" s="49"/>
      <c r="F413" s="129"/>
      <c r="G413" s="20"/>
      <c r="H413" s="20">
        <v>1</v>
      </c>
      <c r="I413" s="126">
        <f t="shared" si="34"/>
        <v>0</v>
      </c>
      <c r="J413" s="21">
        <f t="shared" si="35"/>
        <v>0</v>
      </c>
      <c r="K413" s="80"/>
      <c r="L413" s="82"/>
    </row>
    <row r="414" spans="2:20" s="1" customFormat="1" ht="14.25" x14ac:dyDescent="0.15">
      <c r="B414" s="16">
        <v>3</v>
      </c>
      <c r="C414" s="61"/>
      <c r="D414" s="49"/>
      <c r="E414" s="49"/>
      <c r="F414" s="129"/>
      <c r="G414" s="20"/>
      <c r="H414" s="20">
        <v>1</v>
      </c>
      <c r="I414" s="126">
        <f t="shared" si="34"/>
        <v>0</v>
      </c>
      <c r="J414" s="21">
        <f t="shared" si="35"/>
        <v>0</v>
      </c>
      <c r="K414" s="80"/>
      <c r="L414" s="82"/>
    </row>
    <row r="415" spans="2:20" s="1" customFormat="1" ht="14.25" x14ac:dyDescent="0.15">
      <c r="B415" s="16">
        <v>4</v>
      </c>
      <c r="C415" s="61"/>
      <c r="D415" s="49"/>
      <c r="E415" s="49"/>
      <c r="F415" s="129"/>
      <c r="G415" s="20"/>
      <c r="H415" s="20">
        <v>1</v>
      </c>
      <c r="I415" s="126">
        <f t="shared" si="34"/>
        <v>0</v>
      </c>
      <c r="J415" s="21">
        <f t="shared" si="35"/>
        <v>0</v>
      </c>
      <c r="K415" s="80"/>
      <c r="L415" s="82"/>
    </row>
    <row r="416" spans="2:20" s="1" customFormat="1" ht="16.5" x14ac:dyDescent="0.2">
      <c r="B416" s="16">
        <v>5</v>
      </c>
      <c r="C416" s="71"/>
      <c r="D416" s="49"/>
      <c r="E416" s="49"/>
      <c r="F416" s="129"/>
      <c r="G416" s="20"/>
      <c r="H416" s="20">
        <v>1</v>
      </c>
      <c r="I416" s="126">
        <f t="shared" si="34"/>
        <v>0</v>
      </c>
      <c r="J416" s="21">
        <f t="shared" si="35"/>
        <v>0</v>
      </c>
      <c r="K416" s="80"/>
      <c r="L416" s="82"/>
    </row>
    <row r="417" spans="2:12" s="1" customFormat="1" ht="14.25" x14ac:dyDescent="0.15">
      <c r="B417" s="16">
        <v>6</v>
      </c>
      <c r="C417" s="61"/>
      <c r="D417" s="49"/>
      <c r="E417" s="49"/>
      <c r="F417" s="129"/>
      <c r="G417" s="20"/>
      <c r="H417" s="20">
        <v>1</v>
      </c>
      <c r="I417" s="126">
        <f t="shared" si="34"/>
        <v>0</v>
      </c>
      <c r="J417" s="21">
        <f t="shared" si="35"/>
        <v>0</v>
      </c>
      <c r="K417" s="80"/>
      <c r="L417" s="82"/>
    </row>
    <row r="418" spans="2:12" s="1" customFormat="1" ht="14.25" x14ac:dyDescent="0.15">
      <c r="B418" s="16">
        <v>7</v>
      </c>
      <c r="C418" s="61"/>
      <c r="D418" s="49"/>
      <c r="E418" s="49"/>
      <c r="F418" s="129"/>
      <c r="G418" s="20"/>
      <c r="H418" s="20">
        <v>1</v>
      </c>
      <c r="I418" s="126">
        <f t="shared" si="34"/>
        <v>0</v>
      </c>
      <c r="J418" s="21">
        <f t="shared" si="35"/>
        <v>0</v>
      </c>
      <c r="K418" s="80"/>
      <c r="L418" s="82"/>
    </row>
    <row r="419" spans="2:12" s="1" customFormat="1" ht="14.25" x14ac:dyDescent="0.15">
      <c r="B419" s="16">
        <v>8</v>
      </c>
      <c r="C419" s="61"/>
      <c r="D419" s="49"/>
      <c r="E419" s="49"/>
      <c r="F419" s="129"/>
      <c r="G419" s="20"/>
      <c r="H419" s="20">
        <v>1</v>
      </c>
      <c r="I419" s="126">
        <f t="shared" si="34"/>
        <v>0</v>
      </c>
      <c r="J419" s="21">
        <f t="shared" si="35"/>
        <v>0</v>
      </c>
      <c r="K419" s="80"/>
      <c r="L419" s="82"/>
    </row>
    <row r="420" spans="2:12" s="1" customFormat="1" ht="14.25" x14ac:dyDescent="0.15">
      <c r="B420" s="16">
        <v>9</v>
      </c>
      <c r="C420" s="61"/>
      <c r="D420" s="49"/>
      <c r="E420" s="49"/>
      <c r="F420" s="129"/>
      <c r="G420" s="20"/>
      <c r="H420" s="20">
        <v>1</v>
      </c>
      <c r="I420" s="126">
        <f t="shared" si="34"/>
        <v>0</v>
      </c>
      <c r="J420" s="21">
        <f t="shared" si="35"/>
        <v>0</v>
      </c>
      <c r="K420" s="80"/>
      <c r="L420" s="82"/>
    </row>
    <row r="421" spans="2:12" s="1" customFormat="1" ht="14.25" x14ac:dyDescent="0.15">
      <c r="B421" s="16">
        <v>10</v>
      </c>
      <c r="C421" s="61"/>
      <c r="D421" s="49"/>
      <c r="E421" s="49"/>
      <c r="F421" s="129"/>
      <c r="G421" s="20"/>
      <c r="H421" s="20">
        <v>1</v>
      </c>
      <c r="I421" s="126">
        <f t="shared" si="34"/>
        <v>0</v>
      </c>
      <c r="J421" s="21">
        <f t="shared" si="35"/>
        <v>0</v>
      </c>
      <c r="K421" s="80"/>
      <c r="L421" s="82"/>
    </row>
    <row r="422" spans="2:12" s="1" customFormat="1" ht="14.25" x14ac:dyDescent="0.15">
      <c r="B422" s="16">
        <v>11</v>
      </c>
      <c r="C422" s="61"/>
      <c r="D422" s="49"/>
      <c r="E422" s="49"/>
      <c r="F422" s="129"/>
      <c r="G422" s="20"/>
      <c r="H422" s="20">
        <v>1</v>
      </c>
      <c r="I422" s="126">
        <f>J422*$C$32</f>
        <v>0</v>
      </c>
      <c r="J422" s="21">
        <f t="shared" si="35"/>
        <v>0</v>
      </c>
      <c r="K422" s="80"/>
      <c r="L422" s="82"/>
    </row>
    <row r="423" spans="2:12" s="1" customFormat="1" ht="14.25" x14ac:dyDescent="0.15">
      <c r="B423" s="16">
        <v>12</v>
      </c>
      <c r="C423" s="46"/>
      <c r="D423" s="18"/>
      <c r="E423" s="18"/>
      <c r="F423" s="129"/>
      <c r="G423" s="20"/>
      <c r="H423" s="20">
        <v>1</v>
      </c>
      <c r="I423" s="126">
        <f t="shared" ref="I423:I431" si="36">J423*$C$32</f>
        <v>0</v>
      </c>
      <c r="J423" s="21">
        <f t="shared" si="35"/>
        <v>0</v>
      </c>
      <c r="K423" s="80"/>
      <c r="L423" s="82"/>
    </row>
    <row r="424" spans="2:12" s="1" customFormat="1" ht="14.25" x14ac:dyDescent="0.15">
      <c r="B424" s="16">
        <v>13</v>
      </c>
      <c r="C424" s="46"/>
      <c r="D424" s="18"/>
      <c r="E424" s="18"/>
      <c r="F424" s="129"/>
      <c r="G424" s="20"/>
      <c r="H424" s="20">
        <v>1</v>
      </c>
      <c r="I424" s="126">
        <f t="shared" si="36"/>
        <v>0</v>
      </c>
      <c r="J424" s="21">
        <f t="shared" si="35"/>
        <v>0</v>
      </c>
      <c r="K424" s="80"/>
      <c r="L424" s="82"/>
    </row>
    <row r="425" spans="2:12" s="1" customFormat="1" ht="14.25" x14ac:dyDescent="0.15">
      <c r="B425" s="16">
        <v>14</v>
      </c>
      <c r="C425" s="46"/>
      <c r="D425" s="18"/>
      <c r="E425" s="18"/>
      <c r="F425" s="129"/>
      <c r="G425" s="20"/>
      <c r="H425" s="20">
        <v>1</v>
      </c>
      <c r="I425" s="126">
        <f t="shared" si="36"/>
        <v>0</v>
      </c>
      <c r="J425" s="21">
        <f t="shared" si="35"/>
        <v>0</v>
      </c>
      <c r="K425" s="80"/>
      <c r="L425" s="82"/>
    </row>
    <row r="426" spans="2:12" s="1" customFormat="1" ht="14.25" x14ac:dyDescent="0.15">
      <c r="B426" s="16">
        <v>15</v>
      </c>
      <c r="C426" s="46"/>
      <c r="D426" s="18"/>
      <c r="E426" s="18"/>
      <c r="F426" s="129"/>
      <c r="G426" s="20"/>
      <c r="H426" s="20">
        <v>1</v>
      </c>
      <c r="I426" s="126">
        <f t="shared" si="36"/>
        <v>0</v>
      </c>
      <c r="J426" s="21">
        <f t="shared" si="35"/>
        <v>0</v>
      </c>
      <c r="K426" s="80"/>
      <c r="L426" s="82"/>
    </row>
    <row r="427" spans="2:12" s="1" customFormat="1" ht="14.25" x14ac:dyDescent="0.15">
      <c r="B427" s="16">
        <v>16</v>
      </c>
      <c r="C427" s="46"/>
      <c r="D427" s="18"/>
      <c r="E427" s="18"/>
      <c r="F427" s="129"/>
      <c r="G427" s="20"/>
      <c r="H427" s="20">
        <v>1</v>
      </c>
      <c r="I427" s="126">
        <f t="shared" si="36"/>
        <v>0</v>
      </c>
      <c r="J427" s="21">
        <f t="shared" si="35"/>
        <v>0</v>
      </c>
      <c r="K427" s="80"/>
      <c r="L427" s="82"/>
    </row>
    <row r="428" spans="2:12" s="1" customFormat="1" ht="14.25" x14ac:dyDescent="0.15">
      <c r="B428" s="16">
        <v>17</v>
      </c>
      <c r="C428" s="46"/>
      <c r="D428" s="18"/>
      <c r="E428" s="18"/>
      <c r="F428" s="129"/>
      <c r="G428" s="20"/>
      <c r="H428" s="20">
        <v>1</v>
      </c>
      <c r="I428" s="126">
        <f t="shared" si="36"/>
        <v>0</v>
      </c>
      <c r="J428" s="78">
        <f t="shared" si="35"/>
        <v>0</v>
      </c>
      <c r="K428" s="111"/>
      <c r="L428" s="119"/>
    </row>
    <row r="429" spans="2:12" s="1" customFormat="1" ht="14.25" x14ac:dyDescent="0.15">
      <c r="B429" s="16">
        <v>18</v>
      </c>
      <c r="C429" s="46"/>
      <c r="D429" s="18"/>
      <c r="E429" s="18"/>
      <c r="F429" s="129"/>
      <c r="G429" s="20"/>
      <c r="H429" s="20">
        <v>1</v>
      </c>
      <c r="I429" s="254">
        <f t="shared" si="36"/>
        <v>0</v>
      </c>
      <c r="J429" s="94">
        <f t="shared" si="35"/>
        <v>0</v>
      </c>
      <c r="K429" s="82"/>
      <c r="L429" s="82"/>
    </row>
    <row r="430" spans="2:12" s="1" customFormat="1" ht="14.25" x14ac:dyDescent="0.15">
      <c r="B430" s="16">
        <v>19</v>
      </c>
      <c r="C430" s="46"/>
      <c r="D430" s="18"/>
      <c r="E430" s="18"/>
      <c r="F430" s="129"/>
      <c r="G430" s="20"/>
      <c r="H430" s="20">
        <v>1</v>
      </c>
      <c r="I430" s="254">
        <f t="shared" si="36"/>
        <v>0</v>
      </c>
      <c r="J430" s="94">
        <f t="shared" si="35"/>
        <v>0</v>
      </c>
      <c r="K430" s="82"/>
      <c r="L430" s="82"/>
    </row>
    <row r="431" spans="2:12" s="1" customFormat="1" ht="14.25" x14ac:dyDescent="0.15">
      <c r="B431" s="16">
        <v>20</v>
      </c>
      <c r="C431" s="46"/>
      <c r="D431" s="18"/>
      <c r="E431" s="18"/>
      <c r="F431" s="129"/>
      <c r="G431" s="20"/>
      <c r="H431" s="20">
        <v>1</v>
      </c>
      <c r="I431" s="254">
        <f t="shared" si="36"/>
        <v>0</v>
      </c>
      <c r="J431" s="94">
        <f t="shared" si="35"/>
        <v>0</v>
      </c>
      <c r="K431" s="82"/>
      <c r="L431" s="82"/>
    </row>
    <row r="432" spans="2:12" s="1" customFormat="1" ht="14.25" x14ac:dyDescent="0.15">
      <c r="B432" s="83"/>
      <c r="C432" s="174"/>
      <c r="D432" s="75"/>
      <c r="E432" s="75"/>
      <c r="F432" s="132"/>
      <c r="G432" s="77"/>
      <c r="H432" s="77"/>
      <c r="I432" s="255"/>
      <c r="J432" s="94"/>
      <c r="K432" s="82"/>
      <c r="L432" s="82"/>
    </row>
    <row r="433" spans="2:12" s="1" customFormat="1" ht="12.75" x14ac:dyDescent="0.15">
      <c r="B433" s="82"/>
      <c r="C433" s="102"/>
      <c r="D433" s="103"/>
      <c r="E433" s="102"/>
      <c r="F433" s="128">
        <f>SUM(F373:F432)</f>
        <v>0</v>
      </c>
      <c r="G433" s="104"/>
      <c r="H433" s="105"/>
      <c r="I433" s="256">
        <f>SUM(I374:I432)</f>
        <v>0</v>
      </c>
      <c r="J433" s="257">
        <f>SUM(J373:J432)</f>
        <v>0</v>
      </c>
    </row>
    <row r="434" spans="2:12" s="67" customFormat="1" ht="12.75" x14ac:dyDescent="0.15">
      <c r="B434" s="116"/>
      <c r="C434" s="114"/>
      <c r="D434" s="114"/>
      <c r="E434" s="114" t="s">
        <v>147</v>
      </c>
      <c r="F434" s="162">
        <f>100/115*F433</f>
        <v>0</v>
      </c>
      <c r="G434" s="114"/>
      <c r="H434" s="114" t="s">
        <v>147</v>
      </c>
      <c r="I434" s="264">
        <f>100/115*I433</f>
        <v>0</v>
      </c>
      <c r="J434" s="114"/>
    </row>
    <row r="435" spans="2:12" s="1" customFormat="1" ht="12.75" x14ac:dyDescent="0.15"/>
    <row r="436" spans="2:12" s="1" customFormat="1" ht="12.75" x14ac:dyDescent="0.15"/>
    <row r="437" spans="2:12" s="1" customFormat="1" ht="12.75" x14ac:dyDescent="0.15"/>
    <row r="438" spans="2:12" s="1" customFormat="1" ht="12.75" x14ac:dyDescent="0.15"/>
    <row r="439" spans="2:12" s="247" customFormat="1" ht="32.25" x14ac:dyDescent="0.4">
      <c r="B439" s="248"/>
      <c r="C439" s="380" t="s">
        <v>112</v>
      </c>
      <c r="D439" s="380"/>
      <c r="E439" s="400" t="s">
        <v>101</v>
      </c>
      <c r="F439" s="401"/>
      <c r="G439" s="401"/>
      <c r="H439" s="401"/>
      <c r="I439" s="402"/>
      <c r="J439" s="382">
        <v>2026</v>
      </c>
      <c r="K439" s="382"/>
      <c r="L439" s="382"/>
    </row>
    <row r="440" spans="2:12" s="1" customFormat="1" ht="22.5" x14ac:dyDescent="0.15">
      <c r="B440" s="82"/>
      <c r="C440" s="102" t="s">
        <v>114</v>
      </c>
      <c r="D440" s="388" t="s">
        <v>115</v>
      </c>
      <c r="E440" s="388"/>
      <c r="F440" s="102" t="s">
        <v>116</v>
      </c>
      <c r="G440" s="102" t="s">
        <v>117</v>
      </c>
      <c r="H440" s="102" t="s">
        <v>118</v>
      </c>
      <c r="I440" s="102" t="s">
        <v>119</v>
      </c>
      <c r="J440" s="102" t="s">
        <v>120</v>
      </c>
      <c r="K440" s="82"/>
      <c r="L440" s="82"/>
    </row>
    <row r="441" spans="2:12" s="1" customFormat="1" ht="12.75" x14ac:dyDescent="0.15">
      <c r="B441" s="82"/>
      <c r="C441" s="66">
        <f>C371</f>
        <v>450</v>
      </c>
      <c r="D441" s="389">
        <v>21</v>
      </c>
      <c r="E441" s="389"/>
      <c r="F441" s="13">
        <f>F371</f>
        <v>0.8</v>
      </c>
      <c r="G441" s="14">
        <f>G371</f>
        <v>8</v>
      </c>
      <c r="H441" s="142">
        <f>D441*G441*F441</f>
        <v>134.4</v>
      </c>
      <c r="I441" s="66">
        <f>I503</f>
        <v>0</v>
      </c>
      <c r="J441" s="143">
        <f>H441-J503</f>
        <v>134.4</v>
      </c>
      <c r="K441" s="82"/>
      <c r="L441" s="82"/>
    </row>
    <row r="442" spans="2:12" s="1" customFormat="1" ht="33.75" x14ac:dyDescent="0.15">
      <c r="B442" s="84"/>
      <c r="C442" s="136" t="s">
        <v>121</v>
      </c>
      <c r="D442" s="414" t="s">
        <v>122</v>
      </c>
      <c r="E442" s="414"/>
      <c r="F442" s="137" t="s">
        <v>123</v>
      </c>
      <c r="G442" s="138" t="s">
        <v>124</v>
      </c>
      <c r="H442" s="139" t="s">
        <v>125</v>
      </c>
      <c r="I442" s="140" t="s">
        <v>126</v>
      </c>
      <c r="J442" s="138" t="s">
        <v>127</v>
      </c>
      <c r="K442" s="122" t="s">
        <v>128</v>
      </c>
      <c r="L442" s="123" t="s">
        <v>129</v>
      </c>
    </row>
    <row r="443" spans="2:12" s="1" customFormat="1" ht="12.75" x14ac:dyDescent="0.15">
      <c r="B443" s="16"/>
      <c r="C443" s="17"/>
      <c r="D443" s="405"/>
      <c r="E443" s="405"/>
      <c r="F443" s="36"/>
      <c r="G443" s="20"/>
      <c r="H443" s="20"/>
      <c r="I443" s="126"/>
      <c r="J443" s="21"/>
      <c r="K443" s="80"/>
      <c r="L443" s="82"/>
    </row>
    <row r="444" spans="2:12" s="1" customFormat="1" ht="12.95" customHeight="1" x14ac:dyDescent="0.15">
      <c r="B444" s="16"/>
      <c r="C444" s="411" t="s">
        <v>130</v>
      </c>
      <c r="D444" s="411"/>
      <c r="E444" s="411"/>
      <c r="F444" s="129"/>
      <c r="G444" s="20"/>
      <c r="H444" s="20"/>
      <c r="I444" s="126"/>
      <c r="J444" s="21"/>
      <c r="K444" s="80"/>
      <c r="L444" s="82"/>
    </row>
    <row r="445" spans="2:12" s="1" customFormat="1" ht="12.75" customHeight="1" x14ac:dyDescent="0.15">
      <c r="B445" s="16"/>
      <c r="C445" s="37" t="s">
        <v>149</v>
      </c>
      <c r="D445" s="24"/>
      <c r="E445" s="24"/>
      <c r="F445" s="129"/>
      <c r="G445" s="20"/>
      <c r="H445" s="20"/>
      <c r="I445" s="126"/>
      <c r="J445" s="38"/>
      <c r="K445" s="80"/>
      <c r="L445" s="82"/>
    </row>
    <row r="446" spans="2:12" s="1" customFormat="1" ht="12.75" x14ac:dyDescent="0.15">
      <c r="B446" s="16">
        <v>1</v>
      </c>
      <c r="C446" s="23"/>
      <c r="D446" s="24"/>
      <c r="E446" s="24"/>
      <c r="F446" s="129"/>
      <c r="G446" s="20"/>
      <c r="H446" s="20">
        <v>1</v>
      </c>
      <c r="I446" s="126">
        <f t="shared" ref="I446:I501" si="37">J446*$C$32</f>
        <v>0</v>
      </c>
      <c r="J446" s="38">
        <f t="shared" ref="J446:J455" si="38">(F446*G446*H446)/$C$32</f>
        <v>0</v>
      </c>
      <c r="K446" s="80"/>
      <c r="L446" s="82"/>
    </row>
    <row r="447" spans="2:12" s="1" customFormat="1" ht="12.75" customHeight="1" x14ac:dyDescent="0.15">
      <c r="B447" s="16">
        <v>2</v>
      </c>
      <c r="C447" s="23"/>
      <c r="D447" s="24"/>
      <c r="E447" s="24"/>
      <c r="F447" s="126"/>
      <c r="G447" s="20"/>
      <c r="H447" s="20">
        <v>1</v>
      </c>
      <c r="I447" s="126">
        <f t="shared" si="37"/>
        <v>0</v>
      </c>
      <c r="J447" s="38">
        <f t="shared" si="38"/>
        <v>0</v>
      </c>
      <c r="K447" s="80"/>
      <c r="L447" s="82"/>
    </row>
    <row r="448" spans="2:12" s="1" customFormat="1" ht="12.95" customHeight="1" x14ac:dyDescent="0.15">
      <c r="B448" s="16">
        <v>3</v>
      </c>
      <c r="C448" s="23"/>
      <c r="D448" s="25"/>
      <c r="E448" s="25"/>
      <c r="F448" s="129"/>
      <c r="G448" s="20"/>
      <c r="H448" s="20">
        <v>1</v>
      </c>
      <c r="I448" s="126">
        <f t="shared" si="37"/>
        <v>0</v>
      </c>
      <c r="J448" s="38">
        <f t="shared" si="38"/>
        <v>0</v>
      </c>
      <c r="K448" s="80"/>
      <c r="L448" s="82"/>
    </row>
    <row r="449" spans="2:12" s="1" customFormat="1" ht="12.95" customHeight="1" x14ac:dyDescent="0.15">
      <c r="B449" s="16">
        <v>4</v>
      </c>
      <c r="C449" s="23"/>
      <c r="D449" s="24"/>
      <c r="E449" s="24"/>
      <c r="F449" s="129"/>
      <c r="G449" s="20"/>
      <c r="H449" s="20">
        <v>1</v>
      </c>
      <c r="I449" s="126">
        <f t="shared" si="37"/>
        <v>0</v>
      </c>
      <c r="J449" s="38">
        <f t="shared" si="38"/>
        <v>0</v>
      </c>
      <c r="K449" s="80"/>
      <c r="L449" s="82"/>
    </row>
    <row r="450" spans="2:12" s="1" customFormat="1" ht="12.95" customHeight="1" x14ac:dyDescent="0.15">
      <c r="B450" s="16">
        <v>5</v>
      </c>
      <c r="C450" s="16"/>
      <c r="D450" s="18"/>
      <c r="E450" s="18"/>
      <c r="F450" s="129"/>
      <c r="G450" s="20"/>
      <c r="H450" s="20">
        <v>1</v>
      </c>
      <c r="I450" s="126">
        <f t="shared" si="37"/>
        <v>0</v>
      </c>
      <c r="J450" s="38">
        <f t="shared" si="38"/>
        <v>0</v>
      </c>
      <c r="K450" s="80"/>
      <c r="L450" s="82"/>
    </row>
    <row r="451" spans="2:12" s="1" customFormat="1" ht="12.95" customHeight="1" x14ac:dyDescent="0.15">
      <c r="B451" s="16">
        <v>6</v>
      </c>
      <c r="C451" s="17"/>
      <c r="D451" s="24"/>
      <c r="E451" s="24"/>
      <c r="F451" s="129"/>
      <c r="G451" s="20"/>
      <c r="H451" s="20">
        <v>1</v>
      </c>
      <c r="I451" s="126">
        <f t="shared" si="37"/>
        <v>0</v>
      </c>
      <c r="J451" s="38">
        <f t="shared" si="38"/>
        <v>0</v>
      </c>
      <c r="K451" s="80"/>
      <c r="L451" s="82"/>
    </row>
    <row r="452" spans="2:12" s="1" customFormat="1" ht="12.95" customHeight="1" x14ac:dyDescent="0.15">
      <c r="B452" s="16">
        <v>7</v>
      </c>
      <c r="C452" s="17"/>
      <c r="D452" s="24"/>
      <c r="E452" s="24"/>
      <c r="F452" s="129"/>
      <c r="G452" s="20"/>
      <c r="H452" s="20">
        <v>1</v>
      </c>
      <c r="I452" s="126">
        <f t="shared" si="37"/>
        <v>0</v>
      </c>
      <c r="J452" s="38">
        <f t="shared" si="38"/>
        <v>0</v>
      </c>
      <c r="K452" s="80"/>
      <c r="L452" s="82"/>
    </row>
    <row r="453" spans="2:12" s="1" customFormat="1" ht="12.95" customHeight="1" x14ac:dyDescent="0.15">
      <c r="B453" s="16">
        <v>8</v>
      </c>
      <c r="C453" s="17"/>
      <c r="D453" s="24"/>
      <c r="E453" s="24"/>
      <c r="F453" s="129"/>
      <c r="G453" s="20"/>
      <c r="H453" s="20">
        <v>1</v>
      </c>
      <c r="I453" s="126">
        <f t="shared" si="37"/>
        <v>0</v>
      </c>
      <c r="J453" s="38">
        <f t="shared" si="38"/>
        <v>0</v>
      </c>
      <c r="K453" s="80"/>
      <c r="L453" s="82"/>
    </row>
    <row r="454" spans="2:12" s="1" customFormat="1" ht="12.95" customHeight="1" x14ac:dyDescent="0.15">
      <c r="B454" s="16">
        <v>9</v>
      </c>
      <c r="C454" s="17"/>
      <c r="D454" s="24"/>
      <c r="E454" s="24"/>
      <c r="F454" s="129"/>
      <c r="G454" s="20"/>
      <c r="H454" s="20">
        <v>1</v>
      </c>
      <c r="I454" s="126">
        <f t="shared" si="37"/>
        <v>0</v>
      </c>
      <c r="J454" s="38">
        <f t="shared" si="38"/>
        <v>0</v>
      </c>
      <c r="K454" s="80"/>
      <c r="L454" s="82"/>
    </row>
    <row r="455" spans="2:12" s="1" customFormat="1" ht="12.95" customHeight="1" x14ac:dyDescent="0.15">
      <c r="B455" s="16">
        <v>10</v>
      </c>
      <c r="C455" s="17"/>
      <c r="D455" s="24"/>
      <c r="E455" s="24"/>
      <c r="F455" s="129"/>
      <c r="G455" s="20"/>
      <c r="H455" s="20">
        <v>1</v>
      </c>
      <c r="I455" s="126">
        <f t="shared" si="37"/>
        <v>0</v>
      </c>
      <c r="J455" s="38">
        <f t="shared" si="38"/>
        <v>0</v>
      </c>
      <c r="K455" s="80"/>
      <c r="L455" s="82"/>
    </row>
    <row r="456" spans="2:12" s="1" customFormat="1" ht="12.95" customHeight="1" x14ac:dyDescent="0.15">
      <c r="B456" s="16"/>
      <c r="C456" s="17"/>
      <c r="D456" s="24"/>
      <c r="E456" s="24"/>
      <c r="F456" s="129"/>
      <c r="G456" s="20"/>
      <c r="H456" s="20"/>
      <c r="I456" s="126"/>
      <c r="J456" s="38"/>
      <c r="K456" s="80"/>
      <c r="L456" s="82"/>
    </row>
    <row r="457" spans="2:12" s="1" customFormat="1" ht="12.95" customHeight="1" x14ac:dyDescent="0.15">
      <c r="B457" s="16"/>
      <c r="C457" s="17"/>
      <c r="D457" s="24"/>
      <c r="E457" s="24"/>
      <c r="F457" s="129"/>
      <c r="G457" s="20"/>
      <c r="H457" s="20"/>
      <c r="I457" s="126"/>
      <c r="J457" s="38"/>
      <c r="K457" s="80"/>
      <c r="L457" s="82"/>
    </row>
    <row r="458" spans="2:12" s="1" customFormat="1" ht="12.95" customHeight="1" x14ac:dyDescent="0.15">
      <c r="B458" s="16"/>
      <c r="C458" s="22" t="s">
        <v>153</v>
      </c>
      <c r="D458" s="24"/>
      <c r="E458" s="24"/>
      <c r="F458" s="129"/>
      <c r="G458" s="20"/>
      <c r="H458" s="20"/>
      <c r="I458" s="126"/>
      <c r="J458" s="38"/>
      <c r="K458" s="80"/>
      <c r="L458" s="82"/>
    </row>
    <row r="459" spans="2:12" s="1" customFormat="1" ht="12.95" customHeight="1" x14ac:dyDescent="0.15">
      <c r="B459" s="16">
        <v>1</v>
      </c>
      <c r="C459" s="17"/>
      <c r="D459" s="18"/>
      <c r="E459" s="24"/>
      <c r="F459" s="129"/>
      <c r="G459" s="20"/>
      <c r="H459" s="20">
        <v>1</v>
      </c>
      <c r="I459" s="126">
        <f t="shared" si="37"/>
        <v>0</v>
      </c>
      <c r="J459" s="38">
        <f t="shared" ref="J459:J478" si="39">(F459*G459*H459)/$C$32</f>
        <v>0</v>
      </c>
      <c r="K459" s="80"/>
      <c r="L459" s="82"/>
    </row>
    <row r="460" spans="2:12" s="1" customFormat="1" ht="12.95" customHeight="1" x14ac:dyDescent="0.15">
      <c r="B460" s="16">
        <v>2</v>
      </c>
      <c r="C460" s="17"/>
      <c r="D460" s="18"/>
      <c r="E460" s="24"/>
      <c r="F460" s="129"/>
      <c r="G460" s="20"/>
      <c r="H460" s="20">
        <v>1</v>
      </c>
      <c r="I460" s="126">
        <f t="shared" si="37"/>
        <v>0</v>
      </c>
      <c r="J460" s="38">
        <f t="shared" si="39"/>
        <v>0</v>
      </c>
      <c r="K460" s="80"/>
      <c r="L460" s="82"/>
    </row>
    <row r="461" spans="2:12" s="1" customFormat="1" ht="12.95" customHeight="1" x14ac:dyDescent="0.15">
      <c r="B461" s="16">
        <v>3</v>
      </c>
      <c r="C461" s="17"/>
      <c r="D461" s="24"/>
      <c r="E461" s="18"/>
      <c r="F461" s="129"/>
      <c r="G461" s="20"/>
      <c r="H461" s="20">
        <v>1</v>
      </c>
      <c r="I461" s="126">
        <f t="shared" si="37"/>
        <v>0</v>
      </c>
      <c r="J461" s="38">
        <f t="shared" si="39"/>
        <v>0</v>
      </c>
      <c r="K461" s="80"/>
      <c r="L461" s="82"/>
    </row>
    <row r="462" spans="2:12" s="4" customFormat="1" ht="12.95" customHeight="1" x14ac:dyDescent="0.15">
      <c r="B462" s="26">
        <v>4</v>
      </c>
      <c r="C462" s="23"/>
      <c r="D462" s="48"/>
      <c r="E462" s="49"/>
      <c r="F462" s="126"/>
      <c r="G462" s="50"/>
      <c r="H462" s="50">
        <v>1</v>
      </c>
      <c r="I462" s="126">
        <f t="shared" si="37"/>
        <v>0</v>
      </c>
      <c r="J462" s="38">
        <f t="shared" si="39"/>
        <v>0</v>
      </c>
      <c r="K462" s="108"/>
      <c r="L462" s="113"/>
    </row>
    <row r="463" spans="2:12" s="1" customFormat="1" ht="12.95" customHeight="1" x14ac:dyDescent="0.15">
      <c r="B463" s="16">
        <v>5</v>
      </c>
      <c r="C463" s="17"/>
      <c r="D463" s="24"/>
      <c r="E463" s="18"/>
      <c r="F463" s="129"/>
      <c r="G463" s="20"/>
      <c r="H463" s="20">
        <v>1</v>
      </c>
      <c r="I463" s="126">
        <f t="shared" si="37"/>
        <v>0</v>
      </c>
      <c r="J463" s="38">
        <f t="shared" si="39"/>
        <v>0</v>
      </c>
      <c r="K463" s="80"/>
      <c r="L463" s="82"/>
    </row>
    <row r="464" spans="2:12" s="1" customFormat="1" ht="12.95" customHeight="1" x14ac:dyDescent="0.15">
      <c r="B464" s="16">
        <v>6</v>
      </c>
      <c r="C464" s="17"/>
      <c r="D464" s="24"/>
      <c r="E464" s="18"/>
      <c r="F464" s="129"/>
      <c r="G464" s="20"/>
      <c r="H464" s="20">
        <v>1</v>
      </c>
      <c r="I464" s="126">
        <f t="shared" si="37"/>
        <v>0</v>
      </c>
      <c r="J464" s="38">
        <f t="shared" si="39"/>
        <v>0</v>
      </c>
      <c r="K464" s="80"/>
      <c r="L464" s="82"/>
    </row>
    <row r="465" spans="2:20" s="1" customFormat="1" ht="12.95" customHeight="1" x14ac:dyDescent="0.15">
      <c r="B465" s="16">
        <v>7</v>
      </c>
      <c r="C465" s="17"/>
      <c r="D465" s="24"/>
      <c r="E465" s="24"/>
      <c r="F465" s="129"/>
      <c r="G465" s="20"/>
      <c r="H465" s="20">
        <v>1</v>
      </c>
      <c r="I465" s="126">
        <f t="shared" si="37"/>
        <v>0</v>
      </c>
      <c r="J465" s="38">
        <f t="shared" si="39"/>
        <v>0</v>
      </c>
      <c r="K465" s="80"/>
      <c r="L465" s="82"/>
    </row>
    <row r="466" spans="2:20" s="1" customFormat="1" ht="12.95" customHeight="1" x14ac:dyDescent="0.15">
      <c r="B466" s="16">
        <v>8</v>
      </c>
      <c r="C466" s="17"/>
      <c r="D466" s="24"/>
      <c r="E466" s="24"/>
      <c r="F466" s="129"/>
      <c r="G466" s="20"/>
      <c r="H466" s="20">
        <v>1</v>
      </c>
      <c r="I466" s="126">
        <f t="shared" si="37"/>
        <v>0</v>
      </c>
      <c r="J466" s="38">
        <f t="shared" si="39"/>
        <v>0</v>
      </c>
      <c r="K466" s="80"/>
      <c r="L466" s="82"/>
    </row>
    <row r="467" spans="2:20" s="1" customFormat="1" ht="14.85" customHeight="1" x14ac:dyDescent="0.15">
      <c r="B467" s="16">
        <v>9</v>
      </c>
      <c r="C467" s="17"/>
      <c r="D467" s="24"/>
      <c r="E467" s="24"/>
      <c r="F467" s="129"/>
      <c r="G467" s="20"/>
      <c r="H467" s="20">
        <v>1</v>
      </c>
      <c r="I467" s="126">
        <f t="shared" si="37"/>
        <v>0</v>
      </c>
      <c r="J467" s="38">
        <f t="shared" si="39"/>
        <v>0</v>
      </c>
      <c r="K467" s="80"/>
      <c r="L467" s="82"/>
    </row>
    <row r="468" spans="2:20" s="1" customFormat="1" ht="12.95" customHeight="1" x14ac:dyDescent="0.15">
      <c r="B468" s="16">
        <v>10</v>
      </c>
      <c r="C468" s="17"/>
      <c r="D468" s="24"/>
      <c r="E468" s="24"/>
      <c r="F468" s="129"/>
      <c r="G468" s="20"/>
      <c r="H468" s="20">
        <v>1</v>
      </c>
      <c r="I468" s="126">
        <f t="shared" si="37"/>
        <v>0</v>
      </c>
      <c r="J468" s="38">
        <f t="shared" si="39"/>
        <v>0</v>
      </c>
      <c r="K468" s="80"/>
      <c r="L468" s="82"/>
      <c r="M468" s="39"/>
      <c r="N468" s="40"/>
      <c r="O468" s="40"/>
    </row>
    <row r="469" spans="2:20" s="1" customFormat="1" ht="12.95" customHeight="1" x14ac:dyDescent="0.15">
      <c r="B469" s="16">
        <v>11</v>
      </c>
      <c r="C469" s="17"/>
      <c r="D469" s="24"/>
      <c r="E469" s="24"/>
      <c r="F469" s="129"/>
      <c r="G469" s="20"/>
      <c r="H469" s="20">
        <v>1</v>
      </c>
      <c r="I469" s="126">
        <f t="shared" si="37"/>
        <v>0</v>
      </c>
      <c r="J469" s="38">
        <f t="shared" si="39"/>
        <v>0</v>
      </c>
      <c r="K469" s="80"/>
      <c r="L469" s="82"/>
    </row>
    <row r="470" spans="2:20" s="1" customFormat="1" ht="12.95" customHeight="1" x14ac:dyDescent="0.15">
      <c r="B470" s="16">
        <v>12</v>
      </c>
      <c r="C470" s="17"/>
      <c r="D470" s="24"/>
      <c r="E470" s="24"/>
      <c r="F470" s="129"/>
      <c r="G470" s="20"/>
      <c r="H470" s="20">
        <v>1</v>
      </c>
      <c r="I470" s="126">
        <f t="shared" si="37"/>
        <v>0</v>
      </c>
      <c r="J470" s="38">
        <f t="shared" si="39"/>
        <v>0</v>
      </c>
      <c r="K470" s="80"/>
      <c r="L470" s="82"/>
    </row>
    <row r="471" spans="2:20" s="1" customFormat="1" ht="12.95" customHeight="1" x14ac:dyDescent="0.15">
      <c r="B471" s="16">
        <v>13</v>
      </c>
      <c r="C471" s="17"/>
      <c r="D471" s="24"/>
      <c r="E471" s="24"/>
      <c r="F471" s="130"/>
      <c r="G471" s="20"/>
      <c r="H471" s="20">
        <v>1</v>
      </c>
      <c r="I471" s="126">
        <f t="shared" si="37"/>
        <v>0</v>
      </c>
      <c r="J471" s="38">
        <f t="shared" si="39"/>
        <v>0</v>
      </c>
      <c r="K471" s="80"/>
      <c r="L471" s="82"/>
    </row>
    <row r="472" spans="2:20" s="1" customFormat="1" ht="12.95" customHeight="1" x14ac:dyDescent="0.15">
      <c r="B472" s="16">
        <v>14</v>
      </c>
      <c r="C472" s="17"/>
      <c r="D472" s="24"/>
      <c r="E472" s="24"/>
      <c r="F472" s="129"/>
      <c r="G472" s="20"/>
      <c r="H472" s="20">
        <v>1</v>
      </c>
      <c r="I472" s="126">
        <f t="shared" si="37"/>
        <v>0</v>
      </c>
      <c r="J472" s="38">
        <f t="shared" si="39"/>
        <v>0</v>
      </c>
      <c r="K472" s="80"/>
      <c r="L472" s="82"/>
    </row>
    <row r="473" spans="2:20" s="1" customFormat="1" ht="12.95" customHeight="1" x14ac:dyDescent="0.15">
      <c r="B473" s="16">
        <v>15</v>
      </c>
      <c r="C473" s="17"/>
      <c r="D473" s="24"/>
      <c r="E473" s="24"/>
      <c r="F473" s="129"/>
      <c r="G473" s="20"/>
      <c r="H473" s="20">
        <v>1</v>
      </c>
      <c r="I473" s="126">
        <f t="shared" si="37"/>
        <v>0</v>
      </c>
      <c r="J473" s="38">
        <f t="shared" si="39"/>
        <v>0</v>
      </c>
      <c r="K473" s="80"/>
      <c r="L473" s="82"/>
    </row>
    <row r="474" spans="2:20" s="1" customFormat="1" ht="12.95" customHeight="1" x14ac:dyDescent="0.15">
      <c r="B474" s="16">
        <v>16</v>
      </c>
      <c r="C474" s="17"/>
      <c r="D474" s="24"/>
      <c r="E474" s="24"/>
      <c r="F474" s="129"/>
      <c r="G474" s="20"/>
      <c r="H474" s="20">
        <v>1</v>
      </c>
      <c r="I474" s="126">
        <f t="shared" si="37"/>
        <v>0</v>
      </c>
      <c r="J474" s="38">
        <f t="shared" si="39"/>
        <v>0</v>
      </c>
      <c r="K474" s="80"/>
      <c r="L474" s="82"/>
    </row>
    <row r="475" spans="2:20" s="1" customFormat="1" ht="12.95" customHeight="1" x14ac:dyDescent="0.15">
      <c r="B475" s="16">
        <v>17</v>
      </c>
      <c r="C475" s="17"/>
      <c r="D475" s="24"/>
      <c r="E475" s="24"/>
      <c r="F475" s="129"/>
      <c r="G475" s="20"/>
      <c r="H475" s="20">
        <v>1</v>
      </c>
      <c r="I475" s="126">
        <f t="shared" si="37"/>
        <v>0</v>
      </c>
      <c r="J475" s="38">
        <f t="shared" si="39"/>
        <v>0</v>
      </c>
      <c r="K475" s="80"/>
      <c r="L475" s="82"/>
    </row>
    <row r="476" spans="2:20" s="1" customFormat="1" ht="12.95" customHeight="1" x14ac:dyDescent="0.15">
      <c r="B476" s="16">
        <v>18</v>
      </c>
      <c r="C476" s="17"/>
      <c r="D476" s="24"/>
      <c r="E476" s="24"/>
      <c r="F476" s="129"/>
      <c r="G476" s="20"/>
      <c r="H476" s="20">
        <v>1</v>
      </c>
      <c r="I476" s="126">
        <f t="shared" si="37"/>
        <v>0</v>
      </c>
      <c r="J476" s="38">
        <f t="shared" si="39"/>
        <v>0</v>
      </c>
      <c r="K476" s="80"/>
      <c r="L476" s="82"/>
    </row>
    <row r="477" spans="2:20" s="1" customFormat="1" ht="12.95" customHeight="1" x14ac:dyDescent="0.15">
      <c r="B477" s="16">
        <v>19</v>
      </c>
      <c r="C477" s="17"/>
      <c r="D477" s="18"/>
      <c r="E477" s="18"/>
      <c r="F477" s="129"/>
      <c r="G477" s="20"/>
      <c r="H477" s="20">
        <v>1</v>
      </c>
      <c r="I477" s="126">
        <f t="shared" si="37"/>
        <v>0</v>
      </c>
      <c r="J477" s="21">
        <f t="shared" si="39"/>
        <v>0</v>
      </c>
      <c r="K477" s="80"/>
      <c r="L477" s="82"/>
      <c r="M477" s="10"/>
      <c r="N477" s="10"/>
      <c r="O477" s="10"/>
      <c r="P477" s="10"/>
      <c r="Q477" s="43"/>
      <c r="R477" s="10"/>
      <c r="T477" s="10"/>
    </row>
    <row r="478" spans="2:20" s="1" customFormat="1" ht="12.95" customHeight="1" x14ac:dyDescent="0.15">
      <c r="B478" s="16">
        <v>20</v>
      </c>
      <c r="C478" s="17"/>
      <c r="D478" s="18"/>
      <c r="E478" s="18"/>
      <c r="F478" s="129"/>
      <c r="G478" s="20"/>
      <c r="H478" s="20">
        <v>1</v>
      </c>
      <c r="I478" s="126">
        <f t="shared" si="37"/>
        <v>0</v>
      </c>
      <c r="J478" s="21">
        <f t="shared" si="39"/>
        <v>0</v>
      </c>
      <c r="K478" s="80"/>
      <c r="L478" s="82"/>
      <c r="M478" s="10"/>
      <c r="N478" s="10"/>
      <c r="O478" s="10"/>
      <c r="P478" s="10"/>
      <c r="Q478" s="43"/>
      <c r="R478" s="10"/>
      <c r="T478" s="10"/>
    </row>
    <row r="479" spans="2:20" s="1" customFormat="1" ht="12.95" customHeight="1" x14ac:dyDescent="0.15">
      <c r="B479" s="16"/>
      <c r="C479" s="17"/>
      <c r="D479" s="18"/>
      <c r="E479" s="18"/>
      <c r="F479" s="129"/>
      <c r="G479" s="20"/>
      <c r="H479" s="20"/>
      <c r="I479" s="126"/>
      <c r="J479" s="21"/>
      <c r="K479" s="80"/>
      <c r="L479" s="82"/>
      <c r="M479" s="10"/>
      <c r="N479" s="10"/>
      <c r="O479" s="10"/>
      <c r="P479" s="10"/>
      <c r="Q479" s="43"/>
      <c r="R479" s="10"/>
      <c r="T479" s="10"/>
    </row>
    <row r="480" spans="2:20" s="1" customFormat="1" ht="12.95" customHeight="1" x14ac:dyDescent="0.15">
      <c r="B480" s="16"/>
      <c r="C480" s="17"/>
      <c r="D480" s="18"/>
      <c r="E480" s="18"/>
      <c r="F480" s="129"/>
      <c r="G480" s="20"/>
      <c r="H480" s="20"/>
      <c r="I480" s="126"/>
      <c r="J480" s="21"/>
      <c r="K480" s="80"/>
      <c r="L480" s="82"/>
      <c r="M480" s="10"/>
      <c r="N480" s="10"/>
      <c r="O480" s="10"/>
      <c r="P480" s="10"/>
      <c r="Q480" s="43"/>
      <c r="R480" s="10"/>
      <c r="T480" s="10"/>
    </row>
    <row r="481" spans="2:20" s="1" customFormat="1" ht="12.95" customHeight="1" x14ac:dyDescent="0.15">
      <c r="B481" s="16"/>
      <c r="C481" s="22" t="s">
        <v>160</v>
      </c>
      <c r="D481" s="18"/>
      <c r="E481" s="18"/>
      <c r="F481" s="129"/>
      <c r="G481" s="20"/>
      <c r="H481" s="20"/>
      <c r="I481" s="126"/>
      <c r="J481" s="21"/>
      <c r="K481" s="80"/>
      <c r="L481" s="82"/>
      <c r="M481" s="10"/>
      <c r="N481" s="10"/>
      <c r="O481" s="10"/>
      <c r="P481" s="10"/>
      <c r="Q481" s="43"/>
      <c r="R481" s="10"/>
      <c r="T481" s="10"/>
    </row>
    <row r="482" spans="2:20" s="1" customFormat="1" ht="12.95" customHeight="1" x14ac:dyDescent="0.15">
      <c r="B482" s="16">
        <v>1</v>
      </c>
      <c r="C482" s="22"/>
      <c r="D482" s="18"/>
      <c r="E482" s="18"/>
      <c r="F482" s="129"/>
      <c r="G482" s="20"/>
      <c r="H482" s="20">
        <v>1</v>
      </c>
      <c r="I482" s="126">
        <f t="shared" si="37"/>
        <v>0</v>
      </c>
      <c r="J482" s="21">
        <f t="shared" ref="J482:J501" si="40">(F482*G482*H482)/$C$32</f>
        <v>0</v>
      </c>
      <c r="K482" s="80"/>
      <c r="L482" s="82"/>
      <c r="M482" s="10"/>
      <c r="N482" s="10"/>
      <c r="O482" s="10"/>
      <c r="P482" s="10"/>
      <c r="Q482" s="43"/>
      <c r="R482" s="10"/>
      <c r="T482" s="10"/>
    </row>
    <row r="483" spans="2:20" s="1" customFormat="1" ht="12.95" customHeight="1" x14ac:dyDescent="0.15">
      <c r="B483" s="16">
        <v>2</v>
      </c>
      <c r="C483" s="22"/>
      <c r="D483" s="18"/>
      <c r="E483" s="18"/>
      <c r="F483" s="129"/>
      <c r="G483" s="20"/>
      <c r="H483" s="20">
        <v>1</v>
      </c>
      <c r="I483" s="126">
        <f t="shared" si="37"/>
        <v>0</v>
      </c>
      <c r="J483" s="21">
        <f t="shared" si="40"/>
        <v>0</v>
      </c>
      <c r="K483" s="80"/>
      <c r="L483" s="82"/>
      <c r="M483" s="10"/>
      <c r="N483" s="10"/>
      <c r="O483" s="10"/>
      <c r="P483" s="10"/>
      <c r="Q483" s="43"/>
      <c r="R483" s="10"/>
      <c r="T483" s="10"/>
    </row>
    <row r="484" spans="2:20" s="1" customFormat="1" ht="12.95" customHeight="1" x14ac:dyDescent="0.15">
      <c r="B484" s="16">
        <v>3</v>
      </c>
      <c r="C484" s="22"/>
      <c r="D484" s="18"/>
      <c r="E484" s="18"/>
      <c r="F484" s="129"/>
      <c r="G484" s="20"/>
      <c r="H484" s="20">
        <v>1</v>
      </c>
      <c r="I484" s="126">
        <f t="shared" si="37"/>
        <v>0</v>
      </c>
      <c r="J484" s="21">
        <f t="shared" si="40"/>
        <v>0</v>
      </c>
      <c r="K484" s="80"/>
      <c r="L484" s="82"/>
      <c r="M484" s="10"/>
      <c r="N484" s="10"/>
      <c r="O484" s="10"/>
      <c r="P484" s="10"/>
      <c r="Q484" s="43"/>
      <c r="R484" s="10"/>
      <c r="T484" s="10"/>
    </row>
    <row r="485" spans="2:20" s="1" customFormat="1" ht="12.95" customHeight="1" x14ac:dyDescent="0.15">
      <c r="B485" s="16">
        <v>4</v>
      </c>
      <c r="C485" s="22"/>
      <c r="D485" s="18"/>
      <c r="E485" s="18"/>
      <c r="F485" s="129"/>
      <c r="G485" s="20"/>
      <c r="H485" s="20">
        <v>1</v>
      </c>
      <c r="I485" s="126">
        <f t="shared" si="37"/>
        <v>0</v>
      </c>
      <c r="J485" s="21">
        <f t="shared" si="40"/>
        <v>0</v>
      </c>
      <c r="K485" s="80"/>
      <c r="L485" s="82"/>
      <c r="M485" s="10"/>
      <c r="N485" s="10"/>
      <c r="O485" s="10"/>
      <c r="P485" s="10"/>
      <c r="Q485" s="43"/>
      <c r="R485" s="10"/>
      <c r="T485" s="10"/>
    </row>
    <row r="486" spans="2:20" s="1" customFormat="1" ht="12.95" customHeight="1" x14ac:dyDescent="0.15">
      <c r="B486" s="16">
        <v>5</v>
      </c>
      <c r="C486" s="22"/>
      <c r="D486" s="18"/>
      <c r="E486" s="18"/>
      <c r="F486" s="129"/>
      <c r="G486" s="20"/>
      <c r="H486" s="20">
        <v>1</v>
      </c>
      <c r="I486" s="126">
        <f t="shared" si="37"/>
        <v>0</v>
      </c>
      <c r="J486" s="21">
        <f t="shared" si="40"/>
        <v>0</v>
      </c>
      <c r="K486" s="80"/>
      <c r="L486" s="82"/>
      <c r="M486" s="10"/>
      <c r="N486" s="10"/>
      <c r="O486" s="10"/>
      <c r="P486" s="10"/>
      <c r="Q486" s="43"/>
      <c r="R486" s="10"/>
      <c r="T486" s="10"/>
    </row>
    <row r="487" spans="2:20" s="1" customFormat="1" ht="12.95" customHeight="1" x14ac:dyDescent="0.15">
      <c r="B487" s="16">
        <v>6</v>
      </c>
      <c r="C487" s="22"/>
      <c r="D487" s="18"/>
      <c r="E487" s="18"/>
      <c r="F487" s="129"/>
      <c r="G487" s="20"/>
      <c r="H487" s="20">
        <v>1</v>
      </c>
      <c r="I487" s="126">
        <f t="shared" si="37"/>
        <v>0</v>
      </c>
      <c r="J487" s="21">
        <f t="shared" si="40"/>
        <v>0</v>
      </c>
      <c r="K487" s="80"/>
      <c r="L487" s="82"/>
      <c r="M487" s="10"/>
      <c r="N487" s="10"/>
      <c r="O487" s="10"/>
      <c r="P487" s="10"/>
      <c r="Q487" s="43"/>
      <c r="R487" s="10"/>
      <c r="T487" s="10"/>
    </row>
    <row r="488" spans="2:20" s="1" customFormat="1" ht="12.95" customHeight="1" x14ac:dyDescent="0.15">
      <c r="B488" s="16">
        <v>7</v>
      </c>
      <c r="C488" s="22"/>
      <c r="D488" s="18"/>
      <c r="E488" s="18"/>
      <c r="F488" s="129"/>
      <c r="G488" s="20"/>
      <c r="H488" s="20">
        <v>1</v>
      </c>
      <c r="I488" s="126">
        <f t="shared" si="37"/>
        <v>0</v>
      </c>
      <c r="J488" s="21">
        <f t="shared" si="40"/>
        <v>0</v>
      </c>
      <c r="K488" s="80"/>
      <c r="L488" s="82"/>
      <c r="M488" s="10"/>
      <c r="N488" s="10"/>
      <c r="O488" s="10"/>
      <c r="P488" s="10"/>
      <c r="Q488" s="43"/>
      <c r="R488" s="10"/>
      <c r="T488" s="10"/>
    </row>
    <row r="489" spans="2:20" s="1" customFormat="1" ht="12.95" customHeight="1" x14ac:dyDescent="0.15">
      <c r="B489" s="16">
        <v>8</v>
      </c>
      <c r="C489" s="22"/>
      <c r="D489" s="18"/>
      <c r="E489" s="18"/>
      <c r="F489" s="129"/>
      <c r="G489" s="20"/>
      <c r="H489" s="20">
        <v>1</v>
      </c>
      <c r="I489" s="126">
        <f t="shared" si="37"/>
        <v>0</v>
      </c>
      <c r="J489" s="21">
        <f t="shared" si="40"/>
        <v>0</v>
      </c>
      <c r="K489" s="80"/>
      <c r="L489" s="82"/>
      <c r="M489" s="10"/>
      <c r="N489" s="10"/>
      <c r="O489" s="10"/>
      <c r="P489" s="10"/>
      <c r="Q489" s="43"/>
      <c r="R489" s="10"/>
      <c r="T489" s="10"/>
    </row>
    <row r="490" spans="2:20" s="1" customFormat="1" ht="12.95" customHeight="1" x14ac:dyDescent="0.15">
      <c r="B490" s="16">
        <v>9</v>
      </c>
      <c r="C490" s="22"/>
      <c r="D490" s="18"/>
      <c r="E490" s="18"/>
      <c r="F490" s="129"/>
      <c r="G490" s="20"/>
      <c r="H490" s="20">
        <v>1</v>
      </c>
      <c r="I490" s="126">
        <f t="shared" si="37"/>
        <v>0</v>
      </c>
      <c r="J490" s="21">
        <f t="shared" si="40"/>
        <v>0</v>
      </c>
      <c r="K490" s="80"/>
      <c r="L490" s="82"/>
      <c r="M490" s="10"/>
      <c r="N490" s="10"/>
      <c r="O490" s="10"/>
      <c r="P490" s="10"/>
      <c r="Q490" s="43"/>
      <c r="R490" s="10"/>
      <c r="T490" s="10"/>
    </row>
    <row r="491" spans="2:20" s="1" customFormat="1" ht="12.95" customHeight="1" x14ac:dyDescent="0.15">
      <c r="B491" s="16">
        <v>10</v>
      </c>
      <c r="C491" s="22"/>
      <c r="D491" s="18"/>
      <c r="E491" s="18"/>
      <c r="F491" s="129"/>
      <c r="G491" s="20"/>
      <c r="H491" s="20">
        <v>1</v>
      </c>
      <c r="I491" s="126">
        <f t="shared" si="37"/>
        <v>0</v>
      </c>
      <c r="J491" s="21">
        <f t="shared" si="40"/>
        <v>0</v>
      </c>
      <c r="K491" s="80"/>
      <c r="L491" s="82"/>
      <c r="M491" s="10"/>
      <c r="N491" s="10"/>
      <c r="O491" s="10"/>
      <c r="P491" s="10"/>
      <c r="Q491" s="43"/>
      <c r="R491" s="10"/>
      <c r="T491" s="10"/>
    </row>
    <row r="492" spans="2:20" s="1" customFormat="1" ht="12.95" customHeight="1" x14ac:dyDescent="0.15">
      <c r="B492" s="16">
        <v>11</v>
      </c>
      <c r="C492" s="22"/>
      <c r="D492" s="18"/>
      <c r="E492" s="18"/>
      <c r="F492" s="129"/>
      <c r="G492" s="20"/>
      <c r="H492" s="20">
        <v>1</v>
      </c>
      <c r="I492" s="126">
        <f t="shared" si="37"/>
        <v>0</v>
      </c>
      <c r="J492" s="21">
        <f t="shared" si="40"/>
        <v>0</v>
      </c>
      <c r="K492" s="80"/>
      <c r="L492" s="82"/>
      <c r="M492" s="10"/>
      <c r="N492" s="10"/>
      <c r="O492" s="10"/>
      <c r="P492" s="10"/>
      <c r="Q492" s="43"/>
      <c r="R492" s="10"/>
      <c r="T492" s="10"/>
    </row>
    <row r="493" spans="2:20" s="1" customFormat="1" ht="12.95" customHeight="1" x14ac:dyDescent="0.2">
      <c r="B493" s="16">
        <v>12</v>
      </c>
      <c r="C493" s="45"/>
      <c r="D493" s="18"/>
      <c r="E493" s="18"/>
      <c r="F493" s="51"/>
      <c r="G493" s="20"/>
      <c r="H493" s="20">
        <v>1</v>
      </c>
      <c r="I493" s="126">
        <f t="shared" si="37"/>
        <v>0</v>
      </c>
      <c r="J493" s="21">
        <f t="shared" si="40"/>
        <v>0</v>
      </c>
      <c r="K493" s="80"/>
      <c r="L493" s="82"/>
      <c r="N493" s="10"/>
      <c r="O493" s="10"/>
      <c r="P493" s="10"/>
      <c r="Q493" s="43"/>
      <c r="R493" s="10"/>
      <c r="T493" s="10"/>
    </row>
    <row r="494" spans="2:20" s="1" customFormat="1" ht="12.95" customHeight="1" x14ac:dyDescent="0.2">
      <c r="B494" s="16">
        <v>13</v>
      </c>
      <c r="C494" s="45"/>
      <c r="D494" s="18"/>
      <c r="E494" s="18"/>
      <c r="F494" s="51"/>
      <c r="G494" s="20"/>
      <c r="H494" s="20">
        <v>1</v>
      </c>
      <c r="I494" s="126">
        <f t="shared" si="37"/>
        <v>0</v>
      </c>
      <c r="J494" s="21">
        <f t="shared" si="40"/>
        <v>0</v>
      </c>
      <c r="K494" s="80"/>
      <c r="L494" s="82"/>
      <c r="N494" s="10"/>
      <c r="O494" s="10"/>
      <c r="P494" s="10"/>
      <c r="Q494" s="43"/>
      <c r="R494" s="10"/>
      <c r="T494" s="10"/>
    </row>
    <row r="495" spans="2:20" s="1" customFormat="1" ht="12.95" customHeight="1" x14ac:dyDescent="0.2">
      <c r="B495" s="16">
        <v>14</v>
      </c>
      <c r="C495" s="45"/>
      <c r="D495" s="18"/>
      <c r="E495" s="18"/>
      <c r="F495" s="51"/>
      <c r="G495" s="20"/>
      <c r="H495" s="20">
        <v>1</v>
      </c>
      <c r="I495" s="126">
        <f t="shared" si="37"/>
        <v>0</v>
      </c>
      <c r="J495" s="21">
        <f t="shared" si="40"/>
        <v>0</v>
      </c>
      <c r="K495" s="80"/>
      <c r="L495" s="82"/>
      <c r="N495" s="10"/>
      <c r="O495" s="10"/>
      <c r="P495" s="10"/>
      <c r="Q495" s="43"/>
      <c r="R495" s="10"/>
      <c r="T495" s="10"/>
    </row>
    <row r="496" spans="2:20" s="1" customFormat="1" ht="12.95" customHeight="1" x14ac:dyDescent="0.2">
      <c r="B496" s="16">
        <v>15</v>
      </c>
      <c r="C496" s="45"/>
      <c r="D496" s="18"/>
      <c r="E496" s="18"/>
      <c r="F496" s="51"/>
      <c r="G496" s="20"/>
      <c r="H496" s="20">
        <v>1</v>
      </c>
      <c r="I496" s="126">
        <f t="shared" si="37"/>
        <v>0</v>
      </c>
      <c r="J496" s="21">
        <f t="shared" si="40"/>
        <v>0</v>
      </c>
      <c r="K496" s="80"/>
      <c r="L496" s="82"/>
      <c r="N496" s="10"/>
      <c r="O496" s="10"/>
      <c r="P496" s="10"/>
      <c r="Q496" s="43"/>
      <c r="R496" s="10"/>
      <c r="T496" s="10"/>
    </row>
    <row r="497" spans="2:20" s="1" customFormat="1" ht="12.95" customHeight="1" x14ac:dyDescent="0.2">
      <c r="B497" s="16">
        <v>16</v>
      </c>
      <c r="C497" s="45"/>
      <c r="D497" s="18"/>
      <c r="E497" s="18"/>
      <c r="F497" s="51"/>
      <c r="G497" s="20"/>
      <c r="H497" s="20">
        <v>1</v>
      </c>
      <c r="I497" s="126">
        <f t="shared" si="37"/>
        <v>0</v>
      </c>
      <c r="J497" s="21">
        <f t="shared" si="40"/>
        <v>0</v>
      </c>
      <c r="K497" s="80"/>
      <c r="L497" s="82"/>
      <c r="N497" s="10"/>
      <c r="O497" s="10"/>
      <c r="P497" s="10"/>
      <c r="Q497" s="43"/>
      <c r="R497" s="10"/>
      <c r="T497" s="10"/>
    </row>
    <row r="498" spans="2:20" s="1" customFormat="1" ht="12.95" customHeight="1" x14ac:dyDescent="0.2">
      <c r="B498" s="16">
        <v>17</v>
      </c>
      <c r="C498" s="45"/>
      <c r="D498" s="18"/>
      <c r="E498" s="18"/>
      <c r="F498" s="51"/>
      <c r="G498" s="20"/>
      <c r="H498" s="20">
        <v>1</v>
      </c>
      <c r="I498" s="126">
        <f t="shared" si="37"/>
        <v>0</v>
      </c>
      <c r="J498" s="21">
        <f t="shared" si="40"/>
        <v>0</v>
      </c>
      <c r="K498" s="80"/>
      <c r="L498" s="82"/>
      <c r="N498" s="10"/>
      <c r="O498" s="10"/>
      <c r="P498" s="10"/>
      <c r="Q498" s="43"/>
      <c r="R498" s="10"/>
      <c r="T498" s="10"/>
    </row>
    <row r="499" spans="2:20" s="1" customFormat="1" ht="12.95" customHeight="1" x14ac:dyDescent="0.2">
      <c r="B499" s="16">
        <v>18</v>
      </c>
      <c r="C499" s="45"/>
      <c r="D499" s="18"/>
      <c r="E499" s="18"/>
      <c r="F499" s="51"/>
      <c r="G499" s="20"/>
      <c r="H499" s="20">
        <v>1</v>
      </c>
      <c r="I499" s="126">
        <f t="shared" si="37"/>
        <v>0</v>
      </c>
      <c r="J499" s="21">
        <f t="shared" si="40"/>
        <v>0</v>
      </c>
      <c r="K499" s="80"/>
      <c r="L499" s="82"/>
      <c r="N499" s="10"/>
      <c r="O499" s="10"/>
      <c r="P499" s="10"/>
      <c r="Q499" s="43"/>
      <c r="R499" s="10"/>
      <c r="T499" s="10"/>
    </row>
    <row r="500" spans="2:20" s="1" customFormat="1" ht="12.95" customHeight="1" x14ac:dyDescent="0.2">
      <c r="B500" s="16">
        <v>19</v>
      </c>
      <c r="C500" s="45"/>
      <c r="D500" s="18"/>
      <c r="E500" s="18"/>
      <c r="F500" s="51"/>
      <c r="G500" s="20"/>
      <c r="H500" s="20">
        <v>1</v>
      </c>
      <c r="I500" s="126">
        <f t="shared" si="37"/>
        <v>0</v>
      </c>
      <c r="J500" s="78">
        <f t="shared" si="40"/>
        <v>0</v>
      </c>
      <c r="K500" s="111"/>
      <c r="L500" s="119"/>
      <c r="N500" s="10"/>
      <c r="O500" s="10"/>
      <c r="P500" s="10"/>
      <c r="Q500" s="43"/>
      <c r="R500" s="10"/>
      <c r="T500" s="10"/>
    </row>
    <row r="501" spans="2:20" s="1" customFormat="1" ht="12.95" customHeight="1" x14ac:dyDescent="0.2">
      <c r="B501" s="16">
        <v>20</v>
      </c>
      <c r="C501" s="45"/>
      <c r="D501" s="18"/>
      <c r="E501" s="18"/>
      <c r="F501" s="51"/>
      <c r="G501" s="20"/>
      <c r="H501" s="20">
        <v>1</v>
      </c>
      <c r="I501" s="254">
        <f t="shared" si="37"/>
        <v>0</v>
      </c>
      <c r="J501" s="94">
        <f t="shared" si="40"/>
        <v>0</v>
      </c>
      <c r="K501" s="82"/>
      <c r="L501" s="82"/>
      <c r="N501" s="10"/>
      <c r="O501" s="10"/>
      <c r="P501" s="10"/>
      <c r="Q501" s="43"/>
      <c r="R501" s="10"/>
      <c r="T501" s="10"/>
    </row>
    <row r="502" spans="2:20" s="1" customFormat="1" ht="12.95" customHeight="1" x14ac:dyDescent="0.2">
      <c r="B502" s="83"/>
      <c r="C502" s="171"/>
      <c r="D502" s="75"/>
      <c r="E502" s="75"/>
      <c r="F502" s="172"/>
      <c r="G502" s="77"/>
      <c r="H502" s="77"/>
      <c r="I502" s="255"/>
      <c r="J502" s="94"/>
      <c r="K502" s="82"/>
      <c r="L502" s="82"/>
      <c r="N502" s="10"/>
      <c r="O502" s="10"/>
      <c r="P502" s="10"/>
      <c r="Q502" s="43"/>
      <c r="R502" s="10"/>
      <c r="T502" s="10"/>
    </row>
    <row r="503" spans="2:20" s="1" customFormat="1" ht="12.95" customHeight="1" x14ac:dyDescent="0.15">
      <c r="B503" s="82"/>
      <c r="C503" s="102"/>
      <c r="D503" s="103"/>
      <c r="E503" s="102"/>
      <c r="F503" s="128">
        <f>SUM(F443:F502)</f>
        <v>0</v>
      </c>
      <c r="G503" s="104"/>
      <c r="H503" s="105"/>
      <c r="I503" s="256">
        <f>SUM(I444:I502)</f>
        <v>0</v>
      </c>
      <c r="J503" s="257">
        <f>SUM(J443:J502)</f>
        <v>0</v>
      </c>
    </row>
    <row r="504" spans="2:20" s="67" customFormat="1" ht="12.95" customHeight="1" x14ac:dyDescent="0.15">
      <c r="B504" s="116"/>
      <c r="C504" s="114"/>
      <c r="D504" s="114"/>
      <c r="E504" s="114" t="s">
        <v>147</v>
      </c>
      <c r="F504" s="162">
        <f>100/115*F503</f>
        <v>0</v>
      </c>
      <c r="G504" s="114"/>
      <c r="H504" s="114" t="s">
        <v>147</v>
      </c>
      <c r="I504" s="264">
        <f>100/115*I503</f>
        <v>0</v>
      </c>
      <c r="J504" s="114"/>
    </row>
    <row r="505" spans="2:20" s="1" customFormat="1" ht="12.95" customHeight="1" x14ac:dyDescent="0.15"/>
    <row r="506" spans="2:20" s="1" customFormat="1" ht="12.95" customHeight="1" x14ac:dyDescent="0.15"/>
    <row r="507" spans="2:20" s="1" customFormat="1" ht="12.95" customHeight="1" x14ac:dyDescent="0.15"/>
    <row r="508" spans="2:20" s="1" customFormat="1" ht="12.95" customHeight="1" x14ac:dyDescent="0.15"/>
    <row r="509" spans="2:20" s="247" customFormat="1" ht="32.25" x14ac:dyDescent="0.4">
      <c r="B509" s="248"/>
      <c r="C509" s="380" t="s">
        <v>112</v>
      </c>
      <c r="D509" s="380"/>
      <c r="E509" s="400" t="s">
        <v>161</v>
      </c>
      <c r="F509" s="401"/>
      <c r="G509" s="401"/>
      <c r="H509" s="401"/>
      <c r="I509" s="402"/>
      <c r="J509" s="407">
        <v>2026</v>
      </c>
      <c r="K509" s="408"/>
      <c r="L509" s="409"/>
    </row>
    <row r="510" spans="2:20" s="1" customFormat="1" ht="42" customHeight="1" x14ac:dyDescent="0.15">
      <c r="B510" s="82"/>
      <c r="C510" s="102" t="s">
        <v>114</v>
      </c>
      <c r="D510" s="388" t="s">
        <v>115</v>
      </c>
      <c r="E510" s="388"/>
      <c r="F510" s="102" t="s">
        <v>116</v>
      </c>
      <c r="G510" s="102" t="s">
        <v>117</v>
      </c>
      <c r="H510" s="102" t="s">
        <v>118</v>
      </c>
      <c r="I510" s="173" t="s">
        <v>119</v>
      </c>
      <c r="J510" s="102" t="s">
        <v>120</v>
      </c>
      <c r="K510" s="82"/>
      <c r="L510" s="82"/>
    </row>
    <row r="511" spans="2:20" s="1" customFormat="1" ht="12.95" customHeight="1" x14ac:dyDescent="0.15">
      <c r="B511" s="84"/>
      <c r="C511" s="149">
        <f>C441</f>
        <v>450</v>
      </c>
      <c r="D511" s="412">
        <v>21</v>
      </c>
      <c r="E511" s="412"/>
      <c r="F511" s="146">
        <f>F441</f>
        <v>0.8</v>
      </c>
      <c r="G511" s="147">
        <f>G441</f>
        <v>8</v>
      </c>
      <c r="H511" s="148">
        <f>D511*G511*F511</f>
        <v>134.4</v>
      </c>
      <c r="I511" s="149">
        <f>I573</f>
        <v>0</v>
      </c>
      <c r="J511" s="150">
        <f>H511-J573</f>
        <v>134.4</v>
      </c>
      <c r="K511" s="79"/>
      <c r="L511" s="120"/>
    </row>
    <row r="512" spans="2:20" s="1" customFormat="1" ht="69.95" customHeight="1" x14ac:dyDescent="0.15">
      <c r="B512" s="16"/>
      <c r="C512" s="22" t="s">
        <v>121</v>
      </c>
      <c r="D512" s="413" t="s">
        <v>122</v>
      </c>
      <c r="E512" s="413"/>
      <c r="F512" s="33" t="s">
        <v>123</v>
      </c>
      <c r="G512" s="34" t="s">
        <v>124</v>
      </c>
      <c r="H512" s="35" t="s">
        <v>125</v>
      </c>
      <c r="I512" s="125" t="s">
        <v>126</v>
      </c>
      <c r="J512" s="34" t="s">
        <v>127</v>
      </c>
      <c r="K512" s="107" t="s">
        <v>128</v>
      </c>
      <c r="L512" s="123" t="s">
        <v>129</v>
      </c>
    </row>
    <row r="513" spans="2:12" s="1" customFormat="1" ht="12.75" customHeight="1" x14ac:dyDescent="0.15">
      <c r="B513" s="83"/>
      <c r="C513" s="159"/>
      <c r="D513" s="164"/>
      <c r="E513" s="164"/>
      <c r="F513" s="76"/>
      <c r="G513" s="20"/>
      <c r="H513" s="20"/>
      <c r="I513" s="126"/>
      <c r="J513" s="38"/>
      <c r="K513" s="80"/>
      <c r="L513" s="82"/>
    </row>
    <row r="514" spans="2:12" s="1" customFormat="1" ht="12.75" x14ac:dyDescent="0.15">
      <c r="B514" s="82"/>
      <c r="C514" s="392" t="s">
        <v>130</v>
      </c>
      <c r="D514" s="392"/>
      <c r="E514" s="392"/>
      <c r="F514" s="168"/>
      <c r="G514" s="163"/>
      <c r="H514" s="20"/>
      <c r="I514" s="126"/>
      <c r="J514" s="21"/>
      <c r="K514" s="80"/>
      <c r="L514" s="82"/>
    </row>
    <row r="515" spans="2:12" s="1" customFormat="1" ht="12.95" customHeight="1" x14ac:dyDescent="0.15">
      <c r="B515" s="82"/>
      <c r="C515" s="116" t="s">
        <v>149</v>
      </c>
      <c r="D515" s="169"/>
      <c r="E515" s="169"/>
      <c r="F515" s="168"/>
      <c r="G515" s="163"/>
      <c r="H515" s="20"/>
      <c r="I515" s="126"/>
      <c r="J515" s="38"/>
      <c r="K515" s="80"/>
      <c r="L515" s="82"/>
    </row>
    <row r="516" spans="2:12" s="1" customFormat="1" ht="12.95" customHeight="1" x14ac:dyDescent="0.15">
      <c r="B516" s="82">
        <v>1</v>
      </c>
      <c r="C516" s="89"/>
      <c r="D516" s="169"/>
      <c r="E516" s="169"/>
      <c r="F516" s="168"/>
      <c r="G516" s="163"/>
      <c r="H516" s="20">
        <v>1</v>
      </c>
      <c r="I516" s="129">
        <f t="shared" ref="I516:I548" si="41">J516*$C$32</f>
        <v>0</v>
      </c>
      <c r="J516" s="52">
        <f t="shared" ref="J516:J525" si="42">(F516*G516*H516)/$C$32</f>
        <v>0</v>
      </c>
      <c r="K516" s="80"/>
      <c r="L516" s="82"/>
    </row>
    <row r="517" spans="2:12" s="1" customFormat="1" ht="12.95" customHeight="1" x14ac:dyDescent="0.15">
      <c r="B517" s="82">
        <v>2</v>
      </c>
      <c r="C517" s="89"/>
      <c r="D517" s="169"/>
      <c r="E517" s="169"/>
      <c r="F517" s="168"/>
      <c r="G517" s="163"/>
      <c r="H517" s="20">
        <v>1</v>
      </c>
      <c r="I517" s="129">
        <f t="shared" si="41"/>
        <v>0</v>
      </c>
      <c r="J517" s="52">
        <f t="shared" si="42"/>
        <v>0</v>
      </c>
      <c r="K517" s="80"/>
      <c r="L517" s="82"/>
    </row>
    <row r="518" spans="2:12" s="1" customFormat="1" ht="12.95" customHeight="1" x14ac:dyDescent="0.15">
      <c r="B518" s="82">
        <v>3</v>
      </c>
      <c r="C518" s="89"/>
      <c r="D518" s="169"/>
      <c r="E518" s="169"/>
      <c r="F518" s="168"/>
      <c r="G518" s="163"/>
      <c r="H518" s="20">
        <v>1</v>
      </c>
      <c r="I518" s="129">
        <f t="shared" si="41"/>
        <v>0</v>
      </c>
      <c r="J518" s="52">
        <f t="shared" si="42"/>
        <v>0</v>
      </c>
      <c r="K518" s="80"/>
      <c r="L518" s="82"/>
    </row>
    <row r="519" spans="2:12" s="1" customFormat="1" ht="12.95" customHeight="1" x14ac:dyDescent="0.15">
      <c r="B519" s="82">
        <v>4</v>
      </c>
      <c r="C519" s="82"/>
      <c r="D519" s="90"/>
      <c r="E519" s="90"/>
      <c r="F519" s="168"/>
      <c r="G519" s="163"/>
      <c r="H519" s="20">
        <v>1</v>
      </c>
      <c r="I519" s="129">
        <f t="shared" si="41"/>
        <v>0</v>
      </c>
      <c r="J519" s="52">
        <f t="shared" si="42"/>
        <v>0</v>
      </c>
      <c r="K519" s="80"/>
      <c r="L519" s="82"/>
    </row>
    <row r="520" spans="2:12" s="1" customFormat="1" ht="12.95" customHeight="1" x14ac:dyDescent="0.15">
      <c r="B520" s="82">
        <v>5</v>
      </c>
      <c r="C520" s="89"/>
      <c r="D520" s="170"/>
      <c r="E520" s="170"/>
      <c r="F520" s="168"/>
      <c r="G520" s="163"/>
      <c r="H520" s="20">
        <v>1</v>
      </c>
      <c r="I520" s="129">
        <f t="shared" si="41"/>
        <v>0</v>
      </c>
      <c r="J520" s="27">
        <f t="shared" si="42"/>
        <v>0</v>
      </c>
      <c r="K520" s="80"/>
      <c r="L520" s="82"/>
    </row>
    <row r="521" spans="2:12" s="1" customFormat="1" ht="12.95" customHeight="1" x14ac:dyDescent="0.15">
      <c r="B521" s="82">
        <v>6</v>
      </c>
      <c r="C521" s="89"/>
      <c r="D521" s="169"/>
      <c r="E521" s="169"/>
      <c r="F521" s="168"/>
      <c r="G521" s="163"/>
      <c r="H521" s="20">
        <v>1</v>
      </c>
      <c r="I521" s="129">
        <f t="shared" si="41"/>
        <v>0</v>
      </c>
      <c r="J521" s="52">
        <f t="shared" si="42"/>
        <v>0</v>
      </c>
      <c r="K521" s="80"/>
      <c r="L521" s="82"/>
    </row>
    <row r="522" spans="2:12" s="1" customFormat="1" ht="12.95" customHeight="1" x14ac:dyDescent="0.15">
      <c r="B522" s="82">
        <v>7</v>
      </c>
      <c r="C522" s="89"/>
      <c r="D522" s="167"/>
      <c r="E522" s="167"/>
      <c r="F522" s="168"/>
      <c r="G522" s="163"/>
      <c r="H522" s="20">
        <v>1</v>
      </c>
      <c r="I522" s="129">
        <f t="shared" si="41"/>
        <v>0</v>
      </c>
      <c r="J522" s="27">
        <f t="shared" si="42"/>
        <v>0</v>
      </c>
      <c r="K522" s="80"/>
      <c r="L522" s="82"/>
    </row>
    <row r="523" spans="2:12" s="1" customFormat="1" ht="12.95" customHeight="1" x14ac:dyDescent="0.15">
      <c r="B523" s="84">
        <v>8</v>
      </c>
      <c r="C523" s="81"/>
      <c r="D523" s="85"/>
      <c r="E523" s="165"/>
      <c r="F523" s="166"/>
      <c r="G523" s="20"/>
      <c r="H523" s="20">
        <v>1</v>
      </c>
      <c r="I523" s="129">
        <f t="shared" si="41"/>
        <v>0</v>
      </c>
      <c r="J523" s="52">
        <f t="shared" si="42"/>
        <v>0</v>
      </c>
      <c r="K523" s="80"/>
      <c r="L523" s="82"/>
    </row>
    <row r="524" spans="2:12" s="1" customFormat="1" ht="12.95" customHeight="1" x14ac:dyDescent="0.15">
      <c r="B524" s="16">
        <v>9</v>
      </c>
      <c r="C524" s="17"/>
      <c r="D524" s="18"/>
      <c r="E524" s="24"/>
      <c r="F524" s="129"/>
      <c r="G524" s="20"/>
      <c r="H524" s="20">
        <v>1</v>
      </c>
      <c r="I524" s="129">
        <f t="shared" si="41"/>
        <v>0</v>
      </c>
      <c r="J524" s="52">
        <f t="shared" si="42"/>
        <v>0</v>
      </c>
      <c r="K524" s="80"/>
      <c r="L524" s="82"/>
    </row>
    <row r="525" spans="2:12" s="1" customFormat="1" ht="12.95" customHeight="1" x14ac:dyDescent="0.15">
      <c r="B525" s="16">
        <v>10</v>
      </c>
      <c r="C525" s="17"/>
      <c r="D525" s="24"/>
      <c r="E525" s="18"/>
      <c r="F525" s="129"/>
      <c r="G525" s="20"/>
      <c r="H525" s="20">
        <v>1</v>
      </c>
      <c r="I525" s="129">
        <f t="shared" si="41"/>
        <v>0</v>
      </c>
      <c r="J525" s="52">
        <f t="shared" si="42"/>
        <v>0</v>
      </c>
      <c r="K525" s="80"/>
      <c r="L525" s="82"/>
    </row>
    <row r="526" spans="2:12" s="1" customFormat="1" ht="12.95" customHeight="1" x14ac:dyDescent="0.15">
      <c r="B526" s="16"/>
      <c r="C526" s="17"/>
      <c r="D526" s="24"/>
      <c r="E526" s="18"/>
      <c r="F526" s="129"/>
      <c r="G526" s="20"/>
      <c r="H526" s="20"/>
      <c r="I526" s="129"/>
      <c r="J526" s="52"/>
      <c r="K526" s="80"/>
      <c r="L526" s="82"/>
    </row>
    <row r="527" spans="2:12" s="1" customFormat="1" ht="12.95" customHeight="1" x14ac:dyDescent="0.15">
      <c r="B527" s="16"/>
      <c r="C527" s="17"/>
      <c r="D527" s="24"/>
      <c r="E527" s="18"/>
      <c r="F527" s="129"/>
      <c r="G527" s="20"/>
      <c r="H527" s="20"/>
      <c r="I527" s="129"/>
      <c r="J527" s="52"/>
      <c r="K527" s="80"/>
      <c r="L527" s="82"/>
    </row>
    <row r="528" spans="2:12" s="1" customFormat="1" ht="12.95" customHeight="1" x14ac:dyDescent="0.15">
      <c r="B528" s="16"/>
      <c r="C528" s="22" t="s">
        <v>153</v>
      </c>
      <c r="D528" s="24"/>
      <c r="E528" s="18"/>
      <c r="F528" s="129"/>
      <c r="G528" s="20"/>
      <c r="H528" s="20"/>
      <c r="I528" s="129"/>
      <c r="J528" s="52"/>
      <c r="K528" s="80"/>
      <c r="L528" s="82"/>
    </row>
    <row r="529" spans="2:20" s="1" customFormat="1" ht="12.95" customHeight="1" x14ac:dyDescent="0.15">
      <c r="B529" s="16">
        <v>1</v>
      </c>
      <c r="C529" s="17"/>
      <c r="D529" s="24"/>
      <c r="E529" s="24"/>
      <c r="F529" s="129"/>
      <c r="G529" s="20"/>
      <c r="H529" s="20">
        <v>1</v>
      </c>
      <c r="I529" s="129">
        <f t="shared" si="41"/>
        <v>0</v>
      </c>
      <c r="J529" s="52">
        <f t="shared" ref="J529:J548" si="43">(F529*G529*H529)/$C$32</f>
        <v>0</v>
      </c>
      <c r="K529" s="80"/>
      <c r="L529" s="82"/>
    </row>
    <row r="530" spans="2:20" s="1" customFormat="1" ht="12.95" customHeight="1" x14ac:dyDescent="0.15">
      <c r="B530" s="16">
        <v>2</v>
      </c>
      <c r="C530" s="17"/>
      <c r="D530" s="24"/>
      <c r="E530" s="24"/>
      <c r="F530" s="129"/>
      <c r="G530" s="20"/>
      <c r="H530" s="20">
        <v>1</v>
      </c>
      <c r="I530" s="129">
        <f t="shared" si="41"/>
        <v>0</v>
      </c>
      <c r="J530" s="52">
        <f t="shared" si="43"/>
        <v>0</v>
      </c>
      <c r="K530" s="80"/>
      <c r="L530" s="82"/>
    </row>
    <row r="531" spans="2:20" s="1" customFormat="1" ht="12.95" customHeight="1" x14ac:dyDescent="0.15">
      <c r="B531" s="16">
        <v>3</v>
      </c>
      <c r="C531" s="24"/>
      <c r="D531" s="24"/>
      <c r="E531" s="24"/>
      <c r="F531" s="129"/>
      <c r="G531" s="20"/>
      <c r="H531" s="20">
        <v>1</v>
      </c>
      <c r="I531" s="129">
        <f t="shared" si="41"/>
        <v>0</v>
      </c>
      <c r="J531" s="52">
        <f t="shared" si="43"/>
        <v>0</v>
      </c>
      <c r="K531" s="80"/>
      <c r="L531" s="82"/>
    </row>
    <row r="532" spans="2:20" s="1" customFormat="1" ht="12.95" customHeight="1" x14ac:dyDescent="0.15">
      <c r="B532" s="16">
        <v>4</v>
      </c>
      <c r="C532" s="24"/>
      <c r="D532" s="18"/>
      <c r="E532" s="18"/>
      <c r="F532" s="129"/>
      <c r="G532" s="20"/>
      <c r="H532" s="20">
        <v>1</v>
      </c>
      <c r="I532" s="129">
        <f t="shared" si="41"/>
        <v>0</v>
      </c>
      <c r="J532" s="27">
        <f t="shared" si="43"/>
        <v>0</v>
      </c>
      <c r="K532" s="80"/>
      <c r="L532" s="82"/>
      <c r="M532" s="10"/>
      <c r="N532" s="10"/>
      <c r="O532" s="10"/>
      <c r="P532" s="10"/>
      <c r="Q532" s="43"/>
      <c r="R532" s="10"/>
      <c r="T532" s="10"/>
    </row>
    <row r="533" spans="2:20" s="1" customFormat="1" ht="12.95" customHeight="1" x14ac:dyDescent="0.15">
      <c r="B533" s="16">
        <v>5</v>
      </c>
      <c r="C533" s="24"/>
      <c r="D533" s="24"/>
      <c r="E533" s="24"/>
      <c r="F533" s="129"/>
      <c r="G533" s="20"/>
      <c r="H533" s="20">
        <v>1</v>
      </c>
      <c r="I533" s="129">
        <f t="shared" si="41"/>
        <v>0</v>
      </c>
      <c r="J533" s="52">
        <f t="shared" si="43"/>
        <v>0</v>
      </c>
      <c r="K533" s="80"/>
      <c r="L533" s="82"/>
      <c r="M533" s="39"/>
      <c r="N533" s="40"/>
      <c r="O533" s="40"/>
    </row>
    <row r="534" spans="2:20" s="1" customFormat="1" ht="12.95" customHeight="1" x14ac:dyDescent="0.15">
      <c r="B534" s="16">
        <v>6</v>
      </c>
      <c r="C534" s="17"/>
      <c r="D534" s="18"/>
      <c r="E534" s="18"/>
      <c r="F534" s="129"/>
      <c r="G534" s="20"/>
      <c r="H534" s="20">
        <v>1</v>
      </c>
      <c r="I534" s="129">
        <f>J534*$C$32</f>
        <v>0</v>
      </c>
      <c r="J534" s="27">
        <f t="shared" si="43"/>
        <v>0</v>
      </c>
      <c r="K534" s="80"/>
      <c r="L534" s="82"/>
      <c r="N534" s="10"/>
      <c r="O534" s="10"/>
      <c r="P534" s="10"/>
      <c r="Q534" s="43"/>
      <c r="R534" s="10"/>
      <c r="T534" s="10"/>
    </row>
    <row r="535" spans="2:20" s="1" customFormat="1" ht="12.95" customHeight="1" x14ac:dyDescent="0.15">
      <c r="B535" s="16">
        <v>7</v>
      </c>
      <c r="C535" s="17"/>
      <c r="D535" s="24"/>
      <c r="E535" s="24"/>
      <c r="F535" s="129"/>
      <c r="G535" s="20"/>
      <c r="H535" s="20">
        <v>1</v>
      </c>
      <c r="I535" s="129">
        <f t="shared" si="41"/>
        <v>0</v>
      </c>
      <c r="J535" s="54">
        <f t="shared" si="43"/>
        <v>0</v>
      </c>
      <c r="K535" s="80"/>
      <c r="L535" s="82"/>
    </row>
    <row r="536" spans="2:20" s="1" customFormat="1" ht="12.95" customHeight="1" x14ac:dyDescent="0.15">
      <c r="B536" s="16">
        <v>8</v>
      </c>
      <c r="C536" s="17"/>
      <c r="D536" s="24"/>
      <c r="E536" s="24"/>
      <c r="F536" s="129"/>
      <c r="G536" s="20"/>
      <c r="H536" s="20">
        <v>1</v>
      </c>
      <c r="I536" s="129">
        <f>J536*$C$32</f>
        <v>0</v>
      </c>
      <c r="J536" s="54">
        <f t="shared" si="43"/>
        <v>0</v>
      </c>
      <c r="K536" s="80"/>
      <c r="L536" s="82"/>
    </row>
    <row r="537" spans="2:20" s="1" customFormat="1" ht="12.95" customHeight="1" x14ac:dyDescent="0.15">
      <c r="B537" s="16">
        <v>9</v>
      </c>
      <c r="C537" s="17"/>
      <c r="D537" s="24"/>
      <c r="E537" s="24"/>
      <c r="F537" s="129"/>
      <c r="G537" s="20"/>
      <c r="H537" s="20">
        <v>1</v>
      </c>
      <c r="I537" s="129">
        <f t="shared" si="41"/>
        <v>0</v>
      </c>
      <c r="J537" s="52">
        <f t="shared" si="43"/>
        <v>0</v>
      </c>
      <c r="K537" s="80"/>
      <c r="L537" s="82"/>
    </row>
    <row r="538" spans="2:20" s="1" customFormat="1" ht="12.95" customHeight="1" x14ac:dyDescent="0.15">
      <c r="B538" s="16">
        <v>10</v>
      </c>
      <c r="C538" s="17"/>
      <c r="D538" s="24"/>
      <c r="E538" s="24"/>
      <c r="F538" s="129"/>
      <c r="G538" s="20"/>
      <c r="H538" s="20">
        <v>1</v>
      </c>
      <c r="I538" s="129">
        <f t="shared" si="41"/>
        <v>0</v>
      </c>
      <c r="J538" s="52">
        <f t="shared" si="43"/>
        <v>0</v>
      </c>
      <c r="K538" s="80"/>
      <c r="L538" s="82"/>
    </row>
    <row r="539" spans="2:20" s="1" customFormat="1" ht="12" customHeight="1" x14ac:dyDescent="0.15">
      <c r="B539" s="16">
        <v>11</v>
      </c>
      <c r="C539" s="17"/>
      <c r="D539" s="24"/>
      <c r="E539" s="24"/>
      <c r="F539" s="129"/>
      <c r="G539" s="20"/>
      <c r="H539" s="20">
        <v>1</v>
      </c>
      <c r="I539" s="129">
        <f t="shared" si="41"/>
        <v>0</v>
      </c>
      <c r="J539" s="52">
        <f t="shared" si="43"/>
        <v>0</v>
      </c>
      <c r="K539" s="80"/>
      <c r="L539" s="82"/>
    </row>
    <row r="540" spans="2:20" s="1" customFormat="1" ht="12.95" customHeight="1" x14ac:dyDescent="0.15">
      <c r="B540" s="16">
        <v>12</v>
      </c>
      <c r="C540" s="17"/>
      <c r="D540" s="24"/>
      <c r="E540" s="24"/>
      <c r="F540" s="129"/>
      <c r="G540" s="20"/>
      <c r="H540" s="20">
        <v>1</v>
      </c>
      <c r="I540" s="129">
        <f t="shared" si="41"/>
        <v>0</v>
      </c>
      <c r="J540" s="52">
        <f t="shared" si="43"/>
        <v>0</v>
      </c>
      <c r="K540" s="80"/>
      <c r="L540" s="82"/>
    </row>
    <row r="541" spans="2:20" s="1" customFormat="1" ht="12.95" customHeight="1" x14ac:dyDescent="0.15">
      <c r="B541" s="16">
        <v>13</v>
      </c>
      <c r="C541" s="17"/>
      <c r="D541" s="18"/>
      <c r="E541" s="18"/>
      <c r="F541" s="129"/>
      <c r="G541" s="20"/>
      <c r="H541" s="20">
        <v>1</v>
      </c>
      <c r="I541" s="129">
        <f t="shared" si="41"/>
        <v>0</v>
      </c>
      <c r="J541" s="52">
        <f t="shared" si="43"/>
        <v>0</v>
      </c>
      <c r="K541" s="80"/>
      <c r="L541" s="82"/>
      <c r="M541" s="10"/>
      <c r="N541" s="10"/>
      <c r="O541" s="10"/>
      <c r="P541" s="10"/>
      <c r="Q541" s="43"/>
      <c r="R541" s="10"/>
      <c r="T541" s="10"/>
    </row>
    <row r="542" spans="2:20" s="1" customFormat="1" ht="12.95" customHeight="1" x14ac:dyDescent="0.15">
      <c r="B542" s="16">
        <v>14</v>
      </c>
      <c r="C542" s="17"/>
      <c r="D542" s="18"/>
      <c r="E542" s="18"/>
      <c r="F542" s="129"/>
      <c r="G542" s="20"/>
      <c r="H542" s="20">
        <v>1</v>
      </c>
      <c r="I542" s="129">
        <f t="shared" si="41"/>
        <v>0</v>
      </c>
      <c r="J542" s="52">
        <f t="shared" si="43"/>
        <v>0</v>
      </c>
      <c r="K542" s="80"/>
      <c r="L542" s="82"/>
      <c r="M542" s="10"/>
      <c r="N542" s="10"/>
      <c r="O542" s="10"/>
      <c r="P542" s="10"/>
      <c r="Q542" s="43"/>
      <c r="R542" s="10"/>
      <c r="T542" s="10"/>
    </row>
    <row r="543" spans="2:20" s="1" customFormat="1" ht="12.95" customHeight="1" x14ac:dyDescent="0.15">
      <c r="B543" s="16">
        <v>15</v>
      </c>
      <c r="C543" s="17"/>
      <c r="D543" s="18"/>
      <c r="E543" s="18"/>
      <c r="F543" s="129"/>
      <c r="G543" s="20"/>
      <c r="H543" s="20">
        <v>1</v>
      </c>
      <c r="I543" s="129">
        <f t="shared" si="41"/>
        <v>0</v>
      </c>
      <c r="J543" s="52">
        <f t="shared" si="43"/>
        <v>0</v>
      </c>
      <c r="K543" s="80"/>
      <c r="L543" s="82"/>
      <c r="M543" s="10"/>
      <c r="N543" s="10"/>
      <c r="O543" s="10"/>
      <c r="P543" s="10"/>
      <c r="Q543" s="43"/>
      <c r="R543" s="10"/>
      <c r="T543" s="10"/>
    </row>
    <row r="544" spans="2:20" s="1" customFormat="1" ht="12.95" customHeight="1" x14ac:dyDescent="0.15">
      <c r="B544" s="16">
        <v>16</v>
      </c>
      <c r="C544" s="17"/>
      <c r="D544" s="18"/>
      <c r="E544" s="18"/>
      <c r="F544" s="129"/>
      <c r="G544" s="20"/>
      <c r="H544" s="20">
        <v>1</v>
      </c>
      <c r="I544" s="129">
        <f t="shared" si="41"/>
        <v>0</v>
      </c>
      <c r="J544" s="52">
        <f t="shared" si="43"/>
        <v>0</v>
      </c>
      <c r="K544" s="80"/>
      <c r="L544" s="82"/>
      <c r="M544" s="10"/>
      <c r="N544" s="10"/>
      <c r="O544" s="10"/>
      <c r="P544" s="10"/>
      <c r="Q544" s="43"/>
      <c r="R544" s="10"/>
      <c r="T544" s="10"/>
    </row>
    <row r="545" spans="2:20" s="1" customFormat="1" ht="12.95" customHeight="1" x14ac:dyDescent="0.15">
      <c r="B545" s="16">
        <v>17</v>
      </c>
      <c r="C545" s="17"/>
      <c r="D545" s="18"/>
      <c r="E545" s="18"/>
      <c r="F545" s="129"/>
      <c r="G545" s="20"/>
      <c r="H545" s="20">
        <v>1</v>
      </c>
      <c r="I545" s="129">
        <f t="shared" si="41"/>
        <v>0</v>
      </c>
      <c r="J545" s="52">
        <f t="shared" si="43"/>
        <v>0</v>
      </c>
      <c r="K545" s="80"/>
      <c r="L545" s="82"/>
      <c r="M545" s="10"/>
      <c r="N545" s="10"/>
      <c r="O545" s="10"/>
      <c r="P545" s="10"/>
      <c r="Q545" s="43"/>
      <c r="R545" s="10"/>
      <c r="T545" s="10"/>
    </row>
    <row r="546" spans="2:20" s="1" customFormat="1" ht="12.95" customHeight="1" x14ac:dyDescent="0.15">
      <c r="B546" s="16">
        <v>18</v>
      </c>
      <c r="C546" s="17"/>
      <c r="D546" s="18"/>
      <c r="E546" s="18"/>
      <c r="F546" s="129"/>
      <c r="G546" s="20"/>
      <c r="H546" s="20">
        <v>1</v>
      </c>
      <c r="I546" s="129">
        <f t="shared" si="41"/>
        <v>0</v>
      </c>
      <c r="J546" s="52">
        <f t="shared" si="43"/>
        <v>0</v>
      </c>
      <c r="K546" s="80"/>
      <c r="L546" s="82"/>
      <c r="M546" s="10"/>
      <c r="N546" s="10"/>
      <c r="O546" s="10"/>
      <c r="P546" s="10"/>
      <c r="Q546" s="43"/>
      <c r="R546" s="10"/>
      <c r="T546" s="10"/>
    </row>
    <row r="547" spans="2:20" s="1" customFormat="1" ht="12.95" customHeight="1" x14ac:dyDescent="0.15">
      <c r="B547" s="16">
        <v>19</v>
      </c>
      <c r="C547" s="17"/>
      <c r="D547" s="18"/>
      <c r="E547" s="18"/>
      <c r="F547" s="129"/>
      <c r="G547" s="20"/>
      <c r="H547" s="20">
        <v>1</v>
      </c>
      <c r="I547" s="129">
        <f t="shared" si="41"/>
        <v>0</v>
      </c>
      <c r="J547" s="52">
        <f t="shared" si="43"/>
        <v>0</v>
      </c>
      <c r="K547" s="80"/>
      <c r="L547" s="82"/>
      <c r="M547" s="10"/>
      <c r="N547" s="10"/>
      <c r="O547" s="10"/>
      <c r="P547" s="10"/>
      <c r="Q547" s="43"/>
      <c r="R547" s="10"/>
      <c r="T547" s="10"/>
    </row>
    <row r="548" spans="2:20" s="1" customFormat="1" ht="12.95" customHeight="1" x14ac:dyDescent="0.15">
      <c r="B548" s="16">
        <v>20</v>
      </c>
      <c r="C548" s="17"/>
      <c r="D548" s="18"/>
      <c r="E548" s="18"/>
      <c r="F548" s="129"/>
      <c r="G548" s="20"/>
      <c r="H548" s="20">
        <v>1</v>
      </c>
      <c r="I548" s="129">
        <f t="shared" si="41"/>
        <v>0</v>
      </c>
      <c r="J548" s="52">
        <f t="shared" si="43"/>
        <v>0</v>
      </c>
      <c r="K548" s="80"/>
      <c r="L548" s="82"/>
      <c r="M548" s="10"/>
      <c r="N548" s="10"/>
      <c r="O548" s="10"/>
      <c r="P548" s="10"/>
      <c r="Q548" s="43"/>
      <c r="R548" s="10"/>
      <c r="T548" s="10"/>
    </row>
    <row r="549" spans="2:20" s="1" customFormat="1" ht="12.95" customHeight="1" x14ac:dyDescent="0.15">
      <c r="B549" s="16"/>
      <c r="C549" s="17"/>
      <c r="D549" s="18"/>
      <c r="E549" s="18"/>
      <c r="F549" s="129"/>
      <c r="G549" s="20"/>
      <c r="H549" s="20"/>
      <c r="I549" s="129"/>
      <c r="J549" s="52"/>
      <c r="K549" s="80"/>
      <c r="L549" s="82"/>
      <c r="M549" s="10"/>
      <c r="N549" s="10"/>
      <c r="O549" s="10"/>
      <c r="P549" s="10"/>
      <c r="Q549" s="43"/>
      <c r="R549" s="10"/>
      <c r="T549" s="10"/>
    </row>
    <row r="550" spans="2:20" s="1" customFormat="1" ht="12.95" customHeight="1" x14ac:dyDescent="0.15">
      <c r="B550" s="16"/>
      <c r="C550" s="17"/>
      <c r="D550" s="18"/>
      <c r="E550" s="18"/>
      <c r="F550" s="129"/>
      <c r="G550" s="20"/>
      <c r="H550" s="20"/>
      <c r="I550" s="129"/>
      <c r="J550" s="52"/>
      <c r="K550" s="80"/>
      <c r="L550" s="82"/>
      <c r="M550" s="10"/>
      <c r="N550" s="10"/>
      <c r="O550" s="10"/>
      <c r="P550" s="10"/>
      <c r="Q550" s="43"/>
      <c r="R550" s="10"/>
      <c r="T550" s="10"/>
    </row>
    <row r="551" spans="2:20" s="1" customFormat="1" ht="12.95" customHeight="1" x14ac:dyDescent="0.15">
      <c r="B551" s="16"/>
      <c r="C551" s="73" t="s">
        <v>132</v>
      </c>
      <c r="D551" s="18"/>
      <c r="E551" s="18"/>
      <c r="F551" s="129"/>
      <c r="G551" s="55"/>
      <c r="H551" s="20"/>
      <c r="I551" s="129"/>
      <c r="J551" s="52"/>
      <c r="K551" s="80"/>
      <c r="L551" s="82"/>
      <c r="N551" s="10"/>
      <c r="O551" s="10"/>
      <c r="P551" s="10"/>
      <c r="Q551" s="43"/>
      <c r="R551" s="10"/>
      <c r="T551" s="10"/>
    </row>
    <row r="552" spans="2:20" s="1" customFormat="1" ht="12.95" customHeight="1" x14ac:dyDescent="0.15">
      <c r="B552" s="16">
        <v>1</v>
      </c>
      <c r="C552" s="45"/>
      <c r="D552" s="18"/>
      <c r="E552" s="18"/>
      <c r="F552" s="129"/>
      <c r="G552" s="20"/>
      <c r="H552" s="20">
        <v>1</v>
      </c>
      <c r="I552" s="129">
        <f>J552*$C$32</f>
        <v>0</v>
      </c>
      <c r="J552" s="52">
        <f t="shared" ref="J552:J571" si="44">(F552*G552*H552)/$C$32</f>
        <v>0</v>
      </c>
      <c r="K552" s="80"/>
      <c r="L552" s="82"/>
      <c r="N552" s="10"/>
      <c r="O552" s="10"/>
      <c r="P552" s="10"/>
      <c r="Q552" s="43"/>
      <c r="R552" s="10"/>
      <c r="T552" s="10"/>
    </row>
    <row r="553" spans="2:20" s="1" customFormat="1" ht="12.95" customHeight="1" x14ac:dyDescent="0.15">
      <c r="B553" s="16">
        <v>2</v>
      </c>
      <c r="C553" s="44"/>
      <c r="D553" s="18"/>
      <c r="E553" s="18"/>
      <c r="F553" s="129"/>
      <c r="G553" s="20"/>
      <c r="H553" s="20">
        <v>1</v>
      </c>
      <c r="I553" s="129">
        <f>J553*$C$32</f>
        <v>0</v>
      </c>
      <c r="J553" s="52">
        <f t="shared" si="44"/>
        <v>0</v>
      </c>
      <c r="K553" s="80"/>
      <c r="L553" s="82"/>
      <c r="N553" s="10"/>
      <c r="O553" s="10"/>
      <c r="P553" s="10"/>
      <c r="Q553" s="43"/>
      <c r="R553" s="10"/>
      <c r="T553" s="10"/>
    </row>
    <row r="554" spans="2:20" s="1" customFormat="1" ht="12.95" customHeight="1" x14ac:dyDescent="0.15">
      <c r="B554" s="16">
        <v>3</v>
      </c>
      <c r="C554" s="11"/>
      <c r="D554" s="18"/>
      <c r="E554" s="18"/>
      <c r="F554" s="129"/>
      <c r="G554" s="20"/>
      <c r="H554" s="20">
        <v>1</v>
      </c>
      <c r="I554" s="129">
        <f t="shared" ref="I554:I571" si="45">J554*$C$32</f>
        <v>0</v>
      </c>
      <c r="J554" s="52">
        <f t="shared" si="44"/>
        <v>0</v>
      </c>
      <c r="K554" s="80"/>
      <c r="L554" s="82"/>
      <c r="N554" s="10"/>
      <c r="O554" s="10"/>
      <c r="P554" s="10"/>
      <c r="Q554" s="43"/>
      <c r="R554" s="10"/>
      <c r="T554" s="10"/>
    </row>
    <row r="555" spans="2:20" s="1" customFormat="1" ht="12.95" customHeight="1" x14ac:dyDescent="0.2">
      <c r="B555" s="16">
        <v>4</v>
      </c>
      <c r="C555" s="56"/>
      <c r="D555" s="17"/>
      <c r="E555" s="17"/>
      <c r="F555" s="129"/>
      <c r="G555" s="20"/>
      <c r="H555" s="20">
        <v>1</v>
      </c>
      <c r="I555" s="129">
        <f t="shared" si="45"/>
        <v>0</v>
      </c>
      <c r="J555" s="52">
        <f t="shared" si="44"/>
        <v>0</v>
      </c>
      <c r="K555" s="80"/>
      <c r="L555" s="82"/>
      <c r="M555" s="10"/>
      <c r="N555" s="10"/>
      <c r="O555" s="10"/>
      <c r="P555" s="10"/>
      <c r="Q555" s="43"/>
      <c r="R555" s="10"/>
      <c r="T555" s="10"/>
    </row>
    <row r="556" spans="2:20" s="1" customFormat="1" ht="12.95" customHeight="1" x14ac:dyDescent="0.15">
      <c r="B556" s="16">
        <v>5</v>
      </c>
      <c r="C556" s="17"/>
      <c r="D556" s="17"/>
      <c r="E556" s="17"/>
      <c r="F556" s="129"/>
      <c r="G556" s="20"/>
      <c r="H556" s="20">
        <v>1</v>
      </c>
      <c r="I556" s="129">
        <f t="shared" si="45"/>
        <v>0</v>
      </c>
      <c r="J556" s="52">
        <f t="shared" si="44"/>
        <v>0</v>
      </c>
      <c r="K556" s="80"/>
      <c r="L556" s="82"/>
      <c r="M556" s="10"/>
      <c r="N556" s="10"/>
      <c r="O556" s="10"/>
      <c r="P556" s="10"/>
      <c r="Q556" s="43"/>
      <c r="R556" s="10"/>
      <c r="T556" s="10"/>
    </row>
    <row r="557" spans="2:20" s="1" customFormat="1" ht="12.95" customHeight="1" x14ac:dyDescent="0.15">
      <c r="B557" s="16">
        <v>6</v>
      </c>
      <c r="C557" s="17"/>
      <c r="D557" s="17"/>
      <c r="E557" s="17"/>
      <c r="F557" s="129"/>
      <c r="G557" s="20"/>
      <c r="H557" s="20">
        <v>1</v>
      </c>
      <c r="I557" s="129">
        <f t="shared" si="45"/>
        <v>0</v>
      </c>
      <c r="J557" s="52">
        <f t="shared" si="44"/>
        <v>0</v>
      </c>
      <c r="K557" s="80"/>
      <c r="L557" s="82"/>
      <c r="M557" s="10"/>
      <c r="N557" s="10"/>
      <c r="O557" s="10"/>
      <c r="P557" s="10"/>
      <c r="Q557" s="43"/>
      <c r="R557" s="10"/>
      <c r="T557" s="10"/>
    </row>
    <row r="558" spans="2:20" s="1" customFormat="1" ht="12.95" customHeight="1" x14ac:dyDescent="0.15">
      <c r="B558" s="16">
        <v>7</v>
      </c>
      <c r="C558" s="17"/>
      <c r="D558" s="17"/>
      <c r="E558" s="17"/>
      <c r="F558" s="129"/>
      <c r="G558" s="20"/>
      <c r="H558" s="20">
        <v>1</v>
      </c>
      <c r="I558" s="129">
        <f t="shared" si="45"/>
        <v>0</v>
      </c>
      <c r="J558" s="52">
        <f t="shared" si="44"/>
        <v>0</v>
      </c>
      <c r="K558" s="80"/>
      <c r="L558" s="82"/>
      <c r="M558" s="10"/>
      <c r="N558" s="10"/>
      <c r="O558" s="10"/>
      <c r="P558" s="10"/>
      <c r="Q558" s="43"/>
      <c r="R558" s="10"/>
      <c r="T558" s="10"/>
    </row>
    <row r="559" spans="2:20" s="1" customFormat="1" ht="12.95" customHeight="1" x14ac:dyDescent="0.15">
      <c r="B559" s="16">
        <v>8</v>
      </c>
      <c r="C559" s="17"/>
      <c r="D559" s="17"/>
      <c r="E559" s="17"/>
      <c r="F559" s="129"/>
      <c r="G559" s="20"/>
      <c r="H559" s="20">
        <v>1</v>
      </c>
      <c r="I559" s="129">
        <f t="shared" si="45"/>
        <v>0</v>
      </c>
      <c r="J559" s="52">
        <f t="shared" si="44"/>
        <v>0</v>
      </c>
      <c r="K559" s="80"/>
      <c r="L559" s="82"/>
    </row>
    <row r="560" spans="2:20" s="1" customFormat="1" ht="12.95" customHeight="1" x14ac:dyDescent="0.15">
      <c r="B560" s="16">
        <v>9</v>
      </c>
      <c r="C560" s="17"/>
      <c r="D560" s="17"/>
      <c r="E560" s="17"/>
      <c r="F560" s="129"/>
      <c r="G560" s="20"/>
      <c r="H560" s="20">
        <v>1</v>
      </c>
      <c r="I560" s="129">
        <f t="shared" si="45"/>
        <v>0</v>
      </c>
      <c r="J560" s="52">
        <f t="shared" si="44"/>
        <v>0</v>
      </c>
      <c r="K560" s="80"/>
      <c r="L560" s="82"/>
    </row>
    <row r="561" spans="2:20" s="1" customFormat="1" ht="12.95" customHeight="1" x14ac:dyDescent="0.15">
      <c r="B561" s="16">
        <v>10</v>
      </c>
      <c r="C561" s="17"/>
      <c r="D561" s="17"/>
      <c r="E561" s="17"/>
      <c r="F561" s="129"/>
      <c r="G561" s="20"/>
      <c r="H561" s="20">
        <v>1</v>
      </c>
      <c r="I561" s="129">
        <f t="shared" si="45"/>
        <v>0</v>
      </c>
      <c r="J561" s="52">
        <f t="shared" si="44"/>
        <v>0</v>
      </c>
      <c r="K561" s="80"/>
      <c r="L561" s="82"/>
      <c r="M561" s="10"/>
      <c r="N561" s="10"/>
      <c r="O561" s="10"/>
      <c r="P561" s="10"/>
      <c r="Q561" s="43"/>
      <c r="R561" s="10"/>
      <c r="T561" s="10"/>
    </row>
    <row r="562" spans="2:20" s="1" customFormat="1" ht="12.95" customHeight="1" x14ac:dyDescent="0.15">
      <c r="B562" s="16">
        <v>11</v>
      </c>
      <c r="C562" s="17"/>
      <c r="D562" s="17"/>
      <c r="E562" s="17"/>
      <c r="F562" s="129"/>
      <c r="G562" s="20"/>
      <c r="H562" s="20">
        <v>1</v>
      </c>
      <c r="I562" s="129">
        <f t="shared" si="45"/>
        <v>0</v>
      </c>
      <c r="J562" s="52">
        <f t="shared" si="44"/>
        <v>0</v>
      </c>
      <c r="K562" s="80"/>
      <c r="L562" s="82"/>
      <c r="M562" s="10"/>
      <c r="N562" s="10"/>
      <c r="O562" s="10"/>
      <c r="P562" s="10"/>
      <c r="Q562" s="43"/>
      <c r="R562" s="10"/>
      <c r="T562" s="10"/>
    </row>
    <row r="563" spans="2:20" s="1" customFormat="1" ht="12.95" customHeight="1" x14ac:dyDescent="0.15">
      <c r="B563" s="16">
        <v>12</v>
      </c>
      <c r="C563" s="17"/>
      <c r="D563" s="17"/>
      <c r="E563" s="17"/>
      <c r="F563" s="129"/>
      <c r="G563" s="20"/>
      <c r="H563" s="20">
        <v>1</v>
      </c>
      <c r="I563" s="129">
        <f t="shared" si="45"/>
        <v>0</v>
      </c>
      <c r="J563" s="52">
        <f t="shared" si="44"/>
        <v>0</v>
      </c>
      <c r="K563" s="80"/>
      <c r="L563" s="82"/>
      <c r="M563" s="10"/>
      <c r="N563" s="10"/>
      <c r="O563" s="10"/>
      <c r="P563" s="10"/>
      <c r="Q563" s="43"/>
      <c r="R563" s="10"/>
      <c r="T563" s="10"/>
    </row>
    <row r="564" spans="2:20" s="1" customFormat="1" ht="12.95" customHeight="1" x14ac:dyDescent="0.15">
      <c r="B564" s="16">
        <v>13</v>
      </c>
      <c r="C564" s="17"/>
      <c r="D564" s="17"/>
      <c r="E564" s="17"/>
      <c r="F564" s="129"/>
      <c r="G564" s="20"/>
      <c r="H564" s="20">
        <v>1</v>
      </c>
      <c r="I564" s="129">
        <f t="shared" si="45"/>
        <v>0</v>
      </c>
      <c r="J564" s="52">
        <f t="shared" si="44"/>
        <v>0</v>
      </c>
      <c r="K564" s="80"/>
      <c r="L564" s="82"/>
      <c r="M564" s="10"/>
      <c r="N564" s="10"/>
      <c r="O564" s="10"/>
      <c r="P564" s="10"/>
      <c r="Q564" s="43"/>
      <c r="R564" s="10"/>
      <c r="T564" s="10"/>
    </row>
    <row r="565" spans="2:20" s="1" customFormat="1" ht="12.95" customHeight="1" x14ac:dyDescent="0.15">
      <c r="B565" s="16">
        <v>14</v>
      </c>
      <c r="C565" s="17"/>
      <c r="D565" s="17"/>
      <c r="E565" s="17"/>
      <c r="F565" s="129"/>
      <c r="G565" s="20"/>
      <c r="H565" s="20">
        <v>1</v>
      </c>
      <c r="I565" s="129">
        <f t="shared" si="45"/>
        <v>0</v>
      </c>
      <c r="J565" s="52">
        <f t="shared" si="44"/>
        <v>0</v>
      </c>
      <c r="K565" s="80"/>
      <c r="L565" s="82"/>
      <c r="M565" s="10"/>
      <c r="N565" s="10"/>
      <c r="O565" s="10"/>
      <c r="P565" s="10"/>
      <c r="Q565" s="43"/>
      <c r="R565" s="10"/>
      <c r="T565" s="10"/>
    </row>
    <row r="566" spans="2:20" s="1" customFormat="1" ht="12.95" customHeight="1" x14ac:dyDescent="0.15">
      <c r="B566" s="16">
        <v>15</v>
      </c>
      <c r="C566" s="17"/>
      <c r="D566" s="17"/>
      <c r="E566" s="17"/>
      <c r="F566" s="129"/>
      <c r="G566" s="20"/>
      <c r="H566" s="20">
        <v>1</v>
      </c>
      <c r="I566" s="129">
        <f t="shared" si="45"/>
        <v>0</v>
      </c>
      <c r="J566" s="52">
        <f t="shared" si="44"/>
        <v>0</v>
      </c>
      <c r="K566" s="80"/>
      <c r="L566" s="82"/>
      <c r="M566" s="10"/>
      <c r="N566" s="10"/>
      <c r="O566" s="10"/>
      <c r="P566" s="10"/>
      <c r="Q566" s="43"/>
      <c r="R566" s="10"/>
      <c r="T566" s="10"/>
    </row>
    <row r="567" spans="2:20" s="1" customFormat="1" ht="12.95" customHeight="1" x14ac:dyDescent="0.15">
      <c r="B567" s="16">
        <v>16</v>
      </c>
      <c r="C567" s="17"/>
      <c r="D567" s="17"/>
      <c r="E567" s="17"/>
      <c r="F567" s="129"/>
      <c r="G567" s="20"/>
      <c r="H567" s="20">
        <v>1</v>
      </c>
      <c r="I567" s="129">
        <f t="shared" si="45"/>
        <v>0</v>
      </c>
      <c r="J567" s="52">
        <f t="shared" si="44"/>
        <v>0</v>
      </c>
      <c r="K567" s="80"/>
      <c r="L567" s="82"/>
      <c r="M567" s="10"/>
      <c r="N567" s="10"/>
      <c r="O567" s="10"/>
      <c r="P567" s="10"/>
      <c r="Q567" s="43"/>
      <c r="R567" s="10"/>
      <c r="T567" s="10"/>
    </row>
    <row r="568" spans="2:20" s="1" customFormat="1" ht="12.95" customHeight="1" x14ac:dyDescent="0.15">
      <c r="B568" s="16">
        <v>17</v>
      </c>
      <c r="C568" s="17"/>
      <c r="D568" s="17"/>
      <c r="E568" s="17"/>
      <c r="F568" s="129"/>
      <c r="G568" s="20"/>
      <c r="H568" s="20">
        <v>1</v>
      </c>
      <c r="I568" s="129">
        <f t="shared" si="45"/>
        <v>0</v>
      </c>
      <c r="J568" s="52">
        <f t="shared" si="44"/>
        <v>0</v>
      </c>
      <c r="K568" s="80"/>
      <c r="L568" s="82"/>
      <c r="M568" s="10"/>
      <c r="N568" s="10"/>
      <c r="O568" s="10"/>
      <c r="P568" s="10"/>
      <c r="Q568" s="43"/>
      <c r="R568" s="10"/>
      <c r="T568" s="10"/>
    </row>
    <row r="569" spans="2:20" s="1" customFormat="1" ht="12.95" customHeight="1" x14ac:dyDescent="0.15">
      <c r="B569" s="16">
        <v>18</v>
      </c>
      <c r="C569" s="17"/>
      <c r="D569" s="17"/>
      <c r="E569" s="17"/>
      <c r="F569" s="129"/>
      <c r="G569" s="20"/>
      <c r="H569" s="20">
        <v>1</v>
      </c>
      <c r="I569" s="129">
        <f t="shared" si="45"/>
        <v>0</v>
      </c>
      <c r="J569" s="265">
        <f t="shared" si="44"/>
        <v>0</v>
      </c>
      <c r="K569" s="111"/>
      <c r="L569" s="119"/>
      <c r="M569" s="10"/>
      <c r="N569" s="10"/>
      <c r="O569" s="10"/>
      <c r="P569" s="10"/>
      <c r="Q569" s="43"/>
      <c r="R569" s="10"/>
      <c r="T569" s="10"/>
    </row>
    <row r="570" spans="2:20" s="1" customFormat="1" ht="12.95" customHeight="1" x14ac:dyDescent="0.15">
      <c r="B570" s="16">
        <v>19</v>
      </c>
      <c r="C570" s="17"/>
      <c r="D570" s="17"/>
      <c r="E570" s="17"/>
      <c r="F570" s="129"/>
      <c r="G570" s="20"/>
      <c r="H570" s="20">
        <v>1</v>
      </c>
      <c r="I570" s="262">
        <f t="shared" si="45"/>
        <v>0</v>
      </c>
      <c r="J570" s="266">
        <f t="shared" si="44"/>
        <v>0</v>
      </c>
      <c r="K570" s="82"/>
      <c r="L570" s="82"/>
      <c r="M570" s="10"/>
      <c r="N570" s="10"/>
      <c r="O570" s="10"/>
      <c r="P570" s="10"/>
      <c r="Q570" s="43"/>
      <c r="R570" s="10"/>
      <c r="T570" s="10"/>
    </row>
    <row r="571" spans="2:20" s="1" customFormat="1" ht="12.95" customHeight="1" x14ac:dyDescent="0.15">
      <c r="B571" s="16">
        <v>20</v>
      </c>
      <c r="C571" s="17"/>
      <c r="D571" s="17"/>
      <c r="E571" s="17"/>
      <c r="F571" s="129"/>
      <c r="G571" s="20"/>
      <c r="H571" s="20">
        <v>1</v>
      </c>
      <c r="I571" s="262">
        <f t="shared" si="45"/>
        <v>0</v>
      </c>
      <c r="J571" s="266">
        <f t="shared" si="44"/>
        <v>0</v>
      </c>
      <c r="K571" s="82"/>
      <c r="L571" s="82"/>
      <c r="M571" s="10"/>
      <c r="N571" s="10"/>
      <c r="O571" s="10"/>
      <c r="P571" s="10"/>
      <c r="Q571" s="43"/>
      <c r="R571" s="10"/>
      <c r="T571" s="10"/>
    </row>
    <row r="572" spans="2:20" s="1" customFormat="1" ht="12.95" customHeight="1" x14ac:dyDescent="0.15">
      <c r="B572" s="83"/>
      <c r="C572" s="160"/>
      <c r="D572" s="160"/>
      <c r="E572" s="160"/>
      <c r="F572" s="132"/>
      <c r="G572" s="76"/>
      <c r="H572" s="76"/>
      <c r="I572" s="263"/>
      <c r="J572" s="184"/>
      <c r="K572" s="82"/>
      <c r="L572" s="82"/>
      <c r="M572" s="10"/>
      <c r="N572" s="10"/>
      <c r="O572" s="10"/>
      <c r="P572" s="10"/>
      <c r="Q572" s="43"/>
      <c r="R572" s="10"/>
      <c r="T572" s="10"/>
    </row>
    <row r="573" spans="2:20" s="1" customFormat="1" ht="12.75" x14ac:dyDescent="0.15">
      <c r="B573" s="82"/>
      <c r="C573" s="102"/>
      <c r="D573" s="103"/>
      <c r="E573" s="102"/>
      <c r="F573" s="128">
        <f>SUM(F513:F572)</f>
        <v>0</v>
      </c>
      <c r="G573" s="104"/>
      <c r="H573" s="105"/>
      <c r="I573" s="256">
        <f>SUM(I515:I572)</f>
        <v>0</v>
      </c>
      <c r="J573" s="257">
        <f>SUM(J513:J572)</f>
        <v>0</v>
      </c>
    </row>
    <row r="574" spans="2:20" s="67" customFormat="1" ht="12.75" x14ac:dyDescent="0.15">
      <c r="B574" s="116"/>
      <c r="C574" s="114"/>
      <c r="D574" s="114"/>
      <c r="E574" s="114" t="s">
        <v>147</v>
      </c>
      <c r="F574" s="162">
        <f>100/115*F573</f>
        <v>0</v>
      </c>
      <c r="G574" s="114"/>
      <c r="H574" s="114" t="s">
        <v>147</v>
      </c>
      <c r="I574" s="264">
        <f>100/115*I573</f>
        <v>0</v>
      </c>
      <c r="J574" s="114"/>
    </row>
    <row r="575" spans="2:20" s="1" customFormat="1" ht="13.5" customHeight="1" x14ac:dyDescent="0.15"/>
    <row r="576" spans="2:20" s="1" customFormat="1" ht="16.899999999999999" customHeight="1" x14ac:dyDescent="0.15"/>
    <row r="577" spans="2:13" s="1" customFormat="1" ht="13.5" customHeight="1" x14ac:dyDescent="0.15"/>
    <row r="578" spans="2:13" s="1" customFormat="1" ht="13.5" customHeight="1" x14ac:dyDescent="0.15"/>
    <row r="579" spans="2:13" s="247" customFormat="1" ht="32.25" x14ac:dyDescent="0.4">
      <c r="B579" s="248"/>
      <c r="C579" s="380" t="s">
        <v>112</v>
      </c>
      <c r="D579" s="380"/>
      <c r="E579" s="400" t="s">
        <v>162</v>
      </c>
      <c r="F579" s="401"/>
      <c r="G579" s="401"/>
      <c r="H579" s="401"/>
      <c r="I579" s="402"/>
      <c r="J579" s="382">
        <v>2026</v>
      </c>
      <c r="K579" s="382"/>
      <c r="L579" s="382"/>
    </row>
    <row r="580" spans="2:13" s="1" customFormat="1" ht="42" customHeight="1" x14ac:dyDescent="0.15">
      <c r="B580" s="82"/>
      <c r="C580" s="102" t="s">
        <v>114</v>
      </c>
      <c r="D580" s="388" t="s">
        <v>115</v>
      </c>
      <c r="E580" s="388"/>
      <c r="F580" s="102" t="s">
        <v>116</v>
      </c>
      <c r="G580" s="102" t="s">
        <v>117</v>
      </c>
      <c r="H580" s="102" t="s">
        <v>118</v>
      </c>
      <c r="I580" s="102" t="s">
        <v>119</v>
      </c>
      <c r="J580" s="102" t="s">
        <v>120</v>
      </c>
      <c r="K580" s="82"/>
      <c r="L580" s="82"/>
    </row>
    <row r="581" spans="2:13" s="1" customFormat="1" ht="12.95" customHeight="1" x14ac:dyDescent="0.15">
      <c r="B581" s="84"/>
      <c r="C581" s="149">
        <f>C511</f>
        <v>450</v>
      </c>
      <c r="D581" s="412">
        <v>21</v>
      </c>
      <c r="E581" s="412"/>
      <c r="F581" s="146">
        <f>F511</f>
        <v>0.8</v>
      </c>
      <c r="G581" s="147">
        <f>G511</f>
        <v>8</v>
      </c>
      <c r="H581" s="148">
        <f>D581*G581*F581</f>
        <v>134.4</v>
      </c>
      <c r="I581" s="149">
        <f>I643</f>
        <v>0</v>
      </c>
      <c r="J581" s="150">
        <f>H581-J643</f>
        <v>134.4</v>
      </c>
      <c r="K581" s="79"/>
      <c r="L581" s="120"/>
    </row>
    <row r="582" spans="2:13" s="1" customFormat="1" ht="33.75" x14ac:dyDescent="0.15">
      <c r="B582" s="16"/>
      <c r="C582" s="22" t="s">
        <v>121</v>
      </c>
      <c r="D582" s="413" t="s">
        <v>122</v>
      </c>
      <c r="E582" s="413"/>
      <c r="F582" s="33" t="s">
        <v>123</v>
      </c>
      <c r="G582" s="34" t="s">
        <v>124</v>
      </c>
      <c r="H582" s="35" t="s">
        <v>125</v>
      </c>
      <c r="I582" s="125" t="s">
        <v>126</v>
      </c>
      <c r="J582" s="34" t="s">
        <v>127</v>
      </c>
      <c r="K582" s="107" t="s">
        <v>128</v>
      </c>
      <c r="L582" s="123" t="s">
        <v>129</v>
      </c>
    </row>
    <row r="583" spans="2:13" s="1" customFormat="1" ht="12.75" x14ac:dyDescent="0.15">
      <c r="B583" s="16"/>
      <c r="C583" s="22"/>
      <c r="D583" s="32"/>
      <c r="E583" s="32"/>
      <c r="F583" s="33"/>
      <c r="G583" s="34"/>
      <c r="H583" s="35"/>
      <c r="I583" s="125"/>
      <c r="J583" s="34"/>
      <c r="K583" s="110"/>
      <c r="L583" s="117"/>
    </row>
    <row r="584" spans="2:13" s="1" customFormat="1" ht="12.75" x14ac:dyDescent="0.15">
      <c r="B584" s="16"/>
      <c r="C584" s="22" t="s">
        <v>130</v>
      </c>
      <c r="D584" s="32"/>
      <c r="E584" s="32"/>
      <c r="F584" s="151"/>
      <c r="G584" s="34"/>
      <c r="H584" s="35"/>
      <c r="I584" s="125"/>
      <c r="J584" s="34"/>
      <c r="K584" s="110"/>
      <c r="L584" s="117"/>
    </row>
    <row r="585" spans="2:13" s="1" customFormat="1" ht="12.75" customHeight="1" x14ac:dyDescent="0.15">
      <c r="B585" s="16"/>
      <c r="C585" s="37" t="s">
        <v>149</v>
      </c>
      <c r="D585" s="24"/>
      <c r="E585" s="24"/>
      <c r="F585" s="129"/>
      <c r="G585" s="20"/>
      <c r="H585" s="20"/>
      <c r="I585" s="126"/>
      <c r="J585" s="38"/>
      <c r="K585" s="80"/>
      <c r="L585" s="82"/>
    </row>
    <row r="586" spans="2:13" s="4" customFormat="1" ht="12.75" customHeight="1" x14ac:dyDescent="0.15">
      <c r="B586" s="26">
        <v>1</v>
      </c>
      <c r="C586" s="17"/>
      <c r="D586" s="24"/>
      <c r="E586" s="24"/>
      <c r="F586" s="129"/>
      <c r="G586" s="20"/>
      <c r="H586" s="20">
        <v>1</v>
      </c>
      <c r="I586" s="129">
        <f t="shared" ref="I586:I603" si="46">J586*$C$32</f>
        <v>0</v>
      </c>
      <c r="J586" s="52">
        <f t="shared" ref="J586:J595" si="47">(F586*G586*H586)/$C$32</f>
        <v>0</v>
      </c>
      <c r="K586" s="108"/>
      <c r="L586" s="113"/>
    </row>
    <row r="587" spans="2:13" s="4" customFormat="1" ht="12.75" customHeight="1" x14ac:dyDescent="0.15">
      <c r="B587" s="26">
        <v>2</v>
      </c>
      <c r="C587" s="17"/>
      <c r="D587" s="24"/>
      <c r="E587" s="24"/>
      <c r="F587" s="129"/>
      <c r="G587" s="20"/>
      <c r="H587" s="20">
        <v>1</v>
      </c>
      <c r="I587" s="129">
        <f t="shared" si="46"/>
        <v>0</v>
      </c>
      <c r="J587" s="52">
        <f t="shared" si="47"/>
        <v>0</v>
      </c>
      <c r="K587" s="108"/>
      <c r="L587" s="113"/>
      <c r="M587" s="144"/>
    </row>
    <row r="588" spans="2:13" s="4" customFormat="1" ht="12.95" customHeight="1" x14ac:dyDescent="0.15">
      <c r="B588" s="26">
        <v>3</v>
      </c>
      <c r="C588" s="17"/>
      <c r="D588" s="24"/>
      <c r="E588" s="24"/>
      <c r="F588" s="129"/>
      <c r="G588" s="20"/>
      <c r="H588" s="20">
        <v>1</v>
      </c>
      <c r="I588" s="129">
        <f t="shared" si="46"/>
        <v>0</v>
      </c>
      <c r="J588" s="52">
        <f t="shared" si="47"/>
        <v>0</v>
      </c>
      <c r="K588" s="108"/>
      <c r="L588" s="113"/>
      <c r="M588" s="145"/>
    </row>
    <row r="589" spans="2:13" s="4" customFormat="1" ht="12.95" customHeight="1" x14ac:dyDescent="0.15">
      <c r="B589" s="26">
        <v>4</v>
      </c>
      <c r="C589" s="16"/>
      <c r="D589" s="18"/>
      <c r="E589" s="18"/>
      <c r="F589" s="129"/>
      <c r="G589" s="20"/>
      <c r="H589" s="20">
        <v>1</v>
      </c>
      <c r="I589" s="129">
        <f t="shared" si="46"/>
        <v>0</v>
      </c>
      <c r="J589" s="52">
        <f t="shared" si="47"/>
        <v>0</v>
      </c>
      <c r="K589" s="108"/>
      <c r="L589" s="113"/>
    </row>
    <row r="590" spans="2:13" s="4" customFormat="1" ht="12.95" customHeight="1" x14ac:dyDescent="0.15">
      <c r="B590" s="26">
        <v>5</v>
      </c>
      <c r="C590" s="17"/>
      <c r="D590" s="53"/>
      <c r="E590" s="53"/>
      <c r="F590" s="129"/>
      <c r="G590" s="20"/>
      <c r="H590" s="20">
        <v>1</v>
      </c>
      <c r="I590" s="129">
        <f t="shared" si="46"/>
        <v>0</v>
      </c>
      <c r="J590" s="27">
        <f t="shared" si="47"/>
        <v>0</v>
      </c>
      <c r="K590" s="108"/>
      <c r="L590" s="113"/>
    </row>
    <row r="591" spans="2:13" s="4" customFormat="1" ht="12.95" customHeight="1" x14ac:dyDescent="0.15">
      <c r="B591" s="26">
        <v>6</v>
      </c>
      <c r="C591" s="17"/>
      <c r="D591" s="24"/>
      <c r="E591" s="24"/>
      <c r="F591" s="129"/>
      <c r="G591" s="20"/>
      <c r="H591" s="20">
        <v>1</v>
      </c>
      <c r="I591" s="129">
        <f t="shared" si="46"/>
        <v>0</v>
      </c>
      <c r="J591" s="52">
        <f t="shared" si="47"/>
        <v>0</v>
      </c>
      <c r="K591" s="108"/>
      <c r="L591" s="113"/>
    </row>
    <row r="592" spans="2:13" s="4" customFormat="1" ht="12.95" customHeight="1" x14ac:dyDescent="0.15">
      <c r="B592" s="26">
        <v>7</v>
      </c>
      <c r="C592" s="17"/>
      <c r="D592" s="22"/>
      <c r="E592" s="22"/>
      <c r="F592" s="129"/>
      <c r="G592" s="20"/>
      <c r="H592" s="20">
        <v>1</v>
      </c>
      <c r="I592" s="129">
        <f t="shared" si="46"/>
        <v>0</v>
      </c>
      <c r="J592" s="27">
        <f t="shared" si="47"/>
        <v>0</v>
      </c>
      <c r="K592" s="108"/>
      <c r="L592" s="113"/>
    </row>
    <row r="593" spans="2:12" s="4" customFormat="1" ht="12.95" customHeight="1" x14ac:dyDescent="0.15">
      <c r="B593" s="26">
        <v>8</v>
      </c>
      <c r="C593" s="17"/>
      <c r="D593" s="18"/>
      <c r="E593" s="24"/>
      <c r="F593" s="129"/>
      <c r="G593" s="20"/>
      <c r="H593" s="20">
        <v>1</v>
      </c>
      <c r="I593" s="129">
        <f t="shared" si="46"/>
        <v>0</v>
      </c>
      <c r="J593" s="52">
        <f t="shared" si="47"/>
        <v>0</v>
      </c>
      <c r="K593" s="108"/>
      <c r="L593" s="113"/>
    </row>
    <row r="594" spans="2:12" s="4" customFormat="1" ht="12.95" customHeight="1" x14ac:dyDescent="0.15">
      <c r="B594" s="26">
        <v>9</v>
      </c>
      <c r="C594" s="17"/>
      <c r="D594" s="18"/>
      <c r="E594" s="24"/>
      <c r="F594" s="129"/>
      <c r="G594" s="20"/>
      <c r="H594" s="20">
        <v>1</v>
      </c>
      <c r="I594" s="129">
        <f t="shared" si="46"/>
        <v>0</v>
      </c>
      <c r="J594" s="52">
        <f t="shared" si="47"/>
        <v>0</v>
      </c>
      <c r="K594" s="108"/>
      <c r="L594" s="113"/>
    </row>
    <row r="595" spans="2:12" s="4" customFormat="1" ht="12.95" customHeight="1" x14ac:dyDescent="0.15">
      <c r="B595" s="26">
        <v>10</v>
      </c>
      <c r="C595" s="17"/>
      <c r="D595" s="24"/>
      <c r="E595" s="18"/>
      <c r="F595" s="129"/>
      <c r="G595" s="20"/>
      <c r="H595" s="20">
        <v>1</v>
      </c>
      <c r="I595" s="129">
        <f t="shared" si="46"/>
        <v>0</v>
      </c>
      <c r="J595" s="52">
        <f t="shared" si="47"/>
        <v>0</v>
      </c>
      <c r="K595" s="108"/>
      <c r="L595" s="113"/>
    </row>
    <row r="596" spans="2:12" s="4" customFormat="1" ht="12.95" customHeight="1" x14ac:dyDescent="0.15">
      <c r="B596" s="26"/>
      <c r="C596" s="17"/>
      <c r="D596" s="24"/>
      <c r="E596" s="18"/>
      <c r="F596" s="129"/>
      <c r="G596" s="20"/>
      <c r="H596" s="20"/>
      <c r="I596" s="129"/>
      <c r="J596" s="52"/>
      <c r="K596" s="108"/>
      <c r="L596" s="113"/>
    </row>
    <row r="597" spans="2:12" s="4" customFormat="1" ht="12.95" customHeight="1" x14ac:dyDescent="0.15">
      <c r="B597" s="26"/>
      <c r="C597" s="17"/>
      <c r="D597" s="24"/>
      <c r="E597" s="18"/>
      <c r="F597" s="129"/>
      <c r="G597" s="20"/>
      <c r="H597" s="20"/>
      <c r="I597" s="129"/>
      <c r="J597" s="52"/>
      <c r="K597" s="108"/>
      <c r="L597" s="113"/>
    </row>
    <row r="598" spans="2:12" s="4" customFormat="1" ht="12.95" customHeight="1" x14ac:dyDescent="0.15">
      <c r="B598" s="26"/>
      <c r="C598" s="22" t="s">
        <v>153</v>
      </c>
      <c r="D598" s="24"/>
      <c r="E598" s="18"/>
      <c r="F598" s="129"/>
      <c r="G598" s="20"/>
      <c r="H598" s="20"/>
      <c r="I598" s="129"/>
      <c r="J598" s="52"/>
      <c r="K598" s="108"/>
      <c r="L598" s="113"/>
    </row>
    <row r="599" spans="2:12" s="4" customFormat="1" ht="12.95" customHeight="1" x14ac:dyDescent="0.15">
      <c r="B599" s="26">
        <v>1</v>
      </c>
      <c r="C599" s="17"/>
      <c r="D599" s="24"/>
      <c r="E599" s="24"/>
      <c r="F599" s="129"/>
      <c r="G599" s="20"/>
      <c r="H599" s="20">
        <v>1</v>
      </c>
      <c r="I599" s="129">
        <f t="shared" si="46"/>
        <v>0</v>
      </c>
      <c r="J599" s="52">
        <f t="shared" ref="J599:J618" si="48">(F599*G599*H599)/$C$32</f>
        <v>0</v>
      </c>
      <c r="K599" s="108"/>
      <c r="L599" s="113"/>
    </row>
    <row r="600" spans="2:12" s="4" customFormat="1" ht="12.95" customHeight="1" x14ac:dyDescent="0.15">
      <c r="B600" s="26">
        <v>2</v>
      </c>
      <c r="C600" s="17"/>
      <c r="D600" s="24"/>
      <c r="E600" s="24"/>
      <c r="F600" s="129"/>
      <c r="G600" s="20"/>
      <c r="H600" s="20">
        <v>1</v>
      </c>
      <c r="I600" s="129">
        <f t="shared" si="46"/>
        <v>0</v>
      </c>
      <c r="J600" s="52">
        <f t="shared" si="48"/>
        <v>0</v>
      </c>
      <c r="K600" s="108"/>
      <c r="L600" s="113"/>
    </row>
    <row r="601" spans="2:12" s="4" customFormat="1" ht="12.95" customHeight="1" x14ac:dyDescent="0.15">
      <c r="B601" s="26">
        <v>3</v>
      </c>
      <c r="C601" s="24"/>
      <c r="D601" s="24"/>
      <c r="E601" s="24"/>
      <c r="F601" s="129"/>
      <c r="G601" s="20"/>
      <c r="H601" s="20">
        <v>1</v>
      </c>
      <c r="I601" s="129">
        <f t="shared" si="46"/>
        <v>0</v>
      </c>
      <c r="J601" s="52">
        <f t="shared" si="48"/>
        <v>0</v>
      </c>
      <c r="K601" s="108"/>
      <c r="L601" s="113"/>
    </row>
    <row r="602" spans="2:12" s="4" customFormat="1" ht="12.95" customHeight="1" x14ac:dyDescent="0.15">
      <c r="B602" s="26">
        <v>4</v>
      </c>
      <c r="C602" s="24"/>
      <c r="D602" s="18"/>
      <c r="E602" s="18"/>
      <c r="F602" s="129"/>
      <c r="G602" s="20"/>
      <c r="H602" s="20">
        <v>1</v>
      </c>
      <c r="I602" s="129">
        <f t="shared" si="46"/>
        <v>0</v>
      </c>
      <c r="J602" s="27">
        <f t="shared" si="48"/>
        <v>0</v>
      </c>
      <c r="K602" s="108"/>
      <c r="L602" s="113"/>
    </row>
    <row r="603" spans="2:12" s="4" customFormat="1" ht="14.85" customHeight="1" x14ac:dyDescent="0.15">
      <c r="B603" s="26">
        <v>5</v>
      </c>
      <c r="C603" s="24"/>
      <c r="D603" s="24"/>
      <c r="E603" s="24"/>
      <c r="F603" s="129"/>
      <c r="G603" s="20"/>
      <c r="H603" s="20">
        <v>1</v>
      </c>
      <c r="I603" s="129">
        <f t="shared" si="46"/>
        <v>0</v>
      </c>
      <c r="J603" s="52">
        <f t="shared" si="48"/>
        <v>0</v>
      </c>
      <c r="K603" s="108"/>
      <c r="L603" s="113"/>
    </row>
    <row r="604" spans="2:12" s="4" customFormat="1" ht="12.95" customHeight="1" x14ac:dyDescent="0.15">
      <c r="B604" s="26">
        <v>6</v>
      </c>
      <c r="C604" s="17"/>
      <c r="D604" s="18"/>
      <c r="E604" s="18"/>
      <c r="F604" s="129"/>
      <c r="G604" s="20"/>
      <c r="H604" s="20">
        <v>1</v>
      </c>
      <c r="I604" s="129">
        <f>J604*$C$32</f>
        <v>0</v>
      </c>
      <c r="J604" s="27">
        <f t="shared" si="48"/>
        <v>0</v>
      </c>
      <c r="K604" s="108"/>
      <c r="L604" s="113"/>
    </row>
    <row r="605" spans="2:12" s="4" customFormat="1" ht="12.95" customHeight="1" x14ac:dyDescent="0.15">
      <c r="B605" s="26">
        <v>7</v>
      </c>
      <c r="C605" s="17"/>
      <c r="D605" s="24"/>
      <c r="E605" s="24"/>
      <c r="F605" s="129"/>
      <c r="G605" s="20"/>
      <c r="H605" s="20">
        <v>1</v>
      </c>
      <c r="I605" s="129">
        <f t="shared" ref="I605" si="49">J605*$C$32</f>
        <v>0</v>
      </c>
      <c r="J605" s="54">
        <f t="shared" si="48"/>
        <v>0</v>
      </c>
      <c r="K605" s="108"/>
      <c r="L605" s="113"/>
    </row>
    <row r="606" spans="2:12" s="4" customFormat="1" ht="12.95" customHeight="1" x14ac:dyDescent="0.15">
      <c r="B606" s="26">
        <v>8</v>
      </c>
      <c r="C606" s="17"/>
      <c r="D606" s="24"/>
      <c r="E606" s="24"/>
      <c r="F606" s="129"/>
      <c r="G606" s="20"/>
      <c r="H606" s="20">
        <v>1</v>
      </c>
      <c r="I606" s="129">
        <f>J606*$C$32</f>
        <v>0</v>
      </c>
      <c r="J606" s="54">
        <f t="shared" si="48"/>
        <v>0</v>
      </c>
      <c r="K606" s="108"/>
      <c r="L606" s="113"/>
    </row>
    <row r="607" spans="2:12" s="4" customFormat="1" ht="12.95" customHeight="1" x14ac:dyDescent="0.15">
      <c r="B607" s="26">
        <v>9</v>
      </c>
      <c r="C607" s="17"/>
      <c r="D607" s="24"/>
      <c r="E607" s="24"/>
      <c r="F607" s="129"/>
      <c r="G607" s="20"/>
      <c r="H607" s="20">
        <v>1</v>
      </c>
      <c r="I607" s="129">
        <f t="shared" ref="I607:I618" si="50">J607*$C$32</f>
        <v>0</v>
      </c>
      <c r="J607" s="52">
        <f t="shared" si="48"/>
        <v>0</v>
      </c>
      <c r="K607" s="108"/>
      <c r="L607" s="113"/>
    </row>
    <row r="608" spans="2:12" s="4" customFormat="1" ht="12.95" customHeight="1" x14ac:dyDescent="0.15">
      <c r="B608" s="26">
        <v>10</v>
      </c>
      <c r="C608" s="17"/>
      <c r="D608" s="24"/>
      <c r="E608" s="24"/>
      <c r="F608" s="129"/>
      <c r="G608" s="20"/>
      <c r="H608" s="20">
        <v>1</v>
      </c>
      <c r="I608" s="129">
        <f t="shared" si="50"/>
        <v>0</v>
      </c>
      <c r="J608" s="52">
        <f t="shared" si="48"/>
        <v>0</v>
      </c>
      <c r="K608" s="108"/>
      <c r="L608" s="113"/>
    </row>
    <row r="609" spans="2:20" s="4" customFormat="1" ht="12.95" customHeight="1" x14ac:dyDescent="0.15">
      <c r="B609" s="26">
        <v>11</v>
      </c>
      <c r="C609" s="17"/>
      <c r="D609" s="24"/>
      <c r="E609" s="24"/>
      <c r="F609" s="129"/>
      <c r="G609" s="20"/>
      <c r="H609" s="20">
        <v>1</v>
      </c>
      <c r="I609" s="129">
        <f t="shared" si="50"/>
        <v>0</v>
      </c>
      <c r="J609" s="52">
        <f t="shared" si="48"/>
        <v>0</v>
      </c>
      <c r="K609" s="108"/>
      <c r="L609" s="113"/>
    </row>
    <row r="610" spans="2:20" s="4" customFormat="1" ht="12.95" customHeight="1" x14ac:dyDescent="0.15">
      <c r="B610" s="26">
        <v>12</v>
      </c>
      <c r="C610" s="17"/>
      <c r="D610" s="24"/>
      <c r="E610" s="24"/>
      <c r="F610" s="129"/>
      <c r="G610" s="20"/>
      <c r="H610" s="20">
        <v>1</v>
      </c>
      <c r="I610" s="129">
        <f t="shared" si="50"/>
        <v>0</v>
      </c>
      <c r="J610" s="52">
        <f t="shared" si="48"/>
        <v>0</v>
      </c>
      <c r="K610" s="108"/>
      <c r="L610" s="113"/>
    </row>
    <row r="611" spans="2:20" s="4" customFormat="1" ht="12.95" customHeight="1" x14ac:dyDescent="0.15">
      <c r="B611" s="26">
        <v>13</v>
      </c>
      <c r="C611" s="17"/>
      <c r="D611" s="18"/>
      <c r="E611" s="18"/>
      <c r="F611" s="129"/>
      <c r="G611" s="20"/>
      <c r="H611" s="20">
        <v>1</v>
      </c>
      <c r="I611" s="129">
        <f t="shared" si="50"/>
        <v>0</v>
      </c>
      <c r="J611" s="52">
        <f t="shared" si="48"/>
        <v>0</v>
      </c>
      <c r="K611" s="108"/>
      <c r="L611" s="113"/>
    </row>
    <row r="612" spans="2:20" s="4" customFormat="1" ht="12.95" customHeight="1" x14ac:dyDescent="0.15">
      <c r="B612" s="26">
        <v>14</v>
      </c>
      <c r="C612" s="17"/>
      <c r="D612" s="18"/>
      <c r="E612" s="18"/>
      <c r="F612" s="129"/>
      <c r="G612" s="20"/>
      <c r="H612" s="20">
        <v>1</v>
      </c>
      <c r="I612" s="129">
        <f t="shared" si="50"/>
        <v>0</v>
      </c>
      <c r="J612" s="52">
        <f t="shared" si="48"/>
        <v>0</v>
      </c>
      <c r="K612" s="108"/>
      <c r="L612" s="113"/>
    </row>
    <row r="613" spans="2:20" s="4" customFormat="1" ht="12.95" customHeight="1" x14ac:dyDescent="0.15">
      <c r="B613" s="26">
        <v>15</v>
      </c>
      <c r="C613" s="17"/>
      <c r="D613" s="18"/>
      <c r="E613" s="18"/>
      <c r="F613" s="129"/>
      <c r="G613" s="20"/>
      <c r="H613" s="20">
        <v>1</v>
      </c>
      <c r="I613" s="129">
        <f t="shared" si="50"/>
        <v>0</v>
      </c>
      <c r="J613" s="52">
        <f t="shared" si="48"/>
        <v>0</v>
      </c>
      <c r="K613" s="108"/>
      <c r="L613" s="113"/>
    </row>
    <row r="614" spans="2:20" s="4" customFormat="1" ht="12.95" customHeight="1" x14ac:dyDescent="0.15">
      <c r="B614" s="26">
        <v>16</v>
      </c>
      <c r="C614" s="11"/>
      <c r="D614" s="18"/>
      <c r="E614" s="18"/>
      <c r="F614" s="129"/>
      <c r="G614" s="20"/>
      <c r="H614" s="20">
        <v>1</v>
      </c>
      <c r="I614" s="126">
        <f t="shared" si="50"/>
        <v>0</v>
      </c>
      <c r="J614" s="21">
        <f t="shared" si="48"/>
        <v>0</v>
      </c>
      <c r="K614" s="108"/>
      <c r="L614" s="113"/>
    </row>
    <row r="615" spans="2:20" s="4" customFormat="1" ht="12.95" customHeight="1" x14ac:dyDescent="0.15">
      <c r="B615" s="26">
        <v>17</v>
      </c>
      <c r="C615" s="23"/>
      <c r="D615" s="48"/>
      <c r="E615" s="48"/>
      <c r="F615" s="126"/>
      <c r="G615" s="50"/>
      <c r="H615" s="20">
        <v>1</v>
      </c>
      <c r="I615" s="126">
        <f t="shared" si="50"/>
        <v>0</v>
      </c>
      <c r="J615" s="21">
        <f t="shared" si="48"/>
        <v>0</v>
      </c>
      <c r="K615" s="108"/>
      <c r="L615" s="113"/>
    </row>
    <row r="616" spans="2:20" s="4" customFormat="1" ht="12.95" customHeight="1" x14ac:dyDescent="0.15">
      <c r="B616" s="26">
        <v>18</v>
      </c>
      <c r="C616" s="23"/>
      <c r="D616" s="48"/>
      <c r="E616" s="48"/>
      <c r="F616" s="126"/>
      <c r="G616" s="50"/>
      <c r="H616" s="20">
        <v>1</v>
      </c>
      <c r="I616" s="126">
        <f t="shared" si="50"/>
        <v>0</v>
      </c>
      <c r="J616" s="21">
        <f t="shared" si="48"/>
        <v>0</v>
      </c>
      <c r="K616" s="108"/>
      <c r="L616" s="113"/>
    </row>
    <row r="617" spans="2:20" s="4" customFormat="1" ht="12.95" customHeight="1" x14ac:dyDescent="0.15">
      <c r="B617" s="26">
        <v>19</v>
      </c>
      <c r="C617" s="23"/>
      <c r="D617" s="48"/>
      <c r="E617" s="48"/>
      <c r="F617" s="126"/>
      <c r="G617" s="50"/>
      <c r="H617" s="20">
        <v>1</v>
      </c>
      <c r="I617" s="126">
        <f t="shared" si="50"/>
        <v>0</v>
      </c>
      <c r="J617" s="21">
        <f t="shared" si="48"/>
        <v>0</v>
      </c>
      <c r="K617" s="108"/>
      <c r="L617" s="113"/>
    </row>
    <row r="618" spans="2:20" s="4" customFormat="1" ht="12.95" customHeight="1" x14ac:dyDescent="0.15">
      <c r="B618" s="26">
        <v>20</v>
      </c>
      <c r="C618" s="23"/>
      <c r="D618" s="48"/>
      <c r="E618" s="48"/>
      <c r="F618" s="126"/>
      <c r="G618" s="50"/>
      <c r="H618" s="20">
        <v>1</v>
      </c>
      <c r="I618" s="126">
        <f t="shared" si="50"/>
        <v>0</v>
      </c>
      <c r="J618" s="21">
        <f t="shared" si="48"/>
        <v>0</v>
      </c>
      <c r="K618" s="108"/>
      <c r="L618" s="113"/>
    </row>
    <row r="619" spans="2:20" s="4" customFormat="1" ht="12.95" customHeight="1" x14ac:dyDescent="0.15">
      <c r="B619" s="26"/>
      <c r="C619" s="23"/>
      <c r="D619" s="48"/>
      <c r="E619" s="48"/>
      <c r="F619" s="126"/>
      <c r="G619" s="50"/>
      <c r="H619" s="50"/>
      <c r="I619" s="126"/>
      <c r="J619" s="38"/>
      <c r="K619" s="108"/>
      <c r="L619" s="113"/>
    </row>
    <row r="620" spans="2:20" s="4" customFormat="1" ht="12.95" customHeight="1" x14ac:dyDescent="0.15">
      <c r="B620" s="26"/>
      <c r="C620" s="23"/>
      <c r="D620" s="48"/>
      <c r="E620" s="48"/>
      <c r="F620" s="126"/>
      <c r="G620" s="50"/>
      <c r="H620" s="50"/>
      <c r="I620" s="126"/>
      <c r="J620" s="38"/>
      <c r="K620" s="108"/>
      <c r="L620" s="113"/>
    </row>
    <row r="621" spans="2:20" s="4" customFormat="1" ht="12.95" customHeight="1" x14ac:dyDescent="0.15">
      <c r="B621" s="26"/>
      <c r="C621" s="72" t="s">
        <v>132</v>
      </c>
      <c r="D621" s="48"/>
      <c r="E621" s="48"/>
      <c r="F621" s="126"/>
      <c r="G621" s="50"/>
      <c r="H621" s="50"/>
      <c r="I621" s="126"/>
      <c r="J621" s="38"/>
      <c r="K621" s="108"/>
      <c r="L621" s="113"/>
    </row>
    <row r="622" spans="2:20" s="4" customFormat="1" ht="12.95" customHeight="1" x14ac:dyDescent="0.15">
      <c r="B622" s="26">
        <v>1</v>
      </c>
      <c r="C622" s="59"/>
      <c r="D622" s="49"/>
      <c r="E622" s="49"/>
      <c r="F622" s="126"/>
      <c r="G622" s="50"/>
      <c r="H622" s="50">
        <v>1</v>
      </c>
      <c r="I622" s="126">
        <f t="shared" ref="I622" si="51">J622*$C$32</f>
        <v>0</v>
      </c>
      <c r="J622" s="21">
        <f t="shared" ref="J622:J641" si="52">(F622*G622*H622)/$C$32</f>
        <v>0</v>
      </c>
      <c r="K622" s="108"/>
      <c r="L622" s="113"/>
      <c r="M622" s="57"/>
      <c r="N622" s="57"/>
      <c r="O622" s="57"/>
      <c r="P622" s="57"/>
      <c r="Q622" s="58"/>
      <c r="R622" s="57"/>
      <c r="T622" s="57"/>
    </row>
    <row r="623" spans="2:20" s="4" customFormat="1" ht="12.95" customHeight="1" x14ac:dyDescent="0.15">
      <c r="B623" s="26">
        <v>2</v>
      </c>
      <c r="C623" s="60"/>
      <c r="D623" s="49"/>
      <c r="E623" s="49"/>
      <c r="F623" s="126"/>
      <c r="G623" s="50"/>
      <c r="H623" s="50">
        <v>1</v>
      </c>
      <c r="I623" s="126">
        <f>J623*$C$32</f>
        <v>0</v>
      </c>
      <c r="J623" s="21">
        <f t="shared" si="52"/>
        <v>0</v>
      </c>
      <c r="K623" s="108"/>
      <c r="L623" s="113"/>
      <c r="M623" s="57"/>
      <c r="N623" s="57"/>
      <c r="O623" s="57"/>
      <c r="P623" s="57"/>
      <c r="Q623" s="58"/>
      <c r="R623" s="57"/>
      <c r="T623" s="57"/>
    </row>
    <row r="624" spans="2:20" s="4" customFormat="1" ht="12.95" customHeight="1" x14ac:dyDescent="0.15">
      <c r="B624" s="26">
        <v>3</v>
      </c>
      <c r="C624" s="59"/>
      <c r="D624" s="49"/>
      <c r="E624" s="49"/>
      <c r="F624" s="126"/>
      <c r="G624" s="50"/>
      <c r="H624" s="50">
        <v>1</v>
      </c>
      <c r="I624" s="126">
        <f t="shared" ref="I624:I627" si="53">J624*$C$32</f>
        <v>0</v>
      </c>
      <c r="J624" s="21">
        <f t="shared" si="52"/>
        <v>0</v>
      </c>
      <c r="K624" s="108"/>
      <c r="L624" s="113"/>
      <c r="M624" s="57"/>
      <c r="N624" s="57"/>
      <c r="O624" s="57"/>
      <c r="P624" s="57"/>
      <c r="Q624" s="58"/>
      <c r="R624" s="57"/>
      <c r="T624" s="57"/>
    </row>
    <row r="625" spans="2:20" s="4" customFormat="1" ht="12.95" customHeight="1" x14ac:dyDescent="0.15">
      <c r="B625" s="26">
        <v>4</v>
      </c>
      <c r="C625" s="61"/>
      <c r="D625" s="49"/>
      <c r="E625" s="49"/>
      <c r="F625" s="126"/>
      <c r="G625" s="50"/>
      <c r="H625" s="50">
        <v>1</v>
      </c>
      <c r="I625" s="126">
        <f t="shared" si="53"/>
        <v>0</v>
      </c>
      <c r="J625" s="21">
        <f t="shared" si="52"/>
        <v>0</v>
      </c>
      <c r="K625" s="108"/>
      <c r="L625" s="113"/>
      <c r="M625" s="57"/>
      <c r="N625" s="57"/>
      <c r="O625" s="57"/>
      <c r="P625" s="57"/>
      <c r="Q625" s="58"/>
      <c r="R625" s="57"/>
      <c r="T625" s="57"/>
    </row>
    <row r="626" spans="2:20" s="1" customFormat="1" ht="12.95" customHeight="1" x14ac:dyDescent="0.15">
      <c r="B626" s="16">
        <v>5</v>
      </c>
      <c r="C626" s="11"/>
      <c r="D626" s="18"/>
      <c r="E626" s="18"/>
      <c r="F626" s="129"/>
      <c r="G626" s="20"/>
      <c r="H626" s="20">
        <v>1</v>
      </c>
      <c r="I626" s="126">
        <f t="shared" si="53"/>
        <v>0</v>
      </c>
      <c r="J626" s="21">
        <f t="shared" si="52"/>
        <v>0</v>
      </c>
      <c r="K626" s="80"/>
      <c r="L626" s="82"/>
      <c r="M626" s="10"/>
      <c r="N626" s="10"/>
      <c r="O626" s="10"/>
      <c r="P626" s="10"/>
      <c r="Q626" s="43"/>
      <c r="R626" s="10"/>
      <c r="T626" s="10"/>
    </row>
    <row r="627" spans="2:20" s="1" customFormat="1" ht="12.95" customHeight="1" x14ac:dyDescent="0.15">
      <c r="B627" s="16">
        <v>6</v>
      </c>
      <c r="C627" s="46"/>
      <c r="D627" s="18"/>
      <c r="E627" s="18"/>
      <c r="F627" s="129"/>
      <c r="G627" s="20"/>
      <c r="H627" s="20">
        <v>1</v>
      </c>
      <c r="I627" s="126">
        <f t="shared" si="53"/>
        <v>0</v>
      </c>
      <c r="J627" s="21">
        <f t="shared" si="52"/>
        <v>0</v>
      </c>
      <c r="K627" s="80"/>
      <c r="L627" s="82"/>
      <c r="M627" s="10"/>
      <c r="N627" s="10"/>
      <c r="O627" s="10"/>
      <c r="P627" s="10"/>
      <c r="Q627" s="43"/>
      <c r="R627" s="10"/>
      <c r="T627" s="10"/>
    </row>
    <row r="628" spans="2:20" s="1" customFormat="1" ht="12.95" customHeight="1" x14ac:dyDescent="0.15">
      <c r="B628" s="16">
        <v>7</v>
      </c>
      <c r="C628" s="11"/>
      <c r="D628" s="18"/>
      <c r="E628" s="18"/>
      <c r="F628" s="129"/>
      <c r="G628" s="20"/>
      <c r="H628" s="20">
        <v>1</v>
      </c>
      <c r="I628" s="126">
        <f t="shared" ref="I628:I641" si="54">J628*$C$32</f>
        <v>0</v>
      </c>
      <c r="J628" s="21">
        <f t="shared" si="52"/>
        <v>0</v>
      </c>
      <c r="K628" s="80"/>
      <c r="L628" s="82"/>
      <c r="M628" s="10"/>
      <c r="N628" s="10"/>
      <c r="O628" s="10"/>
      <c r="P628" s="10"/>
      <c r="Q628" s="43"/>
      <c r="R628" s="10"/>
      <c r="T628" s="10"/>
    </row>
    <row r="629" spans="2:20" s="1" customFormat="1" ht="12.95" customHeight="1" x14ac:dyDescent="0.15">
      <c r="B629" s="16">
        <v>8</v>
      </c>
      <c r="C629" s="11"/>
      <c r="D629" s="18"/>
      <c r="E629" s="18"/>
      <c r="F629" s="129"/>
      <c r="G629" s="20"/>
      <c r="H629" s="20">
        <v>1</v>
      </c>
      <c r="I629" s="126">
        <f t="shared" si="54"/>
        <v>0</v>
      </c>
      <c r="J629" s="21">
        <f t="shared" si="52"/>
        <v>0</v>
      </c>
      <c r="K629" s="80"/>
      <c r="L629" s="82"/>
      <c r="M629" s="10"/>
      <c r="N629" s="10"/>
      <c r="O629" s="10"/>
      <c r="P629" s="10"/>
      <c r="Q629" s="43"/>
      <c r="R629" s="10"/>
      <c r="T629" s="10"/>
    </row>
    <row r="630" spans="2:20" s="1" customFormat="1" ht="12.95" customHeight="1" x14ac:dyDescent="0.15">
      <c r="B630" s="16">
        <v>9</v>
      </c>
      <c r="C630" s="11"/>
      <c r="D630" s="18"/>
      <c r="E630" s="18"/>
      <c r="F630" s="129"/>
      <c r="G630" s="20"/>
      <c r="H630" s="20">
        <v>1</v>
      </c>
      <c r="I630" s="126">
        <f t="shared" si="54"/>
        <v>0</v>
      </c>
      <c r="J630" s="21">
        <f t="shared" si="52"/>
        <v>0</v>
      </c>
      <c r="K630" s="80"/>
      <c r="L630" s="82"/>
      <c r="M630" s="10"/>
      <c r="N630" s="10"/>
      <c r="O630" s="10"/>
      <c r="P630" s="10"/>
      <c r="Q630" s="43"/>
      <c r="R630" s="10"/>
      <c r="T630" s="10"/>
    </row>
    <row r="631" spans="2:20" s="1" customFormat="1" ht="12.95" customHeight="1" x14ac:dyDescent="0.15">
      <c r="B631" s="16">
        <v>10</v>
      </c>
      <c r="C631" s="11"/>
      <c r="D631" s="18"/>
      <c r="E631" s="18"/>
      <c r="F631" s="129"/>
      <c r="G631" s="20"/>
      <c r="H631" s="20">
        <v>1</v>
      </c>
      <c r="I631" s="126">
        <f t="shared" si="54"/>
        <v>0</v>
      </c>
      <c r="J631" s="21">
        <f t="shared" si="52"/>
        <v>0</v>
      </c>
      <c r="K631" s="80"/>
      <c r="L631" s="82"/>
      <c r="M631" s="10"/>
      <c r="N631" s="10"/>
      <c r="O631" s="10"/>
      <c r="P631" s="10"/>
      <c r="Q631" s="43"/>
      <c r="R631" s="10"/>
      <c r="T631" s="10"/>
    </row>
    <row r="632" spans="2:20" s="1" customFormat="1" ht="12.95" customHeight="1" x14ac:dyDescent="0.15">
      <c r="B632" s="16">
        <v>11</v>
      </c>
      <c r="C632" s="11"/>
      <c r="D632" s="18"/>
      <c r="E632" s="18"/>
      <c r="F632" s="129"/>
      <c r="G632" s="20"/>
      <c r="H632" s="20">
        <v>1</v>
      </c>
      <c r="I632" s="126">
        <f t="shared" si="54"/>
        <v>0</v>
      </c>
      <c r="J632" s="21">
        <f t="shared" si="52"/>
        <v>0</v>
      </c>
      <c r="K632" s="80"/>
      <c r="L632" s="82"/>
      <c r="M632" s="10"/>
      <c r="N632" s="10"/>
      <c r="O632" s="10"/>
      <c r="P632" s="10"/>
      <c r="Q632" s="43"/>
      <c r="R632" s="10"/>
      <c r="T632" s="10"/>
    </row>
    <row r="633" spans="2:20" s="1" customFormat="1" ht="12.95" customHeight="1" x14ac:dyDescent="0.15">
      <c r="B633" s="16">
        <v>12</v>
      </c>
      <c r="C633" s="11"/>
      <c r="D633" s="18"/>
      <c r="E633" s="18"/>
      <c r="F633" s="129"/>
      <c r="G633" s="20"/>
      <c r="H633" s="20">
        <v>1</v>
      </c>
      <c r="I633" s="126">
        <f t="shared" si="54"/>
        <v>0</v>
      </c>
      <c r="J633" s="21">
        <f t="shared" si="52"/>
        <v>0</v>
      </c>
      <c r="K633" s="80"/>
      <c r="L633" s="82"/>
      <c r="M633" s="10"/>
      <c r="N633" s="10"/>
      <c r="O633" s="10"/>
      <c r="P633" s="10"/>
      <c r="Q633" s="43"/>
      <c r="R633" s="10"/>
      <c r="T633" s="10"/>
    </row>
    <row r="634" spans="2:20" s="1" customFormat="1" ht="12.95" customHeight="1" x14ac:dyDescent="0.15">
      <c r="B634" s="16">
        <v>13</v>
      </c>
      <c r="C634" s="11"/>
      <c r="D634" s="18"/>
      <c r="E634" s="18"/>
      <c r="F634" s="129"/>
      <c r="G634" s="20"/>
      <c r="H634" s="20">
        <v>1</v>
      </c>
      <c r="I634" s="126">
        <f t="shared" si="54"/>
        <v>0</v>
      </c>
      <c r="J634" s="21">
        <f t="shared" si="52"/>
        <v>0</v>
      </c>
      <c r="K634" s="80"/>
      <c r="L634" s="82"/>
      <c r="M634" s="10"/>
      <c r="N634" s="10"/>
      <c r="O634" s="10"/>
      <c r="P634" s="10"/>
      <c r="Q634" s="43"/>
      <c r="R634" s="10"/>
      <c r="T634" s="10"/>
    </row>
    <row r="635" spans="2:20" s="1" customFormat="1" ht="12.95" customHeight="1" x14ac:dyDescent="0.15">
      <c r="B635" s="16">
        <v>14</v>
      </c>
      <c r="C635" s="11"/>
      <c r="D635" s="18"/>
      <c r="E635" s="18"/>
      <c r="F635" s="129"/>
      <c r="G635" s="20"/>
      <c r="H635" s="20">
        <v>1</v>
      </c>
      <c r="I635" s="126">
        <f t="shared" si="54"/>
        <v>0</v>
      </c>
      <c r="J635" s="21">
        <f t="shared" si="52"/>
        <v>0</v>
      </c>
      <c r="K635" s="80"/>
      <c r="L635" s="82"/>
      <c r="M635" s="10"/>
      <c r="N635" s="10"/>
      <c r="O635" s="10"/>
      <c r="P635" s="10"/>
      <c r="Q635" s="43"/>
      <c r="R635" s="10"/>
      <c r="T635" s="10"/>
    </row>
    <row r="636" spans="2:20" s="1" customFormat="1" ht="12.95" customHeight="1" x14ac:dyDescent="0.15">
      <c r="B636" s="16">
        <v>15</v>
      </c>
      <c r="C636" s="11"/>
      <c r="D636" s="18"/>
      <c r="E636" s="18"/>
      <c r="F636" s="129"/>
      <c r="G636" s="20"/>
      <c r="H636" s="20">
        <v>1</v>
      </c>
      <c r="I636" s="126">
        <f t="shared" si="54"/>
        <v>0</v>
      </c>
      <c r="J636" s="21">
        <f t="shared" si="52"/>
        <v>0</v>
      </c>
      <c r="K636" s="80"/>
      <c r="L636" s="82"/>
      <c r="M636" s="10"/>
      <c r="N636" s="10"/>
      <c r="O636" s="10"/>
      <c r="P636" s="10"/>
      <c r="Q636" s="43"/>
      <c r="R636" s="10"/>
      <c r="T636" s="10"/>
    </row>
    <row r="637" spans="2:20" s="1" customFormat="1" ht="12.95" customHeight="1" x14ac:dyDescent="0.15">
      <c r="B637" s="16">
        <v>16</v>
      </c>
      <c r="C637" s="74"/>
      <c r="D637" s="75"/>
      <c r="E637" s="75"/>
      <c r="F637" s="132"/>
      <c r="G637" s="77"/>
      <c r="H637" s="77">
        <v>1</v>
      </c>
      <c r="I637" s="131">
        <f t="shared" si="54"/>
        <v>0</v>
      </c>
      <c r="J637" s="78">
        <f t="shared" si="52"/>
        <v>0</v>
      </c>
      <c r="K637" s="80"/>
      <c r="L637" s="82"/>
      <c r="M637" s="10"/>
      <c r="N637" s="10"/>
      <c r="O637" s="10"/>
      <c r="P637" s="10"/>
      <c r="Q637" s="43"/>
      <c r="R637" s="10"/>
      <c r="T637" s="10"/>
    </row>
    <row r="638" spans="2:20" s="1" customFormat="1" ht="12.95" customHeight="1" x14ac:dyDescent="0.15">
      <c r="B638" s="80">
        <v>17</v>
      </c>
      <c r="C638" s="82"/>
      <c r="D638" s="82"/>
      <c r="E638" s="82"/>
      <c r="F638" s="156"/>
      <c r="G638" s="82"/>
      <c r="H638" s="77">
        <v>1</v>
      </c>
      <c r="I638" s="131">
        <f t="shared" si="54"/>
        <v>0</v>
      </c>
      <c r="J638" s="78">
        <f t="shared" si="52"/>
        <v>0</v>
      </c>
      <c r="K638" s="109"/>
      <c r="L638" s="82"/>
      <c r="M638" s="10"/>
      <c r="N638" s="10"/>
      <c r="O638" s="10"/>
      <c r="P638" s="10"/>
      <c r="Q638" s="43"/>
      <c r="R638" s="10"/>
      <c r="T638" s="10"/>
    </row>
    <row r="639" spans="2:20" s="1" customFormat="1" ht="12.95" customHeight="1" x14ac:dyDescent="0.15">
      <c r="B639" s="80">
        <v>18</v>
      </c>
      <c r="C639" s="82"/>
      <c r="D639" s="82"/>
      <c r="E639" s="82"/>
      <c r="F639" s="156"/>
      <c r="G639" s="82"/>
      <c r="H639" s="77">
        <v>1</v>
      </c>
      <c r="I639" s="131">
        <f t="shared" si="54"/>
        <v>0</v>
      </c>
      <c r="J639" s="78">
        <f t="shared" si="52"/>
        <v>0</v>
      </c>
      <c r="K639" s="155"/>
      <c r="L639" s="119"/>
      <c r="M639" s="10"/>
      <c r="N639" s="10"/>
      <c r="O639" s="10"/>
      <c r="P639" s="10"/>
      <c r="Q639" s="43"/>
      <c r="R639" s="10"/>
      <c r="T639" s="10"/>
    </row>
    <row r="640" spans="2:20" s="1" customFormat="1" ht="12.95" customHeight="1" x14ac:dyDescent="0.15">
      <c r="B640" s="80">
        <v>19</v>
      </c>
      <c r="C640" s="82"/>
      <c r="D640" s="82"/>
      <c r="E640" s="82"/>
      <c r="F640" s="156"/>
      <c r="G640" s="82"/>
      <c r="H640" s="77">
        <v>1</v>
      </c>
      <c r="I640" s="131">
        <f t="shared" si="54"/>
        <v>0</v>
      </c>
      <c r="J640" s="260">
        <f t="shared" si="52"/>
        <v>0</v>
      </c>
      <c r="K640" s="82"/>
      <c r="L640" s="82"/>
      <c r="M640" s="10"/>
      <c r="N640" s="10"/>
      <c r="O640" s="10"/>
      <c r="P640" s="10"/>
      <c r="Q640" s="43"/>
      <c r="R640" s="10"/>
      <c r="T640" s="10"/>
    </row>
    <row r="641" spans="2:20" s="1" customFormat="1" ht="12.95" customHeight="1" x14ac:dyDescent="0.15">
      <c r="B641" s="80">
        <v>20</v>
      </c>
      <c r="C641" s="82"/>
      <c r="D641" s="82"/>
      <c r="E641" s="82"/>
      <c r="F641" s="156"/>
      <c r="G641" s="82"/>
      <c r="H641" s="77">
        <v>1</v>
      </c>
      <c r="I641" s="131">
        <f t="shared" si="54"/>
        <v>0</v>
      </c>
      <c r="J641" s="260">
        <f t="shared" si="52"/>
        <v>0</v>
      </c>
      <c r="K641" s="82"/>
      <c r="L641" s="82"/>
      <c r="M641" s="10"/>
      <c r="N641" s="10"/>
      <c r="O641" s="10"/>
      <c r="P641" s="10"/>
      <c r="Q641" s="43"/>
      <c r="R641" s="10"/>
      <c r="T641" s="10"/>
    </row>
    <row r="642" spans="2:20" s="1" customFormat="1" ht="12.95" customHeight="1" x14ac:dyDescent="0.15">
      <c r="B642" s="111"/>
      <c r="C642" s="152"/>
      <c r="D642" s="153"/>
      <c r="E642" s="153"/>
      <c r="F642" s="157"/>
      <c r="G642" s="154"/>
      <c r="H642" s="154"/>
      <c r="I642" s="158"/>
      <c r="J642" s="261"/>
      <c r="K642" s="82"/>
      <c r="L642" s="82"/>
      <c r="M642" s="10"/>
      <c r="N642" s="10"/>
      <c r="O642" s="10"/>
      <c r="P642" s="10"/>
      <c r="Q642" s="43"/>
      <c r="R642" s="10"/>
      <c r="T642" s="10"/>
    </row>
    <row r="643" spans="2:20" s="1" customFormat="1" ht="12.75" x14ac:dyDescent="0.15">
      <c r="B643" s="82"/>
      <c r="C643" s="102"/>
      <c r="D643" s="103"/>
      <c r="E643" s="102"/>
      <c r="F643" s="128">
        <f>SUM(F585:F642)</f>
        <v>0</v>
      </c>
      <c r="G643" s="104"/>
      <c r="H643" s="105"/>
      <c r="I643" s="128">
        <f>SUM(I585:I642)</f>
        <v>0</v>
      </c>
      <c r="J643" s="106">
        <f>SUM(J585:J642)</f>
        <v>0</v>
      </c>
    </row>
    <row r="644" spans="2:20" s="1" customFormat="1" ht="12.75" x14ac:dyDescent="0.15">
      <c r="B644" s="82"/>
      <c r="C644" s="102"/>
      <c r="D644" s="103"/>
      <c r="E644" s="102" t="s">
        <v>147</v>
      </c>
      <c r="F644" s="128">
        <f>100/115*F643</f>
        <v>0</v>
      </c>
      <c r="G644" s="104"/>
      <c r="H644" s="105" t="s">
        <v>147</v>
      </c>
      <c r="I644" s="128">
        <f>100/115*I643</f>
        <v>0</v>
      </c>
      <c r="J644" s="106"/>
    </row>
    <row r="645" spans="2:20" s="1" customFormat="1" ht="12.75" x14ac:dyDescent="0.15"/>
    <row r="646" spans="2:20" s="1" customFormat="1" ht="12.75" x14ac:dyDescent="0.15"/>
    <row r="647" spans="2:20" s="1" customFormat="1" ht="12.75" x14ac:dyDescent="0.15"/>
    <row r="648" spans="2:20" s="1" customFormat="1" ht="12.75" x14ac:dyDescent="0.15"/>
    <row r="649" spans="2:20" s="247" customFormat="1" ht="32.25" x14ac:dyDescent="0.4">
      <c r="B649" s="248"/>
      <c r="C649" s="380" t="s">
        <v>112</v>
      </c>
      <c r="D649" s="380"/>
      <c r="E649" s="400" t="s">
        <v>163</v>
      </c>
      <c r="F649" s="401"/>
      <c r="G649" s="401"/>
      <c r="H649" s="401"/>
      <c r="I649" s="402"/>
      <c r="J649" s="382">
        <v>2026</v>
      </c>
      <c r="K649" s="382"/>
      <c r="L649" s="382"/>
    </row>
    <row r="650" spans="2:20" s="1" customFormat="1" ht="22.5" x14ac:dyDescent="0.15">
      <c r="B650" s="82"/>
      <c r="C650" s="102" t="s">
        <v>114</v>
      </c>
      <c r="D650" s="388" t="s">
        <v>115</v>
      </c>
      <c r="E650" s="388"/>
      <c r="F650" s="102" t="s">
        <v>116</v>
      </c>
      <c r="G650" s="102" t="s">
        <v>117</v>
      </c>
      <c r="H650" s="102" t="s">
        <v>118</v>
      </c>
      <c r="I650" s="102" t="s">
        <v>119</v>
      </c>
      <c r="J650" s="102" t="s">
        <v>120</v>
      </c>
      <c r="K650" s="82"/>
      <c r="L650" s="82"/>
    </row>
    <row r="651" spans="2:20" s="1" customFormat="1" ht="12.75" x14ac:dyDescent="0.15">
      <c r="B651" s="84"/>
      <c r="C651" s="149">
        <f>C581</f>
        <v>450</v>
      </c>
      <c r="D651" s="412">
        <v>23</v>
      </c>
      <c r="E651" s="412"/>
      <c r="F651" s="146">
        <f>F581</f>
        <v>0.8</v>
      </c>
      <c r="G651" s="147">
        <f>G581</f>
        <v>8</v>
      </c>
      <c r="H651" s="148">
        <f>D651*G651*F651</f>
        <v>147.20000000000002</v>
      </c>
      <c r="I651" s="149">
        <f>I713</f>
        <v>0</v>
      </c>
      <c r="J651" s="150">
        <f>H651-J713</f>
        <v>147.20000000000002</v>
      </c>
      <c r="K651" s="79"/>
      <c r="L651" s="120"/>
    </row>
    <row r="652" spans="2:20" s="1" customFormat="1" ht="33.75" x14ac:dyDescent="0.15">
      <c r="B652" s="16"/>
      <c r="C652" s="22" t="s">
        <v>121</v>
      </c>
      <c r="D652" s="413" t="s">
        <v>122</v>
      </c>
      <c r="E652" s="413"/>
      <c r="F652" s="33" t="s">
        <v>123</v>
      </c>
      <c r="G652" s="34" t="s">
        <v>124</v>
      </c>
      <c r="H652" s="35" t="s">
        <v>125</v>
      </c>
      <c r="I652" s="125" t="s">
        <v>126</v>
      </c>
      <c r="J652" s="34" t="s">
        <v>127</v>
      </c>
      <c r="K652" s="107" t="s">
        <v>128</v>
      </c>
      <c r="L652" s="123" t="s">
        <v>129</v>
      </c>
    </row>
    <row r="653" spans="2:20" s="1" customFormat="1" ht="12.75" x14ac:dyDescent="0.15">
      <c r="B653" s="16"/>
      <c r="C653" s="22"/>
      <c r="D653" s="32"/>
      <c r="E653" s="32"/>
      <c r="F653" s="33"/>
      <c r="G653" s="34"/>
      <c r="H653" s="35"/>
      <c r="I653" s="125"/>
      <c r="J653" s="34"/>
      <c r="K653" s="110"/>
      <c r="L653" s="82"/>
    </row>
    <row r="654" spans="2:20" s="1" customFormat="1" ht="12.75" x14ac:dyDescent="0.15">
      <c r="B654" s="16"/>
      <c r="C654" s="22" t="s">
        <v>130</v>
      </c>
      <c r="D654" s="32"/>
      <c r="E654" s="32"/>
      <c r="F654" s="151"/>
      <c r="G654" s="34"/>
      <c r="H654" s="35"/>
      <c r="I654" s="125"/>
      <c r="J654" s="34"/>
      <c r="K654" s="110"/>
      <c r="L654" s="82"/>
    </row>
    <row r="655" spans="2:20" s="1" customFormat="1" ht="12.75" x14ac:dyDescent="0.15">
      <c r="B655" s="16"/>
      <c r="C655" s="22" t="s">
        <v>149</v>
      </c>
      <c r="D655" s="32"/>
      <c r="E655" s="32"/>
      <c r="F655" s="151"/>
      <c r="G655" s="34"/>
      <c r="H655" s="35"/>
      <c r="I655" s="125"/>
      <c r="J655" s="34"/>
      <c r="K655" s="110"/>
      <c r="L655" s="82"/>
    </row>
    <row r="656" spans="2:20" s="1" customFormat="1" ht="13.15" customHeight="1" x14ac:dyDescent="0.15">
      <c r="B656" s="26">
        <v>1</v>
      </c>
      <c r="C656" s="17"/>
      <c r="D656" s="24"/>
      <c r="E656" s="24"/>
      <c r="F656" s="129"/>
      <c r="G656" s="20"/>
      <c r="H656" s="20">
        <v>1</v>
      </c>
      <c r="I656" s="129">
        <f t="shared" ref="I656:I672" si="55">J656*$C$32</f>
        <v>0</v>
      </c>
      <c r="J656" s="52">
        <f t="shared" ref="J656:J665" si="56">(F656*G656*H656)/$C$32</f>
        <v>0</v>
      </c>
      <c r="K656" s="108"/>
      <c r="L656" s="113"/>
      <c r="M656" s="4"/>
      <c r="N656" s="4"/>
      <c r="O656" s="4"/>
      <c r="P656" s="4"/>
      <c r="Q656" s="4"/>
      <c r="R656" s="4"/>
      <c r="S656" s="4"/>
      <c r="T656" s="4"/>
    </row>
    <row r="657" spans="2:20" s="1" customFormat="1" ht="12.75" customHeight="1" x14ac:dyDescent="0.15">
      <c r="B657" s="26">
        <v>2</v>
      </c>
      <c r="C657" s="17"/>
      <c r="D657" s="24"/>
      <c r="E657" s="24"/>
      <c r="F657" s="129"/>
      <c r="G657" s="20"/>
      <c r="H657" s="20">
        <v>1</v>
      </c>
      <c r="I657" s="129">
        <f t="shared" si="55"/>
        <v>0</v>
      </c>
      <c r="J657" s="52">
        <f t="shared" si="56"/>
        <v>0</v>
      </c>
      <c r="K657" s="108"/>
      <c r="L657" s="113"/>
      <c r="M657" s="144"/>
      <c r="N657" s="4"/>
      <c r="O657" s="4"/>
      <c r="P657" s="4"/>
      <c r="Q657" s="4"/>
      <c r="R657" s="4"/>
      <c r="S657" s="4"/>
      <c r="T657" s="4"/>
    </row>
    <row r="658" spans="2:20" s="1" customFormat="1" ht="16.5" x14ac:dyDescent="0.15">
      <c r="B658" s="26">
        <v>3</v>
      </c>
      <c r="C658" s="17"/>
      <c r="D658" s="24"/>
      <c r="E658" s="24"/>
      <c r="F658" s="129"/>
      <c r="G658" s="20"/>
      <c r="H658" s="20">
        <v>1</v>
      </c>
      <c r="I658" s="129">
        <f t="shared" si="55"/>
        <v>0</v>
      </c>
      <c r="J658" s="52">
        <f t="shared" si="56"/>
        <v>0</v>
      </c>
      <c r="K658" s="108"/>
      <c r="L658" s="113"/>
      <c r="M658" s="145"/>
      <c r="N658" s="4"/>
      <c r="O658" s="4"/>
      <c r="P658" s="4"/>
      <c r="Q658" s="4"/>
      <c r="R658" s="4"/>
      <c r="S658" s="4"/>
      <c r="T658" s="4"/>
    </row>
    <row r="659" spans="2:20" s="1" customFormat="1" ht="12.75" customHeight="1" x14ac:dyDescent="0.15">
      <c r="B659" s="26">
        <v>4</v>
      </c>
      <c r="C659" s="16"/>
      <c r="D659" s="18"/>
      <c r="E659" s="18"/>
      <c r="F659" s="129"/>
      <c r="G659" s="20"/>
      <c r="H659" s="20">
        <v>1</v>
      </c>
      <c r="I659" s="129">
        <f t="shared" si="55"/>
        <v>0</v>
      </c>
      <c r="J659" s="52">
        <f t="shared" si="56"/>
        <v>0</v>
      </c>
      <c r="K659" s="108"/>
      <c r="L659" s="113"/>
      <c r="M659" s="4"/>
      <c r="N659" s="4"/>
      <c r="O659" s="4"/>
      <c r="P659" s="4"/>
      <c r="Q659" s="4"/>
      <c r="R659" s="4"/>
      <c r="S659" s="4"/>
      <c r="T659" s="4"/>
    </row>
    <row r="660" spans="2:20" s="1" customFormat="1" ht="12.75" customHeight="1" x14ac:dyDescent="0.15">
      <c r="B660" s="26">
        <v>5</v>
      </c>
      <c r="C660" s="17"/>
      <c r="D660" s="53"/>
      <c r="E660" s="53"/>
      <c r="F660" s="129"/>
      <c r="G660" s="20"/>
      <c r="H660" s="20">
        <v>1</v>
      </c>
      <c r="I660" s="129">
        <f t="shared" si="55"/>
        <v>0</v>
      </c>
      <c r="J660" s="27">
        <f t="shared" si="56"/>
        <v>0</v>
      </c>
      <c r="K660" s="108"/>
      <c r="L660" s="113"/>
      <c r="M660" s="4"/>
      <c r="N660" s="4"/>
      <c r="O660" s="4"/>
      <c r="P660" s="4"/>
      <c r="Q660" s="4"/>
      <c r="R660" s="4"/>
      <c r="S660" s="4"/>
      <c r="T660" s="4"/>
    </row>
    <row r="661" spans="2:20" s="1" customFormat="1" ht="12.75" x14ac:dyDescent="0.15">
      <c r="B661" s="26">
        <v>6</v>
      </c>
      <c r="C661" s="17"/>
      <c r="D661" s="24"/>
      <c r="E661" s="24"/>
      <c r="F661" s="129"/>
      <c r="G661" s="20"/>
      <c r="H661" s="20">
        <v>1</v>
      </c>
      <c r="I661" s="129">
        <f t="shared" si="55"/>
        <v>0</v>
      </c>
      <c r="J661" s="52">
        <f t="shared" si="56"/>
        <v>0</v>
      </c>
      <c r="K661" s="108"/>
      <c r="L661" s="113"/>
      <c r="M661" s="4"/>
      <c r="N661" s="4"/>
      <c r="O661" s="4"/>
      <c r="P661" s="4"/>
      <c r="Q661" s="4"/>
      <c r="R661" s="4"/>
      <c r="S661" s="4"/>
      <c r="T661" s="4"/>
    </row>
    <row r="662" spans="2:20" s="1" customFormat="1" ht="12.75" customHeight="1" x14ac:dyDescent="0.15">
      <c r="B662" s="26">
        <v>7</v>
      </c>
      <c r="C662" s="17"/>
      <c r="D662" s="22"/>
      <c r="E662" s="22"/>
      <c r="F662" s="129"/>
      <c r="G662" s="20"/>
      <c r="H662" s="20">
        <v>1</v>
      </c>
      <c r="I662" s="129">
        <f t="shared" si="55"/>
        <v>0</v>
      </c>
      <c r="J662" s="27">
        <f t="shared" si="56"/>
        <v>0</v>
      </c>
      <c r="K662" s="108"/>
      <c r="L662" s="113"/>
      <c r="M662" s="4"/>
      <c r="N662" s="4"/>
      <c r="O662" s="4"/>
      <c r="P662" s="4"/>
      <c r="Q662" s="4"/>
      <c r="R662" s="4"/>
      <c r="S662" s="4"/>
      <c r="T662" s="4"/>
    </row>
    <row r="663" spans="2:20" s="1" customFormat="1" ht="12.95" customHeight="1" x14ac:dyDescent="0.15">
      <c r="B663" s="26">
        <v>8</v>
      </c>
      <c r="C663" s="17"/>
      <c r="D663" s="18"/>
      <c r="E663" s="24"/>
      <c r="F663" s="129"/>
      <c r="G663" s="20"/>
      <c r="H663" s="20">
        <v>1</v>
      </c>
      <c r="I663" s="129">
        <f t="shared" si="55"/>
        <v>0</v>
      </c>
      <c r="J663" s="52">
        <f t="shared" si="56"/>
        <v>0</v>
      </c>
      <c r="K663" s="108"/>
      <c r="L663" s="113"/>
      <c r="M663" s="4"/>
      <c r="N663" s="4"/>
      <c r="O663" s="4"/>
      <c r="P663" s="4"/>
      <c r="Q663" s="4"/>
      <c r="R663" s="4"/>
      <c r="S663" s="4"/>
      <c r="T663" s="4"/>
    </row>
    <row r="664" spans="2:20" s="1" customFormat="1" ht="12.95" customHeight="1" x14ac:dyDescent="0.15">
      <c r="B664" s="26">
        <v>9</v>
      </c>
      <c r="C664" s="17"/>
      <c r="D664" s="18"/>
      <c r="E664" s="24"/>
      <c r="F664" s="129"/>
      <c r="G664" s="20"/>
      <c r="H664" s="20">
        <v>1</v>
      </c>
      <c r="I664" s="129">
        <f t="shared" si="55"/>
        <v>0</v>
      </c>
      <c r="J664" s="52">
        <f t="shared" si="56"/>
        <v>0</v>
      </c>
      <c r="K664" s="108"/>
      <c r="L664" s="113"/>
      <c r="M664" s="4"/>
      <c r="N664" s="4"/>
      <c r="O664" s="4"/>
      <c r="P664" s="4"/>
      <c r="Q664" s="4"/>
      <c r="R664" s="4"/>
      <c r="S664" s="4"/>
      <c r="T664" s="4"/>
    </row>
    <row r="665" spans="2:20" s="1" customFormat="1" ht="12.95" customHeight="1" x14ac:dyDescent="0.15">
      <c r="B665" s="26">
        <v>10</v>
      </c>
      <c r="C665" s="17"/>
      <c r="D665" s="24"/>
      <c r="E665" s="18"/>
      <c r="F665" s="129"/>
      <c r="G665" s="20"/>
      <c r="H665" s="20">
        <v>1</v>
      </c>
      <c r="I665" s="129">
        <f t="shared" si="55"/>
        <v>0</v>
      </c>
      <c r="J665" s="52">
        <f t="shared" si="56"/>
        <v>0</v>
      </c>
      <c r="K665" s="108"/>
      <c r="L665" s="113"/>
      <c r="M665" s="4"/>
      <c r="N665" s="4"/>
      <c r="O665" s="4"/>
      <c r="P665" s="4"/>
      <c r="Q665" s="4"/>
      <c r="R665" s="4"/>
      <c r="S665" s="4"/>
      <c r="T665" s="4"/>
    </row>
    <row r="666" spans="2:20" s="1" customFormat="1" ht="12.95" customHeight="1" x14ac:dyDescent="0.15">
      <c r="B666" s="26"/>
      <c r="C666" s="17"/>
      <c r="D666" s="24"/>
      <c r="E666" s="18"/>
      <c r="F666" s="129"/>
      <c r="G666" s="20"/>
      <c r="H666" s="20"/>
      <c r="I666" s="129"/>
      <c r="J666" s="52"/>
      <c r="K666" s="108"/>
      <c r="L666" s="113"/>
      <c r="M666" s="4"/>
      <c r="N666" s="4"/>
      <c r="O666" s="4"/>
      <c r="P666" s="4"/>
      <c r="Q666" s="4"/>
      <c r="R666" s="4"/>
      <c r="S666" s="4"/>
      <c r="T666" s="4"/>
    </row>
    <row r="667" spans="2:20" s="1" customFormat="1" ht="12.95" customHeight="1" x14ac:dyDescent="0.15">
      <c r="B667" s="26"/>
      <c r="C667" s="17"/>
      <c r="D667" s="24"/>
      <c r="E667" s="18"/>
      <c r="F667" s="129"/>
      <c r="G667" s="20"/>
      <c r="H667" s="20"/>
      <c r="I667" s="129"/>
      <c r="J667" s="52"/>
      <c r="K667" s="108"/>
      <c r="L667" s="113"/>
      <c r="M667" s="4"/>
      <c r="N667" s="4"/>
      <c r="O667" s="4"/>
      <c r="P667" s="4"/>
      <c r="Q667" s="4"/>
      <c r="R667" s="4"/>
      <c r="S667" s="4"/>
      <c r="T667" s="4"/>
    </row>
    <row r="668" spans="2:20" s="1" customFormat="1" ht="12.95" customHeight="1" x14ac:dyDescent="0.15">
      <c r="B668" s="26"/>
      <c r="C668" s="22" t="s">
        <v>153</v>
      </c>
      <c r="D668" s="24"/>
      <c r="E668" s="18"/>
      <c r="F668" s="129"/>
      <c r="G668" s="20"/>
      <c r="H668" s="20"/>
      <c r="I668" s="129"/>
      <c r="J668" s="52"/>
      <c r="K668" s="108"/>
      <c r="L668" s="113"/>
      <c r="M668" s="4"/>
      <c r="N668" s="4"/>
      <c r="O668" s="4"/>
      <c r="P668" s="4"/>
      <c r="Q668" s="4"/>
      <c r="R668" s="4"/>
      <c r="S668" s="4"/>
      <c r="T668" s="4"/>
    </row>
    <row r="669" spans="2:20" s="1" customFormat="1" ht="12.95" customHeight="1" x14ac:dyDescent="0.15">
      <c r="B669" s="26">
        <v>1</v>
      </c>
      <c r="C669" s="17"/>
      <c r="D669" s="24"/>
      <c r="E669" s="24"/>
      <c r="F669" s="129"/>
      <c r="G669" s="20"/>
      <c r="H669" s="20">
        <v>1</v>
      </c>
      <c r="I669" s="129">
        <f t="shared" si="55"/>
        <v>0</v>
      </c>
      <c r="J669" s="52">
        <f t="shared" ref="J669:J688" si="57">(F669*G669*H669)/$C$32</f>
        <v>0</v>
      </c>
      <c r="K669" s="108"/>
      <c r="L669" s="113"/>
      <c r="M669" s="4"/>
      <c r="N669" s="4"/>
      <c r="O669" s="4"/>
      <c r="P669" s="4"/>
      <c r="Q669" s="4"/>
      <c r="R669" s="4"/>
      <c r="S669" s="4"/>
      <c r="T669" s="4"/>
    </row>
    <row r="670" spans="2:20" s="1" customFormat="1" ht="12.95" customHeight="1" x14ac:dyDescent="0.15">
      <c r="B670" s="26">
        <v>2</v>
      </c>
      <c r="C670" s="17"/>
      <c r="D670" s="24"/>
      <c r="E670" s="24"/>
      <c r="F670" s="129"/>
      <c r="G670" s="20"/>
      <c r="H670" s="20">
        <v>1</v>
      </c>
      <c r="I670" s="129">
        <f t="shared" si="55"/>
        <v>0</v>
      </c>
      <c r="J670" s="52">
        <f t="shared" si="57"/>
        <v>0</v>
      </c>
      <c r="K670" s="108"/>
      <c r="L670" s="113"/>
      <c r="M670" s="4"/>
      <c r="N670" s="4"/>
      <c r="O670" s="4"/>
      <c r="P670" s="4"/>
      <c r="Q670" s="4"/>
      <c r="R670" s="4"/>
      <c r="S670" s="4"/>
      <c r="T670" s="4"/>
    </row>
    <row r="671" spans="2:20" s="1" customFormat="1" ht="12.95" customHeight="1" x14ac:dyDescent="0.15">
      <c r="B671" s="26">
        <v>3</v>
      </c>
      <c r="C671" s="24"/>
      <c r="D671" s="24"/>
      <c r="E671" s="24"/>
      <c r="F671" s="129"/>
      <c r="G671" s="20"/>
      <c r="H671" s="20">
        <v>1</v>
      </c>
      <c r="I671" s="129">
        <f t="shared" si="55"/>
        <v>0</v>
      </c>
      <c r="J671" s="52">
        <f t="shared" si="57"/>
        <v>0</v>
      </c>
      <c r="K671" s="108"/>
      <c r="L671" s="113"/>
      <c r="M671" s="4"/>
      <c r="N671" s="4"/>
      <c r="O671" s="4"/>
      <c r="P671" s="4"/>
      <c r="Q671" s="4"/>
      <c r="R671" s="4"/>
      <c r="S671" s="4"/>
      <c r="T671" s="4"/>
    </row>
    <row r="672" spans="2:20" s="1" customFormat="1" ht="12.95" customHeight="1" x14ac:dyDescent="0.15">
      <c r="B672" s="26">
        <v>4</v>
      </c>
      <c r="C672" s="24"/>
      <c r="D672" s="24"/>
      <c r="E672" s="24"/>
      <c r="F672" s="129"/>
      <c r="G672" s="20"/>
      <c r="H672" s="20">
        <v>1</v>
      </c>
      <c r="I672" s="129">
        <f t="shared" si="55"/>
        <v>0</v>
      </c>
      <c r="J672" s="52">
        <f t="shared" si="57"/>
        <v>0</v>
      </c>
      <c r="K672" s="108"/>
      <c r="L672" s="113"/>
      <c r="M672" s="4"/>
      <c r="N672" s="4"/>
      <c r="O672" s="4"/>
      <c r="P672" s="4"/>
      <c r="Q672" s="4"/>
      <c r="R672" s="4"/>
      <c r="S672" s="4"/>
      <c r="T672" s="4"/>
    </row>
    <row r="673" spans="2:20" s="1" customFormat="1" ht="12.95" customHeight="1" x14ac:dyDescent="0.15">
      <c r="B673" s="26">
        <v>5</v>
      </c>
      <c r="C673" s="17"/>
      <c r="D673" s="18"/>
      <c r="E673" s="18"/>
      <c r="F673" s="129"/>
      <c r="G673" s="20"/>
      <c r="H673" s="20">
        <v>1</v>
      </c>
      <c r="I673" s="129">
        <f>J673*$C$32</f>
        <v>0</v>
      </c>
      <c r="J673" s="27">
        <f t="shared" si="57"/>
        <v>0</v>
      </c>
      <c r="K673" s="108"/>
      <c r="L673" s="113"/>
      <c r="M673" s="4"/>
      <c r="N673" s="4"/>
      <c r="O673" s="4"/>
      <c r="P673" s="4"/>
      <c r="Q673" s="4"/>
      <c r="R673" s="4"/>
      <c r="S673" s="4"/>
      <c r="T673" s="4"/>
    </row>
    <row r="674" spans="2:20" s="1" customFormat="1" ht="12.95" customHeight="1" x14ac:dyDescent="0.15">
      <c r="B674" s="26">
        <v>6</v>
      </c>
      <c r="C674" s="17"/>
      <c r="D674" s="24"/>
      <c r="E674" s="24"/>
      <c r="F674" s="129"/>
      <c r="G674" s="20"/>
      <c r="H674" s="20">
        <v>1</v>
      </c>
      <c r="I674" s="129">
        <f t="shared" ref="I674" si="58">J674*$C$32</f>
        <v>0</v>
      </c>
      <c r="J674" s="54">
        <f t="shared" si="57"/>
        <v>0</v>
      </c>
      <c r="K674" s="108"/>
      <c r="L674" s="113"/>
      <c r="M674" s="4"/>
      <c r="N674" s="4"/>
      <c r="O674" s="4"/>
      <c r="P674" s="4"/>
      <c r="Q674" s="4"/>
      <c r="R674" s="4"/>
      <c r="S674" s="4"/>
      <c r="T674" s="4"/>
    </row>
    <row r="675" spans="2:20" s="1" customFormat="1" ht="12.95" customHeight="1" x14ac:dyDescent="0.15">
      <c r="B675" s="26">
        <v>7</v>
      </c>
      <c r="C675" s="17"/>
      <c r="D675" s="24"/>
      <c r="E675" s="24"/>
      <c r="F675" s="129"/>
      <c r="G675" s="20"/>
      <c r="H675" s="20">
        <v>1</v>
      </c>
      <c r="I675" s="129">
        <f>J675*$C$32</f>
        <v>0</v>
      </c>
      <c r="J675" s="54">
        <f t="shared" si="57"/>
        <v>0</v>
      </c>
      <c r="K675" s="108"/>
      <c r="L675" s="113"/>
      <c r="M675" s="4"/>
      <c r="N675" s="4"/>
      <c r="O675" s="4"/>
      <c r="P675" s="4"/>
      <c r="Q675" s="4"/>
      <c r="R675" s="4"/>
      <c r="S675" s="4"/>
      <c r="T675" s="4"/>
    </row>
    <row r="676" spans="2:20" s="1" customFormat="1" ht="14.85" customHeight="1" x14ac:dyDescent="0.15">
      <c r="B676" s="26">
        <v>8</v>
      </c>
      <c r="C676" s="17"/>
      <c r="D676" s="24"/>
      <c r="E676" s="24"/>
      <c r="F676" s="129"/>
      <c r="G676" s="20"/>
      <c r="H676" s="20">
        <v>1</v>
      </c>
      <c r="I676" s="129">
        <f t="shared" ref="I676:I688" si="59">J676*$C$32</f>
        <v>0</v>
      </c>
      <c r="J676" s="52">
        <f t="shared" si="57"/>
        <v>0</v>
      </c>
      <c r="K676" s="108"/>
      <c r="L676" s="113"/>
      <c r="M676" s="4"/>
      <c r="N676" s="4"/>
      <c r="O676" s="4"/>
      <c r="P676" s="4"/>
      <c r="Q676" s="4"/>
      <c r="R676" s="4"/>
      <c r="S676" s="4"/>
      <c r="T676" s="4"/>
    </row>
    <row r="677" spans="2:20" s="1" customFormat="1" ht="12.95" customHeight="1" x14ac:dyDescent="0.15">
      <c r="B677" s="26">
        <v>9</v>
      </c>
      <c r="C677" s="17"/>
      <c r="D677" s="24"/>
      <c r="E677" s="24"/>
      <c r="F677" s="129"/>
      <c r="G677" s="20"/>
      <c r="H677" s="20">
        <v>1</v>
      </c>
      <c r="I677" s="129">
        <f t="shared" si="59"/>
        <v>0</v>
      </c>
      <c r="J677" s="52">
        <f t="shared" si="57"/>
        <v>0</v>
      </c>
      <c r="K677" s="108"/>
      <c r="L677" s="113"/>
      <c r="M677" s="4"/>
      <c r="N677" s="4"/>
      <c r="O677" s="4"/>
      <c r="P677" s="4"/>
      <c r="Q677" s="4"/>
      <c r="R677" s="4"/>
      <c r="S677" s="4"/>
      <c r="T677" s="4"/>
    </row>
    <row r="678" spans="2:20" s="1" customFormat="1" ht="12.95" customHeight="1" x14ac:dyDescent="0.15">
      <c r="B678" s="26">
        <v>10</v>
      </c>
      <c r="C678" s="17"/>
      <c r="D678" s="24"/>
      <c r="E678" s="24"/>
      <c r="F678" s="129"/>
      <c r="G678" s="20"/>
      <c r="H678" s="20">
        <v>1</v>
      </c>
      <c r="I678" s="129">
        <f t="shared" si="59"/>
        <v>0</v>
      </c>
      <c r="J678" s="52">
        <f t="shared" si="57"/>
        <v>0</v>
      </c>
      <c r="K678" s="108"/>
      <c r="L678" s="113"/>
      <c r="M678" s="4"/>
      <c r="N678" s="4"/>
      <c r="O678" s="4"/>
      <c r="P678" s="4"/>
      <c r="Q678" s="4"/>
      <c r="R678" s="4"/>
      <c r="S678" s="4"/>
      <c r="T678" s="4"/>
    </row>
    <row r="679" spans="2:20" s="1" customFormat="1" ht="12.95" customHeight="1" x14ac:dyDescent="0.15">
      <c r="B679" s="26">
        <v>11</v>
      </c>
      <c r="C679" s="17"/>
      <c r="D679" s="24"/>
      <c r="E679" s="24"/>
      <c r="F679" s="129"/>
      <c r="G679" s="20"/>
      <c r="H679" s="20">
        <v>1</v>
      </c>
      <c r="I679" s="129">
        <f t="shared" si="59"/>
        <v>0</v>
      </c>
      <c r="J679" s="52">
        <f t="shared" si="57"/>
        <v>0</v>
      </c>
      <c r="K679" s="108"/>
      <c r="L679" s="113"/>
      <c r="M679" s="4"/>
      <c r="N679" s="4"/>
      <c r="O679" s="4"/>
      <c r="P679" s="4"/>
      <c r="Q679" s="4"/>
      <c r="R679" s="4"/>
      <c r="S679" s="4"/>
      <c r="T679" s="4"/>
    </row>
    <row r="680" spans="2:20" s="1" customFormat="1" ht="12.95" customHeight="1" x14ac:dyDescent="0.15">
      <c r="B680" s="26">
        <v>12</v>
      </c>
      <c r="C680" s="17"/>
      <c r="D680" s="18"/>
      <c r="E680" s="18"/>
      <c r="F680" s="129"/>
      <c r="G680" s="20"/>
      <c r="H680" s="20">
        <v>1</v>
      </c>
      <c r="I680" s="129">
        <f t="shared" si="59"/>
        <v>0</v>
      </c>
      <c r="J680" s="52">
        <f t="shared" si="57"/>
        <v>0</v>
      </c>
      <c r="K680" s="108"/>
      <c r="L680" s="113"/>
      <c r="M680" s="4"/>
      <c r="N680" s="4"/>
      <c r="O680" s="4"/>
      <c r="P680" s="4"/>
      <c r="Q680" s="4"/>
      <c r="R680" s="4"/>
      <c r="S680" s="4"/>
      <c r="T680" s="4"/>
    </row>
    <row r="681" spans="2:20" s="1" customFormat="1" ht="12.95" customHeight="1" x14ac:dyDescent="0.15">
      <c r="B681" s="26">
        <v>13</v>
      </c>
      <c r="C681" s="17"/>
      <c r="D681" s="18"/>
      <c r="E681" s="18"/>
      <c r="F681" s="129"/>
      <c r="G681" s="20"/>
      <c r="H681" s="20">
        <v>1</v>
      </c>
      <c r="I681" s="129">
        <f t="shared" si="59"/>
        <v>0</v>
      </c>
      <c r="J681" s="52">
        <f t="shared" si="57"/>
        <v>0</v>
      </c>
      <c r="K681" s="108"/>
      <c r="L681" s="113"/>
      <c r="M681" s="4"/>
      <c r="N681" s="4"/>
      <c r="O681" s="4"/>
      <c r="P681" s="4"/>
      <c r="Q681" s="4"/>
      <c r="R681" s="4"/>
      <c r="S681" s="4"/>
      <c r="T681" s="4"/>
    </row>
    <row r="682" spans="2:20" s="1" customFormat="1" ht="12.95" customHeight="1" x14ac:dyDescent="0.15">
      <c r="B682" s="26">
        <v>14</v>
      </c>
      <c r="C682" s="17"/>
      <c r="D682" s="18"/>
      <c r="E682" s="18"/>
      <c r="F682" s="129"/>
      <c r="G682" s="20"/>
      <c r="H682" s="20">
        <v>1</v>
      </c>
      <c r="I682" s="129">
        <f t="shared" si="59"/>
        <v>0</v>
      </c>
      <c r="J682" s="52">
        <f t="shared" si="57"/>
        <v>0</v>
      </c>
      <c r="K682" s="108"/>
      <c r="L682" s="113"/>
      <c r="M682" s="4"/>
      <c r="N682" s="4"/>
      <c r="O682" s="4"/>
      <c r="P682" s="4"/>
      <c r="Q682" s="4"/>
      <c r="R682" s="4"/>
      <c r="S682" s="4"/>
      <c r="T682" s="4"/>
    </row>
    <row r="683" spans="2:20" s="1" customFormat="1" ht="12.95" customHeight="1" x14ac:dyDescent="0.15">
      <c r="B683" s="26">
        <v>15</v>
      </c>
      <c r="C683" s="11"/>
      <c r="D683" s="18"/>
      <c r="E683" s="18"/>
      <c r="F683" s="129"/>
      <c r="G683" s="20"/>
      <c r="H683" s="20">
        <v>1</v>
      </c>
      <c r="I683" s="126">
        <f t="shared" si="59"/>
        <v>0</v>
      </c>
      <c r="J683" s="21">
        <f t="shared" si="57"/>
        <v>0</v>
      </c>
      <c r="K683" s="108"/>
      <c r="L683" s="113"/>
      <c r="M683" s="4"/>
      <c r="N683" s="4"/>
      <c r="O683" s="4"/>
      <c r="P683" s="4"/>
      <c r="Q683" s="4"/>
      <c r="R683" s="4"/>
      <c r="S683" s="4"/>
      <c r="T683" s="4"/>
    </row>
    <row r="684" spans="2:20" s="1" customFormat="1" ht="12.95" customHeight="1" x14ac:dyDescent="0.15">
      <c r="B684" s="26">
        <v>16</v>
      </c>
      <c r="C684" s="23"/>
      <c r="D684" s="49"/>
      <c r="E684" s="49"/>
      <c r="F684" s="126"/>
      <c r="G684" s="50"/>
      <c r="H684" s="20">
        <v>1</v>
      </c>
      <c r="I684" s="126">
        <f t="shared" si="59"/>
        <v>0</v>
      </c>
      <c r="J684" s="21">
        <f t="shared" si="57"/>
        <v>0</v>
      </c>
      <c r="K684" s="108"/>
      <c r="L684" s="113"/>
      <c r="M684" s="4"/>
      <c r="N684" s="4"/>
      <c r="O684" s="4"/>
      <c r="P684" s="4"/>
      <c r="Q684" s="4"/>
      <c r="R684" s="4"/>
      <c r="S684" s="4"/>
      <c r="T684" s="4"/>
    </row>
    <row r="685" spans="2:20" s="1" customFormat="1" ht="12.95" customHeight="1" x14ac:dyDescent="0.15">
      <c r="B685" s="26">
        <v>17</v>
      </c>
      <c r="C685" s="23"/>
      <c r="D685" s="48"/>
      <c r="E685" s="48"/>
      <c r="F685" s="126"/>
      <c r="G685" s="50"/>
      <c r="H685" s="20">
        <v>1</v>
      </c>
      <c r="I685" s="126">
        <f t="shared" si="59"/>
        <v>0</v>
      </c>
      <c r="J685" s="21">
        <f t="shared" si="57"/>
        <v>0</v>
      </c>
      <c r="K685" s="108"/>
      <c r="L685" s="113"/>
      <c r="M685" s="4"/>
      <c r="N685" s="4"/>
      <c r="O685" s="4"/>
      <c r="P685" s="4"/>
      <c r="Q685" s="4"/>
      <c r="R685" s="4"/>
      <c r="S685" s="4"/>
      <c r="T685" s="4"/>
    </row>
    <row r="686" spans="2:20" s="1" customFormat="1" ht="12.95" customHeight="1" x14ac:dyDescent="0.15">
      <c r="B686" s="26">
        <v>18</v>
      </c>
      <c r="C686" s="23"/>
      <c r="D686" s="48"/>
      <c r="E686" s="48"/>
      <c r="F686" s="126"/>
      <c r="G686" s="50"/>
      <c r="H686" s="20">
        <v>1</v>
      </c>
      <c r="I686" s="126">
        <f t="shared" si="59"/>
        <v>0</v>
      </c>
      <c r="J686" s="21">
        <f t="shared" si="57"/>
        <v>0</v>
      </c>
      <c r="K686" s="108"/>
      <c r="L686" s="113"/>
      <c r="M686" s="4"/>
      <c r="N686" s="4"/>
      <c r="O686" s="4"/>
      <c r="P686" s="4"/>
      <c r="Q686" s="4"/>
      <c r="R686" s="4"/>
      <c r="S686" s="4"/>
      <c r="T686" s="4"/>
    </row>
    <row r="687" spans="2:20" s="1" customFormat="1" ht="12.95" customHeight="1" x14ac:dyDescent="0.15">
      <c r="B687" s="26">
        <v>19</v>
      </c>
      <c r="C687" s="23"/>
      <c r="D687" s="48"/>
      <c r="E687" s="48"/>
      <c r="F687" s="126"/>
      <c r="G687" s="50"/>
      <c r="H687" s="20">
        <v>1</v>
      </c>
      <c r="I687" s="126">
        <f t="shared" si="59"/>
        <v>0</v>
      </c>
      <c r="J687" s="21">
        <f t="shared" si="57"/>
        <v>0</v>
      </c>
      <c r="K687" s="108"/>
      <c r="L687" s="113"/>
      <c r="M687" s="4"/>
      <c r="N687" s="4"/>
      <c r="O687" s="4"/>
      <c r="P687" s="4"/>
      <c r="Q687" s="4"/>
      <c r="R687" s="4"/>
      <c r="S687" s="4"/>
      <c r="T687" s="4"/>
    </row>
    <row r="688" spans="2:20" s="1" customFormat="1" ht="12.95" customHeight="1" x14ac:dyDescent="0.15">
      <c r="B688" s="26">
        <v>20</v>
      </c>
      <c r="C688" s="23"/>
      <c r="D688" s="48"/>
      <c r="E688" s="48"/>
      <c r="F688" s="126"/>
      <c r="G688" s="50"/>
      <c r="H688" s="20">
        <v>1</v>
      </c>
      <c r="I688" s="126">
        <f t="shared" si="59"/>
        <v>0</v>
      </c>
      <c r="J688" s="21">
        <f t="shared" si="57"/>
        <v>0</v>
      </c>
      <c r="K688" s="108"/>
      <c r="L688" s="113"/>
      <c r="M688" s="4"/>
      <c r="N688" s="4"/>
      <c r="O688" s="4"/>
      <c r="P688" s="4"/>
      <c r="Q688" s="4"/>
      <c r="R688" s="4"/>
      <c r="S688" s="4"/>
      <c r="T688" s="4"/>
    </row>
    <row r="689" spans="2:20" s="1" customFormat="1" ht="12.95" customHeight="1" x14ac:dyDescent="0.15">
      <c r="B689" s="26"/>
      <c r="C689" s="23"/>
      <c r="D689" s="48"/>
      <c r="E689" s="48"/>
      <c r="F689" s="126"/>
      <c r="G689" s="50"/>
      <c r="H689" s="50"/>
      <c r="I689" s="126"/>
      <c r="J689" s="38"/>
      <c r="K689" s="108"/>
      <c r="L689" s="113"/>
      <c r="M689" s="4"/>
      <c r="N689" s="4"/>
      <c r="O689" s="4"/>
      <c r="P689" s="4"/>
      <c r="Q689" s="4"/>
      <c r="R689" s="4"/>
      <c r="S689" s="4"/>
      <c r="T689" s="4"/>
    </row>
    <row r="690" spans="2:20" s="1" customFormat="1" ht="12.95" customHeight="1" x14ac:dyDescent="0.15">
      <c r="B690" s="26"/>
      <c r="C690" s="23"/>
      <c r="D690" s="48"/>
      <c r="E690" s="48"/>
      <c r="F690" s="126"/>
      <c r="G690" s="50"/>
      <c r="H690" s="50"/>
      <c r="I690" s="126"/>
      <c r="J690" s="38"/>
      <c r="K690" s="108"/>
      <c r="L690" s="113"/>
      <c r="M690" s="4"/>
      <c r="N690" s="4"/>
      <c r="O690" s="4"/>
      <c r="P690" s="4"/>
      <c r="Q690" s="4"/>
      <c r="R690" s="4"/>
      <c r="S690" s="4"/>
      <c r="T690" s="4"/>
    </row>
    <row r="691" spans="2:20" s="1" customFormat="1" ht="12.95" customHeight="1" x14ac:dyDescent="0.15">
      <c r="B691" s="26"/>
      <c r="C691" s="95" t="s">
        <v>132</v>
      </c>
      <c r="D691" s="49"/>
      <c r="E691" s="49"/>
      <c r="F691" s="126"/>
      <c r="G691" s="50"/>
      <c r="H691" s="50"/>
      <c r="I691" s="126"/>
      <c r="J691" s="21"/>
      <c r="K691" s="108"/>
      <c r="L691" s="113"/>
      <c r="M691" s="57"/>
      <c r="N691" s="57"/>
      <c r="O691" s="57"/>
      <c r="P691" s="57"/>
      <c r="Q691" s="58"/>
      <c r="R691" s="57"/>
      <c r="S691" s="4"/>
      <c r="T691" s="57"/>
    </row>
    <row r="692" spans="2:20" s="1" customFormat="1" ht="12.95" customHeight="1" x14ac:dyDescent="0.15">
      <c r="B692" s="26">
        <v>1</v>
      </c>
      <c r="C692" s="60"/>
      <c r="D692" s="49"/>
      <c r="E692" s="49"/>
      <c r="F692" s="126"/>
      <c r="G692" s="50"/>
      <c r="H692" s="50">
        <v>1</v>
      </c>
      <c r="I692" s="126">
        <f>J692*$C$32</f>
        <v>0</v>
      </c>
      <c r="J692" s="21">
        <f t="shared" ref="J692:J711" si="60">(F692*G692*H692)/$C$32</f>
        <v>0</v>
      </c>
      <c r="K692" s="108"/>
      <c r="L692" s="113"/>
      <c r="M692" s="57"/>
      <c r="N692" s="57"/>
      <c r="O692" s="57"/>
      <c r="P692" s="57"/>
      <c r="Q692" s="58"/>
      <c r="R692" s="57"/>
      <c r="S692" s="4"/>
      <c r="T692" s="57"/>
    </row>
    <row r="693" spans="2:20" s="1" customFormat="1" ht="12.95" customHeight="1" x14ac:dyDescent="0.15">
      <c r="B693" s="26">
        <v>2</v>
      </c>
      <c r="C693" s="59"/>
      <c r="D693" s="49"/>
      <c r="E693" s="49"/>
      <c r="F693" s="126"/>
      <c r="G693" s="50"/>
      <c r="H693" s="50">
        <v>1</v>
      </c>
      <c r="I693" s="126">
        <f t="shared" ref="I693:I696" si="61">J693*$C$32</f>
        <v>0</v>
      </c>
      <c r="J693" s="21">
        <f t="shared" si="60"/>
        <v>0</v>
      </c>
      <c r="K693" s="108"/>
      <c r="L693" s="113"/>
      <c r="M693" s="57"/>
      <c r="N693" s="57"/>
      <c r="O693" s="57"/>
      <c r="P693" s="57"/>
      <c r="Q693" s="58"/>
      <c r="R693" s="57"/>
      <c r="S693" s="4"/>
      <c r="T693" s="57"/>
    </row>
    <row r="694" spans="2:20" s="1" customFormat="1" ht="12.95" customHeight="1" x14ac:dyDescent="0.15">
      <c r="B694" s="26">
        <v>3</v>
      </c>
      <c r="C694" s="61"/>
      <c r="D694" s="49"/>
      <c r="E694" s="49"/>
      <c r="F694" s="126"/>
      <c r="G694" s="50"/>
      <c r="H694" s="50">
        <v>1</v>
      </c>
      <c r="I694" s="126">
        <f t="shared" si="61"/>
        <v>0</v>
      </c>
      <c r="J694" s="21">
        <f t="shared" si="60"/>
        <v>0</v>
      </c>
      <c r="K694" s="108"/>
      <c r="L694" s="113"/>
      <c r="M694" s="57"/>
      <c r="N694" s="57"/>
      <c r="O694" s="57"/>
      <c r="P694" s="57"/>
      <c r="Q694" s="58"/>
      <c r="R694" s="57"/>
      <c r="S694" s="4"/>
      <c r="T694" s="57"/>
    </row>
    <row r="695" spans="2:20" s="1" customFormat="1" ht="12.95" customHeight="1" x14ac:dyDescent="0.15">
      <c r="B695" s="16">
        <v>4</v>
      </c>
      <c r="C695" s="11"/>
      <c r="D695" s="18"/>
      <c r="E695" s="18"/>
      <c r="F695" s="129"/>
      <c r="G695" s="20"/>
      <c r="H695" s="20">
        <v>1</v>
      </c>
      <c r="I695" s="126">
        <f t="shared" si="61"/>
        <v>0</v>
      </c>
      <c r="J695" s="21">
        <f t="shared" si="60"/>
        <v>0</v>
      </c>
      <c r="K695" s="80"/>
      <c r="L695" s="82"/>
      <c r="M695" s="10"/>
      <c r="N695" s="10"/>
      <c r="O695" s="10"/>
      <c r="P695" s="10"/>
      <c r="Q695" s="43"/>
      <c r="R695" s="10"/>
      <c r="T695" s="10"/>
    </row>
    <row r="696" spans="2:20" s="1" customFormat="1" ht="12.95" customHeight="1" x14ac:dyDescent="0.15">
      <c r="B696" s="16">
        <v>5</v>
      </c>
      <c r="C696" s="46"/>
      <c r="D696" s="18"/>
      <c r="E696" s="18"/>
      <c r="F696" s="129"/>
      <c r="G696" s="20"/>
      <c r="H696" s="20">
        <v>1</v>
      </c>
      <c r="I696" s="126">
        <f t="shared" si="61"/>
        <v>0</v>
      </c>
      <c r="J696" s="21">
        <f t="shared" si="60"/>
        <v>0</v>
      </c>
      <c r="K696" s="80"/>
      <c r="L696" s="82"/>
      <c r="M696" s="10"/>
      <c r="N696" s="10"/>
      <c r="O696" s="10"/>
      <c r="P696" s="10"/>
      <c r="Q696" s="43"/>
      <c r="R696" s="10"/>
      <c r="T696" s="10"/>
    </row>
    <row r="697" spans="2:20" s="1" customFormat="1" ht="12.95" customHeight="1" x14ac:dyDescent="0.15">
      <c r="B697" s="16">
        <v>6</v>
      </c>
      <c r="C697" s="11"/>
      <c r="D697" s="18"/>
      <c r="E697" s="18"/>
      <c r="F697" s="129"/>
      <c r="G697" s="20"/>
      <c r="H697" s="20">
        <v>1</v>
      </c>
      <c r="I697" s="126">
        <f t="shared" ref="I697:I711" si="62">J697*$C$32</f>
        <v>0</v>
      </c>
      <c r="J697" s="21">
        <f t="shared" si="60"/>
        <v>0</v>
      </c>
      <c r="K697" s="80"/>
      <c r="L697" s="82"/>
      <c r="M697" s="10"/>
      <c r="N697" s="10"/>
      <c r="O697" s="10"/>
      <c r="P697" s="10"/>
      <c r="Q697" s="43"/>
      <c r="R697" s="10"/>
      <c r="T697" s="10"/>
    </row>
    <row r="698" spans="2:20" s="1" customFormat="1" ht="12.95" customHeight="1" x14ac:dyDescent="0.15">
      <c r="B698" s="16">
        <v>7</v>
      </c>
      <c r="C698" s="11"/>
      <c r="D698" s="18"/>
      <c r="E698" s="18"/>
      <c r="F698" s="129"/>
      <c r="G698" s="20"/>
      <c r="H698" s="20">
        <v>1</v>
      </c>
      <c r="I698" s="126">
        <f t="shared" si="62"/>
        <v>0</v>
      </c>
      <c r="J698" s="21">
        <f t="shared" si="60"/>
        <v>0</v>
      </c>
      <c r="K698" s="80"/>
      <c r="L698" s="82"/>
      <c r="M698" s="10"/>
      <c r="N698" s="10"/>
      <c r="O698" s="10"/>
      <c r="P698" s="10"/>
      <c r="Q698" s="43"/>
      <c r="R698" s="10"/>
      <c r="T698" s="10"/>
    </row>
    <row r="699" spans="2:20" s="1" customFormat="1" ht="12.95" customHeight="1" x14ac:dyDescent="0.15">
      <c r="B699" s="16">
        <v>8</v>
      </c>
      <c r="C699" s="11"/>
      <c r="D699" s="18"/>
      <c r="E699" s="18"/>
      <c r="F699" s="129"/>
      <c r="G699" s="20"/>
      <c r="H699" s="20">
        <v>1</v>
      </c>
      <c r="I699" s="126">
        <f t="shared" si="62"/>
        <v>0</v>
      </c>
      <c r="J699" s="21">
        <f t="shared" si="60"/>
        <v>0</v>
      </c>
      <c r="K699" s="80"/>
      <c r="L699" s="82"/>
      <c r="M699" s="10"/>
      <c r="N699" s="10"/>
      <c r="O699" s="10"/>
      <c r="P699" s="10"/>
      <c r="Q699" s="43"/>
      <c r="R699" s="10"/>
      <c r="T699" s="10"/>
    </row>
    <row r="700" spans="2:20" s="1" customFormat="1" ht="12.95" customHeight="1" x14ac:dyDescent="0.15">
      <c r="B700" s="16">
        <v>9</v>
      </c>
      <c r="C700" s="11"/>
      <c r="D700" s="18"/>
      <c r="E700" s="18"/>
      <c r="F700" s="129"/>
      <c r="G700" s="20"/>
      <c r="H700" s="20">
        <v>1</v>
      </c>
      <c r="I700" s="126">
        <f t="shared" si="62"/>
        <v>0</v>
      </c>
      <c r="J700" s="21">
        <f t="shared" si="60"/>
        <v>0</v>
      </c>
      <c r="K700" s="80"/>
      <c r="L700" s="82"/>
      <c r="M700" s="10"/>
      <c r="N700" s="10"/>
      <c r="O700" s="10"/>
      <c r="P700" s="10"/>
      <c r="Q700" s="43"/>
      <c r="R700" s="10"/>
      <c r="T700" s="10"/>
    </row>
    <row r="701" spans="2:20" s="1" customFormat="1" ht="12.95" customHeight="1" x14ac:dyDescent="0.15">
      <c r="B701" s="16">
        <v>10</v>
      </c>
      <c r="C701" s="11"/>
      <c r="D701" s="18"/>
      <c r="E701" s="18"/>
      <c r="F701" s="129"/>
      <c r="G701" s="20"/>
      <c r="H701" s="20">
        <v>1</v>
      </c>
      <c r="I701" s="126">
        <f t="shared" si="62"/>
        <v>0</v>
      </c>
      <c r="J701" s="21">
        <f t="shared" si="60"/>
        <v>0</v>
      </c>
      <c r="K701" s="80"/>
      <c r="L701" s="82"/>
      <c r="M701" s="10"/>
      <c r="N701" s="10"/>
      <c r="O701" s="10"/>
      <c r="P701" s="10"/>
      <c r="Q701" s="43"/>
      <c r="R701" s="10"/>
      <c r="T701" s="10"/>
    </row>
    <row r="702" spans="2:20" s="1" customFormat="1" ht="12.95" customHeight="1" x14ac:dyDescent="0.15">
      <c r="B702" s="16">
        <v>11</v>
      </c>
      <c r="C702" s="11"/>
      <c r="D702" s="18"/>
      <c r="E702" s="18"/>
      <c r="F702" s="129"/>
      <c r="G702" s="20"/>
      <c r="H702" s="20">
        <v>1</v>
      </c>
      <c r="I702" s="126">
        <f t="shared" si="62"/>
        <v>0</v>
      </c>
      <c r="J702" s="21">
        <f t="shared" si="60"/>
        <v>0</v>
      </c>
      <c r="K702" s="80"/>
      <c r="L702" s="82"/>
      <c r="M702" s="10"/>
      <c r="N702" s="10"/>
      <c r="O702" s="10"/>
      <c r="P702" s="10"/>
      <c r="Q702" s="43"/>
      <c r="R702" s="10"/>
      <c r="T702" s="10"/>
    </row>
    <row r="703" spans="2:20" s="1" customFormat="1" ht="12.95" customHeight="1" x14ac:dyDescent="0.15">
      <c r="B703" s="16">
        <v>12</v>
      </c>
      <c r="C703" s="11"/>
      <c r="D703" s="18"/>
      <c r="E703" s="18"/>
      <c r="F703" s="129"/>
      <c r="G703" s="20"/>
      <c r="H703" s="20">
        <v>1</v>
      </c>
      <c r="I703" s="126">
        <f t="shared" si="62"/>
        <v>0</v>
      </c>
      <c r="J703" s="21">
        <f t="shared" si="60"/>
        <v>0</v>
      </c>
      <c r="K703" s="80"/>
      <c r="L703" s="82"/>
      <c r="M703" s="10"/>
      <c r="N703" s="10"/>
      <c r="O703" s="10"/>
      <c r="P703" s="10"/>
      <c r="Q703" s="43"/>
      <c r="R703" s="10"/>
      <c r="T703" s="10"/>
    </row>
    <row r="704" spans="2:20" s="1" customFormat="1" ht="12.95" customHeight="1" x14ac:dyDescent="0.15">
      <c r="B704" s="16">
        <v>13</v>
      </c>
      <c r="C704" s="11"/>
      <c r="D704" s="18"/>
      <c r="E704" s="18"/>
      <c r="F704" s="129"/>
      <c r="G704" s="20"/>
      <c r="H704" s="20">
        <v>1</v>
      </c>
      <c r="I704" s="126">
        <f t="shared" si="62"/>
        <v>0</v>
      </c>
      <c r="J704" s="21">
        <f t="shared" si="60"/>
        <v>0</v>
      </c>
      <c r="K704" s="80"/>
      <c r="L704" s="82"/>
      <c r="M704" s="10"/>
      <c r="N704" s="10"/>
      <c r="O704" s="10"/>
      <c r="P704" s="10"/>
      <c r="Q704" s="43"/>
      <c r="R704" s="10"/>
      <c r="T704" s="10"/>
    </row>
    <row r="705" spans="2:20" s="1" customFormat="1" ht="12.95" customHeight="1" x14ac:dyDescent="0.15">
      <c r="B705" s="16">
        <v>14</v>
      </c>
      <c r="C705" s="11"/>
      <c r="D705" s="18"/>
      <c r="E705" s="18"/>
      <c r="F705" s="129"/>
      <c r="G705" s="20"/>
      <c r="H705" s="20">
        <v>1</v>
      </c>
      <c r="I705" s="126">
        <f t="shared" si="62"/>
        <v>0</v>
      </c>
      <c r="J705" s="21">
        <f t="shared" si="60"/>
        <v>0</v>
      </c>
      <c r="K705" s="80"/>
      <c r="L705" s="82"/>
      <c r="M705" s="10"/>
      <c r="N705" s="10"/>
      <c r="O705" s="10"/>
      <c r="P705" s="10"/>
      <c r="Q705" s="43"/>
      <c r="R705" s="10"/>
      <c r="T705" s="10"/>
    </row>
    <row r="706" spans="2:20" s="1" customFormat="1" ht="12.95" customHeight="1" x14ac:dyDescent="0.15">
      <c r="B706" s="16">
        <v>15</v>
      </c>
      <c r="C706" s="11"/>
      <c r="D706" s="18"/>
      <c r="E706" s="18"/>
      <c r="F706" s="129"/>
      <c r="G706" s="20"/>
      <c r="H706" s="20">
        <v>1</v>
      </c>
      <c r="I706" s="126">
        <f t="shared" si="62"/>
        <v>0</v>
      </c>
      <c r="J706" s="21">
        <f t="shared" si="60"/>
        <v>0</v>
      </c>
      <c r="K706" s="80"/>
      <c r="L706" s="82"/>
      <c r="M706" s="10"/>
      <c r="N706" s="10"/>
      <c r="O706" s="10"/>
      <c r="P706" s="10"/>
      <c r="Q706" s="43"/>
      <c r="R706" s="10"/>
      <c r="T706" s="10"/>
    </row>
    <row r="707" spans="2:20" s="1" customFormat="1" ht="12.95" customHeight="1" x14ac:dyDescent="0.15">
      <c r="B707" s="16">
        <v>16</v>
      </c>
      <c r="C707" s="11"/>
      <c r="D707" s="18"/>
      <c r="E707" s="18"/>
      <c r="F707" s="129"/>
      <c r="G707" s="20"/>
      <c r="H707" s="20">
        <v>1</v>
      </c>
      <c r="I707" s="126">
        <f t="shared" si="62"/>
        <v>0</v>
      </c>
      <c r="J707" s="21">
        <f t="shared" si="60"/>
        <v>0</v>
      </c>
      <c r="K707" s="80"/>
      <c r="L707" s="82"/>
      <c r="M707" s="10"/>
      <c r="N707" s="10"/>
      <c r="O707" s="10"/>
      <c r="P707" s="10"/>
      <c r="Q707" s="43"/>
      <c r="R707" s="10"/>
      <c r="T707" s="10"/>
    </row>
    <row r="708" spans="2:20" s="1" customFormat="1" ht="12.95" customHeight="1" x14ac:dyDescent="0.15">
      <c r="B708" s="16">
        <v>17</v>
      </c>
      <c r="C708" s="11"/>
      <c r="D708" s="18"/>
      <c r="E708" s="18"/>
      <c r="F708" s="129"/>
      <c r="G708" s="20"/>
      <c r="H708" s="20">
        <v>1</v>
      </c>
      <c r="I708" s="126">
        <f t="shared" si="62"/>
        <v>0</v>
      </c>
      <c r="J708" s="21">
        <f t="shared" si="60"/>
        <v>0</v>
      </c>
      <c r="K708" s="80"/>
      <c r="L708" s="82"/>
      <c r="M708" s="10"/>
      <c r="N708" s="10"/>
      <c r="O708" s="10"/>
      <c r="P708" s="10"/>
      <c r="Q708" s="43"/>
      <c r="R708" s="10"/>
      <c r="T708" s="10"/>
    </row>
    <row r="709" spans="2:20" s="1" customFormat="1" ht="12.95" customHeight="1" x14ac:dyDescent="0.15">
      <c r="B709" s="16">
        <v>18</v>
      </c>
      <c r="C709" s="11"/>
      <c r="D709" s="18"/>
      <c r="E709" s="18"/>
      <c r="F709" s="129"/>
      <c r="G709" s="20"/>
      <c r="H709" s="20">
        <v>1</v>
      </c>
      <c r="I709" s="126">
        <f t="shared" si="62"/>
        <v>0</v>
      </c>
      <c r="J709" s="21">
        <f t="shared" si="60"/>
        <v>0</v>
      </c>
      <c r="K709" s="111"/>
      <c r="L709" s="119"/>
      <c r="M709" s="10"/>
      <c r="N709" s="10"/>
      <c r="O709" s="10"/>
      <c r="P709" s="10"/>
      <c r="Q709" s="43"/>
      <c r="R709" s="10"/>
      <c r="T709" s="10"/>
    </row>
    <row r="710" spans="2:20" s="1" customFormat="1" ht="12.95" customHeight="1" x14ac:dyDescent="0.15">
      <c r="B710" s="16">
        <v>19</v>
      </c>
      <c r="C710" s="16"/>
      <c r="D710" s="18"/>
      <c r="E710" s="18"/>
      <c r="F710" s="129"/>
      <c r="G710" s="20"/>
      <c r="H710" s="20">
        <v>1</v>
      </c>
      <c r="I710" s="126">
        <f t="shared" si="62"/>
        <v>0</v>
      </c>
      <c r="J710" s="259">
        <f t="shared" si="60"/>
        <v>0</v>
      </c>
      <c r="K710" s="82"/>
      <c r="L710" s="82"/>
      <c r="M710" s="10"/>
      <c r="N710" s="10"/>
      <c r="O710" s="10"/>
      <c r="P710" s="10"/>
      <c r="Q710" s="43"/>
      <c r="R710" s="10"/>
      <c r="T710" s="10"/>
    </row>
    <row r="711" spans="2:20" s="1" customFormat="1" ht="12.95" customHeight="1" x14ac:dyDescent="0.15">
      <c r="B711" s="16">
        <v>20</v>
      </c>
      <c r="C711" s="11"/>
      <c r="D711" s="18"/>
      <c r="E711" s="18"/>
      <c r="F711" s="129"/>
      <c r="G711" s="20"/>
      <c r="H711" s="20">
        <v>1</v>
      </c>
      <c r="I711" s="126">
        <f t="shared" si="62"/>
        <v>0</v>
      </c>
      <c r="J711" s="260">
        <f t="shared" si="60"/>
        <v>0</v>
      </c>
      <c r="K711" s="82"/>
      <c r="L711" s="82"/>
      <c r="M711" s="10"/>
      <c r="N711" s="10"/>
      <c r="O711" s="10"/>
      <c r="P711" s="10"/>
      <c r="Q711" s="43"/>
      <c r="R711" s="10"/>
      <c r="T711" s="10"/>
    </row>
    <row r="712" spans="2:20" s="1" customFormat="1" ht="12.95" customHeight="1" x14ac:dyDescent="0.15">
      <c r="B712" s="16"/>
      <c r="C712" s="17"/>
      <c r="D712" s="62"/>
      <c r="E712" s="63"/>
      <c r="F712" s="129"/>
      <c r="G712" s="20"/>
      <c r="H712" s="20"/>
      <c r="I712" s="254"/>
      <c r="J712" s="261"/>
      <c r="K712" s="82"/>
      <c r="L712" s="82"/>
    </row>
    <row r="713" spans="2:20" s="1" customFormat="1" ht="13.15" customHeight="1" x14ac:dyDescent="0.15">
      <c r="B713" s="83"/>
      <c r="C713" s="98"/>
      <c r="D713" s="99"/>
      <c r="E713" s="98"/>
      <c r="F713" s="127">
        <f>SUM(F654:F712)</f>
        <v>0</v>
      </c>
      <c r="G713" s="100"/>
      <c r="H713" s="101"/>
      <c r="I713" s="258">
        <f>SUM(I654:I712)</f>
        <v>0</v>
      </c>
      <c r="J713" s="106">
        <f>SUM(J656:J692)</f>
        <v>0</v>
      </c>
    </row>
    <row r="714" spans="2:20" s="1" customFormat="1" ht="13.15" customHeight="1" x14ac:dyDescent="0.15">
      <c r="B714" s="82"/>
      <c r="C714" s="102"/>
      <c r="D714" s="103"/>
      <c r="E714" s="102" t="s">
        <v>147</v>
      </c>
      <c r="F714" s="128">
        <f>100/115*F713</f>
        <v>0</v>
      </c>
      <c r="G714" s="104"/>
      <c r="H714" s="105" t="s">
        <v>147</v>
      </c>
      <c r="I714" s="256">
        <f>100/115*I713</f>
        <v>0</v>
      </c>
      <c r="J714" s="106">
        <f>SUM(J657:J693)</f>
        <v>0</v>
      </c>
    </row>
    <row r="715" spans="2:20" s="1" customFormat="1" ht="13.15" customHeight="1" x14ac:dyDescent="0.15">
      <c r="I715" s="135"/>
    </row>
    <row r="716" spans="2:20" s="1" customFormat="1" ht="13.15" customHeight="1" x14ac:dyDescent="0.15">
      <c r="I716" s="135"/>
    </row>
    <row r="717" spans="2:20" s="1" customFormat="1" ht="13.15" customHeight="1" x14ac:dyDescent="0.15">
      <c r="I717" s="135"/>
    </row>
    <row r="718" spans="2:20" s="1" customFormat="1" ht="13.15" customHeight="1" x14ac:dyDescent="0.15">
      <c r="I718" s="135"/>
    </row>
    <row r="719" spans="2:20" s="247" customFormat="1" ht="32.25" x14ac:dyDescent="0.4">
      <c r="B719" s="248"/>
      <c r="C719" s="380" t="s">
        <v>112</v>
      </c>
      <c r="D719" s="380"/>
      <c r="E719" s="400" t="s">
        <v>164</v>
      </c>
      <c r="F719" s="401"/>
      <c r="G719" s="401"/>
      <c r="H719" s="401"/>
      <c r="I719" s="402"/>
      <c r="J719" s="382">
        <v>2026</v>
      </c>
      <c r="K719" s="382"/>
      <c r="L719" s="382"/>
    </row>
    <row r="720" spans="2:20" s="1" customFormat="1" ht="39.6" customHeight="1" x14ac:dyDescent="0.15">
      <c r="B720" s="82"/>
      <c r="C720" s="102" t="s">
        <v>114</v>
      </c>
      <c r="D720" s="388" t="s">
        <v>115</v>
      </c>
      <c r="E720" s="388"/>
      <c r="F720" s="102" t="s">
        <v>116</v>
      </c>
      <c r="G720" s="102" t="s">
        <v>117</v>
      </c>
      <c r="H720" s="102" t="s">
        <v>118</v>
      </c>
      <c r="I720" s="141" t="s">
        <v>119</v>
      </c>
      <c r="J720" s="102" t="s">
        <v>120</v>
      </c>
      <c r="K720" s="82"/>
      <c r="L720" s="82"/>
    </row>
    <row r="721" spans="2:13" s="1" customFormat="1" ht="13.15" customHeight="1" x14ac:dyDescent="0.15">
      <c r="B721" s="82"/>
      <c r="C721" s="66">
        <f>C651</f>
        <v>450</v>
      </c>
      <c r="D721" s="389">
        <v>20</v>
      </c>
      <c r="E721" s="389"/>
      <c r="F721" s="13">
        <f>F651</f>
        <v>0.8</v>
      </c>
      <c r="G721" s="14">
        <f>G651</f>
        <v>8</v>
      </c>
      <c r="H721" s="142">
        <f>D721*G721*F721</f>
        <v>128</v>
      </c>
      <c r="I721" s="66">
        <f>I783</f>
        <v>0</v>
      </c>
      <c r="J721" s="143">
        <f>H721-J783</f>
        <v>128</v>
      </c>
      <c r="K721" s="82"/>
      <c r="L721" s="82"/>
    </row>
    <row r="722" spans="2:13" s="1" customFormat="1" ht="66" customHeight="1" x14ac:dyDescent="0.15">
      <c r="B722" s="84"/>
      <c r="C722" s="136" t="s">
        <v>121</v>
      </c>
      <c r="D722" s="420" t="s">
        <v>122</v>
      </c>
      <c r="E722" s="421"/>
      <c r="F722" s="137" t="s">
        <v>123</v>
      </c>
      <c r="G722" s="138" t="s">
        <v>124</v>
      </c>
      <c r="H722" s="139" t="s">
        <v>125</v>
      </c>
      <c r="I722" s="140" t="s">
        <v>126</v>
      </c>
      <c r="J722" s="138" t="s">
        <v>127</v>
      </c>
      <c r="K722" s="122" t="s">
        <v>128</v>
      </c>
      <c r="L722" s="123" t="s">
        <v>129</v>
      </c>
    </row>
    <row r="723" spans="2:13" s="1" customFormat="1" ht="12.95" customHeight="1" x14ac:dyDescent="0.15">
      <c r="B723" s="16"/>
      <c r="C723" s="17"/>
      <c r="D723" s="422"/>
      <c r="E723" s="423"/>
      <c r="F723" s="36"/>
      <c r="G723" s="20"/>
      <c r="H723" s="20"/>
      <c r="I723" s="126"/>
      <c r="J723" s="21"/>
      <c r="K723" s="80"/>
      <c r="L723" s="82"/>
    </row>
    <row r="724" spans="2:13" s="1" customFormat="1" ht="12.95" customHeight="1" x14ac:dyDescent="0.15">
      <c r="B724" s="16"/>
      <c r="C724" s="37" t="s">
        <v>130</v>
      </c>
      <c r="D724" s="24"/>
      <c r="E724" s="24"/>
      <c r="F724" s="129"/>
      <c r="G724" s="20"/>
      <c r="H724" s="20"/>
      <c r="I724" s="126"/>
      <c r="J724" s="38"/>
      <c r="K724" s="80"/>
      <c r="L724" s="82"/>
    </row>
    <row r="725" spans="2:13" s="1" customFormat="1" ht="12.75" customHeight="1" x14ac:dyDescent="0.15">
      <c r="B725" s="16"/>
      <c r="C725" s="72" t="s">
        <v>149</v>
      </c>
      <c r="D725" s="24"/>
      <c r="E725" s="24"/>
      <c r="F725" s="129"/>
      <c r="G725" s="20"/>
      <c r="H725" s="20"/>
      <c r="I725" s="126"/>
      <c r="J725" s="38"/>
      <c r="K725" s="80"/>
      <c r="L725" s="82"/>
    </row>
    <row r="726" spans="2:13" s="1" customFormat="1" ht="16.5" x14ac:dyDescent="0.15">
      <c r="B726" s="16">
        <v>1</v>
      </c>
      <c r="C726" s="23"/>
      <c r="D726" s="48"/>
      <c r="E726" s="48"/>
      <c r="F726" s="126"/>
      <c r="G726" s="50"/>
      <c r="H726" s="20">
        <v>1</v>
      </c>
      <c r="I726" s="126">
        <f t="shared" ref="I726:I747" si="63">J726*$C$32</f>
        <v>0</v>
      </c>
      <c r="J726" s="38">
        <f t="shared" ref="J726:J735" si="64">(F726*G726*H726)/$C$32</f>
        <v>0</v>
      </c>
      <c r="K726" s="80"/>
      <c r="L726" s="82"/>
      <c r="M726" s="133"/>
    </row>
    <row r="727" spans="2:13" s="1" customFormat="1" ht="12.75" customHeight="1" x14ac:dyDescent="0.15">
      <c r="B727" s="16">
        <v>2</v>
      </c>
      <c r="C727" s="23"/>
      <c r="D727" s="97"/>
      <c r="E727" s="97"/>
      <c r="F727" s="126"/>
      <c r="G727" s="50"/>
      <c r="H727" s="20">
        <v>1</v>
      </c>
      <c r="I727" s="126">
        <f t="shared" si="63"/>
        <v>0</v>
      </c>
      <c r="J727" s="38">
        <f t="shared" si="64"/>
        <v>0</v>
      </c>
      <c r="K727" s="80"/>
      <c r="L727" s="82"/>
      <c r="M727" s="134"/>
    </row>
    <row r="728" spans="2:13" s="1" customFormat="1" ht="12.75" customHeight="1" x14ac:dyDescent="0.15">
      <c r="B728" s="16">
        <v>3</v>
      </c>
      <c r="C728" s="23"/>
      <c r="D728" s="48"/>
      <c r="E728" s="48"/>
      <c r="F728" s="126"/>
      <c r="G728" s="50"/>
      <c r="H728" s="20">
        <v>1</v>
      </c>
      <c r="I728" s="126">
        <f t="shared" si="63"/>
        <v>0</v>
      </c>
      <c r="J728" s="38">
        <f t="shared" si="64"/>
        <v>0</v>
      </c>
      <c r="K728" s="80"/>
      <c r="L728" s="82"/>
    </row>
    <row r="729" spans="2:13" s="1" customFormat="1" ht="12.75" x14ac:dyDescent="0.15">
      <c r="B729" s="16">
        <v>4</v>
      </c>
      <c r="C729" s="26"/>
      <c r="D729" s="49"/>
      <c r="E729" s="49"/>
      <c r="F729" s="126"/>
      <c r="G729" s="50"/>
      <c r="H729" s="20">
        <v>1</v>
      </c>
      <c r="I729" s="126">
        <f t="shared" si="63"/>
        <v>0</v>
      </c>
      <c r="J729" s="38">
        <f t="shared" si="64"/>
        <v>0</v>
      </c>
      <c r="K729" s="80"/>
      <c r="L729" s="82"/>
    </row>
    <row r="730" spans="2:13" s="1" customFormat="1" ht="12.75" customHeight="1" x14ac:dyDescent="0.15">
      <c r="B730" s="16">
        <v>5</v>
      </c>
      <c r="C730" s="23"/>
      <c r="D730" s="48"/>
      <c r="E730" s="48"/>
      <c r="F730" s="126"/>
      <c r="G730" s="50"/>
      <c r="H730" s="20">
        <v>1</v>
      </c>
      <c r="I730" s="126">
        <f t="shared" si="63"/>
        <v>0</v>
      </c>
      <c r="J730" s="38">
        <f t="shared" si="64"/>
        <v>0</v>
      </c>
      <c r="K730" s="80"/>
      <c r="L730" s="82"/>
    </row>
    <row r="731" spans="2:13" s="1" customFormat="1" ht="12.95" customHeight="1" x14ac:dyDescent="0.15">
      <c r="B731" s="16">
        <v>6</v>
      </c>
      <c r="C731" s="23"/>
      <c r="D731" s="48"/>
      <c r="E731" s="48"/>
      <c r="F731" s="126"/>
      <c r="G731" s="50"/>
      <c r="H731" s="20">
        <v>1</v>
      </c>
      <c r="I731" s="126">
        <f t="shared" si="63"/>
        <v>0</v>
      </c>
      <c r="J731" s="38">
        <f t="shared" si="64"/>
        <v>0</v>
      </c>
      <c r="K731" s="80"/>
      <c r="L731" s="82"/>
    </row>
    <row r="732" spans="2:13" s="1" customFormat="1" ht="12.95" customHeight="1" x14ac:dyDescent="0.15">
      <c r="B732" s="16">
        <v>7</v>
      </c>
      <c r="C732" s="23"/>
      <c r="D732" s="48"/>
      <c r="E732" s="48"/>
      <c r="F732" s="126"/>
      <c r="G732" s="50"/>
      <c r="H732" s="20">
        <v>1</v>
      </c>
      <c r="I732" s="126">
        <f t="shared" si="63"/>
        <v>0</v>
      </c>
      <c r="J732" s="38">
        <f t="shared" si="64"/>
        <v>0</v>
      </c>
      <c r="K732" s="80"/>
      <c r="L732" s="82"/>
    </row>
    <row r="733" spans="2:13" s="1" customFormat="1" ht="12.95" customHeight="1" x14ac:dyDescent="0.15">
      <c r="B733" s="16">
        <v>8</v>
      </c>
      <c r="C733" s="23"/>
      <c r="D733" s="48"/>
      <c r="E733" s="48"/>
      <c r="F733" s="126"/>
      <c r="G733" s="50"/>
      <c r="H733" s="20">
        <v>1</v>
      </c>
      <c r="I733" s="126">
        <f t="shared" si="63"/>
        <v>0</v>
      </c>
      <c r="J733" s="38">
        <f t="shared" si="64"/>
        <v>0</v>
      </c>
      <c r="K733" s="80"/>
      <c r="L733" s="82"/>
    </row>
    <row r="734" spans="2:13" s="1" customFormat="1" ht="12.95" customHeight="1" x14ac:dyDescent="0.15">
      <c r="B734" s="16">
        <v>9</v>
      </c>
      <c r="C734" s="23"/>
      <c r="D734" s="48"/>
      <c r="E734" s="48"/>
      <c r="F734" s="126"/>
      <c r="G734" s="50"/>
      <c r="H734" s="20">
        <v>1</v>
      </c>
      <c r="I734" s="126">
        <f t="shared" si="63"/>
        <v>0</v>
      </c>
      <c r="J734" s="38">
        <f t="shared" si="64"/>
        <v>0</v>
      </c>
      <c r="K734" s="80"/>
      <c r="L734" s="82"/>
    </row>
    <row r="735" spans="2:13" s="1" customFormat="1" ht="12.95" customHeight="1" x14ac:dyDescent="0.15">
      <c r="B735" s="16">
        <v>10</v>
      </c>
      <c r="C735" s="23"/>
      <c r="D735" s="49"/>
      <c r="E735" s="48"/>
      <c r="F735" s="126"/>
      <c r="G735" s="50"/>
      <c r="H735" s="20">
        <v>1</v>
      </c>
      <c r="I735" s="126">
        <f t="shared" si="63"/>
        <v>0</v>
      </c>
      <c r="J735" s="38">
        <f t="shared" si="64"/>
        <v>0</v>
      </c>
      <c r="K735" s="80"/>
      <c r="L735" s="82"/>
    </row>
    <row r="736" spans="2:13" s="1" customFormat="1" ht="12.95" customHeight="1" x14ac:dyDescent="0.15">
      <c r="B736" s="16"/>
      <c r="C736" s="23"/>
      <c r="D736" s="49"/>
      <c r="E736" s="48"/>
      <c r="F736" s="126"/>
      <c r="G736" s="50"/>
      <c r="H736" s="20"/>
      <c r="I736" s="126"/>
      <c r="J736" s="38"/>
      <c r="K736" s="80"/>
      <c r="L736" s="82"/>
    </row>
    <row r="737" spans="2:20" s="1" customFormat="1" ht="12.95" customHeight="1" x14ac:dyDescent="0.15">
      <c r="B737" s="16"/>
      <c r="C737" s="23"/>
      <c r="D737" s="48"/>
      <c r="E737" s="49"/>
      <c r="F737" s="126"/>
      <c r="G737" s="50"/>
      <c r="H737" s="20"/>
      <c r="I737" s="126"/>
      <c r="J737" s="38"/>
      <c r="K737" s="80"/>
      <c r="L737" s="82"/>
    </row>
    <row r="738" spans="2:20" s="1" customFormat="1" ht="12.95" customHeight="1" x14ac:dyDescent="0.15">
      <c r="B738" s="16"/>
      <c r="C738" s="22" t="s">
        <v>156</v>
      </c>
      <c r="D738" s="24"/>
      <c r="E738" s="18"/>
      <c r="F738" s="129"/>
      <c r="G738" s="20"/>
      <c r="H738" s="20"/>
      <c r="I738" s="126"/>
      <c r="J738" s="38"/>
      <c r="K738" s="80"/>
      <c r="L738" s="82"/>
    </row>
    <row r="739" spans="2:20" s="1" customFormat="1" ht="12.95" customHeight="1" x14ac:dyDescent="0.15">
      <c r="B739" s="16">
        <v>1</v>
      </c>
      <c r="C739" s="17"/>
      <c r="D739" s="24"/>
      <c r="E739" s="18"/>
      <c r="F739" s="129"/>
      <c r="G739" s="20"/>
      <c r="H739" s="20">
        <v>1</v>
      </c>
      <c r="I739" s="126">
        <f t="shared" si="63"/>
        <v>0</v>
      </c>
      <c r="J739" s="38">
        <f t="shared" ref="J739:J758" si="65">(F739*G739*H739)/$C$32</f>
        <v>0</v>
      </c>
      <c r="K739" s="80"/>
      <c r="L739" s="82"/>
    </row>
    <row r="740" spans="2:20" s="1" customFormat="1" ht="12.95" customHeight="1" x14ac:dyDescent="0.15">
      <c r="B740" s="16">
        <v>2</v>
      </c>
      <c r="C740" s="17"/>
      <c r="D740" s="24"/>
      <c r="E740" s="18"/>
      <c r="F740" s="129"/>
      <c r="G740" s="20"/>
      <c r="H740" s="20">
        <v>1</v>
      </c>
      <c r="I740" s="126">
        <f t="shared" si="63"/>
        <v>0</v>
      </c>
      <c r="J740" s="38">
        <f t="shared" si="65"/>
        <v>0</v>
      </c>
      <c r="K740" s="80"/>
      <c r="L740" s="82"/>
    </row>
    <row r="741" spans="2:20" s="1" customFormat="1" ht="12.95" customHeight="1" x14ac:dyDescent="0.15">
      <c r="B741" s="16">
        <v>3</v>
      </c>
      <c r="C741" s="17"/>
      <c r="D741" s="24"/>
      <c r="E741" s="18"/>
      <c r="F741" s="129"/>
      <c r="G741" s="20"/>
      <c r="H741" s="20">
        <v>1</v>
      </c>
      <c r="I741" s="126">
        <f t="shared" si="63"/>
        <v>0</v>
      </c>
      <c r="J741" s="38">
        <f t="shared" si="65"/>
        <v>0</v>
      </c>
      <c r="K741" s="80"/>
      <c r="L741" s="82"/>
    </row>
    <row r="742" spans="2:20" s="1" customFormat="1" ht="12.95" customHeight="1" x14ac:dyDescent="0.15">
      <c r="B742" s="16">
        <v>4</v>
      </c>
      <c r="C742" s="17"/>
      <c r="D742" s="24"/>
      <c r="E742" s="24"/>
      <c r="F742" s="129"/>
      <c r="G742" s="20"/>
      <c r="H742" s="20">
        <v>1</v>
      </c>
      <c r="I742" s="126">
        <f t="shared" si="63"/>
        <v>0</v>
      </c>
      <c r="J742" s="38">
        <f t="shared" si="65"/>
        <v>0</v>
      </c>
      <c r="K742" s="80"/>
      <c r="L742" s="82"/>
    </row>
    <row r="743" spans="2:20" s="1" customFormat="1" ht="12.95" customHeight="1" x14ac:dyDescent="0.15">
      <c r="B743" s="16">
        <v>5</v>
      </c>
      <c r="C743" s="17"/>
      <c r="D743" s="24"/>
      <c r="E743" s="24"/>
      <c r="F743" s="129"/>
      <c r="G743" s="20"/>
      <c r="H743" s="20">
        <v>1</v>
      </c>
      <c r="I743" s="126">
        <f t="shared" si="63"/>
        <v>0</v>
      </c>
      <c r="J743" s="38">
        <f t="shared" si="65"/>
        <v>0</v>
      </c>
      <c r="K743" s="80"/>
      <c r="L743" s="82"/>
    </row>
    <row r="744" spans="2:20" s="1" customFormat="1" ht="12.95" customHeight="1" x14ac:dyDescent="0.15">
      <c r="B744" s="16">
        <v>6</v>
      </c>
      <c r="C744" s="17"/>
      <c r="D744" s="24"/>
      <c r="E744" s="24"/>
      <c r="F744" s="129"/>
      <c r="G744" s="20"/>
      <c r="H744" s="20">
        <v>1</v>
      </c>
      <c r="I744" s="126">
        <f t="shared" si="63"/>
        <v>0</v>
      </c>
      <c r="J744" s="38">
        <f t="shared" si="65"/>
        <v>0</v>
      </c>
      <c r="K744" s="80"/>
      <c r="L744" s="82"/>
    </row>
    <row r="745" spans="2:20" s="1" customFormat="1" ht="12.95" customHeight="1" x14ac:dyDescent="0.15">
      <c r="B745" s="16">
        <v>7</v>
      </c>
      <c r="C745" s="17"/>
      <c r="D745" s="24"/>
      <c r="E745" s="24"/>
      <c r="F745" s="129"/>
      <c r="G745" s="20"/>
      <c r="H745" s="20">
        <v>1</v>
      </c>
      <c r="I745" s="126">
        <f t="shared" si="63"/>
        <v>0</v>
      </c>
      <c r="J745" s="21">
        <f t="shared" si="65"/>
        <v>0</v>
      </c>
      <c r="K745" s="80"/>
      <c r="L745" s="82"/>
    </row>
    <row r="746" spans="2:20" s="1" customFormat="1" ht="12.95" customHeight="1" x14ac:dyDescent="0.15">
      <c r="B746" s="16">
        <v>8</v>
      </c>
      <c r="C746" s="17"/>
      <c r="D746" s="24"/>
      <c r="E746" s="24"/>
      <c r="F746" s="129"/>
      <c r="G746" s="20"/>
      <c r="H746" s="20">
        <v>1</v>
      </c>
      <c r="I746" s="126">
        <f t="shared" si="63"/>
        <v>0</v>
      </c>
      <c r="J746" s="38">
        <f t="shared" si="65"/>
        <v>0</v>
      </c>
      <c r="K746" s="80"/>
      <c r="L746" s="82"/>
    </row>
    <row r="747" spans="2:20" s="1" customFormat="1" ht="12.95" customHeight="1" x14ac:dyDescent="0.15">
      <c r="B747" s="16">
        <v>9</v>
      </c>
      <c r="C747" s="17"/>
      <c r="D747" s="24"/>
      <c r="E747" s="24"/>
      <c r="F747" s="129"/>
      <c r="G747" s="20"/>
      <c r="H747" s="20">
        <v>1</v>
      </c>
      <c r="I747" s="126">
        <f t="shared" si="63"/>
        <v>0</v>
      </c>
      <c r="J747" s="38">
        <f t="shared" si="65"/>
        <v>0</v>
      </c>
      <c r="K747" s="80"/>
      <c r="L747" s="82"/>
    </row>
    <row r="748" spans="2:20" s="1" customFormat="1" ht="12.95" customHeight="1" x14ac:dyDescent="0.15">
      <c r="B748" s="16">
        <v>10</v>
      </c>
      <c r="C748" s="44"/>
      <c r="D748" s="18"/>
      <c r="E748" s="18"/>
      <c r="F748" s="129"/>
      <c r="G748" s="20"/>
      <c r="H748" s="20">
        <v>1</v>
      </c>
      <c r="I748" s="126">
        <f t="shared" ref="I748" si="66">J748*$C$32</f>
        <v>0</v>
      </c>
      <c r="J748" s="21">
        <f t="shared" si="65"/>
        <v>0</v>
      </c>
      <c r="K748" s="80"/>
      <c r="L748" s="82"/>
      <c r="M748" s="10"/>
      <c r="N748" s="10"/>
      <c r="O748" s="10"/>
      <c r="P748" s="10"/>
      <c r="Q748" s="43"/>
      <c r="R748" s="10"/>
      <c r="T748" s="10"/>
    </row>
    <row r="749" spans="2:20" s="1" customFormat="1" ht="12.95" customHeight="1" x14ac:dyDescent="0.15">
      <c r="B749" s="16">
        <v>11</v>
      </c>
      <c r="C749" s="45"/>
      <c r="D749" s="18"/>
      <c r="E749" s="18"/>
      <c r="F749" s="130"/>
      <c r="G749" s="20"/>
      <c r="H749" s="20">
        <v>1</v>
      </c>
      <c r="I749" s="126">
        <f>J749*$C$32</f>
        <v>0</v>
      </c>
      <c r="J749" s="21">
        <f t="shared" si="65"/>
        <v>0</v>
      </c>
      <c r="K749" s="80"/>
      <c r="L749" s="82"/>
      <c r="M749" s="10"/>
      <c r="N749" s="10"/>
      <c r="O749" s="10"/>
      <c r="P749" s="10"/>
      <c r="Q749" s="43"/>
      <c r="R749" s="10"/>
      <c r="T749" s="10"/>
    </row>
    <row r="750" spans="2:20" s="1" customFormat="1" ht="12.95" customHeight="1" x14ac:dyDescent="0.15">
      <c r="B750" s="16">
        <v>12</v>
      </c>
      <c r="C750" s="44"/>
      <c r="D750" s="18"/>
      <c r="E750" s="18"/>
      <c r="F750" s="129"/>
      <c r="G750" s="20"/>
      <c r="H750" s="20">
        <v>1</v>
      </c>
      <c r="I750" s="126">
        <f t="shared" ref="I750:I768" si="67">J750*$C$32</f>
        <v>0</v>
      </c>
      <c r="J750" s="21">
        <f t="shared" si="65"/>
        <v>0</v>
      </c>
      <c r="K750" s="80"/>
      <c r="L750" s="82"/>
      <c r="M750" s="10"/>
      <c r="N750" s="10"/>
      <c r="O750" s="10"/>
      <c r="P750" s="10"/>
      <c r="Q750" s="43"/>
      <c r="R750" s="10"/>
      <c r="T750" s="10"/>
    </row>
    <row r="751" spans="2:20" s="1" customFormat="1" ht="12.95" customHeight="1" x14ac:dyDescent="0.15">
      <c r="B751" s="16">
        <v>13</v>
      </c>
      <c r="C751" s="11"/>
      <c r="D751" s="18"/>
      <c r="E751" s="18"/>
      <c r="F751" s="129"/>
      <c r="G751" s="20"/>
      <c r="H751" s="20">
        <v>1</v>
      </c>
      <c r="I751" s="126">
        <f t="shared" si="67"/>
        <v>0</v>
      </c>
      <c r="J751" s="21">
        <f t="shared" si="65"/>
        <v>0</v>
      </c>
      <c r="K751" s="80"/>
      <c r="L751" s="82"/>
      <c r="M751" s="10"/>
      <c r="N751" s="10"/>
      <c r="O751" s="10"/>
      <c r="P751" s="10"/>
      <c r="Q751" s="43"/>
      <c r="R751" s="10"/>
      <c r="T751" s="10"/>
    </row>
    <row r="752" spans="2:20" s="1" customFormat="1" ht="12.95" customHeight="1" x14ac:dyDescent="0.15">
      <c r="B752" s="16">
        <v>14</v>
      </c>
      <c r="C752" s="11"/>
      <c r="D752" s="18"/>
      <c r="E752" s="18"/>
      <c r="F752" s="129"/>
      <c r="G752" s="20"/>
      <c r="H752" s="20">
        <v>1</v>
      </c>
      <c r="I752" s="126">
        <f t="shared" si="67"/>
        <v>0</v>
      </c>
      <c r="J752" s="21">
        <f t="shared" si="65"/>
        <v>0</v>
      </c>
      <c r="K752" s="80"/>
      <c r="L752" s="82"/>
      <c r="M752" s="10"/>
      <c r="N752" s="10"/>
      <c r="O752" s="10"/>
      <c r="P752" s="10"/>
      <c r="Q752" s="43"/>
      <c r="R752" s="10"/>
      <c r="T752" s="10"/>
    </row>
    <row r="753" spans="2:20" s="1" customFormat="1" ht="12.95" customHeight="1" x14ac:dyDescent="0.15">
      <c r="B753" s="16">
        <v>15</v>
      </c>
      <c r="C753" s="11"/>
      <c r="D753" s="18"/>
      <c r="E753" s="18"/>
      <c r="F753" s="129"/>
      <c r="G753" s="20"/>
      <c r="H753" s="20">
        <v>1</v>
      </c>
      <c r="I753" s="126">
        <f t="shared" si="67"/>
        <v>0</v>
      </c>
      <c r="J753" s="21">
        <f t="shared" si="65"/>
        <v>0</v>
      </c>
      <c r="K753" s="80"/>
      <c r="L753" s="82"/>
      <c r="M753" s="10"/>
      <c r="N753" s="10"/>
      <c r="O753" s="10"/>
      <c r="P753" s="10"/>
      <c r="Q753" s="43"/>
      <c r="R753" s="10"/>
      <c r="T753" s="10"/>
    </row>
    <row r="754" spans="2:20" s="1" customFormat="1" ht="12.95" customHeight="1" x14ac:dyDescent="0.15">
      <c r="B754" s="16">
        <v>16</v>
      </c>
      <c r="C754" s="11"/>
      <c r="D754" s="18"/>
      <c r="E754" s="18"/>
      <c r="F754" s="129"/>
      <c r="G754" s="20"/>
      <c r="H754" s="20">
        <v>1</v>
      </c>
      <c r="I754" s="126">
        <f t="shared" si="67"/>
        <v>0</v>
      </c>
      <c r="J754" s="21">
        <f t="shared" si="65"/>
        <v>0</v>
      </c>
      <c r="K754" s="80"/>
      <c r="L754" s="82"/>
      <c r="M754" s="10"/>
      <c r="N754" s="10"/>
      <c r="O754" s="10"/>
      <c r="P754" s="10"/>
      <c r="Q754" s="43"/>
      <c r="R754" s="10"/>
      <c r="T754" s="10"/>
    </row>
    <row r="755" spans="2:20" s="1" customFormat="1" ht="12.95" customHeight="1" x14ac:dyDescent="0.15">
      <c r="B755" s="16">
        <v>17</v>
      </c>
      <c r="C755" s="11"/>
      <c r="D755" s="18"/>
      <c r="E755" s="18"/>
      <c r="F755" s="129"/>
      <c r="G755" s="20"/>
      <c r="H755" s="20">
        <v>1</v>
      </c>
      <c r="I755" s="126">
        <f t="shared" si="67"/>
        <v>0</v>
      </c>
      <c r="J755" s="21">
        <f t="shared" si="65"/>
        <v>0</v>
      </c>
      <c r="K755" s="80"/>
      <c r="L755" s="82"/>
      <c r="M755" s="10"/>
      <c r="N755" s="10"/>
      <c r="O755" s="10"/>
      <c r="P755" s="10"/>
      <c r="Q755" s="43"/>
      <c r="R755" s="10"/>
      <c r="T755" s="10"/>
    </row>
    <row r="756" spans="2:20" s="1" customFormat="1" ht="12.95" customHeight="1" x14ac:dyDescent="0.15">
      <c r="B756" s="16">
        <v>18</v>
      </c>
      <c r="C756" s="11"/>
      <c r="D756" s="18"/>
      <c r="E756" s="18"/>
      <c r="F756" s="129"/>
      <c r="G756" s="20"/>
      <c r="H756" s="20">
        <v>1</v>
      </c>
      <c r="I756" s="126">
        <f t="shared" si="67"/>
        <v>0</v>
      </c>
      <c r="J756" s="21">
        <f t="shared" si="65"/>
        <v>0</v>
      </c>
      <c r="K756" s="80"/>
      <c r="L756" s="82"/>
      <c r="M756" s="10"/>
      <c r="N756" s="10"/>
      <c r="O756" s="10"/>
      <c r="P756" s="10"/>
      <c r="Q756" s="43"/>
      <c r="R756" s="10"/>
      <c r="T756" s="10"/>
    </row>
    <row r="757" spans="2:20" s="1" customFormat="1" ht="12.95" customHeight="1" x14ac:dyDescent="0.15">
      <c r="B757" s="16">
        <v>19</v>
      </c>
      <c r="C757" s="11"/>
      <c r="D757" s="18"/>
      <c r="E757" s="18"/>
      <c r="F757" s="129"/>
      <c r="G757" s="20"/>
      <c r="H757" s="20">
        <v>1</v>
      </c>
      <c r="I757" s="126">
        <f t="shared" si="67"/>
        <v>0</v>
      </c>
      <c r="J757" s="21">
        <f t="shared" si="65"/>
        <v>0</v>
      </c>
      <c r="K757" s="80"/>
      <c r="L757" s="82"/>
      <c r="M757" s="10"/>
      <c r="N757" s="10"/>
      <c r="O757" s="10"/>
      <c r="P757" s="10"/>
      <c r="Q757" s="43"/>
      <c r="R757" s="10"/>
      <c r="T757" s="10"/>
    </row>
    <row r="758" spans="2:20" s="1" customFormat="1" ht="12.95" customHeight="1" x14ac:dyDescent="0.15">
      <c r="B758" s="16">
        <v>20</v>
      </c>
      <c r="C758" s="11"/>
      <c r="D758" s="18"/>
      <c r="E758" s="18"/>
      <c r="F758" s="129"/>
      <c r="G758" s="20"/>
      <c r="H758" s="20">
        <v>1</v>
      </c>
      <c r="I758" s="126">
        <f t="shared" si="67"/>
        <v>0</v>
      </c>
      <c r="J758" s="21">
        <f t="shared" si="65"/>
        <v>0</v>
      </c>
      <c r="K758" s="80"/>
      <c r="L758" s="82"/>
      <c r="M758" s="10"/>
      <c r="N758" s="10"/>
      <c r="O758" s="10"/>
      <c r="P758" s="10"/>
      <c r="Q758" s="43"/>
      <c r="R758" s="10"/>
      <c r="T758" s="10"/>
    </row>
    <row r="759" spans="2:20" s="1" customFormat="1" ht="12.95" customHeight="1" x14ac:dyDescent="0.15">
      <c r="B759" s="16"/>
      <c r="C759" s="11"/>
      <c r="D759" s="18"/>
      <c r="E759" s="18"/>
      <c r="F759" s="129"/>
      <c r="G759" s="20"/>
      <c r="H759" s="20"/>
      <c r="I759" s="126"/>
      <c r="J759" s="21"/>
      <c r="K759" s="80"/>
      <c r="L759" s="82"/>
      <c r="M759" s="10"/>
      <c r="N759" s="10"/>
      <c r="O759" s="10"/>
      <c r="P759" s="10"/>
      <c r="Q759" s="43"/>
      <c r="R759" s="10"/>
      <c r="T759" s="10"/>
    </row>
    <row r="760" spans="2:20" s="1" customFormat="1" ht="12.95" customHeight="1" x14ac:dyDescent="0.15">
      <c r="B760" s="16"/>
      <c r="C760" s="11"/>
      <c r="D760" s="18"/>
      <c r="E760" s="18"/>
      <c r="F760" s="129"/>
      <c r="G760" s="20"/>
      <c r="H760" s="20"/>
      <c r="I760" s="126"/>
      <c r="J760" s="21"/>
      <c r="K760" s="80"/>
      <c r="L760" s="82"/>
      <c r="M760" s="10"/>
      <c r="N760" s="10"/>
      <c r="O760" s="10"/>
      <c r="P760" s="10"/>
      <c r="Q760" s="43"/>
      <c r="R760" s="10"/>
      <c r="T760" s="10"/>
    </row>
    <row r="761" spans="2:20" s="1" customFormat="1" ht="12.95" customHeight="1" x14ac:dyDescent="0.15">
      <c r="B761" s="16"/>
      <c r="C761" s="96" t="s">
        <v>132</v>
      </c>
      <c r="D761" s="18"/>
      <c r="E761" s="18"/>
      <c r="F761" s="129"/>
      <c r="G761" s="20"/>
      <c r="H761" s="20"/>
      <c r="I761" s="126"/>
      <c r="J761" s="21"/>
      <c r="K761" s="80"/>
      <c r="L761" s="82"/>
      <c r="M761" s="10"/>
      <c r="N761" s="10"/>
      <c r="O761" s="10"/>
      <c r="P761" s="10"/>
      <c r="Q761" s="43"/>
      <c r="R761" s="10"/>
      <c r="T761" s="10"/>
    </row>
    <row r="762" spans="2:20" s="1" customFormat="1" ht="12.95" customHeight="1" x14ac:dyDescent="0.15">
      <c r="B762" s="16">
        <v>1</v>
      </c>
      <c r="C762" s="11"/>
      <c r="D762" s="18"/>
      <c r="E762" s="18"/>
      <c r="F762" s="129"/>
      <c r="G762" s="20"/>
      <c r="H762" s="20">
        <v>1</v>
      </c>
      <c r="I762" s="126">
        <f t="shared" si="67"/>
        <v>0</v>
      </c>
      <c r="J762" s="21">
        <f t="shared" ref="J762:J781" si="68">(F762*G762*H762)/$C$32</f>
        <v>0</v>
      </c>
      <c r="K762" s="80"/>
      <c r="L762" s="82"/>
      <c r="M762" s="10"/>
      <c r="N762" s="10"/>
      <c r="O762" s="10"/>
      <c r="P762" s="10"/>
      <c r="Q762" s="43"/>
      <c r="R762" s="10"/>
      <c r="T762" s="10"/>
    </row>
    <row r="763" spans="2:20" s="1" customFormat="1" ht="12.95" customHeight="1" x14ac:dyDescent="0.15">
      <c r="B763" s="16">
        <v>2</v>
      </c>
      <c r="C763" s="11"/>
      <c r="D763" s="18"/>
      <c r="E763" s="18"/>
      <c r="F763" s="129"/>
      <c r="G763" s="20"/>
      <c r="H763" s="20">
        <v>1</v>
      </c>
      <c r="I763" s="126">
        <f t="shared" si="67"/>
        <v>0</v>
      </c>
      <c r="J763" s="21">
        <f t="shared" si="68"/>
        <v>0</v>
      </c>
      <c r="K763" s="80"/>
      <c r="L763" s="82"/>
      <c r="M763" s="10"/>
      <c r="N763" s="10"/>
      <c r="O763" s="10"/>
      <c r="P763" s="10"/>
      <c r="Q763" s="43"/>
      <c r="R763" s="10"/>
      <c r="T763" s="10"/>
    </row>
    <row r="764" spans="2:20" s="1" customFormat="1" ht="12.95" customHeight="1" x14ac:dyDescent="0.15">
      <c r="B764" s="16">
        <v>3</v>
      </c>
      <c r="C764" s="11"/>
      <c r="D764" s="18"/>
      <c r="E764" s="18"/>
      <c r="F764" s="129"/>
      <c r="G764" s="20"/>
      <c r="H764" s="20">
        <v>1</v>
      </c>
      <c r="I764" s="126">
        <f t="shared" si="67"/>
        <v>0</v>
      </c>
      <c r="J764" s="21">
        <f t="shared" si="68"/>
        <v>0</v>
      </c>
      <c r="K764" s="80"/>
      <c r="L764" s="82"/>
      <c r="M764" s="10"/>
      <c r="N764" s="10"/>
      <c r="O764" s="10"/>
      <c r="P764" s="10"/>
      <c r="Q764" s="43"/>
      <c r="R764" s="10"/>
      <c r="T764" s="10"/>
    </row>
    <row r="765" spans="2:20" s="1" customFormat="1" ht="12.95" customHeight="1" x14ac:dyDescent="0.15">
      <c r="B765" s="16">
        <v>4</v>
      </c>
      <c r="C765" s="11"/>
      <c r="D765" s="18"/>
      <c r="E765" s="18"/>
      <c r="F765" s="129"/>
      <c r="G765" s="20"/>
      <c r="H765" s="20">
        <v>1</v>
      </c>
      <c r="I765" s="126">
        <f t="shared" si="67"/>
        <v>0</v>
      </c>
      <c r="J765" s="21">
        <f t="shared" si="68"/>
        <v>0</v>
      </c>
      <c r="K765" s="80"/>
      <c r="L765" s="82"/>
      <c r="M765" s="10"/>
      <c r="N765" s="10"/>
      <c r="O765" s="10"/>
      <c r="P765" s="10"/>
      <c r="Q765" s="43"/>
      <c r="R765" s="10"/>
      <c r="T765" s="10"/>
    </row>
    <row r="766" spans="2:20" s="1" customFormat="1" ht="12.95" customHeight="1" x14ac:dyDescent="0.15">
      <c r="B766" s="16">
        <v>5</v>
      </c>
      <c r="C766" s="11"/>
      <c r="D766" s="18"/>
      <c r="E766" s="18"/>
      <c r="F766" s="129"/>
      <c r="G766" s="20"/>
      <c r="H766" s="20">
        <v>1</v>
      </c>
      <c r="I766" s="126">
        <f t="shared" si="67"/>
        <v>0</v>
      </c>
      <c r="J766" s="21">
        <f t="shared" si="68"/>
        <v>0</v>
      </c>
      <c r="K766" s="80"/>
      <c r="L766" s="82"/>
      <c r="M766" s="10"/>
      <c r="N766" s="10"/>
      <c r="O766" s="10"/>
      <c r="P766" s="10"/>
      <c r="Q766" s="43"/>
      <c r="R766" s="10"/>
      <c r="T766" s="10"/>
    </row>
    <row r="767" spans="2:20" s="1" customFormat="1" ht="12.95" customHeight="1" x14ac:dyDescent="0.15">
      <c r="B767" s="16">
        <v>6</v>
      </c>
      <c r="C767" s="11"/>
      <c r="D767" s="18"/>
      <c r="E767" s="18"/>
      <c r="F767" s="129"/>
      <c r="G767" s="20"/>
      <c r="H767" s="20">
        <v>1</v>
      </c>
      <c r="I767" s="126">
        <f t="shared" si="67"/>
        <v>0</v>
      </c>
      <c r="J767" s="21">
        <f t="shared" si="68"/>
        <v>0</v>
      </c>
      <c r="K767" s="80"/>
      <c r="L767" s="82"/>
      <c r="M767" s="10"/>
      <c r="N767" s="10"/>
      <c r="O767" s="10"/>
      <c r="P767" s="10"/>
      <c r="Q767" s="43"/>
      <c r="R767" s="10"/>
      <c r="T767" s="10"/>
    </row>
    <row r="768" spans="2:20" s="1" customFormat="1" ht="12.95" customHeight="1" x14ac:dyDescent="0.15">
      <c r="B768" s="16">
        <v>7</v>
      </c>
      <c r="C768" s="11"/>
      <c r="D768" s="18"/>
      <c r="E768" s="18"/>
      <c r="F768" s="129"/>
      <c r="G768" s="20"/>
      <c r="H768" s="20">
        <v>1</v>
      </c>
      <c r="I768" s="126">
        <f t="shared" si="67"/>
        <v>0</v>
      </c>
      <c r="J768" s="21">
        <f t="shared" si="68"/>
        <v>0</v>
      </c>
      <c r="K768" s="80"/>
      <c r="L768" s="82"/>
      <c r="M768" s="10"/>
      <c r="N768" s="10"/>
      <c r="O768" s="10"/>
      <c r="P768" s="10"/>
      <c r="Q768" s="43"/>
      <c r="R768" s="10"/>
      <c r="T768" s="10"/>
    </row>
    <row r="769" spans="2:20" s="1" customFormat="1" ht="12.95" customHeight="1" x14ac:dyDescent="0.15">
      <c r="B769" s="16">
        <v>8</v>
      </c>
      <c r="C769" s="11"/>
      <c r="D769" s="18"/>
      <c r="E769" s="18"/>
      <c r="F769" s="129"/>
      <c r="G769" s="20"/>
      <c r="H769" s="20">
        <v>1</v>
      </c>
      <c r="I769" s="126">
        <f t="shared" ref="I769:I781" si="69">J769*$C$32</f>
        <v>0</v>
      </c>
      <c r="J769" s="21">
        <f t="shared" si="68"/>
        <v>0</v>
      </c>
      <c r="K769" s="80"/>
      <c r="L769" s="82"/>
      <c r="M769" s="10"/>
      <c r="N769" s="10"/>
      <c r="O769" s="10"/>
      <c r="P769" s="10"/>
      <c r="Q769" s="43"/>
      <c r="R769" s="10"/>
      <c r="T769" s="10"/>
    </row>
    <row r="770" spans="2:20" s="1" customFormat="1" ht="12.95" customHeight="1" x14ac:dyDescent="0.15">
      <c r="B770" s="16">
        <v>9</v>
      </c>
      <c r="C770" s="11"/>
      <c r="D770" s="18"/>
      <c r="E770" s="18"/>
      <c r="F770" s="129"/>
      <c r="G770" s="20"/>
      <c r="H770" s="20">
        <v>1</v>
      </c>
      <c r="I770" s="126">
        <f t="shared" si="69"/>
        <v>0</v>
      </c>
      <c r="J770" s="21">
        <f t="shared" si="68"/>
        <v>0</v>
      </c>
      <c r="K770" s="80"/>
      <c r="L770" s="82"/>
      <c r="M770" s="10"/>
      <c r="N770" s="10"/>
      <c r="O770" s="10"/>
      <c r="P770" s="10"/>
      <c r="Q770" s="43"/>
      <c r="R770" s="10"/>
      <c r="T770" s="10"/>
    </row>
    <row r="771" spans="2:20" s="1" customFormat="1" ht="12.95" customHeight="1" x14ac:dyDescent="0.15">
      <c r="B771" s="16">
        <v>10</v>
      </c>
      <c r="C771" s="11"/>
      <c r="D771" s="18"/>
      <c r="E771" s="18"/>
      <c r="F771" s="129"/>
      <c r="G771" s="20"/>
      <c r="H771" s="20">
        <v>1</v>
      </c>
      <c r="I771" s="126">
        <f t="shared" si="69"/>
        <v>0</v>
      </c>
      <c r="J771" s="21">
        <f t="shared" si="68"/>
        <v>0</v>
      </c>
      <c r="K771" s="80"/>
      <c r="L771" s="82"/>
      <c r="M771" s="10"/>
      <c r="N771" s="10"/>
      <c r="O771" s="10"/>
      <c r="P771" s="10"/>
      <c r="Q771" s="43"/>
      <c r="R771" s="10"/>
      <c r="T771" s="10"/>
    </row>
    <row r="772" spans="2:20" s="1" customFormat="1" ht="12.95" customHeight="1" x14ac:dyDescent="0.15">
      <c r="B772" s="16">
        <v>11</v>
      </c>
      <c r="C772" s="12" t="s">
        <v>165</v>
      </c>
      <c r="D772" s="18"/>
      <c r="E772" s="18"/>
      <c r="F772" s="129"/>
      <c r="G772" s="20"/>
      <c r="H772" s="20">
        <v>1</v>
      </c>
      <c r="I772" s="126">
        <f t="shared" si="69"/>
        <v>0</v>
      </c>
      <c r="J772" s="21">
        <f t="shared" si="68"/>
        <v>0</v>
      </c>
      <c r="K772" s="80"/>
      <c r="L772" s="82"/>
      <c r="M772" s="10"/>
      <c r="N772" s="10"/>
      <c r="O772" s="10"/>
      <c r="P772" s="10"/>
      <c r="Q772" s="43"/>
      <c r="R772" s="10"/>
      <c r="T772" s="10"/>
    </row>
    <row r="773" spans="2:20" s="1" customFormat="1" ht="12.95" customHeight="1" x14ac:dyDescent="0.15">
      <c r="B773" s="16">
        <v>12</v>
      </c>
      <c r="C773" s="12"/>
      <c r="D773" s="18"/>
      <c r="E773" s="18"/>
      <c r="F773" s="129"/>
      <c r="G773" s="20"/>
      <c r="H773" s="20">
        <v>1</v>
      </c>
      <c r="I773" s="126">
        <f t="shared" si="69"/>
        <v>0</v>
      </c>
      <c r="J773" s="21">
        <f t="shared" si="68"/>
        <v>0</v>
      </c>
      <c r="K773" s="80"/>
      <c r="L773" s="82"/>
      <c r="M773" s="10"/>
      <c r="N773" s="10"/>
      <c r="O773" s="10"/>
      <c r="P773" s="10"/>
      <c r="Q773" s="43"/>
      <c r="R773" s="10"/>
      <c r="T773" s="10"/>
    </row>
    <row r="774" spans="2:20" s="1" customFormat="1" ht="12.95" customHeight="1" x14ac:dyDescent="0.15">
      <c r="B774" s="16">
        <v>13</v>
      </c>
      <c r="C774" s="12"/>
      <c r="D774" s="18"/>
      <c r="E774" s="18"/>
      <c r="F774" s="129"/>
      <c r="G774" s="20"/>
      <c r="H774" s="20">
        <v>1</v>
      </c>
      <c r="I774" s="126">
        <f t="shared" si="69"/>
        <v>0</v>
      </c>
      <c r="J774" s="21">
        <f t="shared" si="68"/>
        <v>0</v>
      </c>
      <c r="K774" s="80"/>
      <c r="L774" s="82"/>
      <c r="M774" s="10"/>
      <c r="N774" s="10"/>
      <c r="O774" s="10"/>
      <c r="P774" s="10"/>
      <c r="Q774" s="43"/>
      <c r="R774" s="10"/>
      <c r="T774" s="10"/>
    </row>
    <row r="775" spans="2:20" s="1" customFormat="1" ht="12.95" customHeight="1" x14ac:dyDescent="0.15">
      <c r="B775" s="16">
        <v>14</v>
      </c>
      <c r="C775" s="12"/>
      <c r="D775" s="18"/>
      <c r="E775" s="18"/>
      <c r="F775" s="129"/>
      <c r="G775" s="20"/>
      <c r="H775" s="20">
        <v>1</v>
      </c>
      <c r="I775" s="126">
        <f t="shared" si="69"/>
        <v>0</v>
      </c>
      <c r="J775" s="21">
        <f t="shared" si="68"/>
        <v>0</v>
      </c>
      <c r="K775" s="80"/>
      <c r="L775" s="82"/>
      <c r="M775" s="10"/>
      <c r="N775" s="10"/>
      <c r="O775" s="10"/>
      <c r="P775" s="10"/>
      <c r="Q775" s="43"/>
      <c r="R775" s="10"/>
      <c r="T775" s="10"/>
    </row>
    <row r="776" spans="2:20" s="1" customFormat="1" ht="12.95" customHeight="1" x14ac:dyDescent="0.15">
      <c r="B776" s="16">
        <v>15</v>
      </c>
      <c r="C776" s="12"/>
      <c r="D776" s="18"/>
      <c r="E776" s="18"/>
      <c r="F776" s="129"/>
      <c r="G776" s="20"/>
      <c r="H776" s="20">
        <v>1</v>
      </c>
      <c r="I776" s="126">
        <f t="shared" si="69"/>
        <v>0</v>
      </c>
      <c r="J776" s="21">
        <f t="shared" si="68"/>
        <v>0</v>
      </c>
      <c r="K776" s="80"/>
      <c r="L776" s="82"/>
      <c r="M776" s="10"/>
      <c r="N776" s="10"/>
      <c r="O776" s="10"/>
      <c r="P776" s="10"/>
      <c r="Q776" s="43"/>
      <c r="R776" s="10"/>
      <c r="T776" s="10"/>
    </row>
    <row r="777" spans="2:20" s="1" customFormat="1" ht="12.95" customHeight="1" x14ac:dyDescent="0.15">
      <c r="B777" s="16">
        <v>16</v>
      </c>
      <c r="C777" s="12"/>
      <c r="D777" s="18"/>
      <c r="E777" s="18"/>
      <c r="F777" s="129"/>
      <c r="G777" s="20"/>
      <c r="H777" s="20">
        <v>1</v>
      </c>
      <c r="I777" s="126">
        <f t="shared" si="69"/>
        <v>0</v>
      </c>
      <c r="J777" s="21">
        <f t="shared" si="68"/>
        <v>0</v>
      </c>
      <c r="K777" s="80"/>
      <c r="L777" s="82"/>
      <c r="M777" s="10"/>
      <c r="N777" s="10"/>
      <c r="O777" s="10"/>
      <c r="P777" s="10"/>
      <c r="Q777" s="43"/>
      <c r="R777" s="10"/>
      <c r="T777" s="10"/>
    </row>
    <row r="778" spans="2:20" s="1" customFormat="1" ht="12.95" customHeight="1" x14ac:dyDescent="0.15">
      <c r="B778" s="16">
        <v>17</v>
      </c>
      <c r="C778" s="12"/>
      <c r="D778" s="18"/>
      <c r="E778" s="18"/>
      <c r="F778" s="129"/>
      <c r="G778" s="20"/>
      <c r="H778" s="20">
        <v>1</v>
      </c>
      <c r="I778" s="126">
        <f t="shared" si="69"/>
        <v>0</v>
      </c>
      <c r="J778" s="21">
        <f t="shared" si="68"/>
        <v>0</v>
      </c>
      <c r="K778" s="80"/>
      <c r="L778" s="82"/>
      <c r="M778" s="10"/>
      <c r="N778" s="10"/>
      <c r="O778" s="10"/>
      <c r="P778" s="10"/>
      <c r="Q778" s="43"/>
      <c r="R778" s="10"/>
      <c r="T778" s="10"/>
    </row>
    <row r="779" spans="2:20" s="1" customFormat="1" ht="12.95" customHeight="1" x14ac:dyDescent="0.15">
      <c r="B779" s="16">
        <v>18</v>
      </c>
      <c r="C779" s="12"/>
      <c r="D779" s="18"/>
      <c r="E779" s="18"/>
      <c r="F779" s="129"/>
      <c r="G779" s="20"/>
      <c r="H779" s="20">
        <v>1</v>
      </c>
      <c r="I779" s="126">
        <f t="shared" si="69"/>
        <v>0</v>
      </c>
      <c r="J779" s="78">
        <f t="shared" si="68"/>
        <v>0</v>
      </c>
      <c r="K779" s="111"/>
      <c r="L779" s="119"/>
      <c r="M779" s="10"/>
      <c r="N779" s="10"/>
      <c r="O779" s="10"/>
      <c r="P779" s="10"/>
      <c r="Q779" s="43"/>
      <c r="R779" s="10"/>
      <c r="T779" s="10"/>
    </row>
    <row r="780" spans="2:20" s="1" customFormat="1" ht="12.95" customHeight="1" x14ac:dyDescent="0.15">
      <c r="B780" s="16">
        <v>19</v>
      </c>
      <c r="C780" s="12"/>
      <c r="D780" s="18"/>
      <c r="E780" s="18"/>
      <c r="F780" s="129"/>
      <c r="G780" s="20"/>
      <c r="H780" s="20">
        <v>1</v>
      </c>
      <c r="I780" s="254">
        <f t="shared" si="69"/>
        <v>0</v>
      </c>
      <c r="J780" s="94">
        <f t="shared" si="68"/>
        <v>0</v>
      </c>
      <c r="K780" s="82"/>
      <c r="L780" s="82"/>
      <c r="M780" s="10"/>
      <c r="N780" s="10"/>
      <c r="O780" s="10"/>
      <c r="P780" s="10"/>
      <c r="Q780" s="43"/>
      <c r="R780" s="10"/>
      <c r="T780" s="10"/>
    </row>
    <row r="781" spans="2:20" s="1" customFormat="1" ht="12.95" customHeight="1" x14ac:dyDescent="0.15">
      <c r="B781" s="16">
        <v>20</v>
      </c>
      <c r="C781" s="12"/>
      <c r="D781" s="18"/>
      <c r="E781" s="18"/>
      <c r="F781" s="129"/>
      <c r="G781" s="20"/>
      <c r="H781" s="20">
        <v>1</v>
      </c>
      <c r="I781" s="254">
        <f t="shared" si="69"/>
        <v>0</v>
      </c>
      <c r="J781" s="94">
        <f t="shared" si="68"/>
        <v>0</v>
      </c>
      <c r="K781" s="82"/>
      <c r="L781" s="82"/>
      <c r="M781" s="10"/>
      <c r="N781" s="10"/>
      <c r="O781" s="10"/>
      <c r="P781" s="10"/>
      <c r="Q781" s="43"/>
      <c r="R781" s="10"/>
      <c r="T781" s="10"/>
    </row>
    <row r="782" spans="2:20" s="1" customFormat="1" ht="12.95" customHeight="1" x14ac:dyDescent="0.15">
      <c r="B782" s="83"/>
      <c r="C782" s="74"/>
      <c r="D782" s="75"/>
      <c r="E782" s="75"/>
      <c r="F782" s="132"/>
      <c r="G782" s="77"/>
      <c r="H782" s="77"/>
      <c r="I782" s="255"/>
      <c r="J782" s="94"/>
      <c r="K782" s="82"/>
      <c r="L782" s="82"/>
      <c r="M782" s="10"/>
      <c r="N782" s="10"/>
      <c r="O782" s="10"/>
      <c r="P782" s="10"/>
      <c r="Q782" s="43"/>
      <c r="R782" s="10"/>
      <c r="T782" s="10"/>
    </row>
    <row r="783" spans="2:20" s="1" customFormat="1" ht="12.75" x14ac:dyDescent="0.15">
      <c r="B783" s="82"/>
      <c r="C783" s="102"/>
      <c r="D783" s="103"/>
      <c r="E783" s="102"/>
      <c r="F783" s="128">
        <f>SUM(F723:F782)</f>
        <v>0</v>
      </c>
      <c r="G783" s="104"/>
      <c r="H783" s="105"/>
      <c r="I783" s="128">
        <f>SUM(I723:I782)</f>
        <v>0</v>
      </c>
      <c r="J783" s="257">
        <f>SUM(J723:J782)</f>
        <v>0</v>
      </c>
    </row>
    <row r="784" spans="2:20" s="1" customFormat="1" ht="12.75" x14ac:dyDescent="0.15">
      <c r="B784" s="82"/>
      <c r="C784" s="102"/>
      <c r="D784" s="103"/>
      <c r="E784" s="102" t="s">
        <v>147</v>
      </c>
      <c r="F784" s="128">
        <f>100/115*F783</f>
        <v>0</v>
      </c>
      <c r="G784" s="104"/>
      <c r="H784" s="105" t="s">
        <v>147</v>
      </c>
      <c r="I784" s="128">
        <f>100/115*I783</f>
        <v>0</v>
      </c>
      <c r="J784" s="106"/>
    </row>
    <row r="785" spans="2:12" s="1" customFormat="1" ht="12.75" x14ac:dyDescent="0.15"/>
    <row r="786" spans="2:12" s="1" customFormat="1" ht="12.75" x14ac:dyDescent="0.15"/>
    <row r="787" spans="2:12" s="1" customFormat="1" ht="12.75" x14ac:dyDescent="0.15"/>
    <row r="788" spans="2:12" s="1" customFormat="1" ht="12.75" x14ac:dyDescent="0.15"/>
    <row r="789" spans="2:12" s="247" customFormat="1" ht="32.25" x14ac:dyDescent="0.4">
      <c r="B789" s="251"/>
      <c r="C789" s="424" t="s">
        <v>166</v>
      </c>
      <c r="D789" s="424"/>
      <c r="E789" s="425" t="s">
        <v>167</v>
      </c>
      <c r="F789" s="426"/>
      <c r="G789" s="426"/>
      <c r="H789" s="426"/>
      <c r="I789" s="427"/>
      <c r="J789" s="415">
        <v>2026</v>
      </c>
      <c r="K789" s="416"/>
      <c r="L789" s="417"/>
    </row>
    <row r="790" spans="2:12" s="1" customFormat="1" ht="22.5" x14ac:dyDescent="0.15">
      <c r="B790" s="16"/>
      <c r="C790" s="28" t="s">
        <v>114</v>
      </c>
      <c r="D790" s="418" t="s">
        <v>115</v>
      </c>
      <c r="E790" s="418"/>
      <c r="F790" s="28" t="s">
        <v>116</v>
      </c>
      <c r="G790" s="28" t="s">
        <v>117</v>
      </c>
      <c r="H790" s="28" t="s">
        <v>118</v>
      </c>
      <c r="I790" s="28" t="s">
        <v>119</v>
      </c>
      <c r="J790" s="64" t="s">
        <v>120</v>
      </c>
      <c r="K790" s="82"/>
      <c r="L790" s="82"/>
    </row>
    <row r="791" spans="2:12" s="1" customFormat="1" ht="12.75" x14ac:dyDescent="0.15">
      <c r="B791" s="16"/>
      <c r="C791" s="124">
        <f>C721</f>
        <v>450</v>
      </c>
      <c r="D791" s="419">
        <v>20</v>
      </c>
      <c r="E791" s="419"/>
      <c r="F791" s="29">
        <f>F721</f>
        <v>0.8</v>
      </c>
      <c r="G791" s="30">
        <f>G721</f>
        <v>8</v>
      </c>
      <c r="H791" s="31">
        <f>D791*G791*F791</f>
        <v>128</v>
      </c>
      <c r="I791" s="124">
        <f>I853</f>
        <v>0</v>
      </c>
      <c r="J791" s="121">
        <f>H791-J853</f>
        <v>128</v>
      </c>
      <c r="K791" s="82"/>
      <c r="L791" s="82"/>
    </row>
    <row r="792" spans="2:12" s="1" customFormat="1" ht="33.75" x14ac:dyDescent="0.15">
      <c r="B792" s="16"/>
      <c r="C792" s="22" t="s">
        <v>121</v>
      </c>
      <c r="D792" s="413" t="s">
        <v>122</v>
      </c>
      <c r="E792" s="413"/>
      <c r="F792" s="33" t="s">
        <v>123</v>
      </c>
      <c r="G792" s="34" t="s">
        <v>124</v>
      </c>
      <c r="H792" s="35" t="s">
        <v>125</v>
      </c>
      <c r="I792" s="125" t="s">
        <v>126</v>
      </c>
      <c r="J792" s="34" t="s">
        <v>127</v>
      </c>
      <c r="K792" s="122" t="s">
        <v>128</v>
      </c>
      <c r="L792" s="123" t="s">
        <v>168</v>
      </c>
    </row>
    <row r="793" spans="2:12" s="1" customFormat="1" ht="12.75" x14ac:dyDescent="0.15">
      <c r="B793" s="16"/>
      <c r="C793" s="22"/>
      <c r="D793" s="32"/>
      <c r="E793" s="32"/>
      <c r="F793" s="33"/>
      <c r="G793" s="34"/>
      <c r="H793" s="35"/>
      <c r="I793" s="125"/>
      <c r="J793" s="34"/>
      <c r="K793" s="110"/>
      <c r="L793" s="117"/>
    </row>
    <row r="794" spans="2:12" s="1" customFormat="1" ht="12.75" x14ac:dyDescent="0.15">
      <c r="B794" s="16"/>
      <c r="C794" s="22" t="s">
        <v>130</v>
      </c>
      <c r="D794" s="32"/>
      <c r="E794" s="32"/>
      <c r="F794" s="33"/>
      <c r="G794" s="34"/>
      <c r="H794" s="35"/>
      <c r="I794" s="125"/>
      <c r="J794" s="34"/>
      <c r="K794" s="110"/>
      <c r="L794" s="117"/>
    </row>
    <row r="795" spans="2:12" s="1" customFormat="1" ht="12.75" customHeight="1" x14ac:dyDescent="0.15">
      <c r="B795" s="16"/>
      <c r="C795" s="37" t="s">
        <v>149</v>
      </c>
      <c r="D795" s="24"/>
      <c r="E795" s="24"/>
      <c r="F795" s="19"/>
      <c r="G795" s="20"/>
      <c r="H795" s="20"/>
      <c r="I795" s="126"/>
      <c r="J795" s="38"/>
      <c r="K795" s="80"/>
      <c r="L795" s="82"/>
    </row>
    <row r="796" spans="2:12" s="1" customFormat="1" ht="12.75" x14ac:dyDescent="0.15">
      <c r="B796" s="16">
        <v>1</v>
      </c>
      <c r="C796" s="23"/>
      <c r="D796" s="24"/>
      <c r="E796" s="24"/>
      <c r="F796" s="129"/>
      <c r="G796" s="20"/>
      <c r="H796" s="20">
        <v>1</v>
      </c>
      <c r="I796" s="126">
        <f t="shared" ref="I796:I805" si="70">J796*$C$32</f>
        <v>0</v>
      </c>
      <c r="J796" s="38">
        <f t="shared" ref="J796:J805" si="71">(F796*G796*H796)/$C$32</f>
        <v>0</v>
      </c>
      <c r="K796" s="80"/>
      <c r="L796" s="82"/>
    </row>
    <row r="797" spans="2:12" s="1" customFormat="1" ht="12.75" customHeight="1" x14ac:dyDescent="0.15">
      <c r="B797" s="16">
        <v>2</v>
      </c>
      <c r="C797" s="23"/>
      <c r="D797" s="24"/>
      <c r="E797" s="24"/>
      <c r="F797" s="126"/>
      <c r="G797" s="20"/>
      <c r="H797" s="20">
        <v>1</v>
      </c>
      <c r="I797" s="126">
        <f t="shared" si="70"/>
        <v>0</v>
      </c>
      <c r="J797" s="38">
        <f t="shared" si="71"/>
        <v>0</v>
      </c>
      <c r="K797" s="80"/>
      <c r="L797" s="82"/>
    </row>
    <row r="798" spans="2:12" s="1" customFormat="1" ht="12.75" customHeight="1" x14ac:dyDescent="0.15">
      <c r="B798" s="16">
        <v>3</v>
      </c>
      <c r="C798" s="23"/>
      <c r="D798" s="25"/>
      <c r="E798" s="25"/>
      <c r="F798" s="129"/>
      <c r="G798" s="20"/>
      <c r="H798" s="20">
        <v>1</v>
      </c>
      <c r="I798" s="126">
        <f t="shared" si="70"/>
        <v>0</v>
      </c>
      <c r="J798" s="38">
        <f t="shared" si="71"/>
        <v>0</v>
      </c>
      <c r="K798" s="80"/>
      <c r="L798" s="82"/>
    </row>
    <row r="799" spans="2:12" s="1" customFormat="1" ht="12.95" customHeight="1" x14ac:dyDescent="0.15">
      <c r="B799" s="16">
        <v>4</v>
      </c>
      <c r="C799" s="23"/>
      <c r="D799" s="24"/>
      <c r="E799" s="24"/>
      <c r="F799" s="129"/>
      <c r="G799" s="20"/>
      <c r="H799" s="20">
        <v>1</v>
      </c>
      <c r="I799" s="126">
        <f t="shared" si="70"/>
        <v>0</v>
      </c>
      <c r="J799" s="38">
        <f t="shared" si="71"/>
        <v>0</v>
      </c>
      <c r="K799" s="80"/>
      <c r="L799" s="82"/>
    </row>
    <row r="800" spans="2:12" s="1" customFormat="1" ht="14.1" customHeight="1" x14ac:dyDescent="0.15">
      <c r="B800" s="16">
        <v>5</v>
      </c>
      <c r="C800" s="16"/>
      <c r="D800" s="18"/>
      <c r="E800" s="18"/>
      <c r="F800" s="129"/>
      <c r="G800" s="20"/>
      <c r="H800" s="20">
        <v>1</v>
      </c>
      <c r="I800" s="126">
        <f t="shared" si="70"/>
        <v>0</v>
      </c>
      <c r="J800" s="38">
        <f t="shared" si="71"/>
        <v>0</v>
      </c>
      <c r="K800" s="80"/>
      <c r="L800" s="82"/>
    </row>
    <row r="801" spans="2:12" s="1" customFormat="1" ht="12.95" customHeight="1" x14ac:dyDescent="0.15">
      <c r="B801" s="16">
        <v>6</v>
      </c>
      <c r="C801" s="17"/>
      <c r="D801" s="24"/>
      <c r="E801" s="24"/>
      <c r="F801" s="129"/>
      <c r="G801" s="20"/>
      <c r="H801" s="20">
        <v>1</v>
      </c>
      <c r="I801" s="126">
        <f t="shared" si="70"/>
        <v>0</v>
      </c>
      <c r="J801" s="38">
        <f t="shared" si="71"/>
        <v>0</v>
      </c>
      <c r="K801" s="80"/>
      <c r="L801" s="82"/>
    </row>
    <row r="802" spans="2:12" s="1" customFormat="1" ht="12.95" customHeight="1" x14ac:dyDescent="0.15">
      <c r="B802" s="16">
        <v>7</v>
      </c>
      <c r="C802" s="17"/>
      <c r="D802" s="24"/>
      <c r="E802" s="24"/>
      <c r="F802" s="129"/>
      <c r="G802" s="20"/>
      <c r="H802" s="20">
        <v>1</v>
      </c>
      <c r="I802" s="126">
        <f t="shared" si="70"/>
        <v>0</v>
      </c>
      <c r="J802" s="38">
        <f t="shared" si="71"/>
        <v>0</v>
      </c>
      <c r="K802" s="80"/>
      <c r="L802" s="82"/>
    </row>
    <row r="803" spans="2:12" s="1" customFormat="1" ht="12.95" customHeight="1" x14ac:dyDescent="0.15">
      <c r="B803" s="16">
        <v>8</v>
      </c>
      <c r="C803" s="17"/>
      <c r="D803" s="24"/>
      <c r="E803" s="24"/>
      <c r="F803" s="129"/>
      <c r="G803" s="20"/>
      <c r="H803" s="20">
        <v>1</v>
      </c>
      <c r="I803" s="126">
        <f t="shared" si="70"/>
        <v>0</v>
      </c>
      <c r="J803" s="38">
        <f t="shared" si="71"/>
        <v>0</v>
      </c>
      <c r="K803" s="80"/>
      <c r="L803" s="82"/>
    </row>
    <row r="804" spans="2:12" s="1" customFormat="1" ht="12.95" customHeight="1" x14ac:dyDescent="0.15">
      <c r="B804" s="16">
        <v>9</v>
      </c>
      <c r="C804" s="17"/>
      <c r="D804" s="24"/>
      <c r="E804" s="24"/>
      <c r="F804" s="129"/>
      <c r="G804" s="20"/>
      <c r="H804" s="20">
        <v>1</v>
      </c>
      <c r="I804" s="126">
        <f t="shared" si="70"/>
        <v>0</v>
      </c>
      <c r="J804" s="38">
        <f t="shared" si="71"/>
        <v>0</v>
      </c>
      <c r="K804" s="80"/>
      <c r="L804" s="82"/>
    </row>
    <row r="805" spans="2:12" s="1" customFormat="1" ht="12.95" customHeight="1" x14ac:dyDescent="0.15">
      <c r="B805" s="16">
        <v>10</v>
      </c>
      <c r="C805" s="17"/>
      <c r="D805" s="24"/>
      <c r="E805" s="24"/>
      <c r="F805" s="129"/>
      <c r="G805" s="20"/>
      <c r="H805" s="20">
        <v>1</v>
      </c>
      <c r="I805" s="126">
        <f t="shared" si="70"/>
        <v>0</v>
      </c>
      <c r="J805" s="38">
        <f t="shared" si="71"/>
        <v>0</v>
      </c>
      <c r="K805" s="80"/>
      <c r="L805" s="82"/>
    </row>
    <row r="806" spans="2:12" s="1" customFormat="1" ht="12.95" customHeight="1" x14ac:dyDescent="0.15">
      <c r="B806" s="16"/>
      <c r="C806" s="17"/>
      <c r="D806" s="18"/>
      <c r="E806" s="24"/>
      <c r="F806" s="129"/>
      <c r="G806" s="20"/>
      <c r="H806" s="20"/>
      <c r="I806" s="126"/>
      <c r="J806" s="38"/>
      <c r="K806" s="80"/>
      <c r="L806" s="82"/>
    </row>
    <row r="807" spans="2:12" s="1" customFormat="1" ht="12.95" customHeight="1" x14ac:dyDescent="0.15">
      <c r="B807" s="16"/>
      <c r="C807" s="17"/>
      <c r="D807" s="18"/>
      <c r="E807" s="24"/>
      <c r="F807" s="129"/>
      <c r="G807" s="20"/>
      <c r="H807" s="20"/>
      <c r="I807" s="126"/>
      <c r="J807" s="38"/>
      <c r="K807" s="80"/>
      <c r="L807" s="82"/>
    </row>
    <row r="808" spans="2:12" s="1" customFormat="1" ht="12.95" customHeight="1" x14ac:dyDescent="0.15">
      <c r="B808" s="16"/>
      <c r="C808" s="22" t="s">
        <v>153</v>
      </c>
      <c r="D808" s="24"/>
      <c r="E808" s="18"/>
      <c r="F808" s="129"/>
      <c r="G808" s="20"/>
      <c r="H808" s="20"/>
      <c r="I808" s="126"/>
      <c r="J808" s="38"/>
      <c r="K808" s="80"/>
      <c r="L808" s="82"/>
    </row>
    <row r="809" spans="2:12" s="1" customFormat="1" ht="12.95" customHeight="1" x14ac:dyDescent="0.15">
      <c r="B809" s="16">
        <v>1</v>
      </c>
      <c r="C809" s="17"/>
      <c r="D809" s="24"/>
      <c r="E809" s="18"/>
      <c r="F809" s="129"/>
      <c r="G809" s="20"/>
      <c r="H809" s="20">
        <v>1</v>
      </c>
      <c r="I809" s="126">
        <f t="shared" ref="I809:I828" si="72">J809*$C$32</f>
        <v>0</v>
      </c>
      <c r="J809" s="38">
        <f t="shared" ref="J809:J828" si="73">(F809*G809*H809)/$C$32</f>
        <v>0</v>
      </c>
      <c r="K809" s="80"/>
      <c r="L809" s="82"/>
    </row>
    <row r="810" spans="2:12" s="1" customFormat="1" ht="12.95" customHeight="1" x14ac:dyDescent="0.15">
      <c r="B810" s="16">
        <v>2</v>
      </c>
      <c r="C810" s="17"/>
      <c r="D810" s="24"/>
      <c r="E810" s="18"/>
      <c r="F810" s="129"/>
      <c r="G810" s="20"/>
      <c r="H810" s="20">
        <v>1</v>
      </c>
      <c r="I810" s="126">
        <f t="shared" si="72"/>
        <v>0</v>
      </c>
      <c r="J810" s="38">
        <f t="shared" si="73"/>
        <v>0</v>
      </c>
      <c r="K810" s="80"/>
      <c r="L810" s="82"/>
    </row>
    <row r="811" spans="2:12" s="1" customFormat="1" ht="12.95" customHeight="1" x14ac:dyDescent="0.15">
      <c r="B811" s="16">
        <v>3</v>
      </c>
      <c r="C811" s="17"/>
      <c r="D811" s="24"/>
      <c r="E811" s="18"/>
      <c r="F811" s="129"/>
      <c r="G811" s="20"/>
      <c r="H811" s="20">
        <v>1</v>
      </c>
      <c r="I811" s="126">
        <f t="shared" si="72"/>
        <v>0</v>
      </c>
      <c r="J811" s="38">
        <f t="shared" si="73"/>
        <v>0</v>
      </c>
      <c r="K811" s="80"/>
      <c r="L811" s="82"/>
    </row>
    <row r="812" spans="2:12" s="1" customFormat="1" ht="12.95" customHeight="1" x14ac:dyDescent="0.15">
      <c r="B812" s="16">
        <v>4</v>
      </c>
      <c r="C812" s="17"/>
      <c r="D812" s="24"/>
      <c r="E812" s="18"/>
      <c r="F812" s="129"/>
      <c r="G812" s="20"/>
      <c r="H812" s="20">
        <v>1</v>
      </c>
      <c r="I812" s="126">
        <f t="shared" si="72"/>
        <v>0</v>
      </c>
      <c r="J812" s="38">
        <f t="shared" si="73"/>
        <v>0</v>
      </c>
      <c r="K812" s="80"/>
      <c r="L812" s="82"/>
    </row>
    <row r="813" spans="2:12" s="1" customFormat="1" ht="12.95" customHeight="1" x14ac:dyDescent="0.15">
      <c r="B813" s="16">
        <v>5</v>
      </c>
      <c r="C813" s="17"/>
      <c r="D813" s="24"/>
      <c r="E813" s="18"/>
      <c r="F813" s="129"/>
      <c r="G813" s="20"/>
      <c r="H813" s="20">
        <v>1</v>
      </c>
      <c r="I813" s="126">
        <f t="shared" si="72"/>
        <v>0</v>
      </c>
      <c r="J813" s="38">
        <f t="shared" si="73"/>
        <v>0</v>
      </c>
      <c r="K813" s="80"/>
      <c r="L813" s="82"/>
    </row>
    <row r="814" spans="2:12" s="1" customFormat="1" ht="12.95" customHeight="1" x14ac:dyDescent="0.15">
      <c r="B814" s="16">
        <v>6</v>
      </c>
      <c r="C814" s="17"/>
      <c r="D814" s="24"/>
      <c r="E814" s="18"/>
      <c r="F814" s="129"/>
      <c r="G814" s="20"/>
      <c r="H814" s="20">
        <v>1</v>
      </c>
      <c r="I814" s="126">
        <f t="shared" si="72"/>
        <v>0</v>
      </c>
      <c r="J814" s="38">
        <f t="shared" si="73"/>
        <v>0</v>
      </c>
      <c r="K814" s="80"/>
      <c r="L814" s="82"/>
    </row>
    <row r="815" spans="2:12" s="1" customFormat="1" ht="12.95" customHeight="1" x14ac:dyDescent="0.15">
      <c r="B815" s="16">
        <v>7</v>
      </c>
      <c r="C815" s="17"/>
      <c r="D815" s="24"/>
      <c r="E815" s="18"/>
      <c r="F815" s="129"/>
      <c r="G815" s="20"/>
      <c r="H815" s="20">
        <v>1</v>
      </c>
      <c r="I815" s="126">
        <f t="shared" si="72"/>
        <v>0</v>
      </c>
      <c r="J815" s="38">
        <f t="shared" si="73"/>
        <v>0</v>
      </c>
      <c r="K815" s="80"/>
      <c r="L815" s="82"/>
    </row>
    <row r="816" spans="2:12" s="1" customFormat="1" ht="12.95" customHeight="1" x14ac:dyDescent="0.15">
      <c r="B816" s="16">
        <v>8</v>
      </c>
      <c r="C816" s="17"/>
      <c r="D816" s="24"/>
      <c r="E816" s="18"/>
      <c r="F816" s="129"/>
      <c r="G816" s="20"/>
      <c r="H816" s="20">
        <v>1</v>
      </c>
      <c r="I816" s="126">
        <f t="shared" si="72"/>
        <v>0</v>
      </c>
      <c r="J816" s="21">
        <f t="shared" si="73"/>
        <v>0</v>
      </c>
      <c r="K816" s="80"/>
      <c r="L816" s="82"/>
    </row>
    <row r="817" spans="2:12" s="1" customFormat="1" ht="12.95" customHeight="1" x14ac:dyDescent="0.15">
      <c r="B817" s="16">
        <v>9</v>
      </c>
      <c r="C817" s="17"/>
      <c r="D817" s="24"/>
      <c r="E817" s="18"/>
      <c r="F817" s="129"/>
      <c r="G817" s="20"/>
      <c r="H817" s="20">
        <v>1</v>
      </c>
      <c r="I817" s="126">
        <f t="shared" si="72"/>
        <v>0</v>
      </c>
      <c r="J817" s="38">
        <f t="shared" si="73"/>
        <v>0</v>
      </c>
      <c r="K817" s="80"/>
      <c r="L817" s="82"/>
    </row>
    <row r="818" spans="2:12" s="1" customFormat="1" ht="12.95" customHeight="1" x14ac:dyDescent="0.15">
      <c r="B818" s="16">
        <v>10</v>
      </c>
      <c r="C818" s="17"/>
      <c r="D818" s="24"/>
      <c r="E818" s="18"/>
      <c r="F818" s="129"/>
      <c r="G818" s="20"/>
      <c r="H818" s="20">
        <v>1</v>
      </c>
      <c r="I818" s="126">
        <f t="shared" si="72"/>
        <v>0</v>
      </c>
      <c r="J818" s="38">
        <f t="shared" si="73"/>
        <v>0</v>
      </c>
      <c r="K818" s="80"/>
      <c r="L818" s="82"/>
    </row>
    <row r="819" spans="2:12" s="1" customFormat="1" ht="12.95" customHeight="1" x14ac:dyDescent="0.15">
      <c r="B819" s="16">
        <v>11</v>
      </c>
      <c r="C819" s="17"/>
      <c r="D819" s="24"/>
      <c r="E819" s="18"/>
      <c r="F819" s="129"/>
      <c r="G819" s="20"/>
      <c r="H819" s="20">
        <v>1</v>
      </c>
      <c r="I819" s="126">
        <f t="shared" si="72"/>
        <v>0</v>
      </c>
      <c r="J819" s="38">
        <f t="shared" si="73"/>
        <v>0</v>
      </c>
      <c r="K819" s="80"/>
      <c r="L819" s="82"/>
    </row>
    <row r="820" spans="2:12" s="1" customFormat="1" ht="12.95" customHeight="1" x14ac:dyDescent="0.15">
      <c r="B820" s="16">
        <v>12</v>
      </c>
      <c r="C820" s="17"/>
      <c r="D820" s="24"/>
      <c r="E820" s="18"/>
      <c r="F820" s="129"/>
      <c r="G820" s="20"/>
      <c r="H820" s="20">
        <v>1</v>
      </c>
      <c r="I820" s="126">
        <f t="shared" si="72"/>
        <v>0</v>
      </c>
      <c r="J820" s="38">
        <f t="shared" si="73"/>
        <v>0</v>
      </c>
      <c r="K820" s="80"/>
      <c r="L820" s="82"/>
    </row>
    <row r="821" spans="2:12" s="1" customFormat="1" ht="12.95" customHeight="1" x14ac:dyDescent="0.15">
      <c r="B821" s="16">
        <v>13</v>
      </c>
      <c r="C821" s="17"/>
      <c r="D821" s="24"/>
      <c r="E821" s="24"/>
      <c r="F821" s="129"/>
      <c r="G821" s="20"/>
      <c r="H821" s="20">
        <v>1</v>
      </c>
      <c r="I821" s="126">
        <f t="shared" si="72"/>
        <v>0</v>
      </c>
      <c r="J821" s="38">
        <f t="shared" si="73"/>
        <v>0</v>
      </c>
      <c r="K821" s="80"/>
      <c r="L821" s="82"/>
    </row>
    <row r="822" spans="2:12" s="1" customFormat="1" ht="12.95" customHeight="1" x14ac:dyDescent="0.15">
      <c r="B822" s="16">
        <v>14</v>
      </c>
      <c r="C822" s="17"/>
      <c r="D822" s="24"/>
      <c r="E822" s="24"/>
      <c r="F822" s="129"/>
      <c r="G822" s="20"/>
      <c r="H822" s="20">
        <v>1</v>
      </c>
      <c r="I822" s="126">
        <f t="shared" si="72"/>
        <v>0</v>
      </c>
      <c r="J822" s="38">
        <f t="shared" si="73"/>
        <v>0</v>
      </c>
      <c r="K822" s="80"/>
      <c r="L822" s="82"/>
    </row>
    <row r="823" spans="2:12" s="1" customFormat="1" ht="12.95" customHeight="1" x14ac:dyDescent="0.15">
      <c r="B823" s="16">
        <v>15</v>
      </c>
      <c r="C823" s="17"/>
      <c r="D823" s="24"/>
      <c r="E823" s="24"/>
      <c r="F823" s="129"/>
      <c r="G823" s="20"/>
      <c r="H823" s="20">
        <v>1</v>
      </c>
      <c r="I823" s="126">
        <f t="shared" si="72"/>
        <v>0</v>
      </c>
      <c r="J823" s="38">
        <f t="shared" si="73"/>
        <v>0</v>
      </c>
      <c r="K823" s="80"/>
      <c r="L823" s="82"/>
    </row>
    <row r="824" spans="2:12" s="1" customFormat="1" ht="12.95" customHeight="1" x14ac:dyDescent="0.15">
      <c r="B824" s="16">
        <v>16</v>
      </c>
      <c r="C824" s="17"/>
      <c r="D824" s="24"/>
      <c r="E824" s="24"/>
      <c r="F824" s="129"/>
      <c r="G824" s="20"/>
      <c r="H824" s="20">
        <v>1</v>
      </c>
      <c r="I824" s="126">
        <f t="shared" si="72"/>
        <v>0</v>
      </c>
      <c r="J824" s="38">
        <f t="shared" si="73"/>
        <v>0</v>
      </c>
      <c r="K824" s="80"/>
      <c r="L824" s="82"/>
    </row>
    <row r="825" spans="2:12" s="1" customFormat="1" ht="12.95" customHeight="1" x14ac:dyDescent="0.15">
      <c r="B825" s="16">
        <v>17</v>
      </c>
      <c r="C825" s="17"/>
      <c r="D825" s="24"/>
      <c r="E825" s="24"/>
      <c r="F825" s="129"/>
      <c r="G825" s="20"/>
      <c r="H825" s="20">
        <v>1</v>
      </c>
      <c r="I825" s="126">
        <f t="shared" si="72"/>
        <v>0</v>
      </c>
      <c r="J825" s="38">
        <f t="shared" si="73"/>
        <v>0</v>
      </c>
      <c r="K825" s="80"/>
      <c r="L825" s="82"/>
    </row>
    <row r="826" spans="2:12" s="1" customFormat="1" ht="12.95" customHeight="1" x14ac:dyDescent="0.15">
      <c r="B826" s="16">
        <v>18</v>
      </c>
      <c r="C826" s="17"/>
      <c r="D826" s="24"/>
      <c r="E826" s="24"/>
      <c r="F826" s="129"/>
      <c r="G826" s="20"/>
      <c r="H826" s="20">
        <v>1</v>
      </c>
      <c r="I826" s="126">
        <f t="shared" si="72"/>
        <v>0</v>
      </c>
      <c r="J826" s="38">
        <f t="shared" si="73"/>
        <v>0</v>
      </c>
      <c r="K826" s="80"/>
      <c r="L826" s="82"/>
    </row>
    <row r="827" spans="2:12" s="1" customFormat="1" ht="12.95" customHeight="1" x14ac:dyDescent="0.15">
      <c r="B827" s="16">
        <v>19</v>
      </c>
      <c r="C827" s="17"/>
      <c r="D827" s="24"/>
      <c r="E827" s="24"/>
      <c r="F827" s="129"/>
      <c r="G827" s="20"/>
      <c r="H827" s="20">
        <v>1</v>
      </c>
      <c r="I827" s="126">
        <f t="shared" si="72"/>
        <v>0</v>
      </c>
      <c r="J827" s="38">
        <f t="shared" si="73"/>
        <v>0</v>
      </c>
      <c r="K827" s="80"/>
      <c r="L827" s="82"/>
    </row>
    <row r="828" spans="2:12" s="1" customFormat="1" ht="12.95" customHeight="1" x14ac:dyDescent="0.15">
      <c r="B828" s="16">
        <v>20</v>
      </c>
      <c r="C828" s="17"/>
      <c r="D828" s="24"/>
      <c r="E828" s="24"/>
      <c r="F828" s="129"/>
      <c r="G828" s="20"/>
      <c r="H828" s="20">
        <v>1</v>
      </c>
      <c r="I828" s="126">
        <f t="shared" si="72"/>
        <v>0</v>
      </c>
      <c r="J828" s="38">
        <f t="shared" si="73"/>
        <v>0</v>
      </c>
      <c r="K828" s="80"/>
      <c r="L828" s="82"/>
    </row>
    <row r="829" spans="2:12" s="1" customFormat="1" ht="12.95" customHeight="1" x14ac:dyDescent="0.15">
      <c r="B829" s="16"/>
      <c r="C829" s="17"/>
      <c r="D829" s="24"/>
      <c r="E829" s="24"/>
      <c r="F829" s="129"/>
      <c r="G829" s="20"/>
      <c r="H829" s="20"/>
      <c r="I829" s="126"/>
      <c r="J829" s="38"/>
      <c r="K829" s="80"/>
      <c r="L829" s="82"/>
    </row>
    <row r="830" spans="2:12" s="1" customFormat="1" ht="12.95" customHeight="1" x14ac:dyDescent="0.15">
      <c r="B830" s="16"/>
      <c r="C830" s="17"/>
      <c r="D830" s="24"/>
      <c r="E830" s="24"/>
      <c r="F830" s="129"/>
      <c r="G830" s="20"/>
      <c r="H830" s="20"/>
      <c r="I830" s="126"/>
      <c r="J830" s="38"/>
      <c r="K830" s="80"/>
      <c r="L830" s="82"/>
    </row>
    <row r="831" spans="2:12" s="1" customFormat="1" ht="12.95" customHeight="1" x14ac:dyDescent="0.15">
      <c r="B831" s="16"/>
      <c r="C831" s="22" t="s">
        <v>132</v>
      </c>
      <c r="D831" s="24"/>
      <c r="E831" s="24"/>
      <c r="F831" s="129"/>
      <c r="G831" s="20"/>
      <c r="H831" s="20"/>
      <c r="I831" s="126"/>
      <c r="J831" s="38"/>
      <c r="K831" s="80"/>
      <c r="L831" s="82"/>
    </row>
    <row r="832" spans="2:12" s="1" customFormat="1" ht="12.95" customHeight="1" x14ac:dyDescent="0.15">
      <c r="B832" s="16">
        <v>1</v>
      </c>
      <c r="C832" s="17"/>
      <c r="D832" s="24"/>
      <c r="E832" s="24"/>
      <c r="F832" s="129"/>
      <c r="G832" s="20"/>
      <c r="H832" s="20">
        <v>1</v>
      </c>
      <c r="I832" s="126">
        <f t="shared" ref="I832:I844" si="74">J832*$C$32</f>
        <v>0</v>
      </c>
      <c r="J832" s="38">
        <f t="shared" ref="J832:J851" si="75">(F832*G832*H832)/$C$32</f>
        <v>0</v>
      </c>
      <c r="K832" s="80"/>
      <c r="L832" s="82"/>
    </row>
    <row r="833" spans="2:20" s="1" customFormat="1" ht="12.95" customHeight="1" x14ac:dyDescent="0.15">
      <c r="B833" s="16">
        <v>2</v>
      </c>
      <c r="C833" s="17"/>
      <c r="D833" s="24"/>
      <c r="E833" s="24"/>
      <c r="F833" s="129"/>
      <c r="G833" s="20"/>
      <c r="H833" s="20">
        <v>1</v>
      </c>
      <c r="I833" s="126">
        <f t="shared" si="74"/>
        <v>0</v>
      </c>
      <c r="J833" s="38">
        <f t="shared" si="75"/>
        <v>0</v>
      </c>
      <c r="K833" s="80"/>
      <c r="L833" s="82"/>
    </row>
    <row r="834" spans="2:20" s="1" customFormat="1" ht="12.95" customHeight="1" x14ac:dyDescent="0.15">
      <c r="B834" s="16">
        <v>3</v>
      </c>
      <c r="C834" s="17"/>
      <c r="D834" s="24"/>
      <c r="E834" s="24"/>
      <c r="F834" s="129"/>
      <c r="G834" s="20"/>
      <c r="H834" s="20">
        <v>1</v>
      </c>
      <c r="I834" s="126">
        <f t="shared" si="74"/>
        <v>0</v>
      </c>
      <c r="J834" s="38">
        <f t="shared" si="75"/>
        <v>0</v>
      </c>
      <c r="K834" s="80"/>
      <c r="L834" s="82"/>
    </row>
    <row r="835" spans="2:20" s="1" customFormat="1" ht="12.95" customHeight="1" x14ac:dyDescent="0.15">
      <c r="B835" s="16">
        <v>4</v>
      </c>
      <c r="C835" s="17"/>
      <c r="D835" s="24"/>
      <c r="E835" s="24"/>
      <c r="F835" s="129"/>
      <c r="G835" s="20"/>
      <c r="H835" s="20">
        <v>1</v>
      </c>
      <c r="I835" s="126">
        <f t="shared" si="74"/>
        <v>0</v>
      </c>
      <c r="J835" s="38">
        <f t="shared" si="75"/>
        <v>0</v>
      </c>
      <c r="K835" s="80"/>
      <c r="L835" s="82"/>
    </row>
    <row r="836" spans="2:20" s="1" customFormat="1" ht="12.95" customHeight="1" x14ac:dyDescent="0.15">
      <c r="B836" s="16">
        <v>5</v>
      </c>
      <c r="C836" s="17"/>
      <c r="D836" s="24"/>
      <c r="E836" s="24"/>
      <c r="F836" s="129"/>
      <c r="G836" s="20"/>
      <c r="H836" s="20">
        <v>1</v>
      </c>
      <c r="I836" s="126">
        <f t="shared" si="74"/>
        <v>0</v>
      </c>
      <c r="J836" s="38">
        <f t="shared" si="75"/>
        <v>0</v>
      </c>
      <c r="K836" s="80"/>
      <c r="L836" s="82"/>
    </row>
    <row r="837" spans="2:20" s="1" customFormat="1" ht="12.95" customHeight="1" x14ac:dyDescent="0.15">
      <c r="B837" s="16">
        <v>6</v>
      </c>
      <c r="C837" s="17"/>
      <c r="D837" s="24"/>
      <c r="E837" s="24"/>
      <c r="F837" s="129"/>
      <c r="G837" s="20"/>
      <c r="H837" s="20">
        <v>1</v>
      </c>
      <c r="I837" s="126">
        <f t="shared" si="74"/>
        <v>0</v>
      </c>
      <c r="J837" s="38">
        <f t="shared" si="75"/>
        <v>0</v>
      </c>
      <c r="K837" s="80"/>
      <c r="L837" s="82"/>
    </row>
    <row r="838" spans="2:20" s="1" customFormat="1" ht="12.95" customHeight="1" x14ac:dyDescent="0.15">
      <c r="B838" s="16">
        <v>7</v>
      </c>
      <c r="C838" s="17"/>
      <c r="D838" s="24"/>
      <c r="E838" s="24"/>
      <c r="F838" s="129"/>
      <c r="G838" s="20"/>
      <c r="H838" s="20">
        <v>1</v>
      </c>
      <c r="I838" s="126">
        <f t="shared" si="74"/>
        <v>0</v>
      </c>
      <c r="J838" s="38">
        <f t="shared" si="75"/>
        <v>0</v>
      </c>
      <c r="K838" s="80"/>
      <c r="L838" s="82"/>
    </row>
    <row r="839" spans="2:20" s="1" customFormat="1" ht="12.95" customHeight="1" x14ac:dyDescent="0.15">
      <c r="B839" s="16">
        <v>8</v>
      </c>
      <c r="C839" s="17"/>
      <c r="D839" s="24"/>
      <c r="E839" s="24"/>
      <c r="F839" s="129"/>
      <c r="G839" s="20"/>
      <c r="H839" s="20">
        <v>1</v>
      </c>
      <c r="I839" s="126">
        <f t="shared" si="74"/>
        <v>0</v>
      </c>
      <c r="J839" s="38">
        <f t="shared" si="75"/>
        <v>0</v>
      </c>
      <c r="K839" s="80"/>
      <c r="L839" s="82"/>
    </row>
    <row r="840" spans="2:20" s="1" customFormat="1" ht="12.95" customHeight="1" x14ac:dyDescent="0.15">
      <c r="B840" s="16">
        <v>9</v>
      </c>
      <c r="C840" s="17"/>
      <c r="D840" s="24"/>
      <c r="E840" s="24"/>
      <c r="F840" s="129"/>
      <c r="G840" s="20"/>
      <c r="H840" s="20">
        <v>1</v>
      </c>
      <c r="I840" s="126">
        <f t="shared" si="74"/>
        <v>0</v>
      </c>
      <c r="J840" s="38">
        <f t="shared" si="75"/>
        <v>0</v>
      </c>
      <c r="K840" s="80"/>
      <c r="L840" s="82"/>
    </row>
    <row r="841" spans="2:20" s="1" customFormat="1" ht="12.95" customHeight="1" x14ac:dyDescent="0.15">
      <c r="B841" s="16">
        <v>10</v>
      </c>
      <c r="C841" s="17"/>
      <c r="D841" s="24"/>
      <c r="E841" s="24"/>
      <c r="F841" s="129"/>
      <c r="G841" s="20"/>
      <c r="H841" s="20">
        <v>1</v>
      </c>
      <c r="I841" s="126">
        <f t="shared" si="74"/>
        <v>0</v>
      </c>
      <c r="J841" s="38">
        <f t="shared" si="75"/>
        <v>0</v>
      </c>
      <c r="K841" s="80"/>
      <c r="L841" s="82"/>
    </row>
    <row r="842" spans="2:20" s="1" customFormat="1" ht="12.95" customHeight="1" x14ac:dyDescent="0.15">
      <c r="B842" s="16">
        <v>11</v>
      </c>
      <c r="C842" s="44"/>
      <c r="D842" s="18"/>
      <c r="E842" s="18"/>
      <c r="F842" s="129"/>
      <c r="G842" s="20"/>
      <c r="H842" s="20">
        <v>1</v>
      </c>
      <c r="I842" s="126">
        <f t="shared" si="74"/>
        <v>0</v>
      </c>
      <c r="J842" s="21">
        <f t="shared" si="75"/>
        <v>0</v>
      </c>
      <c r="K842" s="80"/>
      <c r="L842" s="82"/>
      <c r="M842" s="10"/>
      <c r="N842" s="10"/>
      <c r="O842" s="10"/>
      <c r="P842" s="10"/>
      <c r="Q842" s="43"/>
      <c r="R842" s="10"/>
      <c r="T842" s="10" t="s">
        <v>169</v>
      </c>
    </row>
    <row r="843" spans="2:20" s="1" customFormat="1" ht="12.95" customHeight="1" x14ac:dyDescent="0.15">
      <c r="B843" s="16">
        <v>12</v>
      </c>
      <c r="C843" s="45"/>
      <c r="D843" s="18"/>
      <c r="E843" s="18"/>
      <c r="F843" s="130"/>
      <c r="G843" s="20"/>
      <c r="H843" s="20">
        <v>1</v>
      </c>
      <c r="I843" s="126">
        <f t="shared" si="74"/>
        <v>0</v>
      </c>
      <c r="J843" s="21">
        <f t="shared" si="75"/>
        <v>0</v>
      </c>
      <c r="K843" s="80"/>
      <c r="L843" s="82"/>
      <c r="M843" s="10"/>
      <c r="N843" s="10"/>
      <c r="O843" s="10"/>
      <c r="P843" s="10"/>
      <c r="Q843" s="43"/>
      <c r="R843" s="10"/>
      <c r="T843" s="10" t="s">
        <v>170</v>
      </c>
    </row>
    <row r="844" spans="2:20" s="1" customFormat="1" ht="12.95" customHeight="1" x14ac:dyDescent="0.15">
      <c r="B844" s="16">
        <v>13</v>
      </c>
      <c r="C844" s="44"/>
      <c r="D844" s="18"/>
      <c r="E844" s="18"/>
      <c r="F844" s="129"/>
      <c r="G844" s="20"/>
      <c r="H844" s="20">
        <v>1</v>
      </c>
      <c r="I844" s="126">
        <f t="shared" si="74"/>
        <v>0</v>
      </c>
      <c r="J844" s="21">
        <f t="shared" si="75"/>
        <v>0</v>
      </c>
      <c r="K844" s="80"/>
      <c r="L844" s="82"/>
      <c r="M844" s="10"/>
      <c r="N844" s="10"/>
      <c r="O844" s="10"/>
      <c r="P844" s="10"/>
      <c r="Q844" s="43"/>
      <c r="R844" s="10"/>
      <c r="T844" s="10" t="s">
        <v>171</v>
      </c>
    </row>
    <row r="845" spans="2:20" s="1" customFormat="1" ht="12.95" customHeight="1" x14ac:dyDescent="0.15">
      <c r="B845" s="16">
        <v>14</v>
      </c>
      <c r="C845" s="44"/>
      <c r="D845" s="18"/>
      <c r="E845" s="18"/>
      <c r="F845" s="129"/>
      <c r="G845" s="20"/>
      <c r="H845" s="20">
        <v>1</v>
      </c>
      <c r="I845" s="126">
        <f t="shared" ref="I845:I851" si="76">J845*$C$32</f>
        <v>0</v>
      </c>
      <c r="J845" s="21">
        <f t="shared" si="75"/>
        <v>0</v>
      </c>
      <c r="K845" s="80"/>
      <c r="L845" s="82"/>
      <c r="M845" s="10"/>
      <c r="N845" s="10"/>
      <c r="O845" s="10"/>
      <c r="P845" s="10"/>
      <c r="Q845" s="43"/>
      <c r="R845" s="10"/>
      <c r="T845" s="10"/>
    </row>
    <row r="846" spans="2:20" s="1" customFormat="1" ht="12.95" customHeight="1" x14ac:dyDescent="0.15">
      <c r="B846" s="16">
        <v>15</v>
      </c>
      <c r="C846" s="44"/>
      <c r="D846" s="18"/>
      <c r="E846" s="18"/>
      <c r="F846" s="129"/>
      <c r="G846" s="20"/>
      <c r="H846" s="20">
        <v>1</v>
      </c>
      <c r="I846" s="126">
        <f t="shared" si="76"/>
        <v>0</v>
      </c>
      <c r="J846" s="21">
        <f t="shared" si="75"/>
        <v>0</v>
      </c>
      <c r="K846" s="80"/>
      <c r="L846" s="82"/>
      <c r="M846" s="10"/>
      <c r="N846" s="10"/>
      <c r="O846" s="10"/>
      <c r="P846" s="10"/>
      <c r="Q846" s="43"/>
      <c r="R846" s="10"/>
      <c r="T846" s="10"/>
    </row>
    <row r="847" spans="2:20" s="1" customFormat="1" ht="12.95" customHeight="1" x14ac:dyDescent="0.15">
      <c r="B847" s="16">
        <v>16</v>
      </c>
      <c r="C847" s="44"/>
      <c r="D847" s="18"/>
      <c r="E847" s="18"/>
      <c r="F847" s="129"/>
      <c r="G847" s="20"/>
      <c r="H847" s="20">
        <v>1</v>
      </c>
      <c r="I847" s="126">
        <f t="shared" si="76"/>
        <v>0</v>
      </c>
      <c r="J847" s="21">
        <f t="shared" si="75"/>
        <v>0</v>
      </c>
      <c r="K847" s="80"/>
      <c r="L847" s="82"/>
      <c r="M847" s="10"/>
      <c r="N847" s="10"/>
      <c r="O847" s="10"/>
      <c r="P847" s="10"/>
      <c r="Q847" s="43"/>
      <c r="R847" s="10"/>
      <c r="T847" s="10"/>
    </row>
    <row r="848" spans="2:20" s="1" customFormat="1" ht="12.95" customHeight="1" x14ac:dyDescent="0.15">
      <c r="B848" s="16">
        <v>17</v>
      </c>
      <c r="C848" s="44"/>
      <c r="D848" s="18"/>
      <c r="E848" s="18"/>
      <c r="F848" s="129"/>
      <c r="G848" s="20"/>
      <c r="H848" s="20">
        <v>1</v>
      </c>
      <c r="I848" s="126">
        <f t="shared" si="76"/>
        <v>0</v>
      </c>
      <c r="J848" s="21">
        <f t="shared" si="75"/>
        <v>0</v>
      </c>
      <c r="K848" s="80"/>
      <c r="L848" s="82"/>
      <c r="M848" s="10"/>
      <c r="N848" s="10"/>
      <c r="O848" s="10"/>
      <c r="P848" s="10"/>
      <c r="Q848" s="43"/>
      <c r="R848" s="10"/>
      <c r="T848" s="10"/>
    </row>
    <row r="849" spans="2:20" s="1" customFormat="1" ht="12.95" customHeight="1" x14ac:dyDescent="0.15">
      <c r="B849" s="16">
        <v>18</v>
      </c>
      <c r="C849" s="44"/>
      <c r="D849" s="18"/>
      <c r="E849" s="18"/>
      <c r="F849" s="129"/>
      <c r="G849" s="20"/>
      <c r="H849" s="20">
        <v>1</v>
      </c>
      <c r="I849" s="126">
        <f t="shared" si="76"/>
        <v>0</v>
      </c>
      <c r="J849" s="78">
        <f t="shared" si="75"/>
        <v>0</v>
      </c>
      <c r="K849" s="111"/>
      <c r="L849" s="119"/>
      <c r="M849" s="10"/>
      <c r="N849" s="10"/>
      <c r="O849" s="10"/>
      <c r="P849" s="10"/>
      <c r="Q849" s="43"/>
      <c r="R849" s="10"/>
      <c r="T849" s="10"/>
    </row>
    <row r="850" spans="2:20" s="1" customFormat="1" ht="12.95" customHeight="1" x14ac:dyDescent="0.15">
      <c r="B850" s="16">
        <v>19</v>
      </c>
      <c r="C850" s="44"/>
      <c r="D850" s="18"/>
      <c r="E850" s="18"/>
      <c r="F850" s="129"/>
      <c r="G850" s="20"/>
      <c r="H850" s="20">
        <v>1</v>
      </c>
      <c r="I850" s="254">
        <f t="shared" si="76"/>
        <v>0</v>
      </c>
      <c r="J850" s="94">
        <f t="shared" si="75"/>
        <v>0</v>
      </c>
      <c r="K850" s="82"/>
      <c r="L850" s="82"/>
      <c r="M850" s="10"/>
      <c r="N850" s="10"/>
      <c r="O850" s="10"/>
      <c r="P850" s="10"/>
      <c r="Q850" s="43"/>
      <c r="R850" s="10"/>
      <c r="T850" s="10"/>
    </row>
    <row r="851" spans="2:20" s="1" customFormat="1" ht="12.95" customHeight="1" x14ac:dyDescent="0.15">
      <c r="B851" s="16">
        <v>20</v>
      </c>
      <c r="C851" s="44"/>
      <c r="D851" s="18"/>
      <c r="E851" s="18"/>
      <c r="F851" s="129"/>
      <c r="G851" s="20"/>
      <c r="H851" s="20">
        <v>1</v>
      </c>
      <c r="I851" s="254">
        <f t="shared" si="76"/>
        <v>0</v>
      </c>
      <c r="J851" s="94">
        <f t="shared" si="75"/>
        <v>0</v>
      </c>
      <c r="K851" s="82"/>
      <c r="L851" s="82"/>
      <c r="M851" s="10"/>
      <c r="N851" s="10"/>
      <c r="O851" s="10"/>
      <c r="P851" s="10"/>
      <c r="Q851" s="43"/>
      <c r="R851" s="10"/>
      <c r="T851" s="10"/>
    </row>
    <row r="852" spans="2:20" s="1" customFormat="1" ht="12.95" customHeight="1" x14ac:dyDescent="0.15">
      <c r="B852" s="16"/>
      <c r="C852" s="11"/>
      <c r="D852" s="18"/>
      <c r="E852" s="18"/>
      <c r="F852" s="129"/>
      <c r="G852" s="20"/>
      <c r="H852" s="20"/>
      <c r="I852" s="255"/>
      <c r="J852" s="94"/>
      <c r="K852" s="82"/>
      <c r="L852" s="82"/>
      <c r="M852" s="10"/>
      <c r="N852" s="10"/>
      <c r="O852" s="10"/>
      <c r="P852" s="10"/>
      <c r="Q852" s="43"/>
      <c r="R852" s="10"/>
      <c r="T852" s="10"/>
    </row>
    <row r="853" spans="2:20" s="1" customFormat="1" ht="12.75" x14ac:dyDescent="0.15">
      <c r="B853" s="83"/>
      <c r="C853" s="98"/>
      <c r="D853" s="99"/>
      <c r="E853" s="98"/>
      <c r="F853" s="127">
        <f>SUM(F794:F852)</f>
        <v>0</v>
      </c>
      <c r="G853" s="100"/>
      <c r="H853" s="252"/>
      <c r="I853" s="256">
        <f>SUM(I795:I852)</f>
        <v>0</v>
      </c>
      <c r="J853" s="257">
        <f>SUM(J795:J852)</f>
        <v>0</v>
      </c>
    </row>
    <row r="854" spans="2:20" s="1" customFormat="1" ht="12.75" x14ac:dyDescent="0.15">
      <c r="B854" s="82"/>
      <c r="C854" s="102"/>
      <c r="D854" s="103"/>
      <c r="E854" s="102" t="s">
        <v>147</v>
      </c>
      <c r="F854" s="128">
        <f>100/115*F853</f>
        <v>0</v>
      </c>
      <c r="G854" s="104"/>
      <c r="H854" s="253" t="s">
        <v>147</v>
      </c>
      <c r="I854" s="128">
        <f>100/115*I853</f>
        <v>0</v>
      </c>
      <c r="J854" s="106"/>
    </row>
    <row r="855" spans="2:20" s="1" customFormat="1" ht="12.75" x14ac:dyDescent="0.15"/>
    <row r="856" spans="2:20" s="1" customFormat="1" ht="12.75" x14ac:dyDescent="0.15"/>
    <row r="857" spans="2:20" s="1" customFormat="1" ht="12.75" x14ac:dyDescent="0.15"/>
    <row r="858" spans="2:20" s="1" customFormat="1" ht="12.75" x14ac:dyDescent="0.15"/>
    <row r="859" spans="2:20" s="1" customFormat="1" ht="12.75" x14ac:dyDescent="0.15"/>
    <row r="860" spans="2:20" s="1" customFormat="1" ht="12.75" x14ac:dyDescent="0.15"/>
    <row r="861" spans="2:20" s="1" customFormat="1" ht="12.75" x14ac:dyDescent="0.15"/>
    <row r="862" spans="2:20" s="1" customFormat="1" ht="12.75" x14ac:dyDescent="0.15"/>
    <row r="863" spans="2:20" s="1" customFormat="1" ht="12.75" x14ac:dyDescent="0.15"/>
    <row r="864" spans="2:20" s="1" customFormat="1" ht="12.75" x14ac:dyDescent="0.15"/>
    <row r="865" s="1" customFormat="1" ht="12.75" x14ac:dyDescent="0.15"/>
    <row r="866" s="1" customFormat="1" ht="12.75" x14ac:dyDescent="0.15"/>
    <row r="867" s="1" customFormat="1" ht="12.75" x14ac:dyDescent="0.15"/>
    <row r="868" s="1" customFormat="1" ht="12.75" x14ac:dyDescent="0.15"/>
    <row r="869" s="1" customFormat="1" ht="12.75" x14ac:dyDescent="0.15"/>
    <row r="870" s="1" customFormat="1" ht="12.75" x14ac:dyDescent="0.15"/>
    <row r="871" s="1" customFormat="1" ht="12.75" x14ac:dyDescent="0.15"/>
    <row r="872" s="1" customFormat="1" ht="12.75" x14ac:dyDescent="0.15"/>
    <row r="873" s="1" customFormat="1" ht="12.75" x14ac:dyDescent="0.15"/>
    <row r="874" s="1" customFormat="1" ht="12.75" x14ac:dyDescent="0.15"/>
    <row r="875" s="1" customFormat="1" ht="12.75" x14ac:dyDescent="0.15"/>
    <row r="876" s="1" customFormat="1" ht="12.75" x14ac:dyDescent="0.15"/>
    <row r="877" s="1" customFormat="1" ht="12.75" x14ac:dyDescent="0.15"/>
    <row r="878" s="1" customFormat="1" ht="12.75" x14ac:dyDescent="0.15"/>
    <row r="879" s="1" customFormat="1" ht="12.75" x14ac:dyDescent="0.15"/>
    <row r="880" s="1" customFormat="1" ht="12.75" x14ac:dyDescent="0.15"/>
    <row r="881" s="1" customFormat="1" ht="12.75" x14ac:dyDescent="0.15"/>
    <row r="882" s="1" customFormat="1" ht="12.75" x14ac:dyDescent="0.15"/>
    <row r="883" s="1" customFormat="1" ht="12.75" x14ac:dyDescent="0.15"/>
    <row r="884" s="1" customFormat="1" ht="12.75" x14ac:dyDescent="0.15"/>
    <row r="885" s="1" customFormat="1" ht="12.75" x14ac:dyDescent="0.15"/>
    <row r="886" s="1" customFormat="1" ht="12.75" x14ac:dyDescent="0.15"/>
    <row r="887" s="1" customFormat="1" ht="12.75" x14ac:dyDescent="0.15"/>
    <row r="888" s="1" customFormat="1" ht="12.75" x14ac:dyDescent="0.15"/>
    <row r="889" s="1" customFormat="1" ht="12.75" x14ac:dyDescent="0.15"/>
    <row r="890" s="1" customFormat="1" ht="12.75" x14ac:dyDescent="0.15"/>
    <row r="891" s="1" customFormat="1" ht="12.75" x14ac:dyDescent="0.15"/>
    <row r="892" s="1" customFormat="1" ht="12.75" x14ac:dyDescent="0.15"/>
    <row r="893" s="1" customFormat="1" ht="12.75" x14ac:dyDescent="0.15"/>
    <row r="894" s="1" customFormat="1" ht="12.75" x14ac:dyDescent="0.15"/>
    <row r="895" s="1" customFormat="1" ht="12.75" x14ac:dyDescent="0.15"/>
    <row r="896" s="1" customFormat="1" ht="12.75" x14ac:dyDescent="0.15"/>
    <row r="897" s="1" customFormat="1" ht="12.75" x14ac:dyDescent="0.15"/>
    <row r="898" s="1" customFormat="1" ht="12.75" x14ac:dyDescent="0.15"/>
    <row r="899" s="1" customFormat="1" ht="12.75" x14ac:dyDescent="0.15"/>
    <row r="900" s="1" customFormat="1" ht="12.75" x14ac:dyDescent="0.15"/>
    <row r="901" s="1" customFormat="1" ht="12.75" x14ac:dyDescent="0.15"/>
    <row r="902" s="1" customFormat="1" ht="12.75" x14ac:dyDescent="0.15"/>
    <row r="903" s="1" customFormat="1" ht="12.75" x14ac:dyDescent="0.15"/>
    <row r="904" s="1" customFormat="1" ht="12.75" x14ac:dyDescent="0.15"/>
    <row r="905" s="1" customFormat="1" ht="12.75" x14ac:dyDescent="0.15"/>
    <row r="906" s="1" customFormat="1" ht="12.75" x14ac:dyDescent="0.15"/>
    <row r="907" s="1" customFormat="1" ht="12.75" x14ac:dyDescent="0.15"/>
    <row r="908" s="1" customFormat="1" ht="12.75" x14ac:dyDescent="0.15"/>
    <row r="909" s="1" customFormat="1" ht="12.75" x14ac:dyDescent="0.15"/>
    <row r="910" s="1" customFormat="1" ht="12.75" x14ac:dyDescent="0.15"/>
    <row r="911" s="1" customFormat="1" ht="12.75" x14ac:dyDescent="0.15"/>
    <row r="912" s="1" customFormat="1" ht="12.75" x14ac:dyDescent="0.15"/>
    <row r="913" spans="12:12" s="1" customFormat="1" ht="12.75" x14ac:dyDescent="0.15"/>
    <row r="914" spans="12:12" s="1" customFormat="1" ht="12.75" x14ac:dyDescent="0.15"/>
    <row r="915" spans="12:12" s="1" customFormat="1" ht="12.75" x14ac:dyDescent="0.15"/>
    <row r="916" spans="12:12" s="1" customFormat="1" ht="12.75" x14ac:dyDescent="0.15"/>
    <row r="917" spans="12:12" x14ac:dyDescent="0.2">
      <c r="L917"/>
    </row>
    <row r="918" spans="12:12" x14ac:dyDescent="0.2">
      <c r="L918"/>
    </row>
    <row r="919" spans="12:12" x14ac:dyDescent="0.2">
      <c r="L919"/>
    </row>
    <row r="920" spans="12:12" x14ac:dyDescent="0.2">
      <c r="L920"/>
    </row>
    <row r="921" spans="12:12" x14ac:dyDescent="0.2">
      <c r="L921"/>
    </row>
    <row r="922" spans="12:12" x14ac:dyDescent="0.2">
      <c r="L922"/>
    </row>
    <row r="923" spans="12:12" x14ac:dyDescent="0.2">
      <c r="L923"/>
    </row>
    <row r="924" spans="12:12" x14ac:dyDescent="0.2">
      <c r="L924"/>
    </row>
    <row r="925" spans="12:12" x14ac:dyDescent="0.2">
      <c r="L925"/>
    </row>
    <row r="926" spans="12:12" x14ac:dyDescent="0.2">
      <c r="L926"/>
    </row>
    <row r="927" spans="12:12" x14ac:dyDescent="0.2">
      <c r="L927"/>
    </row>
    <row r="928" spans="12:12" x14ac:dyDescent="0.2">
      <c r="L928"/>
    </row>
    <row r="929" spans="12:12" x14ac:dyDescent="0.2">
      <c r="L929"/>
    </row>
    <row r="930" spans="12:12" x14ac:dyDescent="0.2">
      <c r="L930"/>
    </row>
    <row r="931" spans="12:12" x14ac:dyDescent="0.2">
      <c r="L931"/>
    </row>
    <row r="932" spans="12:12" x14ac:dyDescent="0.2">
      <c r="L932"/>
    </row>
    <row r="933" spans="12:12" x14ac:dyDescent="0.2">
      <c r="L933"/>
    </row>
    <row r="934" spans="12:12" x14ac:dyDescent="0.2">
      <c r="L934"/>
    </row>
    <row r="935" spans="12:12" x14ac:dyDescent="0.2">
      <c r="L935"/>
    </row>
    <row r="936" spans="12:12" x14ac:dyDescent="0.2">
      <c r="L936"/>
    </row>
    <row r="937" spans="12:12" x14ac:dyDescent="0.2">
      <c r="L937"/>
    </row>
    <row r="938" spans="12:12" x14ac:dyDescent="0.2">
      <c r="L938"/>
    </row>
    <row r="939" spans="12:12" x14ac:dyDescent="0.2">
      <c r="L939"/>
    </row>
    <row r="940" spans="12:12" x14ac:dyDescent="0.2">
      <c r="L940"/>
    </row>
    <row r="941" spans="12:12" x14ac:dyDescent="0.2">
      <c r="L941"/>
    </row>
    <row r="942" spans="12:12" x14ac:dyDescent="0.2">
      <c r="L942"/>
    </row>
    <row r="943" spans="12:12" x14ac:dyDescent="0.2">
      <c r="L943"/>
    </row>
    <row r="944" spans="12:12" x14ac:dyDescent="0.2">
      <c r="L944"/>
    </row>
    <row r="945" spans="12:12" x14ac:dyDescent="0.2">
      <c r="L945"/>
    </row>
    <row r="946" spans="12:12" x14ac:dyDescent="0.2">
      <c r="L946"/>
    </row>
    <row r="947" spans="12:12" x14ac:dyDescent="0.2">
      <c r="L947"/>
    </row>
    <row r="948" spans="12:12" x14ac:dyDescent="0.2">
      <c r="L948"/>
    </row>
    <row r="949" spans="12:12" x14ac:dyDescent="0.2">
      <c r="L949"/>
    </row>
    <row r="950" spans="12:12" x14ac:dyDescent="0.2">
      <c r="L950"/>
    </row>
    <row r="951" spans="12:12" x14ac:dyDescent="0.2">
      <c r="L951"/>
    </row>
    <row r="952" spans="12:12" x14ac:dyDescent="0.2">
      <c r="L952"/>
    </row>
    <row r="953" spans="12:12" x14ac:dyDescent="0.2">
      <c r="L953"/>
    </row>
    <row r="954" spans="12:12" x14ac:dyDescent="0.2">
      <c r="L954"/>
    </row>
    <row r="955" spans="12:12" x14ac:dyDescent="0.2">
      <c r="L955"/>
    </row>
    <row r="956" spans="12:12" x14ac:dyDescent="0.2">
      <c r="L956"/>
    </row>
    <row r="957" spans="12:12" x14ac:dyDescent="0.2">
      <c r="L957"/>
    </row>
    <row r="958" spans="12:12" x14ac:dyDescent="0.2">
      <c r="L958"/>
    </row>
    <row r="959" spans="12:12" x14ac:dyDescent="0.2">
      <c r="L959"/>
    </row>
    <row r="960" spans="12:12" x14ac:dyDescent="0.2">
      <c r="L960"/>
    </row>
    <row r="961" spans="12:12" x14ac:dyDescent="0.2">
      <c r="L961"/>
    </row>
    <row r="962" spans="12:12" x14ac:dyDescent="0.2">
      <c r="L962"/>
    </row>
    <row r="963" spans="12:12" x14ac:dyDescent="0.2">
      <c r="L963"/>
    </row>
    <row r="964" spans="12:12" x14ac:dyDescent="0.2">
      <c r="L964"/>
    </row>
    <row r="965" spans="12:12" x14ac:dyDescent="0.2">
      <c r="L965"/>
    </row>
    <row r="966" spans="12:12" x14ac:dyDescent="0.2">
      <c r="L966"/>
    </row>
    <row r="967" spans="12:12" x14ac:dyDescent="0.2">
      <c r="L967"/>
    </row>
    <row r="968" spans="12:12" x14ac:dyDescent="0.2">
      <c r="L968"/>
    </row>
    <row r="969" spans="12:12" x14ac:dyDescent="0.2">
      <c r="L969"/>
    </row>
    <row r="970" spans="12:12" x14ac:dyDescent="0.2">
      <c r="L970"/>
    </row>
    <row r="971" spans="12:12" x14ac:dyDescent="0.2">
      <c r="L971"/>
    </row>
    <row r="972" spans="12:12" x14ac:dyDescent="0.2">
      <c r="L972"/>
    </row>
    <row r="973" spans="12:12" x14ac:dyDescent="0.2">
      <c r="L973"/>
    </row>
    <row r="974" spans="12:12" x14ac:dyDescent="0.2">
      <c r="L974"/>
    </row>
    <row r="975" spans="12:12" x14ac:dyDescent="0.2">
      <c r="L975"/>
    </row>
    <row r="976" spans="12:12" x14ac:dyDescent="0.2">
      <c r="L976"/>
    </row>
    <row r="977" spans="12:12" x14ac:dyDescent="0.2">
      <c r="L977"/>
    </row>
    <row r="978" spans="12:12" x14ac:dyDescent="0.2">
      <c r="L978"/>
    </row>
    <row r="979" spans="12:12" x14ac:dyDescent="0.2">
      <c r="L979"/>
    </row>
    <row r="980" spans="12:12" x14ac:dyDescent="0.2">
      <c r="L980"/>
    </row>
    <row r="981" spans="12:12" x14ac:dyDescent="0.2">
      <c r="L981"/>
    </row>
    <row r="982" spans="12:12" x14ac:dyDescent="0.2">
      <c r="L982"/>
    </row>
    <row r="983" spans="12:12" x14ac:dyDescent="0.2">
      <c r="L983"/>
    </row>
    <row r="984" spans="12:12" x14ac:dyDescent="0.2">
      <c r="L984"/>
    </row>
    <row r="985" spans="12:12" x14ac:dyDescent="0.2">
      <c r="L985"/>
    </row>
    <row r="986" spans="12:12" x14ac:dyDescent="0.2">
      <c r="L986"/>
    </row>
    <row r="987" spans="12:12" x14ac:dyDescent="0.2">
      <c r="L987"/>
    </row>
    <row r="988" spans="12:12" x14ac:dyDescent="0.2">
      <c r="L988"/>
    </row>
    <row r="989" spans="12:12" x14ac:dyDescent="0.2">
      <c r="L989"/>
    </row>
    <row r="990" spans="12:12" x14ac:dyDescent="0.2">
      <c r="L990"/>
    </row>
    <row r="991" spans="12:12" x14ac:dyDescent="0.2">
      <c r="L991"/>
    </row>
    <row r="992" spans="12:12" x14ac:dyDescent="0.2">
      <c r="L992"/>
    </row>
    <row r="993" spans="12:12" x14ac:dyDescent="0.2">
      <c r="L993"/>
    </row>
    <row r="994" spans="12:12" x14ac:dyDescent="0.2">
      <c r="L994"/>
    </row>
    <row r="995" spans="12:12" x14ac:dyDescent="0.2">
      <c r="L995"/>
    </row>
    <row r="996" spans="12:12" x14ac:dyDescent="0.2">
      <c r="L996"/>
    </row>
    <row r="997" spans="12:12" x14ac:dyDescent="0.2">
      <c r="L997"/>
    </row>
    <row r="998" spans="12:12" x14ac:dyDescent="0.2">
      <c r="L998"/>
    </row>
    <row r="999" spans="12:12" x14ac:dyDescent="0.2">
      <c r="L999"/>
    </row>
    <row r="1000" spans="12:12" x14ac:dyDescent="0.2">
      <c r="L1000"/>
    </row>
    <row r="1001" spans="12:12" x14ac:dyDescent="0.2">
      <c r="L1001"/>
    </row>
    <row r="1002" spans="12:12" x14ac:dyDescent="0.2">
      <c r="L1002"/>
    </row>
    <row r="1003" spans="12:12" x14ac:dyDescent="0.2">
      <c r="L1003"/>
    </row>
    <row r="1004" spans="12:12" x14ac:dyDescent="0.2">
      <c r="L1004"/>
    </row>
    <row r="1005" spans="12:12" x14ac:dyDescent="0.2">
      <c r="L1005"/>
    </row>
    <row r="1006" spans="12:12" x14ac:dyDescent="0.2">
      <c r="L1006"/>
    </row>
    <row r="1007" spans="12:12" x14ac:dyDescent="0.2">
      <c r="L1007"/>
    </row>
    <row r="1008" spans="12:12" x14ac:dyDescent="0.2">
      <c r="L1008"/>
    </row>
    <row r="1009" spans="12:12" x14ac:dyDescent="0.2">
      <c r="L1009"/>
    </row>
    <row r="1010" spans="12:12" x14ac:dyDescent="0.2">
      <c r="L1010"/>
    </row>
    <row r="1011" spans="12:12" x14ac:dyDescent="0.2">
      <c r="L1011"/>
    </row>
    <row r="1012" spans="12:12" x14ac:dyDescent="0.2">
      <c r="L1012"/>
    </row>
    <row r="1013" spans="12:12" x14ac:dyDescent="0.2">
      <c r="L1013"/>
    </row>
    <row r="1014" spans="12:12" x14ac:dyDescent="0.2">
      <c r="L1014"/>
    </row>
    <row r="1015" spans="12:12" x14ac:dyDescent="0.2">
      <c r="L1015"/>
    </row>
    <row r="1016" spans="12:12" x14ac:dyDescent="0.2">
      <c r="L1016"/>
    </row>
    <row r="1017" spans="12:12" x14ac:dyDescent="0.2">
      <c r="L1017"/>
    </row>
    <row r="1018" spans="12:12" x14ac:dyDescent="0.2">
      <c r="L1018"/>
    </row>
    <row r="1019" spans="12:12" x14ac:dyDescent="0.2">
      <c r="L1019"/>
    </row>
    <row r="1020" spans="12:12" x14ac:dyDescent="0.2">
      <c r="L1020"/>
    </row>
    <row r="1021" spans="12:12" x14ac:dyDescent="0.2">
      <c r="L1021"/>
    </row>
    <row r="1022" spans="12:12" x14ac:dyDescent="0.2">
      <c r="L1022"/>
    </row>
    <row r="1023" spans="12:12" x14ac:dyDescent="0.2">
      <c r="L1023"/>
    </row>
    <row r="1024" spans="12:12" x14ac:dyDescent="0.2">
      <c r="L1024"/>
    </row>
    <row r="1025" spans="12:12" x14ac:dyDescent="0.2">
      <c r="L1025"/>
    </row>
    <row r="1026" spans="12:12" x14ac:dyDescent="0.2">
      <c r="L1026"/>
    </row>
    <row r="1027" spans="12:12" x14ac:dyDescent="0.2">
      <c r="L1027"/>
    </row>
    <row r="1028" spans="12:12" x14ac:dyDescent="0.2">
      <c r="L1028"/>
    </row>
    <row r="1029" spans="12:12" x14ac:dyDescent="0.2">
      <c r="L1029"/>
    </row>
    <row r="1030" spans="12:12" x14ac:dyDescent="0.2">
      <c r="L1030"/>
    </row>
    <row r="1031" spans="12:12" x14ac:dyDescent="0.2">
      <c r="L1031"/>
    </row>
    <row r="1032" spans="12:12" x14ac:dyDescent="0.2">
      <c r="L1032"/>
    </row>
    <row r="1033" spans="12:12" x14ac:dyDescent="0.2">
      <c r="L1033"/>
    </row>
    <row r="1034" spans="12:12" x14ac:dyDescent="0.2">
      <c r="L1034"/>
    </row>
    <row r="1035" spans="12:12" x14ac:dyDescent="0.2">
      <c r="L1035"/>
    </row>
    <row r="1036" spans="12:12" x14ac:dyDescent="0.2">
      <c r="L1036"/>
    </row>
    <row r="1037" spans="12:12" x14ac:dyDescent="0.2">
      <c r="L1037"/>
    </row>
    <row r="1038" spans="12:12" x14ac:dyDescent="0.2">
      <c r="L1038"/>
    </row>
    <row r="1039" spans="12:12" x14ac:dyDescent="0.2">
      <c r="L1039"/>
    </row>
    <row r="1040" spans="12:12" x14ac:dyDescent="0.2">
      <c r="L1040"/>
    </row>
    <row r="1041" spans="12:12" x14ac:dyDescent="0.2">
      <c r="L1041"/>
    </row>
    <row r="1042" spans="12:12" x14ac:dyDescent="0.2">
      <c r="L1042"/>
    </row>
    <row r="1043" spans="12:12" x14ac:dyDescent="0.2">
      <c r="L1043"/>
    </row>
    <row r="1044" spans="12:12" x14ac:dyDescent="0.2">
      <c r="L1044"/>
    </row>
    <row r="1045" spans="12:12" x14ac:dyDescent="0.2">
      <c r="L1045"/>
    </row>
    <row r="1046" spans="12:12" x14ac:dyDescent="0.2">
      <c r="L1046"/>
    </row>
    <row r="1047" spans="12:12" x14ac:dyDescent="0.2">
      <c r="L1047"/>
    </row>
    <row r="1048" spans="12:12" x14ac:dyDescent="0.2">
      <c r="L1048"/>
    </row>
    <row r="1049" spans="12:12" x14ac:dyDescent="0.2">
      <c r="L1049"/>
    </row>
    <row r="1050" spans="12:12" x14ac:dyDescent="0.2">
      <c r="L1050"/>
    </row>
    <row r="1051" spans="12:12" x14ac:dyDescent="0.2">
      <c r="L1051"/>
    </row>
    <row r="1052" spans="12:12" x14ac:dyDescent="0.2">
      <c r="L1052"/>
    </row>
    <row r="1053" spans="12:12" x14ac:dyDescent="0.2">
      <c r="L1053"/>
    </row>
    <row r="1054" spans="12:12" x14ac:dyDescent="0.2">
      <c r="L1054"/>
    </row>
    <row r="1055" spans="12:12" x14ac:dyDescent="0.2">
      <c r="L1055"/>
    </row>
    <row r="1056" spans="12:12" x14ac:dyDescent="0.2">
      <c r="L1056"/>
    </row>
    <row r="1057" spans="12:12" x14ac:dyDescent="0.2">
      <c r="L1057"/>
    </row>
    <row r="1058" spans="12:12" x14ac:dyDescent="0.2">
      <c r="L1058"/>
    </row>
    <row r="1059" spans="12:12" x14ac:dyDescent="0.2">
      <c r="L1059"/>
    </row>
    <row r="1060" spans="12:12" x14ac:dyDescent="0.2">
      <c r="L1060"/>
    </row>
    <row r="1061" spans="12:12" x14ac:dyDescent="0.2">
      <c r="L1061"/>
    </row>
    <row r="1062" spans="12:12" x14ac:dyDescent="0.2">
      <c r="L1062"/>
    </row>
    <row r="1063" spans="12:12" x14ac:dyDescent="0.2">
      <c r="L1063"/>
    </row>
    <row r="1064" spans="12:12" x14ac:dyDescent="0.2">
      <c r="L1064"/>
    </row>
    <row r="1065" spans="12:12" x14ac:dyDescent="0.2">
      <c r="L1065"/>
    </row>
    <row r="1066" spans="12:12" x14ac:dyDescent="0.2">
      <c r="L1066"/>
    </row>
    <row r="1067" spans="12:12" x14ac:dyDescent="0.2">
      <c r="L1067"/>
    </row>
    <row r="1068" spans="12:12" x14ac:dyDescent="0.2">
      <c r="L1068"/>
    </row>
    <row r="1069" spans="12:12" x14ac:dyDescent="0.2">
      <c r="L1069"/>
    </row>
    <row r="1070" spans="12:12" x14ac:dyDescent="0.2">
      <c r="L1070"/>
    </row>
    <row r="1071" spans="12:12" x14ac:dyDescent="0.2">
      <c r="L1071"/>
    </row>
    <row r="1072" spans="12:12" x14ac:dyDescent="0.2">
      <c r="L1072"/>
    </row>
    <row r="1073" spans="12:12" x14ac:dyDescent="0.2">
      <c r="L1073"/>
    </row>
    <row r="1074" spans="12:12" x14ac:dyDescent="0.2">
      <c r="L1074"/>
    </row>
    <row r="1075" spans="12:12" x14ac:dyDescent="0.2">
      <c r="L1075"/>
    </row>
    <row r="1076" spans="12:12" x14ac:dyDescent="0.2">
      <c r="L1076"/>
    </row>
    <row r="1077" spans="12:12" x14ac:dyDescent="0.2">
      <c r="L1077"/>
    </row>
    <row r="1078" spans="12:12" x14ac:dyDescent="0.2">
      <c r="L1078"/>
    </row>
    <row r="1079" spans="12:12" x14ac:dyDescent="0.2">
      <c r="L1079"/>
    </row>
    <row r="1080" spans="12:12" x14ac:dyDescent="0.2">
      <c r="L1080"/>
    </row>
    <row r="1081" spans="12:12" x14ac:dyDescent="0.2">
      <c r="L1081"/>
    </row>
    <row r="1082" spans="12:12" x14ac:dyDescent="0.2">
      <c r="L1082"/>
    </row>
    <row r="1083" spans="12:12" x14ac:dyDescent="0.2">
      <c r="L1083"/>
    </row>
    <row r="1084" spans="12:12" x14ac:dyDescent="0.2">
      <c r="L1084"/>
    </row>
    <row r="1085" spans="12:12" x14ac:dyDescent="0.2">
      <c r="L1085"/>
    </row>
    <row r="1086" spans="12:12" x14ac:dyDescent="0.2">
      <c r="L1086"/>
    </row>
    <row r="1087" spans="12:12" x14ac:dyDescent="0.2">
      <c r="L1087"/>
    </row>
    <row r="1088" spans="12:12" x14ac:dyDescent="0.2">
      <c r="L1088"/>
    </row>
    <row r="1089" spans="12:12" x14ac:dyDescent="0.2">
      <c r="L1089"/>
    </row>
    <row r="1090" spans="12:12" x14ac:dyDescent="0.2">
      <c r="L1090"/>
    </row>
    <row r="1091" spans="12:12" x14ac:dyDescent="0.2">
      <c r="L1091"/>
    </row>
    <row r="1092" spans="12:12" x14ac:dyDescent="0.2">
      <c r="L1092"/>
    </row>
    <row r="1093" spans="12:12" x14ac:dyDescent="0.2">
      <c r="L1093"/>
    </row>
    <row r="1094" spans="12:12" x14ac:dyDescent="0.2">
      <c r="L1094"/>
    </row>
    <row r="1095" spans="12:12" x14ac:dyDescent="0.2">
      <c r="L1095"/>
    </row>
    <row r="1096" spans="12:12" x14ac:dyDescent="0.2">
      <c r="L1096"/>
    </row>
    <row r="1097" spans="12:12" x14ac:dyDescent="0.2">
      <c r="L1097"/>
    </row>
    <row r="1098" spans="12:12" x14ac:dyDescent="0.2">
      <c r="L1098"/>
    </row>
    <row r="1099" spans="12:12" x14ac:dyDescent="0.2">
      <c r="L1099"/>
    </row>
    <row r="1100" spans="12:12" x14ac:dyDescent="0.2">
      <c r="L1100"/>
    </row>
    <row r="1101" spans="12:12" x14ac:dyDescent="0.2">
      <c r="L1101"/>
    </row>
    <row r="1102" spans="12:12" x14ac:dyDescent="0.2">
      <c r="L1102"/>
    </row>
    <row r="1103" spans="12:12" x14ac:dyDescent="0.2">
      <c r="L1103"/>
    </row>
    <row r="1104" spans="12:12" x14ac:dyDescent="0.2">
      <c r="L1104"/>
    </row>
    <row r="1105" spans="12:12" x14ac:dyDescent="0.2">
      <c r="L1105"/>
    </row>
    <row r="1106" spans="12:12" x14ac:dyDescent="0.2">
      <c r="L1106"/>
    </row>
    <row r="1107" spans="12:12" x14ac:dyDescent="0.2">
      <c r="L1107"/>
    </row>
    <row r="1108" spans="12:12" x14ac:dyDescent="0.2">
      <c r="L1108"/>
    </row>
    <row r="1109" spans="12:12" x14ac:dyDescent="0.2">
      <c r="L1109"/>
    </row>
    <row r="1110" spans="12:12" x14ac:dyDescent="0.2">
      <c r="L1110"/>
    </row>
    <row r="1111" spans="12:12" x14ac:dyDescent="0.2">
      <c r="L1111"/>
    </row>
    <row r="1112" spans="12:12" x14ac:dyDescent="0.2">
      <c r="L1112"/>
    </row>
    <row r="1113" spans="12:12" x14ac:dyDescent="0.2">
      <c r="L1113"/>
    </row>
    <row r="1114" spans="12:12" x14ac:dyDescent="0.2">
      <c r="L1114"/>
    </row>
    <row r="1115" spans="12:12" x14ac:dyDescent="0.2">
      <c r="L1115"/>
    </row>
    <row r="1116" spans="12:12" x14ac:dyDescent="0.2">
      <c r="L1116"/>
    </row>
    <row r="1117" spans="12:12" x14ac:dyDescent="0.2">
      <c r="L1117"/>
    </row>
    <row r="1118" spans="12:12" x14ac:dyDescent="0.2">
      <c r="L1118"/>
    </row>
    <row r="1119" spans="12:12" x14ac:dyDescent="0.2">
      <c r="L1119"/>
    </row>
    <row r="1120" spans="12:12" x14ac:dyDescent="0.2">
      <c r="L1120"/>
    </row>
    <row r="1121" spans="12:12" x14ac:dyDescent="0.2">
      <c r="L1121"/>
    </row>
    <row r="1122" spans="12:12" x14ac:dyDescent="0.2">
      <c r="L1122"/>
    </row>
    <row r="1123" spans="12:12" x14ac:dyDescent="0.2">
      <c r="L1123"/>
    </row>
    <row r="1124" spans="12:12" x14ac:dyDescent="0.2">
      <c r="L1124"/>
    </row>
    <row r="1125" spans="12:12" x14ac:dyDescent="0.2">
      <c r="L1125"/>
    </row>
    <row r="1126" spans="12:12" x14ac:dyDescent="0.2">
      <c r="L1126"/>
    </row>
    <row r="1127" spans="12:12" x14ac:dyDescent="0.2">
      <c r="L1127"/>
    </row>
    <row r="1128" spans="12:12" x14ac:dyDescent="0.2">
      <c r="L1128"/>
    </row>
    <row r="1129" spans="12:12" x14ac:dyDescent="0.2">
      <c r="L1129"/>
    </row>
    <row r="1130" spans="12:12" x14ac:dyDescent="0.2">
      <c r="L1130"/>
    </row>
    <row r="1131" spans="12:12" x14ac:dyDescent="0.2">
      <c r="L1131"/>
    </row>
    <row r="1132" spans="12:12" x14ac:dyDescent="0.2">
      <c r="L1132"/>
    </row>
    <row r="1133" spans="12:12" x14ac:dyDescent="0.2">
      <c r="L1133"/>
    </row>
    <row r="1134" spans="12:12" x14ac:dyDescent="0.2">
      <c r="L1134"/>
    </row>
    <row r="1135" spans="12:12" x14ac:dyDescent="0.2">
      <c r="L1135"/>
    </row>
    <row r="1136" spans="12:12" x14ac:dyDescent="0.2">
      <c r="L1136"/>
    </row>
    <row r="1137" spans="12:12" x14ac:dyDescent="0.2">
      <c r="L1137"/>
    </row>
    <row r="1138" spans="12:12" x14ac:dyDescent="0.2">
      <c r="L1138"/>
    </row>
    <row r="1139" spans="12:12" x14ac:dyDescent="0.2">
      <c r="L1139"/>
    </row>
    <row r="1140" spans="12:12" x14ac:dyDescent="0.2">
      <c r="L1140"/>
    </row>
    <row r="1141" spans="12:12" x14ac:dyDescent="0.2">
      <c r="L1141"/>
    </row>
    <row r="1142" spans="12:12" x14ac:dyDescent="0.2">
      <c r="L1142"/>
    </row>
    <row r="1143" spans="12:12" x14ac:dyDescent="0.2">
      <c r="L1143"/>
    </row>
    <row r="1144" spans="12:12" x14ac:dyDescent="0.2">
      <c r="L1144"/>
    </row>
    <row r="1145" spans="12:12" x14ac:dyDescent="0.2">
      <c r="L1145"/>
    </row>
    <row r="1146" spans="12:12" x14ac:dyDescent="0.2">
      <c r="L1146"/>
    </row>
    <row r="1147" spans="12:12" x14ac:dyDescent="0.2">
      <c r="L1147"/>
    </row>
    <row r="1148" spans="12:12" x14ac:dyDescent="0.2">
      <c r="L1148"/>
    </row>
    <row r="1149" spans="12:12" x14ac:dyDescent="0.2">
      <c r="L1149"/>
    </row>
    <row r="1150" spans="12:12" x14ac:dyDescent="0.2">
      <c r="L1150"/>
    </row>
    <row r="1151" spans="12:12" x14ac:dyDescent="0.2">
      <c r="L1151"/>
    </row>
    <row r="1152" spans="12:12" x14ac:dyDescent="0.2">
      <c r="L1152"/>
    </row>
    <row r="1153" spans="12:12" x14ac:dyDescent="0.2">
      <c r="L1153"/>
    </row>
    <row r="1154" spans="12:12" x14ac:dyDescent="0.2">
      <c r="L1154"/>
    </row>
    <row r="1155" spans="12:12" x14ac:dyDescent="0.2">
      <c r="L1155"/>
    </row>
    <row r="1156" spans="12:12" x14ac:dyDescent="0.2">
      <c r="L1156"/>
    </row>
    <row r="1157" spans="12:12" x14ac:dyDescent="0.2">
      <c r="L1157"/>
    </row>
    <row r="1158" spans="12:12" x14ac:dyDescent="0.2">
      <c r="L1158"/>
    </row>
    <row r="1159" spans="12:12" x14ac:dyDescent="0.2">
      <c r="L1159"/>
    </row>
    <row r="1160" spans="12:12" x14ac:dyDescent="0.2">
      <c r="L1160"/>
    </row>
    <row r="1161" spans="12:12" x14ac:dyDescent="0.2">
      <c r="L1161"/>
    </row>
    <row r="1162" spans="12:12" x14ac:dyDescent="0.2">
      <c r="L1162"/>
    </row>
    <row r="1163" spans="12:12" x14ac:dyDescent="0.2">
      <c r="L1163"/>
    </row>
    <row r="1164" spans="12:12" x14ac:dyDescent="0.2">
      <c r="L1164"/>
    </row>
    <row r="1165" spans="12:12" x14ac:dyDescent="0.2">
      <c r="L1165"/>
    </row>
    <row r="1166" spans="12:12" x14ac:dyDescent="0.2">
      <c r="L1166"/>
    </row>
    <row r="1167" spans="12:12" x14ac:dyDescent="0.2">
      <c r="L1167"/>
    </row>
    <row r="1168" spans="12:12" x14ac:dyDescent="0.2">
      <c r="L1168"/>
    </row>
    <row r="1169" spans="12:12" x14ac:dyDescent="0.2">
      <c r="L1169"/>
    </row>
    <row r="1170" spans="12:12" x14ac:dyDescent="0.2">
      <c r="L1170"/>
    </row>
    <row r="1171" spans="12:12" x14ac:dyDescent="0.2">
      <c r="L1171"/>
    </row>
    <row r="1172" spans="12:12" x14ac:dyDescent="0.2">
      <c r="L1172"/>
    </row>
    <row r="1173" spans="12:12" x14ac:dyDescent="0.2">
      <c r="L1173"/>
    </row>
    <row r="1174" spans="12:12" x14ac:dyDescent="0.2">
      <c r="L1174"/>
    </row>
    <row r="1175" spans="12:12" x14ac:dyDescent="0.2">
      <c r="L1175"/>
    </row>
    <row r="1176" spans="12:12" x14ac:dyDescent="0.2">
      <c r="L1176"/>
    </row>
    <row r="1177" spans="12:12" x14ac:dyDescent="0.2">
      <c r="L1177"/>
    </row>
    <row r="1178" spans="12:12" x14ac:dyDescent="0.2">
      <c r="L1178"/>
    </row>
    <row r="1179" spans="12:12" x14ac:dyDescent="0.2">
      <c r="L1179"/>
    </row>
    <row r="1180" spans="12:12" x14ac:dyDescent="0.2">
      <c r="L1180"/>
    </row>
    <row r="1181" spans="12:12" x14ac:dyDescent="0.2">
      <c r="L1181"/>
    </row>
    <row r="1182" spans="12:12" x14ac:dyDescent="0.2">
      <c r="L1182"/>
    </row>
    <row r="1183" spans="12:12" x14ac:dyDescent="0.2">
      <c r="L1183"/>
    </row>
    <row r="1184" spans="12:12" x14ac:dyDescent="0.2">
      <c r="L1184"/>
    </row>
    <row r="1185" spans="12:12" x14ac:dyDescent="0.2">
      <c r="L1185"/>
    </row>
    <row r="1186" spans="12:12" x14ac:dyDescent="0.2">
      <c r="L1186"/>
    </row>
    <row r="1187" spans="12:12" x14ac:dyDescent="0.2">
      <c r="L1187"/>
    </row>
    <row r="1188" spans="12:12" x14ac:dyDescent="0.2">
      <c r="L1188"/>
    </row>
    <row r="1189" spans="12:12" x14ac:dyDescent="0.2">
      <c r="L1189"/>
    </row>
    <row r="1190" spans="12:12" x14ac:dyDescent="0.2">
      <c r="L1190"/>
    </row>
    <row r="1191" spans="12:12" x14ac:dyDescent="0.2">
      <c r="L1191"/>
    </row>
    <row r="1192" spans="12:12" x14ac:dyDescent="0.2">
      <c r="L1192"/>
    </row>
    <row r="1193" spans="12:12" x14ac:dyDescent="0.2">
      <c r="L1193"/>
    </row>
    <row r="1194" spans="12:12" x14ac:dyDescent="0.2">
      <c r="L1194"/>
    </row>
    <row r="1195" spans="12:12" x14ac:dyDescent="0.2">
      <c r="L1195"/>
    </row>
    <row r="1196" spans="12:12" x14ac:dyDescent="0.2">
      <c r="L1196"/>
    </row>
    <row r="1197" spans="12:12" x14ac:dyDescent="0.2">
      <c r="L1197"/>
    </row>
    <row r="1198" spans="12:12" x14ac:dyDescent="0.2">
      <c r="L1198"/>
    </row>
    <row r="1199" spans="12:12" x14ac:dyDescent="0.2">
      <c r="L1199"/>
    </row>
    <row r="1200" spans="12:12" x14ac:dyDescent="0.2">
      <c r="L1200"/>
    </row>
    <row r="1201" spans="12:12" x14ac:dyDescent="0.2">
      <c r="L1201"/>
    </row>
    <row r="1202" spans="12:12" x14ac:dyDescent="0.2">
      <c r="L1202"/>
    </row>
    <row r="1203" spans="12:12" x14ac:dyDescent="0.2">
      <c r="L1203"/>
    </row>
    <row r="1204" spans="12:12" x14ac:dyDescent="0.2">
      <c r="L1204"/>
    </row>
    <row r="1205" spans="12:12" x14ac:dyDescent="0.2">
      <c r="L1205"/>
    </row>
    <row r="1206" spans="12:12" x14ac:dyDescent="0.2">
      <c r="L1206"/>
    </row>
    <row r="1207" spans="12:12" x14ac:dyDescent="0.2">
      <c r="L1207"/>
    </row>
    <row r="1208" spans="12:12" x14ac:dyDescent="0.2">
      <c r="L1208"/>
    </row>
    <row r="1209" spans="12:12" x14ac:dyDescent="0.2">
      <c r="L1209"/>
    </row>
    <row r="1210" spans="12:12" x14ac:dyDescent="0.2">
      <c r="L1210"/>
    </row>
    <row r="1211" spans="12:12" x14ac:dyDescent="0.2">
      <c r="L1211"/>
    </row>
    <row r="1212" spans="12:12" x14ac:dyDescent="0.2">
      <c r="L1212"/>
    </row>
    <row r="1213" spans="12:12" x14ac:dyDescent="0.2">
      <c r="L1213"/>
    </row>
    <row r="1214" spans="12:12" x14ac:dyDescent="0.2">
      <c r="L1214"/>
    </row>
    <row r="1215" spans="12:12" x14ac:dyDescent="0.2">
      <c r="L1215"/>
    </row>
    <row r="1216" spans="12:12" x14ac:dyDescent="0.2">
      <c r="L1216"/>
    </row>
    <row r="1217" spans="12:12" x14ac:dyDescent="0.2">
      <c r="L1217"/>
    </row>
    <row r="1218" spans="12:12" x14ac:dyDescent="0.2">
      <c r="L1218"/>
    </row>
    <row r="1219" spans="12:12" x14ac:dyDescent="0.2">
      <c r="L1219"/>
    </row>
    <row r="1220" spans="12:12" x14ac:dyDescent="0.2">
      <c r="L1220"/>
    </row>
    <row r="1221" spans="12:12" x14ac:dyDescent="0.2">
      <c r="L1221"/>
    </row>
    <row r="1222" spans="12:12" x14ac:dyDescent="0.2">
      <c r="L1222"/>
    </row>
    <row r="1223" spans="12:12" x14ac:dyDescent="0.2">
      <c r="L1223"/>
    </row>
    <row r="1224" spans="12:12" x14ac:dyDescent="0.2">
      <c r="L1224"/>
    </row>
    <row r="1225" spans="12:12" x14ac:dyDescent="0.2">
      <c r="L1225"/>
    </row>
    <row r="1226" spans="12:12" x14ac:dyDescent="0.2">
      <c r="L1226"/>
    </row>
    <row r="1227" spans="12:12" x14ac:dyDescent="0.2">
      <c r="L1227"/>
    </row>
    <row r="1228" spans="12:12" x14ac:dyDescent="0.2">
      <c r="L1228"/>
    </row>
    <row r="1229" spans="12:12" x14ac:dyDescent="0.2">
      <c r="L1229"/>
    </row>
    <row r="1230" spans="12:12" x14ac:dyDescent="0.2">
      <c r="L1230"/>
    </row>
    <row r="1231" spans="12:12" x14ac:dyDescent="0.2">
      <c r="L1231"/>
    </row>
    <row r="1232" spans="12:12" x14ac:dyDescent="0.2">
      <c r="L1232"/>
    </row>
    <row r="1233" spans="12:12" x14ac:dyDescent="0.2">
      <c r="L1233"/>
    </row>
    <row r="1234" spans="12:12" x14ac:dyDescent="0.2">
      <c r="L1234"/>
    </row>
    <row r="1235" spans="12:12" x14ac:dyDescent="0.2">
      <c r="L1235"/>
    </row>
    <row r="1236" spans="12:12" x14ac:dyDescent="0.2">
      <c r="L1236"/>
    </row>
    <row r="1237" spans="12:12" x14ac:dyDescent="0.2">
      <c r="L1237"/>
    </row>
    <row r="1238" spans="12:12" x14ac:dyDescent="0.2">
      <c r="L1238"/>
    </row>
    <row r="1239" spans="12:12" x14ac:dyDescent="0.2">
      <c r="L1239"/>
    </row>
    <row r="1240" spans="12:12" x14ac:dyDescent="0.2">
      <c r="L1240"/>
    </row>
    <row r="1241" spans="12:12" x14ac:dyDescent="0.2">
      <c r="L1241"/>
    </row>
    <row r="1242" spans="12:12" x14ac:dyDescent="0.2">
      <c r="L1242"/>
    </row>
    <row r="1243" spans="12:12" x14ac:dyDescent="0.2">
      <c r="L1243"/>
    </row>
    <row r="1244" spans="12:12" x14ac:dyDescent="0.2">
      <c r="L1244"/>
    </row>
    <row r="1245" spans="12:12" x14ac:dyDescent="0.2">
      <c r="L1245"/>
    </row>
    <row r="1246" spans="12:12" x14ac:dyDescent="0.2">
      <c r="L1246"/>
    </row>
    <row r="1247" spans="12:12" x14ac:dyDescent="0.2">
      <c r="L1247"/>
    </row>
    <row r="1248" spans="12:12" x14ac:dyDescent="0.2">
      <c r="L1248"/>
    </row>
    <row r="1249" spans="12:12" x14ac:dyDescent="0.2">
      <c r="L1249"/>
    </row>
    <row r="1250" spans="12:12" x14ac:dyDescent="0.2">
      <c r="L1250"/>
    </row>
    <row r="1251" spans="12:12" x14ac:dyDescent="0.2">
      <c r="L1251"/>
    </row>
    <row r="1252" spans="12:12" x14ac:dyDescent="0.2">
      <c r="L1252"/>
    </row>
    <row r="1253" spans="12:12" x14ac:dyDescent="0.2">
      <c r="L1253"/>
    </row>
    <row r="1254" spans="12:12" x14ac:dyDescent="0.2">
      <c r="L1254"/>
    </row>
    <row r="1255" spans="12:12" x14ac:dyDescent="0.2">
      <c r="L1255"/>
    </row>
    <row r="1256" spans="12:12" x14ac:dyDescent="0.2">
      <c r="L1256"/>
    </row>
    <row r="1257" spans="12:12" x14ac:dyDescent="0.2">
      <c r="L1257"/>
    </row>
    <row r="1258" spans="12:12" x14ac:dyDescent="0.2">
      <c r="L1258"/>
    </row>
    <row r="1259" spans="12:12" x14ac:dyDescent="0.2">
      <c r="L1259"/>
    </row>
    <row r="1260" spans="12:12" x14ac:dyDescent="0.2">
      <c r="L1260"/>
    </row>
    <row r="1261" spans="12:12" x14ac:dyDescent="0.2">
      <c r="L1261"/>
    </row>
    <row r="1262" spans="12:12" x14ac:dyDescent="0.2">
      <c r="L1262"/>
    </row>
    <row r="1263" spans="12:12" x14ac:dyDescent="0.2">
      <c r="L1263"/>
    </row>
    <row r="1264" spans="12:12" x14ac:dyDescent="0.2">
      <c r="L1264"/>
    </row>
    <row r="1265" spans="12:12" x14ac:dyDescent="0.2">
      <c r="L1265"/>
    </row>
    <row r="1266" spans="12:12" x14ac:dyDescent="0.2">
      <c r="L1266"/>
    </row>
    <row r="1267" spans="12:12" x14ac:dyDescent="0.2">
      <c r="L1267"/>
    </row>
    <row r="1268" spans="12:12" x14ac:dyDescent="0.2">
      <c r="L1268"/>
    </row>
    <row r="1269" spans="12:12" x14ac:dyDescent="0.2">
      <c r="L1269"/>
    </row>
    <row r="1270" spans="12:12" x14ac:dyDescent="0.2">
      <c r="L1270"/>
    </row>
    <row r="1271" spans="12:12" x14ac:dyDescent="0.2">
      <c r="L1271"/>
    </row>
    <row r="1272" spans="12:12" x14ac:dyDescent="0.2">
      <c r="L1272"/>
    </row>
    <row r="1273" spans="12:12" x14ac:dyDescent="0.2">
      <c r="L1273"/>
    </row>
    <row r="1274" spans="12:12" x14ac:dyDescent="0.2">
      <c r="L1274"/>
    </row>
    <row r="1275" spans="12:12" x14ac:dyDescent="0.2">
      <c r="L1275"/>
    </row>
    <row r="1276" spans="12:12" x14ac:dyDescent="0.2">
      <c r="L1276"/>
    </row>
    <row r="1277" spans="12:12" x14ac:dyDescent="0.2">
      <c r="L1277"/>
    </row>
    <row r="1278" spans="12:12" x14ac:dyDescent="0.2">
      <c r="L1278"/>
    </row>
    <row r="1279" spans="12:12" x14ac:dyDescent="0.2">
      <c r="L1279"/>
    </row>
    <row r="1280" spans="12:12" x14ac:dyDescent="0.2">
      <c r="L1280"/>
    </row>
    <row r="1281" spans="12:12" x14ac:dyDescent="0.2">
      <c r="L1281"/>
    </row>
    <row r="1282" spans="12:12" x14ac:dyDescent="0.2">
      <c r="L1282"/>
    </row>
    <row r="1283" spans="12:12" x14ac:dyDescent="0.2">
      <c r="L1283"/>
    </row>
    <row r="1284" spans="12:12" x14ac:dyDescent="0.2">
      <c r="L1284"/>
    </row>
    <row r="1285" spans="12:12" x14ac:dyDescent="0.2">
      <c r="L1285"/>
    </row>
    <row r="1286" spans="12:12" x14ac:dyDescent="0.2">
      <c r="L1286"/>
    </row>
    <row r="1287" spans="12:12" x14ac:dyDescent="0.2">
      <c r="L1287"/>
    </row>
    <row r="1288" spans="12:12" x14ac:dyDescent="0.2">
      <c r="L1288"/>
    </row>
    <row r="1289" spans="12:12" x14ac:dyDescent="0.2">
      <c r="L1289"/>
    </row>
    <row r="1290" spans="12:12" x14ac:dyDescent="0.2">
      <c r="L1290"/>
    </row>
    <row r="1291" spans="12:12" x14ac:dyDescent="0.2">
      <c r="L1291"/>
    </row>
    <row r="1292" spans="12:12" x14ac:dyDescent="0.2">
      <c r="L1292"/>
    </row>
    <row r="1293" spans="12:12" x14ac:dyDescent="0.2">
      <c r="L1293"/>
    </row>
    <row r="1294" spans="12:12" x14ac:dyDescent="0.2">
      <c r="L1294"/>
    </row>
    <row r="1295" spans="12:12" x14ac:dyDescent="0.2">
      <c r="L1295"/>
    </row>
    <row r="1296" spans="12:12" x14ac:dyDescent="0.2">
      <c r="L1296"/>
    </row>
    <row r="1297" spans="12:12" x14ac:dyDescent="0.2">
      <c r="L1297"/>
    </row>
    <row r="1298" spans="12:12" x14ac:dyDescent="0.2">
      <c r="L1298"/>
    </row>
    <row r="1299" spans="12:12" x14ac:dyDescent="0.2">
      <c r="L1299"/>
    </row>
    <row r="1300" spans="12:12" x14ac:dyDescent="0.2">
      <c r="L1300"/>
    </row>
    <row r="1301" spans="12:12" x14ac:dyDescent="0.2">
      <c r="L1301"/>
    </row>
    <row r="1302" spans="12:12" x14ac:dyDescent="0.2">
      <c r="L1302"/>
    </row>
    <row r="1303" spans="12:12" x14ac:dyDescent="0.2">
      <c r="L1303"/>
    </row>
    <row r="1304" spans="12:12" x14ac:dyDescent="0.2">
      <c r="L1304"/>
    </row>
    <row r="1305" spans="12:12" x14ac:dyDescent="0.2">
      <c r="L1305"/>
    </row>
    <row r="1306" spans="12:12" x14ac:dyDescent="0.2">
      <c r="L1306"/>
    </row>
    <row r="1307" spans="12:12" x14ac:dyDescent="0.2">
      <c r="L1307"/>
    </row>
    <row r="1308" spans="12:12" x14ac:dyDescent="0.2">
      <c r="L1308"/>
    </row>
    <row r="1309" spans="12:12" x14ac:dyDescent="0.2">
      <c r="L1309"/>
    </row>
    <row r="1310" spans="12:12" x14ac:dyDescent="0.2">
      <c r="L1310"/>
    </row>
    <row r="1311" spans="12:12" x14ac:dyDescent="0.2">
      <c r="L1311"/>
    </row>
    <row r="1312" spans="12:12" x14ac:dyDescent="0.2">
      <c r="L1312"/>
    </row>
    <row r="1313" spans="12:12" x14ac:dyDescent="0.2">
      <c r="L1313"/>
    </row>
    <row r="1314" spans="12:12" x14ac:dyDescent="0.2">
      <c r="L1314"/>
    </row>
    <row r="1315" spans="12:12" x14ac:dyDescent="0.2">
      <c r="L1315"/>
    </row>
    <row r="1316" spans="12:12" x14ac:dyDescent="0.2">
      <c r="L1316"/>
    </row>
    <row r="1317" spans="12:12" x14ac:dyDescent="0.2">
      <c r="L1317"/>
    </row>
    <row r="1318" spans="12:12" x14ac:dyDescent="0.2">
      <c r="L1318"/>
    </row>
    <row r="1319" spans="12:12" x14ac:dyDescent="0.2">
      <c r="L1319"/>
    </row>
    <row r="1320" spans="12:12" x14ac:dyDescent="0.2">
      <c r="L1320"/>
    </row>
    <row r="1321" spans="12:12" x14ac:dyDescent="0.2">
      <c r="L1321"/>
    </row>
    <row r="1322" spans="12:12" x14ac:dyDescent="0.2">
      <c r="L1322"/>
    </row>
    <row r="1323" spans="12:12" x14ac:dyDescent="0.2">
      <c r="L1323"/>
    </row>
    <row r="1324" spans="12:12" x14ac:dyDescent="0.2">
      <c r="L1324"/>
    </row>
    <row r="1325" spans="12:12" x14ac:dyDescent="0.2">
      <c r="L1325"/>
    </row>
    <row r="1326" spans="12:12" x14ac:dyDescent="0.2">
      <c r="L1326"/>
    </row>
    <row r="1327" spans="12:12" x14ac:dyDescent="0.2">
      <c r="L1327"/>
    </row>
    <row r="1328" spans="12:12" x14ac:dyDescent="0.2">
      <c r="L1328"/>
    </row>
    <row r="1329" spans="12:12" x14ac:dyDescent="0.2">
      <c r="L1329"/>
    </row>
    <row r="1330" spans="12:12" x14ac:dyDescent="0.2">
      <c r="L1330"/>
    </row>
    <row r="1331" spans="12:12" x14ac:dyDescent="0.2">
      <c r="L1331"/>
    </row>
    <row r="1332" spans="12:12" x14ac:dyDescent="0.2">
      <c r="L1332"/>
    </row>
    <row r="1333" spans="12:12" x14ac:dyDescent="0.2">
      <c r="L1333"/>
    </row>
    <row r="1334" spans="12:12" x14ac:dyDescent="0.2">
      <c r="L1334"/>
    </row>
    <row r="1335" spans="12:12" x14ac:dyDescent="0.2">
      <c r="L1335"/>
    </row>
    <row r="1336" spans="12:12" x14ac:dyDescent="0.2">
      <c r="L1336"/>
    </row>
    <row r="1337" spans="12:12" x14ac:dyDescent="0.2">
      <c r="L1337"/>
    </row>
    <row r="1338" spans="12:12" x14ac:dyDescent="0.2">
      <c r="L1338"/>
    </row>
    <row r="1339" spans="12:12" x14ac:dyDescent="0.2">
      <c r="L1339"/>
    </row>
    <row r="1340" spans="12:12" x14ac:dyDescent="0.2">
      <c r="L1340"/>
    </row>
    <row r="1341" spans="12:12" x14ac:dyDescent="0.2">
      <c r="L1341"/>
    </row>
    <row r="1342" spans="12:12" x14ac:dyDescent="0.2">
      <c r="L1342"/>
    </row>
    <row r="1343" spans="12:12" x14ac:dyDescent="0.2">
      <c r="L1343"/>
    </row>
    <row r="1344" spans="12:12" x14ac:dyDescent="0.2">
      <c r="L1344"/>
    </row>
    <row r="1345" spans="12:12" x14ac:dyDescent="0.2">
      <c r="L1345"/>
    </row>
    <row r="1346" spans="12:12" x14ac:dyDescent="0.2">
      <c r="L1346"/>
    </row>
    <row r="1347" spans="12:12" x14ac:dyDescent="0.2">
      <c r="L1347"/>
    </row>
    <row r="1348" spans="12:12" x14ac:dyDescent="0.2">
      <c r="L1348"/>
    </row>
    <row r="1349" spans="12:12" x14ac:dyDescent="0.2">
      <c r="L1349"/>
    </row>
    <row r="1350" spans="12:12" x14ac:dyDescent="0.2">
      <c r="L1350"/>
    </row>
    <row r="1351" spans="12:12" x14ac:dyDescent="0.2">
      <c r="L1351"/>
    </row>
    <row r="1352" spans="12:12" x14ac:dyDescent="0.2">
      <c r="L1352"/>
    </row>
    <row r="1353" spans="12:12" x14ac:dyDescent="0.2">
      <c r="L1353"/>
    </row>
    <row r="1354" spans="12:12" x14ac:dyDescent="0.2">
      <c r="L1354"/>
    </row>
    <row r="1355" spans="12:12" x14ac:dyDescent="0.2">
      <c r="L1355"/>
    </row>
    <row r="1356" spans="12:12" x14ac:dyDescent="0.2">
      <c r="L1356"/>
    </row>
    <row r="1357" spans="12:12" x14ac:dyDescent="0.2">
      <c r="L1357"/>
    </row>
    <row r="1358" spans="12:12" x14ac:dyDescent="0.2">
      <c r="L1358"/>
    </row>
    <row r="1359" spans="12:12" x14ac:dyDescent="0.2">
      <c r="L1359"/>
    </row>
    <row r="1360" spans="12:12" x14ac:dyDescent="0.2">
      <c r="L1360"/>
    </row>
    <row r="1361" spans="12:12" x14ac:dyDescent="0.2">
      <c r="L1361"/>
    </row>
    <row r="1362" spans="12:12" x14ac:dyDescent="0.2">
      <c r="L1362"/>
    </row>
    <row r="1363" spans="12:12" x14ac:dyDescent="0.2">
      <c r="L1363"/>
    </row>
    <row r="1364" spans="12:12" x14ac:dyDescent="0.2">
      <c r="L1364"/>
    </row>
    <row r="1365" spans="12:12" x14ac:dyDescent="0.2">
      <c r="L1365"/>
    </row>
    <row r="1366" spans="12:12" x14ac:dyDescent="0.2">
      <c r="L1366"/>
    </row>
    <row r="1367" spans="12:12" x14ac:dyDescent="0.2">
      <c r="L1367"/>
    </row>
    <row r="1368" spans="12:12" x14ac:dyDescent="0.2">
      <c r="L1368"/>
    </row>
    <row r="1369" spans="12:12" x14ac:dyDescent="0.2">
      <c r="L1369"/>
    </row>
    <row r="1370" spans="12:12" x14ac:dyDescent="0.2">
      <c r="L1370"/>
    </row>
    <row r="1371" spans="12:12" x14ac:dyDescent="0.2">
      <c r="L1371"/>
    </row>
    <row r="1372" spans="12:12" x14ac:dyDescent="0.2">
      <c r="L1372"/>
    </row>
    <row r="1373" spans="12:12" x14ac:dyDescent="0.2">
      <c r="L1373"/>
    </row>
    <row r="1374" spans="12:12" x14ac:dyDescent="0.2">
      <c r="L1374"/>
    </row>
    <row r="1375" spans="12:12" x14ac:dyDescent="0.2">
      <c r="L1375"/>
    </row>
    <row r="1376" spans="12:12" x14ac:dyDescent="0.2">
      <c r="L1376"/>
    </row>
    <row r="1377" spans="12:12" x14ac:dyDescent="0.2">
      <c r="L1377"/>
    </row>
    <row r="1378" spans="12:12" x14ac:dyDescent="0.2">
      <c r="L1378"/>
    </row>
    <row r="1379" spans="12:12" x14ac:dyDescent="0.2">
      <c r="L1379"/>
    </row>
    <row r="1380" spans="12:12" x14ac:dyDescent="0.2">
      <c r="L1380"/>
    </row>
    <row r="1381" spans="12:12" x14ac:dyDescent="0.2">
      <c r="L1381"/>
    </row>
    <row r="1382" spans="12:12" x14ac:dyDescent="0.2">
      <c r="L1382"/>
    </row>
    <row r="1383" spans="12:12" x14ac:dyDescent="0.2">
      <c r="L1383"/>
    </row>
    <row r="1384" spans="12:12" x14ac:dyDescent="0.2">
      <c r="L1384"/>
    </row>
    <row r="1385" spans="12:12" x14ac:dyDescent="0.2">
      <c r="L1385"/>
    </row>
    <row r="1386" spans="12:12" x14ac:dyDescent="0.2">
      <c r="L1386"/>
    </row>
    <row r="1387" spans="12:12" x14ac:dyDescent="0.2">
      <c r="L1387"/>
    </row>
    <row r="1388" spans="12:12" x14ac:dyDescent="0.2">
      <c r="L1388"/>
    </row>
    <row r="1389" spans="12:12" x14ac:dyDescent="0.2">
      <c r="L1389"/>
    </row>
    <row r="1390" spans="12:12" x14ac:dyDescent="0.2">
      <c r="L1390"/>
    </row>
    <row r="1391" spans="12:12" x14ac:dyDescent="0.2">
      <c r="L1391"/>
    </row>
    <row r="1392" spans="12:12" x14ac:dyDescent="0.2">
      <c r="L1392"/>
    </row>
    <row r="1393" spans="12:12" x14ac:dyDescent="0.2">
      <c r="L1393"/>
    </row>
    <row r="1394" spans="12:12" x14ac:dyDescent="0.2">
      <c r="L1394"/>
    </row>
    <row r="1395" spans="12:12" x14ac:dyDescent="0.2">
      <c r="L1395"/>
    </row>
    <row r="1396" spans="12:12" x14ac:dyDescent="0.2">
      <c r="L1396"/>
    </row>
    <row r="1397" spans="12:12" x14ac:dyDescent="0.2">
      <c r="L1397"/>
    </row>
    <row r="1398" spans="12:12" x14ac:dyDescent="0.2">
      <c r="L1398"/>
    </row>
    <row r="1399" spans="12:12" x14ac:dyDescent="0.2">
      <c r="L1399"/>
    </row>
    <row r="1400" spans="12:12" x14ac:dyDescent="0.2">
      <c r="L1400"/>
    </row>
    <row r="1401" spans="12:12" x14ac:dyDescent="0.2">
      <c r="L1401"/>
    </row>
    <row r="1402" spans="12:12" x14ac:dyDescent="0.2">
      <c r="L1402"/>
    </row>
    <row r="1403" spans="12:12" x14ac:dyDescent="0.2">
      <c r="L1403"/>
    </row>
    <row r="1404" spans="12:12" x14ac:dyDescent="0.2">
      <c r="L1404"/>
    </row>
    <row r="1405" spans="12:12" x14ac:dyDescent="0.2">
      <c r="L1405"/>
    </row>
    <row r="1406" spans="12:12" x14ac:dyDescent="0.2">
      <c r="L1406"/>
    </row>
    <row r="1407" spans="12:12" x14ac:dyDescent="0.2">
      <c r="L1407"/>
    </row>
    <row r="1408" spans="12:12" x14ac:dyDescent="0.2">
      <c r="L1408"/>
    </row>
    <row r="1409" spans="12:12" x14ac:dyDescent="0.2">
      <c r="L1409"/>
    </row>
    <row r="1410" spans="12:12" x14ac:dyDescent="0.2">
      <c r="L1410"/>
    </row>
    <row r="1411" spans="12:12" x14ac:dyDescent="0.2">
      <c r="L1411"/>
    </row>
    <row r="1412" spans="12:12" x14ac:dyDescent="0.2">
      <c r="L1412"/>
    </row>
    <row r="1413" spans="12:12" x14ac:dyDescent="0.2">
      <c r="L1413"/>
    </row>
    <row r="1414" spans="12:12" x14ac:dyDescent="0.2">
      <c r="L1414"/>
    </row>
    <row r="1415" spans="12:12" x14ac:dyDescent="0.2">
      <c r="L1415"/>
    </row>
    <row r="1416" spans="12:12" x14ac:dyDescent="0.2">
      <c r="L1416"/>
    </row>
    <row r="1417" spans="12:12" x14ac:dyDescent="0.2">
      <c r="L1417"/>
    </row>
    <row r="1418" spans="12:12" x14ac:dyDescent="0.2">
      <c r="L1418"/>
    </row>
    <row r="1419" spans="12:12" x14ac:dyDescent="0.2">
      <c r="L1419"/>
    </row>
    <row r="1420" spans="12:12" x14ac:dyDescent="0.2">
      <c r="L1420"/>
    </row>
    <row r="1421" spans="12:12" x14ac:dyDescent="0.2">
      <c r="L1421"/>
    </row>
    <row r="1422" spans="12:12" x14ac:dyDescent="0.2">
      <c r="L1422"/>
    </row>
    <row r="1423" spans="12:12" x14ac:dyDescent="0.2">
      <c r="L1423"/>
    </row>
    <row r="1424" spans="12:12" x14ac:dyDescent="0.2">
      <c r="L1424"/>
    </row>
    <row r="1425" spans="12:12" x14ac:dyDescent="0.2">
      <c r="L1425"/>
    </row>
    <row r="1426" spans="12:12" x14ac:dyDescent="0.2">
      <c r="L1426"/>
    </row>
    <row r="1427" spans="12:12" x14ac:dyDescent="0.2">
      <c r="L1427"/>
    </row>
    <row r="1428" spans="12:12" x14ac:dyDescent="0.2">
      <c r="L1428"/>
    </row>
    <row r="1429" spans="12:12" x14ac:dyDescent="0.2">
      <c r="L1429"/>
    </row>
    <row r="1430" spans="12:12" x14ac:dyDescent="0.2">
      <c r="L1430"/>
    </row>
    <row r="1431" spans="12:12" x14ac:dyDescent="0.2">
      <c r="L1431"/>
    </row>
    <row r="1432" spans="12:12" x14ac:dyDescent="0.2">
      <c r="L1432"/>
    </row>
    <row r="1433" spans="12:12" x14ac:dyDescent="0.2">
      <c r="L1433"/>
    </row>
    <row r="1434" spans="12:12" x14ac:dyDescent="0.2">
      <c r="L1434"/>
    </row>
    <row r="1435" spans="12:12" x14ac:dyDescent="0.2">
      <c r="L1435"/>
    </row>
    <row r="1436" spans="12:12" x14ac:dyDescent="0.2">
      <c r="L1436"/>
    </row>
    <row r="1437" spans="12:12" x14ac:dyDescent="0.2">
      <c r="L1437"/>
    </row>
    <row r="1438" spans="12:12" x14ac:dyDescent="0.2">
      <c r="L1438"/>
    </row>
    <row r="1439" spans="12:12" x14ac:dyDescent="0.2">
      <c r="L1439"/>
    </row>
    <row r="1440" spans="12:12" x14ac:dyDescent="0.2">
      <c r="L1440"/>
    </row>
    <row r="1441" spans="12:12" x14ac:dyDescent="0.2">
      <c r="L1441"/>
    </row>
    <row r="1442" spans="12:12" x14ac:dyDescent="0.2">
      <c r="L1442"/>
    </row>
    <row r="1443" spans="12:12" x14ac:dyDescent="0.2">
      <c r="L1443"/>
    </row>
    <row r="1444" spans="12:12" x14ac:dyDescent="0.2">
      <c r="L1444"/>
    </row>
    <row r="1445" spans="12:12" x14ac:dyDescent="0.2">
      <c r="L1445"/>
    </row>
    <row r="1446" spans="12:12" x14ac:dyDescent="0.2">
      <c r="L1446"/>
    </row>
    <row r="1447" spans="12:12" x14ac:dyDescent="0.2">
      <c r="L1447"/>
    </row>
    <row r="1448" spans="12:12" x14ac:dyDescent="0.2">
      <c r="L1448"/>
    </row>
    <row r="1449" spans="12:12" x14ac:dyDescent="0.2">
      <c r="L1449"/>
    </row>
    <row r="1450" spans="12:12" x14ac:dyDescent="0.2">
      <c r="L1450"/>
    </row>
    <row r="1451" spans="12:12" x14ac:dyDescent="0.2">
      <c r="L1451"/>
    </row>
    <row r="1452" spans="12:12" x14ac:dyDescent="0.2">
      <c r="L1452"/>
    </row>
    <row r="1453" spans="12:12" x14ac:dyDescent="0.2">
      <c r="L1453"/>
    </row>
    <row r="1454" spans="12:12" x14ac:dyDescent="0.2">
      <c r="L1454"/>
    </row>
    <row r="1455" spans="12:12" x14ac:dyDescent="0.2">
      <c r="L1455"/>
    </row>
    <row r="1456" spans="12:12" x14ac:dyDescent="0.2">
      <c r="L1456"/>
    </row>
    <row r="1457" spans="12:12" x14ac:dyDescent="0.2">
      <c r="L1457"/>
    </row>
    <row r="1458" spans="12:12" x14ac:dyDescent="0.2">
      <c r="L1458"/>
    </row>
    <row r="1459" spans="12:12" x14ac:dyDescent="0.2">
      <c r="L1459"/>
    </row>
    <row r="1460" spans="12:12" x14ac:dyDescent="0.2">
      <c r="L1460"/>
    </row>
    <row r="1461" spans="12:12" x14ac:dyDescent="0.2">
      <c r="L1461"/>
    </row>
    <row r="1462" spans="12:12" x14ac:dyDescent="0.2">
      <c r="L1462"/>
    </row>
    <row r="1463" spans="12:12" x14ac:dyDescent="0.2">
      <c r="L1463"/>
    </row>
    <row r="1464" spans="12:12" x14ac:dyDescent="0.2">
      <c r="L1464"/>
    </row>
    <row r="1465" spans="12:12" x14ac:dyDescent="0.2">
      <c r="L1465"/>
    </row>
    <row r="1466" spans="12:12" x14ac:dyDescent="0.2">
      <c r="L1466"/>
    </row>
    <row r="1467" spans="12:12" x14ac:dyDescent="0.2">
      <c r="L1467"/>
    </row>
    <row r="1468" spans="12:12" x14ac:dyDescent="0.2">
      <c r="L1468"/>
    </row>
    <row r="1469" spans="12:12" x14ac:dyDescent="0.2">
      <c r="L1469"/>
    </row>
    <row r="1470" spans="12:12" x14ac:dyDescent="0.2">
      <c r="L1470"/>
    </row>
    <row r="1471" spans="12:12" x14ac:dyDescent="0.2">
      <c r="L1471"/>
    </row>
    <row r="1472" spans="12:12" x14ac:dyDescent="0.2">
      <c r="L1472"/>
    </row>
    <row r="1473" spans="12:12" x14ac:dyDescent="0.2">
      <c r="L1473"/>
    </row>
    <row r="1474" spans="12:12" x14ac:dyDescent="0.2">
      <c r="L1474"/>
    </row>
    <row r="1475" spans="12:12" x14ac:dyDescent="0.2">
      <c r="L1475"/>
    </row>
    <row r="1476" spans="12:12" x14ac:dyDescent="0.2">
      <c r="L1476"/>
    </row>
    <row r="1477" spans="12:12" x14ac:dyDescent="0.2">
      <c r="L1477"/>
    </row>
    <row r="1478" spans="12:12" x14ac:dyDescent="0.2">
      <c r="L1478"/>
    </row>
    <row r="1479" spans="12:12" x14ac:dyDescent="0.2">
      <c r="L1479"/>
    </row>
    <row r="1480" spans="12:12" x14ac:dyDescent="0.2">
      <c r="L1480"/>
    </row>
    <row r="1481" spans="12:12" x14ac:dyDescent="0.2">
      <c r="L1481"/>
    </row>
    <row r="1482" spans="12:12" x14ac:dyDescent="0.2">
      <c r="L1482"/>
    </row>
    <row r="1483" spans="12:12" x14ac:dyDescent="0.2">
      <c r="L1483"/>
    </row>
    <row r="1484" spans="12:12" x14ac:dyDescent="0.2">
      <c r="L1484"/>
    </row>
    <row r="1485" spans="12:12" x14ac:dyDescent="0.2">
      <c r="L1485"/>
    </row>
    <row r="1486" spans="12:12" x14ac:dyDescent="0.2">
      <c r="L1486"/>
    </row>
    <row r="1487" spans="12:12" x14ac:dyDescent="0.2">
      <c r="L1487"/>
    </row>
    <row r="1488" spans="12:12" x14ac:dyDescent="0.2">
      <c r="L1488"/>
    </row>
    <row r="1489" spans="12:12" x14ac:dyDescent="0.2">
      <c r="L1489"/>
    </row>
    <row r="1490" spans="12:12" x14ac:dyDescent="0.2">
      <c r="L1490"/>
    </row>
    <row r="1491" spans="12:12" x14ac:dyDescent="0.2">
      <c r="L1491"/>
    </row>
    <row r="1492" spans="12:12" x14ac:dyDescent="0.2">
      <c r="L1492"/>
    </row>
    <row r="1493" spans="12:12" x14ac:dyDescent="0.2">
      <c r="L1493"/>
    </row>
    <row r="1494" spans="12:12" x14ac:dyDescent="0.2">
      <c r="L1494"/>
    </row>
    <row r="1495" spans="12:12" x14ac:dyDescent="0.2">
      <c r="L1495"/>
    </row>
    <row r="1496" spans="12:12" x14ac:dyDescent="0.2">
      <c r="L1496"/>
    </row>
    <row r="1497" spans="12:12" x14ac:dyDescent="0.2">
      <c r="L1497"/>
    </row>
    <row r="1498" spans="12:12" x14ac:dyDescent="0.2">
      <c r="L1498"/>
    </row>
    <row r="1499" spans="12:12" x14ac:dyDescent="0.2">
      <c r="L1499"/>
    </row>
    <row r="1500" spans="12:12" x14ac:dyDescent="0.2">
      <c r="L1500"/>
    </row>
    <row r="1501" spans="12:12" x14ac:dyDescent="0.2">
      <c r="L1501"/>
    </row>
    <row r="1502" spans="12:12" x14ac:dyDescent="0.2">
      <c r="L1502"/>
    </row>
    <row r="1503" spans="12:12" x14ac:dyDescent="0.2">
      <c r="L1503"/>
    </row>
    <row r="1504" spans="12:12" x14ac:dyDescent="0.2">
      <c r="L1504"/>
    </row>
    <row r="1505" spans="12:12" x14ac:dyDescent="0.2">
      <c r="L1505"/>
    </row>
    <row r="1506" spans="12:12" x14ac:dyDescent="0.2">
      <c r="L1506"/>
    </row>
    <row r="1507" spans="12:12" x14ac:dyDescent="0.2">
      <c r="L1507"/>
    </row>
    <row r="1508" spans="12:12" x14ac:dyDescent="0.2">
      <c r="L1508"/>
    </row>
    <row r="1509" spans="12:12" x14ac:dyDescent="0.2">
      <c r="L1509"/>
    </row>
    <row r="1510" spans="12:12" x14ac:dyDescent="0.2">
      <c r="L1510"/>
    </row>
  </sheetData>
  <mergeCells count="143">
    <mergeCell ref="F3:L7"/>
    <mergeCell ref="B8:L8"/>
    <mergeCell ref="B24:C24"/>
    <mergeCell ref="B3:E3"/>
    <mergeCell ref="B4:E4"/>
    <mergeCell ref="B5:E5"/>
    <mergeCell ref="B6:E6"/>
    <mergeCell ref="B7:E7"/>
    <mergeCell ref="K15:L15"/>
    <mergeCell ref="K16:L16"/>
    <mergeCell ref="K17:L17"/>
    <mergeCell ref="K18:L18"/>
    <mergeCell ref="B20:L20"/>
    <mergeCell ref="B21:C21"/>
    <mergeCell ref="E18:F18"/>
    <mergeCell ref="G15:J15"/>
    <mergeCell ref="G16:J16"/>
    <mergeCell ref="G17:J17"/>
    <mergeCell ref="G18:J18"/>
    <mergeCell ref="B22:C22"/>
    <mergeCell ref="B23:C23"/>
    <mergeCell ref="E160:I160"/>
    <mergeCell ref="J160:L160"/>
    <mergeCell ref="E95:I95"/>
    <mergeCell ref="J95:L95"/>
    <mergeCell ref="E30:I30"/>
    <mergeCell ref="J30:L30"/>
    <mergeCell ref="C10:L10"/>
    <mergeCell ref="C9:L9"/>
    <mergeCell ref="B11:F11"/>
    <mergeCell ref="B12:F12"/>
    <mergeCell ref="G12:L12"/>
    <mergeCell ref="G11:L11"/>
    <mergeCell ref="B14:C14"/>
    <mergeCell ref="D14:F14"/>
    <mergeCell ref="G14:I14"/>
    <mergeCell ref="J14:L14"/>
    <mergeCell ref="C15:D15"/>
    <mergeCell ref="C16:D16"/>
    <mergeCell ref="C17:D17"/>
    <mergeCell ref="C18:D18"/>
    <mergeCell ref="E15:F15"/>
    <mergeCell ref="E16:F16"/>
    <mergeCell ref="E17:F17"/>
    <mergeCell ref="B25:F25"/>
    <mergeCell ref="J789:L789"/>
    <mergeCell ref="E719:I719"/>
    <mergeCell ref="J719:L719"/>
    <mergeCell ref="E649:I649"/>
    <mergeCell ref="J649:L649"/>
    <mergeCell ref="E579:I579"/>
    <mergeCell ref="J579:L579"/>
    <mergeCell ref="E509:I509"/>
    <mergeCell ref="J509:L509"/>
    <mergeCell ref="D581:E581"/>
    <mergeCell ref="D582:E582"/>
    <mergeCell ref="C649:D649"/>
    <mergeCell ref="D650:E650"/>
    <mergeCell ref="D651:E651"/>
    <mergeCell ref="D511:E511"/>
    <mergeCell ref="D512:E512"/>
    <mergeCell ref="C514:E514"/>
    <mergeCell ref="C579:D579"/>
    <mergeCell ref="D580:E580"/>
    <mergeCell ref="J439:L439"/>
    <mergeCell ref="E369:I369"/>
    <mergeCell ref="J369:L369"/>
    <mergeCell ref="E299:I299"/>
    <mergeCell ref="J299:L299"/>
    <mergeCell ref="E229:I229"/>
    <mergeCell ref="C30:D30"/>
    <mergeCell ref="D31:E31"/>
    <mergeCell ref="D32:E32"/>
    <mergeCell ref="D163:E163"/>
    <mergeCell ref="D164:E164"/>
    <mergeCell ref="C165:E165"/>
    <mergeCell ref="D167:E167"/>
    <mergeCell ref="D168:E168"/>
    <mergeCell ref="D178:E178"/>
    <mergeCell ref="D132:E132"/>
    <mergeCell ref="D136:E136"/>
    <mergeCell ref="C160:D160"/>
    <mergeCell ref="D161:E161"/>
    <mergeCell ref="D162:E162"/>
    <mergeCell ref="D208:E208"/>
    <mergeCell ref="D209:E209"/>
    <mergeCell ref="D210:E210"/>
    <mergeCell ref="J229:L229"/>
    <mergeCell ref="G25:L25"/>
    <mergeCell ref="C95:D95"/>
    <mergeCell ref="D96:E96"/>
    <mergeCell ref="D97:E97"/>
    <mergeCell ref="D98:E98"/>
    <mergeCell ref="D99:E99"/>
    <mergeCell ref="C100:E100"/>
    <mergeCell ref="D33:E33"/>
    <mergeCell ref="D34:E34"/>
    <mergeCell ref="C35:E35"/>
    <mergeCell ref="C229:D229"/>
    <mergeCell ref="D230:E230"/>
    <mergeCell ref="D179:E179"/>
    <mergeCell ref="D201:E201"/>
    <mergeCell ref="D202:E202"/>
    <mergeCell ref="C203:E203"/>
    <mergeCell ref="D206:E206"/>
    <mergeCell ref="C207:E207"/>
    <mergeCell ref="D231:E231"/>
    <mergeCell ref="D232:E232"/>
    <mergeCell ref="D233:E233"/>
    <mergeCell ref="C234:E234"/>
    <mergeCell ref="D322:E322"/>
    <mergeCell ref="C369:D369"/>
    <mergeCell ref="D370:E370"/>
    <mergeCell ref="D371:E371"/>
    <mergeCell ref="D372:E372"/>
    <mergeCell ref="C299:D299"/>
    <mergeCell ref="D300:E300"/>
    <mergeCell ref="D301:E301"/>
    <mergeCell ref="D302:E302"/>
    <mergeCell ref="D303:E303"/>
    <mergeCell ref="D442:E442"/>
    <mergeCell ref="D443:E443"/>
    <mergeCell ref="C444:E444"/>
    <mergeCell ref="C509:D509"/>
    <mergeCell ref="D510:E510"/>
    <mergeCell ref="D373:E373"/>
    <mergeCell ref="C374:E374"/>
    <mergeCell ref="C405:E405"/>
    <mergeCell ref="C439:D439"/>
    <mergeCell ref="D440:E440"/>
    <mergeCell ref="D441:E441"/>
    <mergeCell ref="E439:I439"/>
    <mergeCell ref="D792:E792"/>
    <mergeCell ref="D723:E723"/>
    <mergeCell ref="C789:D789"/>
    <mergeCell ref="D790:E790"/>
    <mergeCell ref="D791:E791"/>
    <mergeCell ref="D652:E652"/>
    <mergeCell ref="C719:D719"/>
    <mergeCell ref="D720:E720"/>
    <mergeCell ref="D721:E721"/>
    <mergeCell ref="D722:E722"/>
    <mergeCell ref="E789:I789"/>
  </mergeCells>
  <dataValidations count="13">
    <dataValidation allowBlank="1" showInputMessage="1" showErrorMessage="1" promptTitle="Annual Fees Budget" prompt="Enter the team members annual fees budget. Get this from your Capacity Planner (Wize Step 7.)" sqref="E16" xr:uid="{3C790DD4-DDCA-4D81-9756-3458D6D266E2}"/>
    <dataValidation allowBlank="1" showInputMessage="1" showErrorMessage="1" promptTitle="Notes" prompt="Make any notes about this job. For example if training is needed for the Team Member or the level of quality of the bookkeeping." sqref="D208:E222 D206:E206 D842:E852 D34:E34 D164:E164 D233:E233 D373:E373 D443:E443 D723:E744 D99:E99 D513:E513 D534:E534 D237:E266 D445:E467 D303:E315 D375:E395 D611:E614 D622:E637 D748:E782 D541:E572 D406:E432 D523:E532 D515:E519 D521:E521 D642:E642 D585:E589 D604:E604 D593:E602 D591:E591 D680:E684 D656:E659 D673:E673 D663:E671 D661:E661 D167:E202 D268:E292 D319:E362 D477:E502 D691:E712 D795:E820 E37:E87 D37:D78 D80:D87 D102:E135" xr:uid="{F334D722-6D7F-4F1F-BB9D-286426F4E75E}"/>
    <dataValidation allowBlank="1" showInputMessage="1" showErrorMessage="1" promptTitle="Pricing or Efficiency Override" prompt="Some jobs are priced high &amp; others the bookkeeping maybe done by your firm and be well prepared. So to complete them based on a charge out rate would allow far too many hours. To reduce hours drop below100%. Training on the job,would increase above 100%." sqref="H537:H572 H303:H362 H513:H535 H585:H605 H656:H674 H164:H222 H233:H292 H373:H432 H443:H502 H607:H642 H676:H712 H723:H782 H795:H852 H34:H87 H99:H153" xr:uid="{4CFD6F02-3C4B-4E00-BB58-3A52C05B17E3}"/>
    <dataValidation allowBlank="1" showInputMessage="1" showErrorMessage="1" promptTitle="Team Member Completion %" prompt="This will be 100% if the team member can complete all the job without help. 80% if most of it. This will depend on the job complexity, the team member's ability and experience, whether or not they have done it before and the quality of the bookkeeping. " sqref="H536 G373:G432 H606 G642 H675 G164:G222 G233:G292 G303:G362 G443:G502 G513:G572 G585:G637 G656:G712 G723:G782 G795:G852 G34:G87 G99:G153" xr:uid="{B0D7E85D-7756-47F9-A0AE-DFD0F539FDDD}"/>
    <dataValidation allowBlank="1" showInputMessage="1" showErrorMessage="1" promptTitle="Job Price or Fees Charged" prompt="Enter the job price or Fees charged to the client." sqref="F137:F139 F844:F852 F521 F321 F472:F492 F400:F432 F373:F398 F443:F470 F523:F550 F513:F519 F585:F589 F591 F642 F661 F656:F659 F34:F36 F164:F222 F233:F292 F303:F319 F323:F362 F554:F572 F593:F637 F663:F712 F723:F748 F750:F782 F795:F842 F38:F87 F99:F135" xr:uid="{648ADFA5-898C-460C-9664-64B598B38408}"/>
    <dataValidation allowBlank="1" showInputMessage="1" showErrorMessage="1" promptTitle="Entity Group or Client Name" prompt="Enter the Entity Group name or the Client Name or Job name." sqref="C83 C208:C222 C206 C311:C315 C186 C34 C164 C233 C303 C373 C443 C712 C723 C99 C451:C467 C541:C550 C249:C266 C642 C114 C730:C744 C47 C142:C145 C147:C152 C273 C611:C614 C244 C277:C292 C477:C492 C381:C395 C593:C602 C555:C572 C362 C523:C532 C521 C591 C680:C684 C663:C671 C661 C49:C81 C116:C130 C167:C178 C188:C202 C268:C271 C801:C820 C37:C39 C102:C106" xr:uid="{95B92755-C65C-4649-90F4-023411BAC8C6}"/>
    <dataValidation allowBlank="1" showInputMessage="1" showErrorMessage="1" promptTitle="Month" prompt="Enter the first month of your financial year" sqref="E30 E95 E160 E229 E299 E369 E439 E509 E579 E649 E719 E789" xr:uid="{E4CF693B-715C-495E-B6C8-69F2E60D2FB9}"/>
    <dataValidation allowBlank="1" showInputMessage="1" showErrorMessage="1" promptTitle="Hours Per Day" prompt="Please enter the hours per day this team member works" sqref="G32 G97 G162 G231 G301 G371 G441 G511 G581 G651 G721 G791" xr:uid="{3699C9C5-0C14-4FCC-92FB-DB8A8F398C1F}"/>
    <dataValidation allowBlank="1" showInputMessage="1" showErrorMessage="1" promptTitle="Productivity %" prompt="Please enter this team members productivity %." sqref="F32 F97 F162 F231 F301 F371 F441 F511 F581 F651 F721 F791" xr:uid="{B0049DE7-768A-4231-92AB-C735694927A4}"/>
    <dataValidation allowBlank="1" showInputMessage="1" showErrorMessage="1" promptTitle="Working Days In Month" prompt="Please enter the working days for this month, taking into account any annual leave, public holidays or training days away from working days." sqref="D32:E32 D97:E97 D162:E162 D231:E231 D301:E301 D371:E371 D441:E441 D511:E511 D581:E581 D651:E651 D721:E721 D791:E791" xr:uid="{287599BF-51ED-4BAF-B398-1BA55329AAF4}"/>
    <dataValidation allowBlank="1" showInputMessage="1" showErrorMessage="1" promptTitle="Charge Out Rate" prompt="Please enter the charge out rate for this team member, per your capacity plan." sqref="C32 C97 C162 C231 C301 C371 C441 C511 C581 C651 C721 C791" xr:uid="{8D82917A-60B7-4F22-8750-07F0FF435177}"/>
    <dataValidation allowBlank="1" showInputMessage="1" showErrorMessage="1" promptTitle="Name" prompt="Please enter the team members name._x000a_" sqref="D14" xr:uid="{3439DF41-FE3F-466D-A2DB-36A471BBC054}"/>
    <dataValidation allowBlank="1" showInputMessage="1" showErrorMessage="1" promptTitle="Input The Team Name" prompt="Some Firms have team names for fun and identification. If you have a team name please enter it here." sqref="E13" xr:uid="{806DB305-01EF-42BD-906D-635F762635B2}"/>
  </dataValidations>
  <pageMargins left="0.7" right="0.7" top="0.75" bottom="0.75" header="0.3" footer="0.3"/>
  <ignoredErrors>
    <ignoredError xmlns:x16r3="http://schemas.microsoft.com/office/spreadsheetml/2018/08/main" sqref="C791 C721 C651 C581 C511 C441 C371 C301 C231 C162 C97" x16r3:misleadingFormat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60B2-4CB8-4FA5-BB0D-DE72717C4C5F}">
  <sheetPr>
    <tabColor theme="6" tint="0.59999389629810485"/>
  </sheetPr>
  <dimension ref="A1:T1495"/>
  <sheetViews>
    <sheetView topLeftCell="A30" workbookViewId="0">
      <selection activeCell="G43" sqref="G43"/>
    </sheetView>
  </sheetViews>
  <sheetFormatPr defaultRowHeight="15" x14ac:dyDescent="0.2"/>
  <cols>
    <col min="2" max="2" width="3.765625" bestFit="1" customWidth="1"/>
    <col min="3" max="3" width="19.234375" customWidth="1"/>
    <col min="4" max="4" width="11.97265625" customWidth="1"/>
    <col min="5" max="5" width="13.1796875" customWidth="1"/>
    <col min="6" max="6" width="17.62109375" bestFit="1" customWidth="1"/>
    <col min="7" max="7" width="12.375" customWidth="1"/>
    <col min="8" max="8" width="13.5859375" customWidth="1"/>
    <col min="9" max="9" width="15.87109375" customWidth="1"/>
    <col min="10" max="10" width="11.97265625" customWidth="1"/>
    <col min="11" max="11" width="14.125" customWidth="1"/>
    <col min="12" max="12" width="19.50390625" style="118" customWidth="1"/>
  </cols>
  <sheetData>
    <row r="1" spans="2:12" x14ac:dyDescent="0.2">
      <c r="L1"/>
    </row>
    <row r="2" spans="2:12" s="1" customFormat="1" ht="12.75" x14ac:dyDescent="0.15"/>
    <row r="3" spans="2:12" s="1" customFormat="1" ht="22.5" customHeight="1" x14ac:dyDescent="0.15">
      <c r="B3" s="347"/>
      <c r="C3" s="347"/>
      <c r="D3" s="347"/>
      <c r="E3" s="347"/>
      <c r="F3" s="348" t="s">
        <v>79</v>
      </c>
      <c r="G3" s="349"/>
      <c r="H3" s="349"/>
      <c r="I3" s="349"/>
      <c r="J3" s="349"/>
      <c r="K3" s="349"/>
      <c r="L3" s="350"/>
    </row>
    <row r="4" spans="2:12" s="1" customFormat="1" ht="13.35" customHeight="1" x14ac:dyDescent="0.15">
      <c r="B4" s="357"/>
      <c r="C4" s="358"/>
      <c r="D4" s="358"/>
      <c r="E4" s="359"/>
      <c r="F4" s="351"/>
      <c r="G4" s="352"/>
      <c r="H4" s="352"/>
      <c r="I4" s="352"/>
      <c r="J4" s="352"/>
      <c r="K4" s="352"/>
      <c r="L4" s="353"/>
    </row>
    <row r="5" spans="2:12" s="1" customFormat="1" ht="13.35" customHeight="1" x14ac:dyDescent="0.15">
      <c r="B5" s="357"/>
      <c r="C5" s="358"/>
      <c r="D5" s="358"/>
      <c r="E5" s="359"/>
      <c r="F5" s="351"/>
      <c r="G5" s="352"/>
      <c r="H5" s="352"/>
      <c r="I5" s="352"/>
      <c r="J5" s="352"/>
      <c r="K5" s="352"/>
      <c r="L5" s="353"/>
    </row>
    <row r="6" spans="2:12" s="1" customFormat="1" ht="13.35" customHeight="1" x14ac:dyDescent="0.15">
      <c r="B6" s="357"/>
      <c r="C6" s="358"/>
      <c r="D6" s="358"/>
      <c r="E6" s="359"/>
      <c r="F6" s="351"/>
      <c r="G6" s="352"/>
      <c r="H6" s="352"/>
      <c r="I6" s="352"/>
      <c r="J6" s="352"/>
      <c r="K6" s="352"/>
      <c r="L6" s="353"/>
    </row>
    <row r="7" spans="2:12" s="1" customFormat="1" ht="27.75" customHeight="1" x14ac:dyDescent="0.15">
      <c r="B7" s="360"/>
      <c r="C7" s="361"/>
      <c r="D7" s="361"/>
      <c r="E7" s="362"/>
      <c r="F7" s="354"/>
      <c r="G7" s="355"/>
      <c r="H7" s="355"/>
      <c r="I7" s="355"/>
      <c r="J7" s="355"/>
      <c r="K7" s="355"/>
      <c r="L7" s="356"/>
    </row>
    <row r="8" spans="2:12" s="1" customFormat="1" ht="25.5" x14ac:dyDescent="0.15">
      <c r="B8" s="331" t="s">
        <v>80</v>
      </c>
      <c r="C8" s="332"/>
      <c r="D8" s="332"/>
      <c r="E8" s="332"/>
      <c r="F8" s="332"/>
      <c r="G8" s="332"/>
      <c r="H8" s="332"/>
      <c r="I8" s="332"/>
      <c r="J8" s="332"/>
      <c r="K8" s="332"/>
      <c r="L8" s="333"/>
    </row>
    <row r="9" spans="2:12" s="1" customFormat="1" ht="25.5" x14ac:dyDescent="0.15">
      <c r="B9" s="3"/>
      <c r="C9" s="334"/>
      <c r="D9" s="334"/>
      <c r="E9" s="334"/>
      <c r="F9" s="334"/>
      <c r="G9" s="334"/>
      <c r="H9" s="334"/>
      <c r="I9" s="334"/>
      <c r="J9" s="334"/>
      <c r="K9" s="334"/>
      <c r="L9" s="335"/>
    </row>
    <row r="10" spans="2:12" s="4" customFormat="1" ht="25.5" x14ac:dyDescent="0.15">
      <c r="B10" s="3"/>
      <c r="C10" s="336" t="s">
        <v>81</v>
      </c>
      <c r="D10" s="336"/>
      <c r="E10" s="336"/>
      <c r="F10" s="336"/>
      <c r="G10" s="336"/>
      <c r="H10" s="336"/>
      <c r="I10" s="336"/>
      <c r="J10" s="336"/>
      <c r="K10" s="337"/>
      <c r="L10" s="338"/>
    </row>
    <row r="11" spans="2:12" s="5" customFormat="1" ht="16.350000000000001" customHeight="1" x14ac:dyDescent="0.2">
      <c r="B11" s="339" t="s">
        <v>82</v>
      </c>
      <c r="C11" s="340"/>
      <c r="D11" s="340"/>
      <c r="E11" s="340"/>
      <c r="F11" s="341"/>
      <c r="G11" s="342" t="s">
        <v>188</v>
      </c>
      <c r="H11" s="343"/>
      <c r="I11" s="343"/>
      <c r="J11" s="343"/>
      <c r="K11" s="343"/>
      <c r="L11" s="344"/>
    </row>
    <row r="12" spans="2:12" s="5" customFormat="1" ht="16.350000000000001" customHeight="1" x14ac:dyDescent="0.2">
      <c r="B12" s="345" t="s">
        <v>84</v>
      </c>
      <c r="C12" s="345"/>
      <c r="D12" s="345"/>
      <c r="E12" s="345"/>
      <c r="F12" s="345"/>
      <c r="G12" s="346" t="s">
        <v>268</v>
      </c>
      <c r="H12" s="346"/>
      <c r="I12" s="346"/>
      <c r="J12" s="346"/>
      <c r="K12" s="346"/>
      <c r="L12" s="346"/>
    </row>
    <row r="13" spans="2:12" s="5" customFormat="1" ht="16.350000000000001" customHeight="1" x14ac:dyDescent="0.2">
      <c r="B13" s="240"/>
      <c r="C13" s="237"/>
      <c r="D13" s="237"/>
      <c r="E13" s="238"/>
      <c r="F13" s="238"/>
      <c r="G13" s="238"/>
      <c r="H13" s="238"/>
      <c r="I13" s="238"/>
      <c r="J13" s="238"/>
      <c r="L13" s="241"/>
    </row>
    <row r="14" spans="2:12" s="5" customFormat="1" ht="15.4" customHeight="1" x14ac:dyDescent="0.2">
      <c r="B14" s="373" t="s">
        <v>86</v>
      </c>
      <c r="C14" s="373"/>
      <c r="D14" s="374" t="s">
        <v>269</v>
      </c>
      <c r="E14" s="374"/>
      <c r="F14" s="374"/>
      <c r="G14" s="373" t="s">
        <v>88</v>
      </c>
      <c r="H14" s="373"/>
      <c r="I14" s="373"/>
      <c r="J14" s="374" t="s">
        <v>190</v>
      </c>
      <c r="K14" s="374"/>
      <c r="L14" s="374"/>
    </row>
    <row r="15" spans="2:12" s="1" customFormat="1" ht="14.25" customHeight="1" x14ac:dyDescent="0.15">
      <c r="B15" s="236"/>
      <c r="C15" s="375" t="s">
        <v>90</v>
      </c>
      <c r="D15" s="375"/>
      <c r="E15" s="376" t="s">
        <v>91</v>
      </c>
      <c r="F15" s="376"/>
      <c r="G15" s="377" t="s">
        <v>90</v>
      </c>
      <c r="H15" s="377"/>
      <c r="I15" s="377"/>
      <c r="J15" s="377"/>
      <c r="K15" s="378" t="s">
        <v>92</v>
      </c>
      <c r="L15" s="378"/>
    </row>
    <row r="16" spans="2:12" s="1" customFormat="1" ht="13.5" customHeight="1" x14ac:dyDescent="0.15">
      <c r="B16" s="82"/>
      <c r="C16" s="363" t="s">
        <v>93</v>
      </c>
      <c r="D16" s="364"/>
      <c r="E16" s="365">
        <f>34000*12</f>
        <v>408000</v>
      </c>
      <c r="F16" s="366"/>
      <c r="G16" s="363" t="s">
        <v>94</v>
      </c>
      <c r="H16" s="367"/>
      <c r="I16" s="367"/>
      <c r="J16" s="364"/>
      <c r="K16" s="368">
        <f>E16/C32</f>
        <v>1632</v>
      </c>
      <c r="L16" s="369"/>
    </row>
    <row r="17" spans="2:12" s="1" customFormat="1" ht="13.5" customHeight="1" x14ac:dyDescent="0.15">
      <c r="B17" s="82"/>
      <c r="C17" s="370" t="s">
        <v>95</v>
      </c>
      <c r="D17" s="370"/>
      <c r="E17" s="371">
        <f>+I70+I139+I208+I278+I348+I418+I488+I558+I628+I698+I768+I838</f>
        <v>14899.512739130436</v>
      </c>
      <c r="F17" s="371"/>
      <c r="G17" s="370" t="s">
        <v>96</v>
      </c>
      <c r="H17" s="370"/>
      <c r="I17" s="370"/>
      <c r="J17" s="370"/>
      <c r="K17" s="372">
        <f>+J70+J139+J208+J278+J348+J418+J488+J558+J628+J698+J768+J838</f>
        <v>59.598050956521739</v>
      </c>
      <c r="L17" s="372"/>
    </row>
    <row r="18" spans="2:12" s="1" customFormat="1" ht="12.75" customHeight="1" x14ac:dyDescent="0.15">
      <c r="B18" s="82"/>
      <c r="C18" s="370" t="s">
        <v>97</v>
      </c>
      <c r="D18" s="370"/>
      <c r="E18" s="383">
        <f>E17-E16</f>
        <v>-393100.48726086959</v>
      </c>
      <c r="F18" s="383"/>
      <c r="G18" s="370" t="s">
        <v>97</v>
      </c>
      <c r="H18" s="370"/>
      <c r="I18" s="370"/>
      <c r="J18" s="370"/>
      <c r="K18" s="384">
        <f>K17-K16</f>
        <v>-1572.4019490434782</v>
      </c>
      <c r="L18" s="384"/>
    </row>
    <row r="19" spans="2:12" s="1" customFormat="1" ht="12.75" x14ac:dyDescent="0.15">
      <c r="B19" s="244"/>
      <c r="C19" s="225"/>
      <c r="D19" s="243"/>
      <c r="G19" s="225"/>
      <c r="H19" s="225"/>
      <c r="I19" s="225"/>
      <c r="J19" s="228"/>
      <c r="L19" s="246"/>
    </row>
    <row r="20" spans="2:12" s="1" customFormat="1" ht="14.25" customHeight="1" x14ac:dyDescent="0.15">
      <c r="B20" s="385" t="s">
        <v>98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</row>
    <row r="21" spans="2:12" s="1" customFormat="1" ht="12.75" x14ac:dyDescent="0.15">
      <c r="B21" s="386"/>
      <c r="C21" s="387"/>
      <c r="D21" s="245" t="s">
        <v>99</v>
      </c>
      <c r="E21" s="6">
        <f>J32</f>
        <v>83.201949043478237</v>
      </c>
      <c r="F21" s="234" t="s">
        <v>100</v>
      </c>
      <c r="G21" s="6">
        <f>+J216</f>
        <v>129.19999999999999</v>
      </c>
      <c r="H21" s="234" t="s">
        <v>101</v>
      </c>
      <c r="I21" s="6">
        <f>+J426</f>
        <v>142.79999999999998</v>
      </c>
      <c r="J21" s="234" t="s">
        <v>102</v>
      </c>
      <c r="K21" s="6">
        <f>+J636</f>
        <v>156.4</v>
      </c>
      <c r="L21" s="82"/>
    </row>
    <row r="22" spans="2:12" s="1" customFormat="1" ht="12.75" x14ac:dyDescent="0.15">
      <c r="B22" s="386"/>
      <c r="C22" s="387"/>
      <c r="D22" s="235" t="s">
        <v>103</v>
      </c>
      <c r="E22" s="6">
        <f>+J79</f>
        <v>136</v>
      </c>
      <c r="F22" s="234" t="s">
        <v>104</v>
      </c>
      <c r="G22" s="6">
        <f>+J286</f>
        <v>149.6</v>
      </c>
      <c r="H22" s="234" t="s">
        <v>105</v>
      </c>
      <c r="I22" s="6">
        <f>J496</f>
        <v>142.79999999999998</v>
      </c>
      <c r="J22" s="234" t="s">
        <v>106</v>
      </c>
      <c r="K22" s="6">
        <f>+J706</f>
        <v>136</v>
      </c>
      <c r="L22" s="82"/>
    </row>
    <row r="23" spans="2:12" s="1" customFormat="1" ht="12.75" x14ac:dyDescent="0.15">
      <c r="B23" s="386"/>
      <c r="C23" s="387"/>
      <c r="D23" s="235" t="s">
        <v>107</v>
      </c>
      <c r="E23" s="6">
        <f>+J147</f>
        <v>142.79999999999998</v>
      </c>
      <c r="F23" s="234" t="s">
        <v>108</v>
      </c>
      <c r="G23" s="6">
        <f>+J356</f>
        <v>136</v>
      </c>
      <c r="H23" s="234" t="s">
        <v>109</v>
      </c>
      <c r="I23" s="6">
        <f>+J566</f>
        <v>142.79999999999998</v>
      </c>
      <c r="J23" s="234" t="s">
        <v>110</v>
      </c>
      <c r="K23" s="6">
        <f>+J776</f>
        <v>136</v>
      </c>
      <c r="L23" s="82"/>
    </row>
    <row r="24" spans="2:12" s="1" customFormat="1" ht="12.75" x14ac:dyDescent="0.15">
      <c r="B24" s="386"/>
      <c r="C24" s="387"/>
      <c r="D24" s="235"/>
      <c r="E24" s="6"/>
      <c r="F24" s="234"/>
      <c r="G24" s="6"/>
      <c r="H24" s="234"/>
      <c r="I24" s="6"/>
      <c r="J24" s="234"/>
      <c r="K24" s="6"/>
      <c r="L24" s="82"/>
    </row>
    <row r="25" spans="2:12" s="1" customFormat="1" ht="13.5" customHeight="1" x14ac:dyDescent="0.15">
      <c r="B25" s="385" t="s">
        <v>111</v>
      </c>
      <c r="C25" s="385"/>
      <c r="D25" s="385"/>
      <c r="E25" s="385"/>
      <c r="F25" s="385"/>
      <c r="G25" s="379">
        <f>SUM(E21:E23)+SUM(G21:G23)+SUM(I21:I23)+SUM(K21:K23)</f>
        <v>1633.6019490434783</v>
      </c>
      <c r="H25" s="379"/>
      <c r="I25" s="379"/>
      <c r="J25" s="379"/>
      <c r="K25" s="379"/>
      <c r="L25" s="379"/>
    </row>
    <row r="26" spans="2:12" s="1" customFormat="1" ht="13.5" customHeight="1" x14ac:dyDescent="0.15">
      <c r="C26" s="225"/>
      <c r="D26" s="226"/>
      <c r="G26" s="227"/>
      <c r="H26" s="227"/>
      <c r="I26" s="227"/>
      <c r="J26" s="228"/>
    </row>
    <row r="27" spans="2:12" s="1" customFormat="1" ht="13.5" customHeight="1" x14ac:dyDescent="0.15">
      <c r="C27" s="225"/>
      <c r="D27" s="226"/>
      <c r="G27" s="227"/>
      <c r="H27" s="227"/>
      <c r="I27" s="227"/>
      <c r="J27" s="228"/>
    </row>
    <row r="28" spans="2:12" s="1" customFormat="1" ht="13.5" customHeight="1" x14ac:dyDescent="0.15">
      <c r="C28" s="225"/>
      <c r="D28" s="226"/>
      <c r="G28" s="227"/>
      <c r="H28" s="227"/>
      <c r="I28" s="227"/>
      <c r="J28" s="228"/>
    </row>
    <row r="29" spans="2:12" s="1" customFormat="1" ht="13.5" customHeight="1" x14ac:dyDescent="0.15">
      <c r="C29" s="225"/>
      <c r="D29" s="226"/>
      <c r="G29" s="227"/>
      <c r="H29" s="227"/>
      <c r="I29" s="227"/>
      <c r="J29" s="228"/>
    </row>
    <row r="30" spans="2:12" s="247" customFormat="1" ht="32.25" x14ac:dyDescent="0.4">
      <c r="B30" s="248"/>
      <c r="C30" s="380" t="s">
        <v>112</v>
      </c>
      <c r="D30" s="380"/>
      <c r="E30" s="381" t="s">
        <v>113</v>
      </c>
      <c r="F30" s="381"/>
      <c r="G30" s="381"/>
      <c r="H30" s="381"/>
      <c r="I30" s="381"/>
      <c r="J30" s="382">
        <v>2026</v>
      </c>
      <c r="K30" s="382"/>
      <c r="L30" s="382"/>
    </row>
    <row r="31" spans="2:12" s="1" customFormat="1" ht="22.5" x14ac:dyDescent="0.15">
      <c r="B31" s="82"/>
      <c r="C31" s="102" t="s">
        <v>114</v>
      </c>
      <c r="D31" s="388" t="s">
        <v>115</v>
      </c>
      <c r="E31" s="388"/>
      <c r="F31" s="102" t="s">
        <v>116</v>
      </c>
      <c r="G31" s="102" t="s">
        <v>117</v>
      </c>
      <c r="H31" s="102" t="s">
        <v>118</v>
      </c>
      <c r="I31" s="102" t="s">
        <v>119</v>
      </c>
      <c r="J31" s="102" t="s">
        <v>120</v>
      </c>
      <c r="K31" s="82"/>
      <c r="L31" s="82"/>
    </row>
    <row r="32" spans="2:12" s="1" customFormat="1" ht="12.75" x14ac:dyDescent="0.15">
      <c r="B32" s="82"/>
      <c r="C32" s="229">
        <v>250</v>
      </c>
      <c r="D32" s="389">
        <v>21</v>
      </c>
      <c r="E32" s="389"/>
      <c r="F32" s="7">
        <v>0.85</v>
      </c>
      <c r="G32" s="8">
        <v>8</v>
      </c>
      <c r="H32" s="142">
        <f>D32*G32*F32</f>
        <v>142.79999999999998</v>
      </c>
      <c r="I32" s="66">
        <f>I70</f>
        <v>14899.512739130436</v>
      </c>
      <c r="J32" s="143">
        <f>H32-J70</f>
        <v>83.201949043478237</v>
      </c>
      <c r="K32" s="82"/>
      <c r="L32" s="82"/>
    </row>
    <row r="33" spans="1:12" s="1" customFormat="1" ht="33.75" x14ac:dyDescent="0.15">
      <c r="B33" s="120"/>
      <c r="C33" s="230" t="s">
        <v>121</v>
      </c>
      <c r="D33" s="390" t="s">
        <v>122</v>
      </c>
      <c r="E33" s="390"/>
      <c r="F33" s="231" t="s">
        <v>123</v>
      </c>
      <c r="G33" s="232" t="s">
        <v>124</v>
      </c>
      <c r="H33" s="233" t="s">
        <v>125</v>
      </c>
      <c r="I33" s="233" t="s">
        <v>126</v>
      </c>
      <c r="J33" s="232" t="s">
        <v>127</v>
      </c>
      <c r="K33" s="123" t="s">
        <v>128</v>
      </c>
      <c r="L33" s="114" t="s">
        <v>129</v>
      </c>
    </row>
    <row r="34" spans="1:12" s="1" customFormat="1" ht="12.75" x14ac:dyDescent="0.15">
      <c r="B34" s="82"/>
      <c r="C34" s="89"/>
      <c r="D34" s="391"/>
      <c r="E34" s="391"/>
      <c r="F34" s="184"/>
      <c r="G34" s="92"/>
      <c r="H34" s="92"/>
      <c r="I34" s="93"/>
      <c r="J34" s="271"/>
      <c r="K34" s="82"/>
      <c r="L34" s="82"/>
    </row>
    <row r="35" spans="1:12" s="1" customFormat="1" ht="12.75" x14ac:dyDescent="0.15">
      <c r="B35" s="82"/>
      <c r="C35" s="392" t="s">
        <v>130</v>
      </c>
      <c r="D35" s="392"/>
      <c r="E35" s="392"/>
      <c r="F35" s="184"/>
      <c r="G35" s="92"/>
      <c r="H35" s="92"/>
      <c r="I35" s="93"/>
      <c r="J35" s="271"/>
      <c r="K35" s="82"/>
      <c r="L35" s="82"/>
    </row>
    <row r="36" spans="1:12" s="1" customFormat="1" ht="12.75" x14ac:dyDescent="0.15">
      <c r="B36" s="82"/>
      <c r="C36" s="167" t="s">
        <v>131</v>
      </c>
      <c r="D36" s="167"/>
      <c r="E36" s="167"/>
      <c r="F36" s="184"/>
      <c r="G36" s="92"/>
      <c r="H36" s="92"/>
      <c r="I36" s="93"/>
      <c r="J36" s="271"/>
      <c r="K36" s="82"/>
      <c r="L36" s="82"/>
    </row>
    <row r="37" spans="1:12" s="1" customFormat="1" ht="12.75" customHeight="1" x14ac:dyDescent="0.15">
      <c r="A37" s="314">
        <f>'Rudzi Jan - Dec ''26'!A37</f>
        <v>0</v>
      </c>
      <c r="B37" s="312">
        <v>1</v>
      </c>
      <c r="C37" s="203" t="s">
        <v>35</v>
      </c>
      <c r="D37" s="90"/>
      <c r="E37" s="90"/>
      <c r="F37" s="65">
        <f>'Work Component  Split'!F28</f>
        <v>25181.84</v>
      </c>
      <c r="G37" s="92">
        <f>'Work Component  Split'!I28</f>
        <v>0.50000006906288164</v>
      </c>
      <c r="H37" s="92">
        <v>1</v>
      </c>
      <c r="I37" s="218">
        <f>J37*$C$32</f>
        <v>12590.921739130436</v>
      </c>
      <c r="J37" s="271">
        <f>(F37*G37*H37)/$C$32</f>
        <v>50.36368695652174</v>
      </c>
      <c r="K37" s="82"/>
      <c r="L37" s="82"/>
    </row>
    <row r="38" spans="1:12" s="1" customFormat="1" ht="12.75" customHeight="1" x14ac:dyDescent="0.15">
      <c r="B38" s="82">
        <v>2</v>
      </c>
      <c r="C38" s="203" t="s">
        <v>270</v>
      </c>
      <c r="D38" s="90"/>
      <c r="E38" s="90"/>
      <c r="F38" s="65">
        <f>'Work Component  Split'!F10</f>
        <v>23085.91</v>
      </c>
      <c r="G38" s="92">
        <v>0.1</v>
      </c>
      <c r="H38" s="92">
        <v>1</v>
      </c>
      <c r="I38" s="218">
        <f>J38*$C$32</f>
        <v>2308.5909999999999</v>
      </c>
      <c r="J38" s="271">
        <f>(F38*G38*H38)/$C$32</f>
        <v>9.2343639999999994</v>
      </c>
      <c r="K38" s="82"/>
      <c r="L38" s="82"/>
    </row>
    <row r="39" spans="1:12" s="1" customFormat="1" ht="12.75" customHeight="1" x14ac:dyDescent="0.15">
      <c r="A39" s="314"/>
      <c r="B39" s="82"/>
      <c r="C39" s="203"/>
      <c r="D39" s="90"/>
      <c r="E39" s="90"/>
      <c r="F39" s="65"/>
      <c r="G39" s="92"/>
      <c r="H39" s="92"/>
      <c r="I39" s="218"/>
      <c r="J39" s="271"/>
      <c r="K39" s="82"/>
      <c r="L39" s="82"/>
    </row>
    <row r="40" spans="1:12" s="1" customFormat="1" ht="12.75" customHeight="1" x14ac:dyDescent="0.15">
      <c r="B40" s="82"/>
      <c r="C40" s="203"/>
      <c r="D40" s="90"/>
      <c r="E40" s="90"/>
      <c r="F40" s="65"/>
      <c r="G40" s="92"/>
      <c r="H40" s="92"/>
      <c r="I40" s="218"/>
      <c r="J40" s="271"/>
      <c r="K40" s="82"/>
      <c r="L40" s="82"/>
    </row>
    <row r="41" spans="1:12" s="1" customFormat="1" ht="12.75" customHeight="1" x14ac:dyDescent="0.15">
      <c r="A41" s="314"/>
      <c r="B41" s="82"/>
      <c r="C41" s="203"/>
      <c r="D41" s="90"/>
      <c r="E41" s="90"/>
      <c r="F41" s="65"/>
      <c r="G41" s="92"/>
      <c r="H41" s="92"/>
      <c r="I41" s="218"/>
      <c r="J41" s="271"/>
      <c r="K41" s="82"/>
      <c r="L41" s="82"/>
    </row>
    <row r="42" spans="1:12" s="1" customFormat="1" ht="12.75" customHeight="1" x14ac:dyDescent="0.15">
      <c r="A42" s="314"/>
      <c r="B42" s="82"/>
      <c r="C42" s="203"/>
      <c r="D42" s="90"/>
      <c r="E42" s="90"/>
      <c r="F42" s="65"/>
      <c r="G42" s="92"/>
      <c r="H42" s="92"/>
      <c r="I42" s="218"/>
      <c r="J42" s="271"/>
      <c r="K42" s="82"/>
      <c r="L42" s="82"/>
    </row>
    <row r="43" spans="1:12" s="1" customFormat="1" ht="12.75" customHeight="1" x14ac:dyDescent="0.15">
      <c r="B43" s="82"/>
      <c r="C43" s="203"/>
      <c r="D43" s="90"/>
      <c r="E43" s="90"/>
      <c r="F43" s="65"/>
      <c r="G43" s="92"/>
      <c r="H43" s="92"/>
      <c r="I43" s="218"/>
      <c r="J43" s="271"/>
      <c r="K43" s="82"/>
      <c r="L43" s="82"/>
    </row>
    <row r="44" spans="1:12" s="1" customFormat="1" ht="12.75" customHeight="1" x14ac:dyDescent="0.15">
      <c r="B44" s="82"/>
      <c r="C44" s="203"/>
      <c r="D44" s="90"/>
      <c r="E44" s="90"/>
      <c r="F44" s="65"/>
      <c r="G44" s="92"/>
      <c r="H44" s="92"/>
      <c r="I44" s="218"/>
      <c r="J44" s="271"/>
      <c r="K44" s="82"/>
      <c r="L44" s="82"/>
    </row>
    <row r="45" spans="1:12" s="1" customFormat="1" ht="12.75" customHeight="1" x14ac:dyDescent="0.15">
      <c r="B45" s="82"/>
      <c r="C45" s="203"/>
      <c r="D45" s="90"/>
      <c r="E45" s="90"/>
      <c r="F45" s="65"/>
      <c r="G45" s="92"/>
      <c r="H45" s="92"/>
      <c r="I45" s="218"/>
      <c r="J45" s="271"/>
      <c r="K45" s="82"/>
      <c r="L45" s="82"/>
    </row>
    <row r="46" spans="1:12" s="1" customFormat="1" ht="12.75" customHeight="1" x14ac:dyDescent="0.15">
      <c r="B46" s="82"/>
      <c r="C46" s="203"/>
      <c r="D46" s="90"/>
      <c r="E46" s="90"/>
      <c r="F46" s="65"/>
      <c r="G46" s="92"/>
      <c r="H46" s="92"/>
      <c r="I46" s="218"/>
      <c r="J46" s="271"/>
      <c r="K46" s="82"/>
      <c r="L46" s="82"/>
    </row>
    <row r="47" spans="1:12" s="1" customFormat="1" ht="12.75" customHeight="1" x14ac:dyDescent="0.15">
      <c r="B47" s="82"/>
      <c r="C47" s="203"/>
      <c r="D47" s="90"/>
      <c r="E47" s="90"/>
      <c r="F47" s="65"/>
      <c r="G47" s="92"/>
      <c r="H47" s="92"/>
      <c r="I47" s="218"/>
      <c r="J47" s="271"/>
      <c r="K47" s="82"/>
      <c r="L47" s="82"/>
    </row>
    <row r="48" spans="1:12" s="1" customFormat="1" ht="12.75" customHeight="1" x14ac:dyDescent="0.15">
      <c r="B48" s="82"/>
      <c r="C48" s="203"/>
      <c r="D48" s="90"/>
      <c r="E48" s="90"/>
      <c r="F48" s="65"/>
      <c r="G48" s="92"/>
      <c r="H48" s="92"/>
      <c r="I48" s="218"/>
      <c r="J48" s="271"/>
      <c r="K48" s="82"/>
      <c r="L48" s="82"/>
    </row>
    <row r="49" spans="2:12" s="1" customFormat="1" ht="12.75" customHeight="1" x14ac:dyDescent="0.15">
      <c r="B49" s="82"/>
      <c r="C49" s="203"/>
      <c r="D49" s="90"/>
      <c r="E49" s="90"/>
      <c r="F49" s="223"/>
      <c r="G49" s="92"/>
      <c r="H49" s="92"/>
      <c r="I49" s="218"/>
      <c r="J49" s="271"/>
      <c r="K49" s="82"/>
      <c r="L49" s="82"/>
    </row>
    <row r="50" spans="2:12" s="1" customFormat="1" ht="12.75" customHeight="1" x14ac:dyDescent="0.15">
      <c r="B50" s="82"/>
      <c r="C50" s="203"/>
      <c r="D50" s="90"/>
      <c r="E50" s="90"/>
      <c r="F50" s="223"/>
      <c r="G50" s="92"/>
      <c r="H50" s="92"/>
      <c r="I50" s="218"/>
      <c r="J50" s="271"/>
      <c r="K50" s="82"/>
      <c r="L50" s="82"/>
    </row>
    <row r="51" spans="2:12" s="1" customFormat="1" ht="14.25" x14ac:dyDescent="0.15">
      <c r="B51" s="82"/>
      <c r="C51" s="167" t="s">
        <v>150</v>
      </c>
      <c r="D51" s="90"/>
      <c r="E51" s="90"/>
      <c r="F51" s="223"/>
      <c r="G51" s="92"/>
      <c r="H51" s="92"/>
      <c r="I51" s="168"/>
      <c r="J51" s="271"/>
      <c r="K51" s="82"/>
      <c r="L51" s="115"/>
    </row>
    <row r="52" spans="2:12" s="1" customFormat="1" ht="14.25" x14ac:dyDescent="0.15">
      <c r="B52" s="82">
        <v>1</v>
      </c>
      <c r="C52" s="89"/>
      <c r="D52" s="90"/>
      <c r="E52" s="90"/>
      <c r="F52" s="223"/>
      <c r="G52" s="92"/>
      <c r="H52" s="92">
        <v>1</v>
      </c>
      <c r="I52" s="168">
        <f t="shared" ref="I52:I68" si="0">J52*$C$32</f>
        <v>0</v>
      </c>
      <c r="J52" s="271">
        <f t="shared" ref="J52:J68" si="1">(F52*G52*H52)/$C$32</f>
        <v>0</v>
      </c>
      <c r="K52" s="82"/>
      <c r="L52" s="115"/>
    </row>
    <row r="53" spans="2:12" s="1" customFormat="1" ht="14.25" x14ac:dyDescent="0.15">
      <c r="B53" s="82">
        <v>2</v>
      </c>
      <c r="C53" s="89"/>
      <c r="D53" s="90"/>
      <c r="E53" s="90"/>
      <c r="F53" s="223"/>
      <c r="G53" s="92"/>
      <c r="H53" s="92">
        <v>1</v>
      </c>
      <c r="I53" s="168">
        <f t="shared" si="0"/>
        <v>0</v>
      </c>
      <c r="J53" s="271">
        <f t="shared" si="1"/>
        <v>0</v>
      </c>
      <c r="K53" s="82"/>
      <c r="L53" s="115"/>
    </row>
    <row r="54" spans="2:12" s="1" customFormat="1" ht="14.25" x14ac:dyDescent="0.15">
      <c r="B54" s="82">
        <v>4</v>
      </c>
      <c r="C54" s="89"/>
      <c r="D54" s="90"/>
      <c r="E54" s="90"/>
      <c r="F54" s="223"/>
      <c r="G54" s="92"/>
      <c r="H54" s="92">
        <v>1</v>
      </c>
      <c r="I54" s="168">
        <f t="shared" si="0"/>
        <v>0</v>
      </c>
      <c r="J54" s="271">
        <f t="shared" si="1"/>
        <v>0</v>
      </c>
      <c r="K54" s="82"/>
      <c r="L54" s="115"/>
    </row>
    <row r="55" spans="2:12" s="1" customFormat="1" ht="14.25" x14ac:dyDescent="0.15">
      <c r="B55" s="82">
        <v>5</v>
      </c>
      <c r="C55" s="89"/>
      <c r="D55" s="90"/>
      <c r="E55" s="90"/>
      <c r="F55" s="223"/>
      <c r="G55" s="92"/>
      <c r="H55" s="92">
        <v>1</v>
      </c>
      <c r="I55" s="168">
        <f t="shared" si="0"/>
        <v>0</v>
      </c>
      <c r="J55" s="271">
        <f t="shared" si="1"/>
        <v>0</v>
      </c>
      <c r="K55" s="82"/>
      <c r="L55" s="115"/>
    </row>
    <row r="56" spans="2:12" s="1" customFormat="1" ht="14.25" x14ac:dyDescent="0.15">
      <c r="B56" s="82">
        <v>6</v>
      </c>
      <c r="C56" s="89"/>
      <c r="D56" s="90"/>
      <c r="E56" s="90"/>
      <c r="F56" s="223"/>
      <c r="G56" s="92"/>
      <c r="H56" s="92">
        <v>1</v>
      </c>
      <c r="I56" s="168">
        <f t="shared" si="0"/>
        <v>0</v>
      </c>
      <c r="J56" s="271">
        <f t="shared" si="1"/>
        <v>0</v>
      </c>
      <c r="K56" s="82"/>
      <c r="L56" s="115"/>
    </row>
    <row r="57" spans="2:12" s="1" customFormat="1" ht="14.25" x14ac:dyDescent="0.15">
      <c r="B57" s="82">
        <v>7</v>
      </c>
      <c r="C57" s="89"/>
      <c r="D57" s="90"/>
      <c r="E57" s="90"/>
      <c r="F57" s="223"/>
      <c r="G57" s="92"/>
      <c r="H57" s="92">
        <v>1</v>
      </c>
      <c r="I57" s="168">
        <f t="shared" si="0"/>
        <v>0</v>
      </c>
      <c r="J57" s="271">
        <f t="shared" si="1"/>
        <v>0</v>
      </c>
      <c r="K57" s="82"/>
      <c r="L57" s="115"/>
    </row>
    <row r="58" spans="2:12" s="1" customFormat="1" ht="14.25" x14ac:dyDescent="0.15">
      <c r="B58" s="82">
        <v>8</v>
      </c>
      <c r="C58" s="89"/>
      <c r="D58" s="90"/>
      <c r="E58" s="90"/>
      <c r="F58" s="223"/>
      <c r="G58" s="92"/>
      <c r="H58" s="92">
        <v>1</v>
      </c>
      <c r="I58" s="168">
        <f t="shared" si="0"/>
        <v>0</v>
      </c>
      <c r="J58" s="271">
        <f t="shared" si="1"/>
        <v>0</v>
      </c>
      <c r="K58" s="82"/>
      <c r="L58" s="115"/>
    </row>
    <row r="59" spans="2:12" s="1" customFormat="1" ht="14.25" x14ac:dyDescent="0.15">
      <c r="B59" s="82">
        <v>9</v>
      </c>
      <c r="C59" s="89"/>
      <c r="D59" s="90"/>
      <c r="E59" s="90"/>
      <c r="F59" s="223"/>
      <c r="G59" s="92"/>
      <c r="H59" s="92">
        <v>1</v>
      </c>
      <c r="I59" s="168">
        <f t="shared" si="0"/>
        <v>0</v>
      </c>
      <c r="J59" s="271">
        <f t="shared" si="1"/>
        <v>0</v>
      </c>
      <c r="K59" s="82"/>
      <c r="L59" s="115"/>
    </row>
    <row r="60" spans="2:12" s="1" customFormat="1" ht="14.25" x14ac:dyDescent="0.15">
      <c r="B60" s="82">
        <v>10</v>
      </c>
      <c r="C60" s="89"/>
      <c r="D60" s="90"/>
      <c r="E60" s="90"/>
      <c r="F60" s="223"/>
      <c r="G60" s="92"/>
      <c r="H60" s="92">
        <v>1</v>
      </c>
      <c r="I60" s="168">
        <f t="shared" si="0"/>
        <v>0</v>
      </c>
      <c r="J60" s="271">
        <f t="shared" si="1"/>
        <v>0</v>
      </c>
      <c r="K60" s="82"/>
      <c r="L60" s="115"/>
    </row>
    <row r="61" spans="2:12" s="1" customFormat="1" ht="14.25" x14ac:dyDescent="0.15">
      <c r="B61" s="82">
        <v>11</v>
      </c>
      <c r="C61" s="89"/>
      <c r="D61" s="90"/>
      <c r="E61" s="90"/>
      <c r="F61" s="223"/>
      <c r="G61" s="92"/>
      <c r="H61" s="92">
        <v>1</v>
      </c>
      <c r="I61" s="168">
        <f t="shared" si="0"/>
        <v>0</v>
      </c>
      <c r="J61" s="271">
        <f t="shared" si="1"/>
        <v>0</v>
      </c>
      <c r="K61" s="82"/>
      <c r="L61" s="115"/>
    </row>
    <row r="62" spans="2:12" s="1" customFormat="1" ht="14.25" x14ac:dyDescent="0.15">
      <c r="B62" s="82">
        <v>12</v>
      </c>
      <c r="C62" s="89"/>
      <c r="D62" s="169"/>
      <c r="E62" s="169"/>
      <c r="F62" s="223"/>
      <c r="G62" s="214"/>
      <c r="H62" s="92">
        <v>1</v>
      </c>
      <c r="I62" s="218">
        <f t="shared" si="0"/>
        <v>0</v>
      </c>
      <c r="J62" s="271">
        <f t="shared" si="1"/>
        <v>0</v>
      </c>
      <c r="K62" s="82"/>
      <c r="L62" s="82"/>
    </row>
    <row r="63" spans="2:12" s="1" customFormat="1" ht="14.25" x14ac:dyDescent="0.15">
      <c r="B63" s="82">
        <v>13</v>
      </c>
      <c r="C63" s="89"/>
      <c r="D63" s="90"/>
      <c r="E63" s="90"/>
      <c r="F63" s="223"/>
      <c r="G63" s="214"/>
      <c r="H63" s="92">
        <v>1</v>
      </c>
      <c r="I63" s="218">
        <f t="shared" si="0"/>
        <v>0</v>
      </c>
      <c r="J63" s="271">
        <f t="shared" si="1"/>
        <v>0</v>
      </c>
      <c r="K63" s="82"/>
      <c r="L63" s="115"/>
    </row>
    <row r="64" spans="2:12" s="1" customFormat="1" ht="14.25" x14ac:dyDescent="0.15">
      <c r="B64" s="82">
        <v>14</v>
      </c>
      <c r="C64" s="203"/>
      <c r="D64" s="90"/>
      <c r="E64" s="90"/>
      <c r="F64" s="223"/>
      <c r="G64" s="214"/>
      <c r="H64" s="92">
        <v>1</v>
      </c>
      <c r="I64" s="218">
        <f t="shared" si="0"/>
        <v>0</v>
      </c>
      <c r="J64" s="271">
        <f t="shared" si="1"/>
        <v>0</v>
      </c>
      <c r="K64" s="82"/>
      <c r="L64" s="115"/>
    </row>
    <row r="65" spans="2:12" s="1" customFormat="1" ht="14.25" x14ac:dyDescent="0.15">
      <c r="B65" s="82">
        <v>16</v>
      </c>
      <c r="C65" s="203"/>
      <c r="D65" s="90"/>
      <c r="E65" s="90"/>
      <c r="F65" s="223"/>
      <c r="G65" s="214"/>
      <c r="H65" s="92">
        <v>1</v>
      </c>
      <c r="I65" s="218">
        <f t="shared" si="0"/>
        <v>0</v>
      </c>
      <c r="J65" s="271">
        <f t="shared" si="1"/>
        <v>0</v>
      </c>
      <c r="K65" s="82"/>
      <c r="L65" s="115"/>
    </row>
    <row r="66" spans="2:12" s="1" customFormat="1" ht="14.25" x14ac:dyDescent="0.15">
      <c r="B66" s="82">
        <v>17</v>
      </c>
      <c r="C66" s="203"/>
      <c r="D66" s="90"/>
      <c r="E66" s="90"/>
      <c r="F66" s="223"/>
      <c r="G66" s="214"/>
      <c r="H66" s="92">
        <v>1</v>
      </c>
      <c r="I66" s="218">
        <f t="shared" si="0"/>
        <v>0</v>
      </c>
      <c r="J66" s="271">
        <f t="shared" si="1"/>
        <v>0</v>
      </c>
      <c r="K66" s="82"/>
      <c r="L66" s="115"/>
    </row>
    <row r="67" spans="2:12" s="1" customFormat="1" ht="14.25" x14ac:dyDescent="0.15">
      <c r="B67" s="82">
        <v>19</v>
      </c>
      <c r="C67" s="203"/>
      <c r="D67" s="90"/>
      <c r="E67" s="90"/>
      <c r="F67" s="223"/>
      <c r="G67" s="214"/>
      <c r="H67" s="92">
        <v>1</v>
      </c>
      <c r="I67" s="218">
        <f t="shared" si="0"/>
        <v>0</v>
      </c>
      <c r="J67" s="271">
        <f t="shared" si="1"/>
        <v>0</v>
      </c>
      <c r="K67" s="82"/>
      <c r="L67" s="115"/>
    </row>
    <row r="68" spans="2:12" s="1" customFormat="1" ht="14.25" x14ac:dyDescent="0.15">
      <c r="B68" s="82">
        <v>20</v>
      </c>
      <c r="C68" s="203"/>
      <c r="D68" s="90"/>
      <c r="E68" s="90"/>
      <c r="F68" s="223"/>
      <c r="G68" s="214"/>
      <c r="H68" s="92">
        <v>1</v>
      </c>
      <c r="I68" s="218">
        <f t="shared" si="0"/>
        <v>0</v>
      </c>
      <c r="J68" s="271">
        <f t="shared" si="1"/>
        <v>0</v>
      </c>
      <c r="K68" s="82"/>
      <c r="L68" s="115"/>
    </row>
    <row r="69" spans="2:12" s="1" customFormat="1" ht="14.25" x14ac:dyDescent="0.15">
      <c r="B69" s="82"/>
      <c r="C69" s="203"/>
      <c r="D69" s="90"/>
      <c r="E69" s="90"/>
      <c r="F69" s="223"/>
      <c r="G69" s="92"/>
      <c r="H69" s="92"/>
      <c r="I69" s="168"/>
      <c r="J69" s="271"/>
      <c r="K69" s="82"/>
      <c r="L69" s="115"/>
    </row>
    <row r="70" spans="2:12" s="1" customFormat="1" ht="14.25" x14ac:dyDescent="0.15">
      <c r="B70" s="82"/>
      <c r="C70" s="102"/>
      <c r="D70" s="103"/>
      <c r="E70" s="102"/>
      <c r="F70" s="224">
        <f>SUM(F37:F69)</f>
        <v>48267.75</v>
      </c>
      <c r="G70" s="104"/>
      <c r="H70" s="105"/>
      <c r="I70" s="128">
        <f>SUM(I35:I69)</f>
        <v>14899.512739130436</v>
      </c>
      <c r="J70" s="106">
        <f>SUM(J34:J69)</f>
        <v>59.598050956521739</v>
      </c>
      <c r="K70" s="82"/>
      <c r="L70" s="115"/>
    </row>
    <row r="71" spans="2:12" s="1" customFormat="1" ht="14.25" x14ac:dyDescent="0.15">
      <c r="B71" s="82"/>
      <c r="C71" s="102"/>
      <c r="D71" s="103"/>
      <c r="E71" s="102" t="s">
        <v>147</v>
      </c>
      <c r="F71" s="224">
        <f>100/115*F70</f>
        <v>41971.956521739128</v>
      </c>
      <c r="G71" s="104"/>
      <c r="H71" s="105" t="s">
        <v>147</v>
      </c>
      <c r="I71" s="128">
        <f>100/115*I70</f>
        <v>12956.098034026465</v>
      </c>
      <c r="J71" s="257"/>
      <c r="L71" s="222"/>
    </row>
    <row r="72" spans="2:12" s="1" customFormat="1" ht="14.25" x14ac:dyDescent="0.15">
      <c r="B72" s="82"/>
      <c r="C72" s="102"/>
      <c r="D72" s="103"/>
      <c r="E72" s="102"/>
      <c r="F72" s="224"/>
      <c r="G72" s="104"/>
      <c r="H72" s="105"/>
      <c r="I72" s="128"/>
      <c r="J72" s="106"/>
      <c r="L72" s="222"/>
    </row>
    <row r="73" spans="2:12" s="1" customFormat="1" ht="14.25" x14ac:dyDescent="0.15">
      <c r="L73" s="222"/>
    </row>
    <row r="74" spans="2:12" s="1" customFormat="1" ht="14.25" x14ac:dyDescent="0.15">
      <c r="L74" s="222"/>
    </row>
    <row r="75" spans="2:12" s="1" customFormat="1" ht="14.25" x14ac:dyDescent="0.15">
      <c r="L75" s="222"/>
    </row>
    <row r="76" spans="2:12" s="1" customFormat="1" ht="14.25" x14ac:dyDescent="0.15">
      <c r="L76" s="222"/>
    </row>
    <row r="77" spans="2:12" s="247" customFormat="1" ht="32.25" x14ac:dyDescent="0.4">
      <c r="B77" s="248"/>
      <c r="C77" s="380" t="s">
        <v>112</v>
      </c>
      <c r="D77" s="380"/>
      <c r="E77" s="381" t="s">
        <v>148</v>
      </c>
      <c r="F77" s="381"/>
      <c r="G77" s="381"/>
      <c r="H77" s="381"/>
      <c r="I77" s="381"/>
      <c r="J77" s="382">
        <v>2026</v>
      </c>
      <c r="K77" s="382"/>
      <c r="L77" s="382"/>
    </row>
    <row r="78" spans="2:12" s="1" customFormat="1" ht="22.5" x14ac:dyDescent="0.15">
      <c r="B78" s="82"/>
      <c r="C78" s="102" t="s">
        <v>114</v>
      </c>
      <c r="D78" s="388" t="s">
        <v>115</v>
      </c>
      <c r="E78" s="388"/>
      <c r="F78" s="102" t="s">
        <v>116</v>
      </c>
      <c r="G78" s="102" t="s">
        <v>117</v>
      </c>
      <c r="H78" s="102" t="s">
        <v>118</v>
      </c>
      <c r="I78" s="102" t="s">
        <v>119</v>
      </c>
      <c r="J78" s="102" t="s">
        <v>120</v>
      </c>
      <c r="K78" s="82"/>
      <c r="L78" s="82"/>
    </row>
    <row r="79" spans="2:12" s="1" customFormat="1" ht="12.75" x14ac:dyDescent="0.15">
      <c r="B79" s="82"/>
      <c r="C79" s="66">
        <f>C32</f>
        <v>250</v>
      </c>
      <c r="D79" s="389">
        <v>20</v>
      </c>
      <c r="E79" s="389"/>
      <c r="F79" s="13">
        <f>F32</f>
        <v>0.85</v>
      </c>
      <c r="G79" s="14">
        <f>G32</f>
        <v>8</v>
      </c>
      <c r="H79" s="142">
        <f>D79*G79*F79</f>
        <v>136</v>
      </c>
      <c r="I79" s="66">
        <f>I139</f>
        <v>0</v>
      </c>
      <c r="J79" s="143">
        <f>H79-J139</f>
        <v>136</v>
      </c>
      <c r="K79" s="82"/>
      <c r="L79" s="82"/>
    </row>
    <row r="80" spans="2:12" s="1" customFormat="1" ht="33.75" x14ac:dyDescent="0.15">
      <c r="B80" s="82"/>
      <c r="C80" s="167" t="s">
        <v>121</v>
      </c>
      <c r="D80" s="395" t="s">
        <v>122</v>
      </c>
      <c r="E80" s="395"/>
      <c r="F80" s="177" t="s">
        <v>123</v>
      </c>
      <c r="G80" s="178" t="s">
        <v>124</v>
      </c>
      <c r="H80" s="179" t="s">
        <v>125</v>
      </c>
      <c r="I80" s="180" t="s">
        <v>126</v>
      </c>
      <c r="J80" s="178" t="s">
        <v>127</v>
      </c>
      <c r="K80" s="114" t="s">
        <v>128</v>
      </c>
      <c r="L80" s="114" t="s">
        <v>129</v>
      </c>
    </row>
    <row r="81" spans="2:12" s="1" customFormat="1" ht="12.75" x14ac:dyDescent="0.15">
      <c r="B81" s="82"/>
      <c r="C81" s="89"/>
      <c r="D81" s="391"/>
      <c r="E81" s="391"/>
      <c r="F81" s="184"/>
      <c r="G81" s="92"/>
      <c r="H81" s="92"/>
      <c r="I81" s="168"/>
      <c r="J81" s="185"/>
      <c r="K81" s="82"/>
      <c r="L81" s="82"/>
    </row>
    <row r="82" spans="2:12" s="1" customFormat="1" ht="12.75" x14ac:dyDescent="0.15">
      <c r="B82" s="82"/>
      <c r="C82" s="392" t="s">
        <v>130</v>
      </c>
      <c r="D82" s="392"/>
      <c r="E82" s="392"/>
      <c r="F82" s="184"/>
      <c r="G82" s="92"/>
      <c r="H82" s="92"/>
      <c r="I82" s="168"/>
      <c r="J82" s="185"/>
      <c r="K82" s="82"/>
      <c r="L82" s="82"/>
    </row>
    <row r="83" spans="2:12" s="1" customFormat="1" ht="12.75" x14ac:dyDescent="0.15">
      <c r="B83" s="82"/>
      <c r="C83" s="167" t="s">
        <v>149</v>
      </c>
      <c r="D83" s="167"/>
      <c r="E83" s="167"/>
      <c r="F83" s="168"/>
      <c r="G83" s="92"/>
      <c r="H83" s="92"/>
      <c r="I83" s="168"/>
      <c r="J83" s="185"/>
      <c r="K83" s="82"/>
      <c r="L83" s="82"/>
    </row>
    <row r="84" spans="2:12" s="1" customFormat="1" ht="12.75" customHeight="1" x14ac:dyDescent="0.15">
      <c r="B84" s="82">
        <v>1</v>
      </c>
      <c r="C84" s="203"/>
      <c r="D84" s="90"/>
      <c r="E84" s="90"/>
      <c r="F84" s="168"/>
      <c r="G84" s="92"/>
      <c r="H84" s="92">
        <v>1</v>
      </c>
      <c r="I84" s="218">
        <f>J84*$C$32</f>
        <v>0</v>
      </c>
      <c r="J84" s="94">
        <f t="shared" ref="J84:J93" si="2">(F84*G84*H84)/$C$32</f>
        <v>0</v>
      </c>
      <c r="K84" s="82"/>
      <c r="L84" s="82"/>
    </row>
    <row r="85" spans="2:12" s="1" customFormat="1" ht="12.75" customHeight="1" x14ac:dyDescent="0.15">
      <c r="B85" s="82">
        <v>2</v>
      </c>
      <c r="C85" s="203"/>
      <c r="D85" s="90"/>
      <c r="E85" s="90"/>
      <c r="F85" s="168"/>
      <c r="G85" s="92"/>
      <c r="H85" s="92">
        <v>1</v>
      </c>
      <c r="I85" s="218">
        <f>J85*$C$32</f>
        <v>0</v>
      </c>
      <c r="J85" s="94">
        <f t="shared" si="2"/>
        <v>0</v>
      </c>
      <c r="K85" s="82"/>
      <c r="L85" s="82"/>
    </row>
    <row r="86" spans="2:12" s="1" customFormat="1" ht="12.75" customHeight="1" x14ac:dyDescent="0.15">
      <c r="B86" s="82">
        <v>3</v>
      </c>
      <c r="C86" s="203"/>
      <c r="D86" s="90"/>
      <c r="E86" s="90"/>
      <c r="F86" s="168"/>
      <c r="G86" s="92"/>
      <c r="H86" s="92">
        <v>1</v>
      </c>
      <c r="I86" s="218">
        <f t="shared" ref="I86:I93" si="3">J86*$C$32</f>
        <v>0</v>
      </c>
      <c r="J86" s="94">
        <f t="shared" si="2"/>
        <v>0</v>
      </c>
      <c r="K86" s="82"/>
      <c r="L86" s="82"/>
    </row>
    <row r="87" spans="2:12" s="1" customFormat="1" ht="12.75" customHeight="1" x14ac:dyDescent="0.15">
      <c r="B87" s="82">
        <v>4</v>
      </c>
      <c r="C87" s="203"/>
      <c r="D87" s="90"/>
      <c r="E87" s="90"/>
      <c r="F87" s="168"/>
      <c r="G87" s="92"/>
      <c r="H87" s="92">
        <v>1</v>
      </c>
      <c r="I87" s="218">
        <f t="shared" si="3"/>
        <v>0</v>
      </c>
      <c r="J87" s="94">
        <f t="shared" si="2"/>
        <v>0</v>
      </c>
      <c r="K87" s="82"/>
      <c r="L87" s="82"/>
    </row>
    <row r="88" spans="2:12" s="1" customFormat="1" ht="12.75" customHeight="1" x14ac:dyDescent="0.15">
      <c r="B88" s="82">
        <v>5</v>
      </c>
      <c r="C88" s="203"/>
      <c r="D88" s="90"/>
      <c r="E88" s="90"/>
      <c r="F88" s="168"/>
      <c r="G88" s="92"/>
      <c r="H88" s="92">
        <v>1</v>
      </c>
      <c r="I88" s="218">
        <f t="shared" si="3"/>
        <v>0</v>
      </c>
      <c r="J88" s="94">
        <f t="shared" si="2"/>
        <v>0</v>
      </c>
      <c r="K88" s="82"/>
      <c r="L88" s="82"/>
    </row>
    <row r="89" spans="2:12" s="1" customFormat="1" ht="12.75" customHeight="1" x14ac:dyDescent="0.15">
      <c r="B89" s="82">
        <v>6</v>
      </c>
      <c r="C89" s="203"/>
      <c r="D89" s="90"/>
      <c r="E89" s="90"/>
      <c r="F89" s="168"/>
      <c r="G89" s="92"/>
      <c r="H89" s="92">
        <v>1</v>
      </c>
      <c r="I89" s="218">
        <f t="shared" si="3"/>
        <v>0</v>
      </c>
      <c r="J89" s="94">
        <f t="shared" si="2"/>
        <v>0</v>
      </c>
      <c r="K89" s="82"/>
      <c r="L89" s="82"/>
    </row>
    <row r="90" spans="2:12" s="1" customFormat="1" ht="12.75" customHeight="1" x14ac:dyDescent="0.15">
      <c r="B90" s="82">
        <v>7</v>
      </c>
      <c r="C90" s="203"/>
      <c r="D90" s="90"/>
      <c r="E90" s="90"/>
      <c r="F90" s="168"/>
      <c r="G90" s="92"/>
      <c r="H90" s="92">
        <v>1</v>
      </c>
      <c r="I90" s="218">
        <f t="shared" si="3"/>
        <v>0</v>
      </c>
      <c r="J90" s="94">
        <f t="shared" si="2"/>
        <v>0</v>
      </c>
      <c r="K90" s="82"/>
      <c r="L90" s="82"/>
    </row>
    <row r="91" spans="2:12" s="1" customFormat="1" ht="12.75" customHeight="1" x14ac:dyDescent="0.15">
      <c r="B91" s="82">
        <v>8</v>
      </c>
      <c r="C91" s="203"/>
      <c r="D91" s="90"/>
      <c r="E91" s="90"/>
      <c r="F91" s="168"/>
      <c r="G91" s="92"/>
      <c r="H91" s="92">
        <v>1</v>
      </c>
      <c r="I91" s="218">
        <f t="shared" si="3"/>
        <v>0</v>
      </c>
      <c r="J91" s="94">
        <f t="shared" si="2"/>
        <v>0</v>
      </c>
      <c r="K91" s="82"/>
      <c r="L91" s="82"/>
    </row>
    <row r="92" spans="2:12" s="1" customFormat="1" ht="12.75" customHeight="1" x14ac:dyDescent="0.15">
      <c r="B92" s="82">
        <v>9</v>
      </c>
      <c r="C92" s="203"/>
      <c r="D92" s="90"/>
      <c r="E92" s="90"/>
      <c r="F92" s="168"/>
      <c r="G92" s="92"/>
      <c r="H92" s="92">
        <v>1</v>
      </c>
      <c r="I92" s="218">
        <f t="shared" si="3"/>
        <v>0</v>
      </c>
      <c r="J92" s="94">
        <f t="shared" si="2"/>
        <v>0</v>
      </c>
      <c r="K92" s="82"/>
      <c r="L92" s="82"/>
    </row>
    <row r="93" spans="2:12" s="1" customFormat="1" ht="12.75" customHeight="1" x14ac:dyDescent="0.15">
      <c r="B93" s="82">
        <v>10</v>
      </c>
      <c r="C93" s="203"/>
      <c r="D93" s="90"/>
      <c r="E93" s="90"/>
      <c r="F93" s="168"/>
      <c r="G93" s="92"/>
      <c r="H93" s="92">
        <v>1</v>
      </c>
      <c r="I93" s="218">
        <f t="shared" si="3"/>
        <v>0</v>
      </c>
      <c r="J93" s="94">
        <f t="shared" si="2"/>
        <v>0</v>
      </c>
      <c r="K93" s="82"/>
      <c r="L93" s="82"/>
    </row>
    <row r="94" spans="2:12" s="1" customFormat="1" ht="12.75" customHeight="1" x14ac:dyDescent="0.15">
      <c r="B94" s="82"/>
      <c r="C94" s="203"/>
      <c r="D94" s="90"/>
      <c r="E94" s="90"/>
      <c r="F94" s="168"/>
      <c r="G94" s="92"/>
      <c r="H94" s="92"/>
      <c r="I94" s="218"/>
      <c r="J94" s="94"/>
      <c r="K94" s="82"/>
      <c r="L94" s="82"/>
    </row>
    <row r="95" spans="2:12" s="1" customFormat="1" ht="12.75" customHeight="1" x14ac:dyDescent="0.15">
      <c r="B95" s="82"/>
      <c r="C95" s="203"/>
      <c r="D95" s="90"/>
      <c r="E95" s="90"/>
      <c r="F95" s="168"/>
      <c r="G95" s="92"/>
      <c r="H95" s="92"/>
      <c r="I95" s="218"/>
      <c r="J95" s="94"/>
      <c r="K95" s="82"/>
      <c r="L95" s="82"/>
    </row>
    <row r="96" spans="2:12" s="1" customFormat="1" ht="12.75" customHeight="1" x14ac:dyDescent="0.15">
      <c r="B96" s="82"/>
      <c r="C96" s="187" t="s">
        <v>153</v>
      </c>
      <c r="D96" s="90"/>
      <c r="E96" s="90"/>
      <c r="F96" s="168"/>
      <c r="G96" s="92"/>
      <c r="H96" s="92"/>
      <c r="I96" s="218"/>
      <c r="J96" s="94"/>
      <c r="K96" s="82"/>
      <c r="L96" s="82"/>
    </row>
    <row r="97" spans="2:12" s="1" customFormat="1" ht="12.75" x14ac:dyDescent="0.15">
      <c r="B97" s="82">
        <v>1</v>
      </c>
      <c r="C97" s="188"/>
      <c r="D97" s="204"/>
      <c r="E97" s="204"/>
      <c r="F97" s="218"/>
      <c r="G97" s="212"/>
      <c r="H97" s="92">
        <v>1</v>
      </c>
      <c r="I97" s="218">
        <f t="shared" ref="I97:I115" si="4">J97*$C$32</f>
        <v>0</v>
      </c>
      <c r="J97" s="94">
        <f t="shared" ref="J97:J115" si="5">(F97*G97*H97)/$C$32</f>
        <v>0</v>
      </c>
      <c r="K97" s="82"/>
      <c r="L97" s="82"/>
    </row>
    <row r="98" spans="2:12" s="1" customFormat="1" ht="12.75" x14ac:dyDescent="0.15">
      <c r="B98" s="82">
        <v>2</v>
      </c>
      <c r="C98" s="188"/>
      <c r="D98" s="204"/>
      <c r="E98" s="204"/>
      <c r="F98" s="218"/>
      <c r="G98" s="212"/>
      <c r="H98" s="92">
        <v>1</v>
      </c>
      <c r="I98" s="218">
        <f t="shared" si="4"/>
        <v>0</v>
      </c>
      <c r="J98" s="213">
        <f t="shared" si="5"/>
        <v>0</v>
      </c>
      <c r="K98" s="82"/>
      <c r="L98" s="82"/>
    </row>
    <row r="99" spans="2:12" s="1" customFormat="1" ht="12.75" x14ac:dyDescent="0.15">
      <c r="B99" s="82">
        <v>3</v>
      </c>
      <c r="C99" s="189"/>
      <c r="D99" s="204"/>
      <c r="E99" s="204"/>
      <c r="F99" s="218"/>
      <c r="G99" s="212"/>
      <c r="H99" s="92">
        <v>1</v>
      </c>
      <c r="I99" s="218">
        <f t="shared" si="4"/>
        <v>0</v>
      </c>
      <c r="J99" s="94">
        <f t="shared" si="5"/>
        <v>0</v>
      </c>
      <c r="K99" s="82"/>
      <c r="L99" s="82"/>
    </row>
    <row r="100" spans="2:12" s="1" customFormat="1" ht="12.75" x14ac:dyDescent="0.15">
      <c r="B100" s="82">
        <v>4</v>
      </c>
      <c r="C100" s="188"/>
      <c r="D100" s="205"/>
      <c r="E100" s="205"/>
      <c r="F100" s="218"/>
      <c r="G100" s="212"/>
      <c r="H100" s="92">
        <v>1</v>
      </c>
      <c r="I100" s="218">
        <f t="shared" si="4"/>
        <v>0</v>
      </c>
      <c r="J100" s="94">
        <f t="shared" si="5"/>
        <v>0</v>
      </c>
      <c r="K100" s="82"/>
      <c r="L100" s="82"/>
    </row>
    <row r="101" spans="2:12" s="1" customFormat="1" ht="12.75" x14ac:dyDescent="0.15">
      <c r="B101" s="82">
        <v>5</v>
      </c>
      <c r="C101" s="188"/>
      <c r="D101" s="204"/>
      <c r="E101" s="204"/>
      <c r="F101" s="218"/>
      <c r="G101" s="212"/>
      <c r="H101" s="92">
        <v>1</v>
      </c>
      <c r="I101" s="218">
        <f t="shared" si="4"/>
        <v>0</v>
      </c>
      <c r="J101" s="94">
        <f t="shared" si="5"/>
        <v>0</v>
      </c>
      <c r="K101" s="82"/>
      <c r="L101" s="82"/>
    </row>
    <row r="102" spans="2:12" s="1" customFormat="1" ht="12.75" x14ac:dyDescent="0.15">
      <c r="B102" s="82">
        <v>6</v>
      </c>
      <c r="C102" s="188"/>
      <c r="D102" s="204"/>
      <c r="E102" s="204"/>
      <c r="F102" s="218"/>
      <c r="G102" s="212"/>
      <c r="H102" s="92">
        <v>1</v>
      </c>
      <c r="I102" s="218">
        <f t="shared" si="4"/>
        <v>0</v>
      </c>
      <c r="J102" s="94">
        <f t="shared" si="5"/>
        <v>0</v>
      </c>
      <c r="K102" s="82"/>
      <c r="L102" s="82"/>
    </row>
    <row r="103" spans="2:12" s="1" customFormat="1" ht="12.75" x14ac:dyDescent="0.15">
      <c r="B103" s="82">
        <v>7</v>
      </c>
      <c r="C103" s="188"/>
      <c r="D103" s="206"/>
      <c r="E103" s="206"/>
      <c r="F103" s="218"/>
      <c r="G103" s="212"/>
      <c r="H103" s="92">
        <v>1</v>
      </c>
      <c r="I103" s="218">
        <f t="shared" si="4"/>
        <v>0</v>
      </c>
      <c r="J103" s="94">
        <f t="shared" si="5"/>
        <v>0</v>
      </c>
      <c r="K103" s="82"/>
      <c r="L103" s="82"/>
    </row>
    <row r="104" spans="2:12" s="1" customFormat="1" ht="12.75" x14ac:dyDescent="0.15">
      <c r="B104" s="82">
        <v>8</v>
      </c>
      <c r="C104" s="113"/>
      <c r="D104" s="206"/>
      <c r="E104" s="206"/>
      <c r="F104" s="218"/>
      <c r="G104" s="212"/>
      <c r="H104" s="92">
        <v>1</v>
      </c>
      <c r="I104" s="218">
        <f t="shared" si="4"/>
        <v>0</v>
      </c>
      <c r="J104" s="94">
        <f t="shared" si="5"/>
        <v>0</v>
      </c>
      <c r="K104" s="82"/>
      <c r="L104" s="82"/>
    </row>
    <row r="105" spans="2:12" s="1" customFormat="1" ht="12.75" x14ac:dyDescent="0.15">
      <c r="B105" s="82">
        <v>9</v>
      </c>
      <c r="C105" s="188"/>
      <c r="D105" s="204"/>
      <c r="E105" s="204"/>
      <c r="F105" s="218"/>
      <c r="G105" s="212"/>
      <c r="H105" s="92">
        <v>1</v>
      </c>
      <c r="I105" s="218">
        <f t="shared" si="4"/>
        <v>0</v>
      </c>
      <c r="J105" s="94">
        <f t="shared" si="5"/>
        <v>0</v>
      </c>
      <c r="K105" s="82"/>
      <c r="L105" s="82"/>
    </row>
    <row r="106" spans="2:12" s="1" customFormat="1" ht="12.75" x14ac:dyDescent="0.15">
      <c r="B106" s="82">
        <v>10</v>
      </c>
      <c r="C106" s="188"/>
      <c r="D106" s="204"/>
      <c r="E106" s="204"/>
      <c r="F106" s="218"/>
      <c r="G106" s="212"/>
      <c r="H106" s="92">
        <v>1</v>
      </c>
      <c r="I106" s="218">
        <f t="shared" si="4"/>
        <v>0</v>
      </c>
      <c r="J106" s="94">
        <f t="shared" si="5"/>
        <v>0</v>
      </c>
      <c r="K106" s="82"/>
      <c r="L106" s="82"/>
    </row>
    <row r="107" spans="2:12" s="1" customFormat="1" ht="12.75" x14ac:dyDescent="0.15">
      <c r="B107" s="82">
        <v>11</v>
      </c>
      <c r="C107" s="188"/>
      <c r="D107" s="204"/>
      <c r="E107" s="204"/>
      <c r="F107" s="218"/>
      <c r="G107" s="212"/>
      <c r="H107" s="92">
        <v>1</v>
      </c>
      <c r="I107" s="218">
        <f t="shared" si="4"/>
        <v>0</v>
      </c>
      <c r="J107" s="94">
        <f t="shared" si="5"/>
        <v>0</v>
      </c>
      <c r="K107" s="82"/>
      <c r="L107" s="82"/>
    </row>
    <row r="108" spans="2:12" s="1" customFormat="1" ht="12.75" x14ac:dyDescent="0.15">
      <c r="B108" s="82">
        <v>12</v>
      </c>
      <c r="C108" s="188"/>
      <c r="D108" s="204"/>
      <c r="E108" s="204"/>
      <c r="F108" s="218"/>
      <c r="G108" s="212"/>
      <c r="H108" s="92">
        <v>1</v>
      </c>
      <c r="I108" s="218">
        <f t="shared" si="4"/>
        <v>0</v>
      </c>
      <c r="J108" s="94">
        <f t="shared" si="5"/>
        <v>0</v>
      </c>
      <c r="K108" s="82"/>
      <c r="L108" s="82"/>
    </row>
    <row r="109" spans="2:12" s="1" customFormat="1" ht="14.25" x14ac:dyDescent="0.15">
      <c r="B109" s="82">
        <v>13</v>
      </c>
      <c r="C109" s="188"/>
      <c r="D109" s="204"/>
      <c r="E109" s="204"/>
      <c r="F109" s="218"/>
      <c r="G109" s="212"/>
      <c r="H109" s="92">
        <v>1</v>
      </c>
      <c r="I109" s="218">
        <f t="shared" si="4"/>
        <v>0</v>
      </c>
      <c r="J109" s="94">
        <f t="shared" si="5"/>
        <v>0</v>
      </c>
      <c r="K109" s="82"/>
      <c r="L109" s="115"/>
    </row>
    <row r="110" spans="2:12" s="1" customFormat="1" ht="14.25" x14ac:dyDescent="0.15">
      <c r="B110" s="82">
        <v>14</v>
      </c>
      <c r="C110" s="189"/>
      <c r="D110" s="204"/>
      <c r="E110" s="206"/>
      <c r="F110" s="218"/>
      <c r="G110" s="212"/>
      <c r="H110" s="92">
        <v>1</v>
      </c>
      <c r="I110" s="218">
        <f t="shared" si="4"/>
        <v>0</v>
      </c>
      <c r="J110" s="94">
        <f t="shared" si="5"/>
        <v>0</v>
      </c>
      <c r="K110" s="82"/>
      <c r="L110" s="115"/>
    </row>
    <row r="111" spans="2:12" s="1" customFormat="1" ht="14.25" x14ac:dyDescent="0.15">
      <c r="B111" s="82">
        <v>15</v>
      </c>
      <c r="C111" s="189"/>
      <c r="D111" s="206"/>
      <c r="E111" s="206"/>
      <c r="F111" s="218"/>
      <c r="G111" s="212"/>
      <c r="H111" s="92">
        <v>1</v>
      </c>
      <c r="I111" s="218">
        <f t="shared" si="4"/>
        <v>0</v>
      </c>
      <c r="J111" s="94">
        <f t="shared" si="5"/>
        <v>0</v>
      </c>
      <c r="K111" s="82"/>
      <c r="L111" s="115"/>
    </row>
    <row r="112" spans="2:12" s="1" customFormat="1" ht="14.25" x14ac:dyDescent="0.15">
      <c r="B112" s="82">
        <v>16</v>
      </c>
      <c r="C112" s="189"/>
      <c r="D112" s="206"/>
      <c r="E112" s="206"/>
      <c r="F112" s="221"/>
      <c r="G112" s="212"/>
      <c r="H112" s="92">
        <v>1</v>
      </c>
      <c r="I112" s="218">
        <f t="shared" si="4"/>
        <v>0</v>
      </c>
      <c r="J112" s="94">
        <f t="shared" si="5"/>
        <v>0</v>
      </c>
      <c r="K112" s="82"/>
      <c r="L112" s="115"/>
    </row>
    <row r="113" spans="2:12" s="1" customFormat="1" ht="14.25" x14ac:dyDescent="0.15">
      <c r="B113" s="82">
        <v>17</v>
      </c>
      <c r="C113" s="189"/>
      <c r="D113" s="206"/>
      <c r="E113" s="206"/>
      <c r="F113" s="218"/>
      <c r="G113" s="212"/>
      <c r="H113" s="92">
        <v>1</v>
      </c>
      <c r="I113" s="218">
        <f t="shared" si="4"/>
        <v>0</v>
      </c>
      <c r="J113" s="94">
        <f t="shared" si="5"/>
        <v>0</v>
      </c>
      <c r="K113" s="82"/>
      <c r="L113" s="115"/>
    </row>
    <row r="114" spans="2:12" s="1" customFormat="1" ht="14.25" x14ac:dyDescent="0.15">
      <c r="B114" s="82">
        <v>18</v>
      </c>
      <c r="C114" s="189"/>
      <c r="D114" s="206"/>
      <c r="E114" s="206"/>
      <c r="F114" s="218"/>
      <c r="G114" s="212"/>
      <c r="H114" s="92">
        <v>1</v>
      </c>
      <c r="I114" s="218">
        <f t="shared" si="4"/>
        <v>0</v>
      </c>
      <c r="J114" s="94">
        <f t="shared" si="5"/>
        <v>0</v>
      </c>
      <c r="K114" s="82"/>
      <c r="L114" s="115"/>
    </row>
    <row r="115" spans="2:12" s="1" customFormat="1" ht="14.25" x14ac:dyDescent="0.15">
      <c r="B115" s="82">
        <v>19</v>
      </c>
      <c r="C115" s="189"/>
      <c r="D115" s="206"/>
      <c r="E115" s="206"/>
      <c r="F115" s="218"/>
      <c r="G115" s="212"/>
      <c r="H115" s="92">
        <v>1</v>
      </c>
      <c r="I115" s="168">
        <f t="shared" si="4"/>
        <v>0</v>
      </c>
      <c r="J115" s="94">
        <f t="shared" si="5"/>
        <v>0</v>
      </c>
      <c r="K115" s="82"/>
      <c r="L115" s="115"/>
    </row>
    <row r="116" spans="2:12" s="1" customFormat="1" ht="14.25" x14ac:dyDescent="0.15">
      <c r="B116" s="82">
        <v>20</v>
      </c>
      <c r="C116" s="189"/>
      <c r="D116" s="206"/>
      <c r="E116" s="206"/>
      <c r="F116" s="218"/>
      <c r="G116" s="212"/>
      <c r="H116" s="92">
        <v>1</v>
      </c>
      <c r="I116" s="168">
        <f>J116*$C$32</f>
        <v>0</v>
      </c>
      <c r="J116" s="94">
        <f>(F116*G116*H116)/$C$32</f>
        <v>0</v>
      </c>
      <c r="K116" s="82"/>
      <c r="L116" s="115"/>
    </row>
    <row r="117" spans="2:12" s="1" customFormat="1" ht="14.25" x14ac:dyDescent="0.15">
      <c r="B117" s="82"/>
      <c r="C117" s="188"/>
      <c r="D117" s="206"/>
      <c r="E117" s="206"/>
      <c r="F117" s="218"/>
      <c r="G117" s="212"/>
      <c r="H117" s="92"/>
      <c r="I117" s="168"/>
      <c r="J117" s="94"/>
      <c r="K117" s="82"/>
      <c r="L117" s="115"/>
    </row>
    <row r="118" spans="2:12" s="1" customFormat="1" ht="14.25" x14ac:dyDescent="0.15">
      <c r="B118" s="82"/>
      <c r="C118" s="188"/>
      <c r="D118" s="206"/>
      <c r="E118" s="206"/>
      <c r="F118" s="218"/>
      <c r="G118" s="212"/>
      <c r="H118" s="92"/>
      <c r="I118" s="168"/>
      <c r="J118" s="94"/>
      <c r="K118" s="82"/>
      <c r="L118" s="115"/>
    </row>
    <row r="119" spans="2:12" s="1" customFormat="1" ht="14.25" x14ac:dyDescent="0.15">
      <c r="B119" s="82"/>
      <c r="C119" s="167" t="s">
        <v>150</v>
      </c>
      <c r="D119" s="90"/>
      <c r="E119" s="90"/>
      <c r="F119" s="168"/>
      <c r="G119" s="92"/>
      <c r="H119" s="92"/>
      <c r="I119" s="168"/>
      <c r="J119" s="94"/>
      <c r="K119" s="82"/>
      <c r="L119" s="115"/>
    </row>
    <row r="120" spans="2:12" s="1" customFormat="1" ht="14.25" x14ac:dyDescent="0.15">
      <c r="B120" s="82">
        <v>1</v>
      </c>
      <c r="C120" s="189"/>
      <c r="D120" s="206"/>
      <c r="E120" s="206"/>
      <c r="F120" s="168"/>
      <c r="G120" s="214"/>
      <c r="H120" s="92">
        <v>1</v>
      </c>
      <c r="I120" s="218">
        <f t="shared" ref="I120:I128" si="6">J120*$C$32</f>
        <v>0</v>
      </c>
      <c r="J120" s="94">
        <f>(F120*G120*H120)/$C$32</f>
        <v>0</v>
      </c>
      <c r="K120" s="82"/>
      <c r="L120" s="115"/>
    </row>
    <row r="121" spans="2:12" s="1" customFormat="1" ht="12.75" x14ac:dyDescent="0.15">
      <c r="B121" s="82">
        <v>2</v>
      </c>
      <c r="C121" s="189"/>
      <c r="D121" s="393"/>
      <c r="E121" s="393"/>
      <c r="F121" s="168"/>
      <c r="G121" s="92"/>
      <c r="H121" s="92">
        <v>1</v>
      </c>
      <c r="I121" s="168">
        <f t="shared" si="6"/>
        <v>0</v>
      </c>
      <c r="J121" s="185">
        <f t="shared" ref="J121:J128" si="7">(F121*G121*H121)/$C$32</f>
        <v>0</v>
      </c>
      <c r="K121" s="82"/>
      <c r="L121" s="82"/>
    </row>
    <row r="122" spans="2:12" s="1" customFormat="1" ht="12.75" x14ac:dyDescent="0.15">
      <c r="B122" s="82">
        <v>3</v>
      </c>
      <c r="C122" s="189"/>
      <c r="D122" s="394"/>
      <c r="E122" s="394"/>
      <c r="F122" s="168"/>
      <c r="G122" s="92"/>
      <c r="H122" s="92">
        <v>1</v>
      </c>
      <c r="I122" s="168">
        <f t="shared" si="6"/>
        <v>0</v>
      </c>
      <c r="J122" s="185">
        <f t="shared" si="7"/>
        <v>0</v>
      </c>
      <c r="K122" s="82"/>
      <c r="L122" s="82"/>
    </row>
    <row r="123" spans="2:12" s="1" customFormat="1" ht="12.75" x14ac:dyDescent="0.15">
      <c r="B123" s="82">
        <v>4</v>
      </c>
      <c r="C123" s="189"/>
      <c r="D123" s="206"/>
      <c r="E123" s="206"/>
      <c r="F123" s="168"/>
      <c r="G123" s="92"/>
      <c r="H123" s="92">
        <v>1</v>
      </c>
      <c r="I123" s="168">
        <f t="shared" si="6"/>
        <v>0</v>
      </c>
      <c r="J123" s="185">
        <f t="shared" si="7"/>
        <v>0</v>
      </c>
      <c r="K123" s="82"/>
      <c r="L123" s="82"/>
    </row>
    <row r="124" spans="2:12" s="1" customFormat="1" ht="12.75" x14ac:dyDescent="0.15">
      <c r="B124" s="82">
        <v>5</v>
      </c>
      <c r="C124" s="189"/>
      <c r="D124" s="206"/>
      <c r="E124" s="206"/>
      <c r="F124" s="168"/>
      <c r="G124" s="92"/>
      <c r="H124" s="92">
        <v>1</v>
      </c>
      <c r="I124" s="168">
        <f t="shared" si="6"/>
        <v>0</v>
      </c>
      <c r="J124" s="185">
        <f t="shared" si="7"/>
        <v>0</v>
      </c>
      <c r="K124" s="82"/>
      <c r="L124" s="82"/>
    </row>
    <row r="125" spans="2:12" s="1" customFormat="1" ht="12.75" x14ac:dyDescent="0.15">
      <c r="B125" s="82">
        <v>7</v>
      </c>
      <c r="C125" s="189"/>
      <c r="D125" s="206"/>
      <c r="E125" s="206"/>
      <c r="F125" s="168"/>
      <c r="G125" s="92"/>
      <c r="H125" s="92">
        <v>1</v>
      </c>
      <c r="I125" s="168">
        <f t="shared" si="6"/>
        <v>0</v>
      </c>
      <c r="J125" s="185">
        <f t="shared" si="7"/>
        <v>0</v>
      </c>
      <c r="K125" s="82"/>
      <c r="L125" s="82"/>
    </row>
    <row r="126" spans="2:12" s="1" customFormat="1" ht="12.75" x14ac:dyDescent="0.15">
      <c r="B126" s="82">
        <v>8</v>
      </c>
      <c r="C126" s="189"/>
      <c r="D126" s="206"/>
      <c r="E126" s="206"/>
      <c r="F126" s="168"/>
      <c r="G126" s="92"/>
      <c r="H126" s="92">
        <v>1</v>
      </c>
      <c r="I126" s="168">
        <f t="shared" si="6"/>
        <v>0</v>
      </c>
      <c r="J126" s="185">
        <f t="shared" si="7"/>
        <v>0</v>
      </c>
      <c r="K126" s="82"/>
      <c r="L126" s="82"/>
    </row>
    <row r="127" spans="2:12" s="1" customFormat="1" ht="12.75" x14ac:dyDescent="0.15">
      <c r="B127" s="82">
        <v>9</v>
      </c>
      <c r="C127" s="189"/>
      <c r="D127" s="206"/>
      <c r="E127" s="206"/>
      <c r="F127" s="168"/>
      <c r="G127" s="92"/>
      <c r="H127" s="92">
        <v>1</v>
      </c>
      <c r="I127" s="168">
        <f t="shared" si="6"/>
        <v>0</v>
      </c>
      <c r="J127" s="185">
        <f t="shared" si="7"/>
        <v>0</v>
      </c>
      <c r="K127" s="82"/>
      <c r="L127" s="82"/>
    </row>
    <row r="128" spans="2:12" s="1" customFormat="1" ht="12.75" x14ac:dyDescent="0.15">
      <c r="B128" s="82">
        <v>10</v>
      </c>
      <c r="C128" s="189"/>
      <c r="D128" s="206"/>
      <c r="E128" s="206"/>
      <c r="F128" s="168"/>
      <c r="G128" s="92"/>
      <c r="H128" s="92">
        <v>1</v>
      </c>
      <c r="I128" s="168">
        <f t="shared" si="6"/>
        <v>0</v>
      </c>
      <c r="J128" s="185">
        <f t="shared" si="7"/>
        <v>0</v>
      </c>
      <c r="K128" s="82"/>
      <c r="L128" s="82"/>
    </row>
    <row r="129" spans="2:12" s="1" customFormat="1" ht="12.75" x14ac:dyDescent="0.15">
      <c r="B129" s="82">
        <v>11</v>
      </c>
      <c r="C129" s="189"/>
      <c r="D129" s="206"/>
      <c r="E129" s="206"/>
      <c r="F129" s="168"/>
      <c r="G129" s="92"/>
      <c r="H129" s="92">
        <v>1</v>
      </c>
      <c r="I129" s="168"/>
      <c r="J129" s="185"/>
      <c r="K129" s="82"/>
      <c r="L129" s="82"/>
    </row>
    <row r="130" spans="2:12" s="1" customFormat="1" ht="12.75" x14ac:dyDescent="0.15">
      <c r="B130" s="82">
        <v>12</v>
      </c>
      <c r="C130" s="189"/>
      <c r="D130" s="206"/>
      <c r="E130" s="206"/>
      <c r="F130" s="168"/>
      <c r="G130" s="92"/>
      <c r="H130" s="92">
        <v>1</v>
      </c>
      <c r="I130" s="168"/>
      <c r="J130" s="185"/>
      <c r="K130" s="82"/>
      <c r="L130" s="82"/>
    </row>
    <row r="131" spans="2:12" s="1" customFormat="1" ht="12.75" x14ac:dyDescent="0.15">
      <c r="B131" s="82">
        <v>14</v>
      </c>
      <c r="C131" s="189"/>
      <c r="D131" s="206"/>
      <c r="E131" s="206"/>
      <c r="F131" s="168"/>
      <c r="G131" s="92"/>
      <c r="H131" s="92">
        <v>1</v>
      </c>
      <c r="I131" s="168">
        <f t="shared" ref="I131:I137" si="8">J131*$C$32</f>
        <v>0</v>
      </c>
      <c r="J131" s="185">
        <f t="shared" ref="J131:J132" si="9">(F131*G131*H131)/$C$32</f>
        <v>0</v>
      </c>
      <c r="K131" s="82"/>
      <c r="L131" s="82"/>
    </row>
    <row r="132" spans="2:12" s="1" customFormat="1" ht="12.75" x14ac:dyDescent="0.15">
      <c r="B132" s="82">
        <v>15</v>
      </c>
      <c r="C132" s="189"/>
      <c r="D132" s="206"/>
      <c r="E132" s="206"/>
      <c r="F132" s="168"/>
      <c r="G132" s="92"/>
      <c r="H132" s="92">
        <v>1</v>
      </c>
      <c r="I132" s="168">
        <f t="shared" si="8"/>
        <v>0</v>
      </c>
      <c r="J132" s="185">
        <f t="shared" si="9"/>
        <v>0</v>
      </c>
      <c r="K132" s="82"/>
      <c r="L132" s="82"/>
    </row>
    <row r="133" spans="2:12" s="1" customFormat="1" ht="12.75" x14ac:dyDescent="0.15">
      <c r="B133" s="82">
        <v>16</v>
      </c>
      <c r="C133" s="189"/>
      <c r="D133" s="206"/>
      <c r="E133" s="206"/>
      <c r="F133" s="168"/>
      <c r="G133" s="92"/>
      <c r="H133" s="92">
        <v>1</v>
      </c>
      <c r="I133" s="168">
        <f t="shared" si="8"/>
        <v>0</v>
      </c>
      <c r="J133" s="185">
        <f>(F133*G133*H133)/$C$32</f>
        <v>0</v>
      </c>
      <c r="K133" s="82"/>
      <c r="L133" s="82"/>
    </row>
    <row r="134" spans="2:12" s="1" customFormat="1" ht="12.75" x14ac:dyDescent="0.15">
      <c r="B134" s="82">
        <v>17</v>
      </c>
      <c r="C134" s="189"/>
      <c r="D134" s="206"/>
      <c r="E134" s="206"/>
      <c r="F134" s="168"/>
      <c r="G134" s="92"/>
      <c r="H134" s="92">
        <v>1</v>
      </c>
      <c r="I134" s="168">
        <f t="shared" si="8"/>
        <v>0</v>
      </c>
      <c r="J134" s="185">
        <f>(F134*G134*H134)/$C$32</f>
        <v>0</v>
      </c>
      <c r="K134" s="82"/>
      <c r="L134" s="82"/>
    </row>
    <row r="135" spans="2:12" s="1" customFormat="1" ht="12.75" x14ac:dyDescent="0.15">
      <c r="B135" s="82">
        <v>18</v>
      </c>
      <c r="C135" s="189"/>
      <c r="D135" s="206"/>
      <c r="E135" s="206"/>
      <c r="F135" s="168"/>
      <c r="G135" s="92"/>
      <c r="H135" s="92">
        <v>1</v>
      </c>
      <c r="I135" s="168">
        <f t="shared" si="8"/>
        <v>0</v>
      </c>
      <c r="J135" s="185">
        <f>(F135*G135*H135)/$C$32</f>
        <v>0</v>
      </c>
      <c r="K135" s="242"/>
      <c r="L135" s="82"/>
    </row>
    <row r="136" spans="2:12" s="1" customFormat="1" ht="12.75" x14ac:dyDescent="0.15">
      <c r="B136" s="82">
        <v>19</v>
      </c>
      <c r="C136" s="189"/>
      <c r="D136" s="206"/>
      <c r="E136" s="206"/>
      <c r="F136" s="168"/>
      <c r="G136" s="92"/>
      <c r="H136" s="92">
        <v>1</v>
      </c>
      <c r="I136" s="168">
        <f t="shared" si="8"/>
        <v>0</v>
      </c>
      <c r="J136" s="185">
        <f>(F136*G136*H136)/$C$32</f>
        <v>0</v>
      </c>
      <c r="K136" s="215"/>
      <c r="L136" s="82"/>
    </row>
    <row r="137" spans="2:12" s="1" customFormat="1" ht="12.75" x14ac:dyDescent="0.15">
      <c r="B137" s="82">
        <v>20</v>
      </c>
      <c r="C137" s="189"/>
      <c r="D137" s="206"/>
      <c r="E137" s="206"/>
      <c r="F137" s="168"/>
      <c r="G137" s="92"/>
      <c r="H137" s="92">
        <v>1</v>
      </c>
      <c r="I137" s="168">
        <f t="shared" si="8"/>
        <v>0</v>
      </c>
      <c r="J137" s="185">
        <f>(F137*G137*H137)/$C$32</f>
        <v>0</v>
      </c>
      <c r="K137" s="82"/>
      <c r="L137" s="82"/>
    </row>
    <row r="138" spans="2:12" s="1" customFormat="1" ht="12.75" x14ac:dyDescent="0.15">
      <c r="B138" s="82"/>
      <c r="C138" s="189"/>
      <c r="D138" s="206"/>
      <c r="E138" s="206"/>
      <c r="F138" s="168"/>
      <c r="G138" s="92"/>
      <c r="H138" s="92"/>
      <c r="I138" s="168"/>
      <c r="J138" s="185"/>
      <c r="K138" s="82"/>
      <c r="L138" s="82"/>
    </row>
    <row r="139" spans="2:12" s="1" customFormat="1" ht="12.75" x14ac:dyDescent="0.15">
      <c r="B139" s="82"/>
      <c r="C139" s="102"/>
      <c r="D139" s="103"/>
      <c r="E139" s="102"/>
      <c r="F139" s="128">
        <f>SUM(F82:F138)</f>
        <v>0</v>
      </c>
      <c r="G139" s="104"/>
      <c r="H139" s="105"/>
      <c r="I139" s="128">
        <f>SUM(I84:I138)</f>
        <v>0</v>
      </c>
      <c r="J139" s="257">
        <f>SUM(J81:J138)</f>
        <v>0</v>
      </c>
    </row>
    <row r="140" spans="2:12" s="1" customFormat="1" ht="12.75" x14ac:dyDescent="0.15">
      <c r="B140" s="82"/>
      <c r="C140" s="102"/>
      <c r="D140" s="103"/>
      <c r="E140" s="102" t="s">
        <v>147</v>
      </c>
      <c r="F140" s="128">
        <f>100/115*F139</f>
        <v>0</v>
      </c>
      <c r="G140" s="104"/>
      <c r="H140" s="105" t="s">
        <v>147</v>
      </c>
      <c r="I140" s="128">
        <f>100/115*I139</f>
        <v>0</v>
      </c>
      <c r="J140" s="106"/>
    </row>
    <row r="141" spans="2:12" s="1" customFormat="1" ht="12.75" x14ac:dyDescent="0.15"/>
    <row r="142" spans="2:12" s="1" customFormat="1" ht="12.75" x14ac:dyDescent="0.15"/>
    <row r="143" spans="2:12" s="1" customFormat="1" ht="12.75" x14ac:dyDescent="0.15"/>
    <row r="144" spans="2:12" s="1" customFormat="1" ht="12.75" x14ac:dyDescent="0.15"/>
    <row r="145" spans="2:12" s="247" customFormat="1" ht="32.25" x14ac:dyDescent="0.4">
      <c r="B145" s="248"/>
      <c r="C145" s="380" t="s">
        <v>112</v>
      </c>
      <c r="D145" s="380"/>
      <c r="E145" s="428" t="s">
        <v>151</v>
      </c>
      <c r="F145" s="428"/>
      <c r="G145" s="428"/>
      <c r="H145" s="428"/>
      <c r="I145" s="428"/>
      <c r="J145" s="382">
        <v>2026</v>
      </c>
      <c r="K145" s="382"/>
      <c r="L145" s="382"/>
    </row>
    <row r="146" spans="2:12" s="1" customFormat="1" ht="22.5" x14ac:dyDescent="0.15">
      <c r="B146" s="82"/>
      <c r="C146" s="102" t="s">
        <v>114</v>
      </c>
      <c r="D146" s="388" t="s">
        <v>115</v>
      </c>
      <c r="E146" s="388"/>
      <c r="F146" s="102" t="s">
        <v>116</v>
      </c>
      <c r="G146" s="102" t="s">
        <v>117</v>
      </c>
      <c r="H146" s="102" t="s">
        <v>118</v>
      </c>
      <c r="I146" s="102" t="s">
        <v>119</v>
      </c>
      <c r="J146" s="102" t="s">
        <v>120</v>
      </c>
      <c r="K146" s="82"/>
      <c r="L146" s="82"/>
    </row>
    <row r="147" spans="2:12" s="1" customFormat="1" ht="12.75" x14ac:dyDescent="0.15">
      <c r="B147" s="2"/>
      <c r="C147" s="220">
        <f>C79</f>
        <v>250</v>
      </c>
      <c r="D147" s="399">
        <v>21</v>
      </c>
      <c r="E147" s="399"/>
      <c r="F147" s="208">
        <f>F79</f>
        <v>0.85</v>
      </c>
      <c r="G147" s="209">
        <f>G79</f>
        <v>8</v>
      </c>
      <c r="H147" s="210">
        <f>D147*G147*F147</f>
        <v>142.79999999999998</v>
      </c>
      <c r="I147" s="216">
        <f>I208</f>
        <v>0</v>
      </c>
      <c r="J147" s="211">
        <f>H147-J208</f>
        <v>142.79999999999998</v>
      </c>
      <c r="K147" s="120"/>
      <c r="L147" s="120"/>
    </row>
    <row r="148" spans="2:12" s="1" customFormat="1" ht="33.75" x14ac:dyDescent="0.15">
      <c r="B148" s="2"/>
      <c r="C148" s="167" t="s">
        <v>121</v>
      </c>
      <c r="D148" s="395" t="s">
        <v>122</v>
      </c>
      <c r="E148" s="395"/>
      <c r="F148" s="177" t="s">
        <v>123</v>
      </c>
      <c r="G148" s="198" t="s">
        <v>124</v>
      </c>
      <c r="H148" s="15" t="s">
        <v>125</v>
      </c>
      <c r="I148" s="217" t="s">
        <v>126</v>
      </c>
      <c r="J148" s="178" t="s">
        <v>127</v>
      </c>
      <c r="K148" s="114" t="s">
        <v>128</v>
      </c>
      <c r="L148" s="114" t="s">
        <v>129</v>
      </c>
    </row>
    <row r="149" spans="2:12" s="1" customFormat="1" ht="12.75" x14ac:dyDescent="0.15">
      <c r="B149" s="2"/>
      <c r="C149" s="89"/>
      <c r="D149" s="391"/>
      <c r="E149" s="391"/>
      <c r="F149" s="91"/>
      <c r="G149" s="199"/>
      <c r="H149" s="9"/>
      <c r="I149" s="218"/>
      <c r="J149" s="94"/>
      <c r="K149" s="82"/>
      <c r="L149" s="82"/>
    </row>
    <row r="150" spans="2:12" s="1" customFormat="1" ht="13.35" customHeight="1" x14ac:dyDescent="0.15">
      <c r="B150" s="2"/>
      <c r="C150" s="392" t="s">
        <v>130</v>
      </c>
      <c r="D150" s="392"/>
      <c r="E150" s="392"/>
      <c r="F150" s="184"/>
      <c r="G150" s="200"/>
      <c r="H150" s="9"/>
      <c r="I150" s="218"/>
      <c r="J150" s="94"/>
      <c r="K150" s="82"/>
      <c r="L150" s="82"/>
    </row>
    <row r="151" spans="2:12" s="1" customFormat="1" ht="13.35" customHeight="1" x14ac:dyDescent="0.15">
      <c r="B151" s="2"/>
      <c r="C151" s="167" t="s">
        <v>152</v>
      </c>
      <c r="D151" s="167"/>
      <c r="E151" s="167"/>
      <c r="F151" s="168"/>
      <c r="G151" s="200"/>
      <c r="H151" s="9"/>
      <c r="I151" s="218"/>
      <c r="J151" s="94"/>
      <c r="K151" s="82"/>
      <c r="L151" s="82"/>
    </row>
    <row r="152" spans="2:12" s="1" customFormat="1" ht="12.75" customHeight="1" x14ac:dyDescent="0.15">
      <c r="B152" s="2">
        <v>1</v>
      </c>
      <c r="C152" s="203"/>
      <c r="D152" s="391"/>
      <c r="E152" s="391"/>
      <c r="F152" s="168"/>
      <c r="G152" s="200"/>
      <c r="H152" s="9">
        <v>1</v>
      </c>
      <c r="I152" s="218">
        <f>J152*$C$32</f>
        <v>0</v>
      </c>
      <c r="J152" s="94">
        <f t="shared" ref="J152:J206" si="10">(F152*G152*H152)/$C$32</f>
        <v>0</v>
      </c>
      <c r="K152" s="82"/>
      <c r="L152" s="82"/>
    </row>
    <row r="153" spans="2:12" s="1" customFormat="1" ht="12.75" customHeight="1" x14ac:dyDescent="0.15">
      <c r="B153" s="2">
        <v>2</v>
      </c>
      <c r="C153" s="203"/>
      <c r="D153" s="391"/>
      <c r="E153" s="391"/>
      <c r="F153" s="168"/>
      <c r="G153" s="200"/>
      <c r="H153" s="9">
        <v>1</v>
      </c>
      <c r="I153" s="218">
        <f>J153*$C$32</f>
        <v>0</v>
      </c>
      <c r="J153" s="94">
        <f t="shared" si="10"/>
        <v>0</v>
      </c>
      <c r="K153" s="82"/>
      <c r="L153" s="82"/>
    </row>
    <row r="154" spans="2:12" s="1" customFormat="1" ht="12.75" customHeight="1" x14ac:dyDescent="0.15">
      <c r="B154" s="2">
        <v>3</v>
      </c>
      <c r="C154" s="203"/>
      <c r="D154" s="90"/>
      <c r="E154" s="90"/>
      <c r="F154" s="168"/>
      <c r="G154" s="200"/>
      <c r="H154" s="9">
        <v>1</v>
      </c>
      <c r="I154" s="218">
        <f t="shared" ref="I154:I206" si="11">J154*$C$32</f>
        <v>0</v>
      </c>
      <c r="J154" s="94">
        <f t="shared" si="10"/>
        <v>0</v>
      </c>
      <c r="K154" s="82"/>
      <c r="L154" s="82"/>
    </row>
    <row r="155" spans="2:12" s="1" customFormat="1" ht="12.75" customHeight="1" x14ac:dyDescent="0.15">
      <c r="B155" s="2">
        <v>4</v>
      </c>
      <c r="C155" s="203"/>
      <c r="D155" s="90"/>
      <c r="E155" s="90"/>
      <c r="F155" s="168"/>
      <c r="G155" s="200"/>
      <c r="H155" s="9">
        <v>1</v>
      </c>
      <c r="I155" s="218">
        <f t="shared" si="11"/>
        <v>0</v>
      </c>
      <c r="J155" s="94">
        <f t="shared" si="10"/>
        <v>0</v>
      </c>
      <c r="K155" s="82"/>
      <c r="L155" s="82"/>
    </row>
    <row r="156" spans="2:12" s="1" customFormat="1" ht="12.75" customHeight="1" x14ac:dyDescent="0.15">
      <c r="B156" s="2">
        <v>5</v>
      </c>
      <c r="C156" s="203"/>
      <c r="D156" s="90"/>
      <c r="E156" s="90"/>
      <c r="F156" s="168"/>
      <c r="G156" s="200"/>
      <c r="H156" s="9">
        <v>1</v>
      </c>
      <c r="I156" s="218">
        <f t="shared" si="11"/>
        <v>0</v>
      </c>
      <c r="J156" s="94">
        <f t="shared" si="10"/>
        <v>0</v>
      </c>
      <c r="K156" s="82"/>
      <c r="L156" s="82"/>
    </row>
    <row r="157" spans="2:12" s="1" customFormat="1" ht="12.75" customHeight="1" x14ac:dyDescent="0.15">
      <c r="B157" s="2">
        <v>6</v>
      </c>
      <c r="C157" s="203"/>
      <c r="D157" s="90"/>
      <c r="E157" s="90"/>
      <c r="F157" s="168"/>
      <c r="G157" s="200"/>
      <c r="H157" s="9">
        <v>1</v>
      </c>
      <c r="I157" s="218">
        <f t="shared" si="11"/>
        <v>0</v>
      </c>
      <c r="J157" s="94">
        <f t="shared" si="10"/>
        <v>0</v>
      </c>
      <c r="K157" s="82"/>
      <c r="L157" s="82"/>
    </row>
    <row r="158" spans="2:12" s="1" customFormat="1" ht="12.75" customHeight="1" x14ac:dyDescent="0.15">
      <c r="B158" s="2">
        <v>7</v>
      </c>
      <c r="C158" s="203"/>
      <c r="D158" s="90"/>
      <c r="E158" s="90"/>
      <c r="F158" s="168"/>
      <c r="G158" s="200"/>
      <c r="H158" s="9">
        <v>1</v>
      </c>
      <c r="I158" s="218">
        <f t="shared" si="11"/>
        <v>0</v>
      </c>
      <c r="J158" s="94">
        <f t="shared" si="10"/>
        <v>0</v>
      </c>
      <c r="K158" s="82"/>
      <c r="L158" s="82"/>
    </row>
    <row r="159" spans="2:12" s="1" customFormat="1" ht="12.75" customHeight="1" x14ac:dyDescent="0.15">
      <c r="B159" s="2">
        <v>8</v>
      </c>
      <c r="C159" s="203"/>
      <c r="D159" s="90"/>
      <c r="E159" s="90"/>
      <c r="F159" s="168"/>
      <c r="G159" s="200"/>
      <c r="H159" s="9">
        <v>1</v>
      </c>
      <c r="I159" s="218">
        <f t="shared" si="11"/>
        <v>0</v>
      </c>
      <c r="J159" s="94">
        <f t="shared" si="10"/>
        <v>0</v>
      </c>
      <c r="K159" s="82"/>
      <c r="L159" s="82"/>
    </row>
    <row r="160" spans="2:12" s="1" customFormat="1" ht="12.75" customHeight="1" x14ac:dyDescent="0.15">
      <c r="B160" s="2">
        <v>9</v>
      </c>
      <c r="C160" s="203"/>
      <c r="D160" s="90"/>
      <c r="E160" s="90"/>
      <c r="F160" s="168"/>
      <c r="G160" s="200"/>
      <c r="H160" s="9">
        <v>1</v>
      </c>
      <c r="I160" s="218">
        <f t="shared" si="11"/>
        <v>0</v>
      </c>
      <c r="J160" s="94">
        <f t="shared" si="10"/>
        <v>0</v>
      </c>
      <c r="K160" s="82"/>
      <c r="L160" s="82"/>
    </row>
    <row r="161" spans="2:12" s="1" customFormat="1" ht="12.75" customHeight="1" x14ac:dyDescent="0.15">
      <c r="B161" s="2">
        <v>10</v>
      </c>
      <c r="C161" s="203"/>
      <c r="D161" s="90"/>
      <c r="E161" s="90"/>
      <c r="F161" s="168"/>
      <c r="G161" s="200"/>
      <c r="H161" s="9">
        <v>1</v>
      </c>
      <c r="I161" s="218">
        <f t="shared" si="11"/>
        <v>0</v>
      </c>
      <c r="J161" s="94">
        <f t="shared" si="10"/>
        <v>0</v>
      </c>
      <c r="K161" s="82"/>
      <c r="L161" s="82"/>
    </row>
    <row r="162" spans="2:12" s="1" customFormat="1" ht="12.75" customHeight="1" x14ac:dyDescent="0.15">
      <c r="B162" s="2"/>
      <c r="C162" s="203"/>
      <c r="D162" s="90"/>
      <c r="E162" s="90"/>
      <c r="F162" s="168"/>
      <c r="G162" s="200"/>
      <c r="H162" s="9">
        <v>1</v>
      </c>
      <c r="I162" s="218">
        <f t="shared" si="11"/>
        <v>0</v>
      </c>
      <c r="J162" s="94">
        <f t="shared" si="10"/>
        <v>0</v>
      </c>
      <c r="K162" s="82"/>
      <c r="L162" s="82"/>
    </row>
    <row r="163" spans="2:12" s="1" customFormat="1" ht="12.75" customHeight="1" x14ac:dyDescent="0.15">
      <c r="B163" s="2"/>
      <c r="C163" s="203"/>
      <c r="D163" s="391"/>
      <c r="E163" s="391"/>
      <c r="F163" s="168"/>
      <c r="G163" s="200"/>
      <c r="H163" s="9"/>
      <c r="I163" s="218"/>
      <c r="J163" s="94"/>
      <c r="K163" s="82"/>
      <c r="L163" s="82"/>
    </row>
    <row r="164" spans="2:12" s="1" customFormat="1" ht="12.75" customHeight="1" x14ac:dyDescent="0.15">
      <c r="B164" s="2"/>
      <c r="C164" s="187" t="s">
        <v>153</v>
      </c>
      <c r="D164" s="391"/>
      <c r="E164" s="391"/>
      <c r="F164" s="168"/>
      <c r="G164" s="200"/>
      <c r="H164" s="9"/>
      <c r="I164" s="218"/>
      <c r="J164" s="94"/>
      <c r="K164" s="82"/>
      <c r="L164" s="82"/>
    </row>
    <row r="165" spans="2:12" s="1" customFormat="1" ht="15" customHeight="1" x14ac:dyDescent="0.15">
      <c r="B165" s="2">
        <v>1</v>
      </c>
      <c r="C165" s="188"/>
      <c r="D165" s="204"/>
      <c r="E165" s="204"/>
      <c r="F165" s="168"/>
      <c r="G165" s="200"/>
      <c r="H165" s="9">
        <v>1</v>
      </c>
      <c r="I165" s="218">
        <f t="shared" si="11"/>
        <v>0</v>
      </c>
      <c r="J165" s="94">
        <f t="shared" si="10"/>
        <v>0</v>
      </c>
      <c r="K165" s="82"/>
      <c r="L165" s="82"/>
    </row>
    <row r="166" spans="2:12" s="1" customFormat="1" ht="13.35" customHeight="1" x14ac:dyDescent="0.15">
      <c r="B166" s="2">
        <v>2</v>
      </c>
      <c r="C166" s="188"/>
      <c r="D166" s="204"/>
      <c r="E166" s="204"/>
      <c r="F166" s="168"/>
      <c r="G166" s="200"/>
      <c r="H166" s="9">
        <v>1</v>
      </c>
      <c r="I166" s="218">
        <f t="shared" si="11"/>
        <v>0</v>
      </c>
      <c r="J166" s="94">
        <f t="shared" si="10"/>
        <v>0</v>
      </c>
      <c r="K166" s="82"/>
      <c r="L166" s="82"/>
    </row>
    <row r="167" spans="2:12" s="1" customFormat="1" ht="13.35" customHeight="1" x14ac:dyDescent="0.15">
      <c r="B167" s="2">
        <v>3</v>
      </c>
      <c r="C167" s="189"/>
      <c r="D167" s="204"/>
      <c r="E167" s="204"/>
      <c r="F167" s="168"/>
      <c r="G167" s="200"/>
      <c r="H167" s="9">
        <v>1</v>
      </c>
      <c r="I167" s="218">
        <f t="shared" si="11"/>
        <v>0</v>
      </c>
      <c r="J167" s="94">
        <f t="shared" si="10"/>
        <v>0</v>
      </c>
      <c r="K167" s="82"/>
      <c r="L167" s="82"/>
    </row>
    <row r="168" spans="2:12" s="1" customFormat="1" ht="13.35" customHeight="1" x14ac:dyDescent="0.15">
      <c r="B168" s="2">
        <v>5</v>
      </c>
      <c r="C168" s="188"/>
      <c r="D168" s="205"/>
      <c r="E168" s="205"/>
      <c r="F168" s="168"/>
      <c r="G168" s="200"/>
      <c r="H168" s="9">
        <v>1</v>
      </c>
      <c r="I168" s="218">
        <f t="shared" si="11"/>
        <v>0</v>
      </c>
      <c r="J168" s="94">
        <f t="shared" si="10"/>
        <v>0</v>
      </c>
      <c r="K168" s="82"/>
      <c r="L168" s="82"/>
    </row>
    <row r="169" spans="2:12" s="1" customFormat="1" ht="13.35" customHeight="1" x14ac:dyDescent="0.15">
      <c r="B169" s="2">
        <v>6</v>
      </c>
      <c r="C169" s="188"/>
      <c r="D169" s="204"/>
      <c r="E169" s="204"/>
      <c r="F169" s="168"/>
      <c r="G169" s="200"/>
      <c r="H169" s="9">
        <v>1</v>
      </c>
      <c r="I169" s="218">
        <f t="shared" si="11"/>
        <v>0</v>
      </c>
      <c r="J169" s="94">
        <f t="shared" si="10"/>
        <v>0</v>
      </c>
      <c r="K169" s="82"/>
      <c r="L169" s="82"/>
    </row>
    <row r="170" spans="2:12" s="1" customFormat="1" ht="13.35" customHeight="1" x14ac:dyDescent="0.15">
      <c r="B170" s="2">
        <v>7</v>
      </c>
      <c r="C170" s="188"/>
      <c r="D170" s="204"/>
      <c r="E170" s="204"/>
      <c r="F170" s="168"/>
      <c r="G170" s="200"/>
      <c r="H170" s="9">
        <v>1</v>
      </c>
      <c r="I170" s="168">
        <f t="shared" si="11"/>
        <v>0</v>
      </c>
      <c r="J170" s="94">
        <f t="shared" si="10"/>
        <v>0</v>
      </c>
      <c r="K170" s="82"/>
      <c r="L170" s="82"/>
    </row>
    <row r="171" spans="2:12" s="1" customFormat="1" ht="13.35" customHeight="1" x14ac:dyDescent="0.15">
      <c r="B171" s="2">
        <v>8</v>
      </c>
      <c r="C171" s="188"/>
      <c r="D171" s="206"/>
      <c r="E171" s="206"/>
      <c r="F171" s="168"/>
      <c r="G171" s="200"/>
      <c r="H171" s="9">
        <v>1</v>
      </c>
      <c r="I171" s="168">
        <f t="shared" si="11"/>
        <v>0</v>
      </c>
      <c r="J171" s="94">
        <f t="shared" si="10"/>
        <v>0</v>
      </c>
      <c r="K171" s="82"/>
      <c r="L171" s="82"/>
    </row>
    <row r="172" spans="2:12" s="1" customFormat="1" ht="13.35" customHeight="1" x14ac:dyDescent="0.15">
      <c r="B172" s="2">
        <v>9</v>
      </c>
      <c r="C172" s="113"/>
      <c r="D172" s="206"/>
      <c r="E172" s="206"/>
      <c r="F172" s="168"/>
      <c r="G172" s="200"/>
      <c r="H172" s="9">
        <v>1</v>
      </c>
      <c r="I172" s="168">
        <f>J172*$C$32</f>
        <v>0</v>
      </c>
      <c r="J172" s="94">
        <f t="shared" si="10"/>
        <v>0</v>
      </c>
      <c r="K172" s="82"/>
      <c r="L172" s="82"/>
    </row>
    <row r="173" spans="2:12" s="1" customFormat="1" ht="13.35" customHeight="1" x14ac:dyDescent="0.15">
      <c r="B173" s="2">
        <v>10</v>
      </c>
      <c r="C173" s="188"/>
      <c r="D173" s="204"/>
      <c r="E173" s="204"/>
      <c r="F173" s="168"/>
      <c r="G173" s="200"/>
      <c r="H173" s="9">
        <v>1</v>
      </c>
      <c r="I173" s="168">
        <f t="shared" si="11"/>
        <v>0</v>
      </c>
      <c r="J173" s="94">
        <f t="shared" si="10"/>
        <v>0</v>
      </c>
      <c r="K173" s="82"/>
      <c r="L173" s="82"/>
    </row>
    <row r="174" spans="2:12" s="1" customFormat="1" ht="13.35" customHeight="1" x14ac:dyDescent="0.15">
      <c r="B174" s="2">
        <v>11</v>
      </c>
      <c r="C174" s="188"/>
      <c r="D174" s="204"/>
      <c r="E174" s="204"/>
      <c r="F174" s="168"/>
      <c r="G174" s="200"/>
      <c r="H174" s="9">
        <v>1</v>
      </c>
      <c r="I174" s="168">
        <f t="shared" si="11"/>
        <v>0</v>
      </c>
      <c r="J174" s="94">
        <f t="shared" si="10"/>
        <v>0</v>
      </c>
      <c r="K174" s="82"/>
      <c r="L174" s="82"/>
    </row>
    <row r="175" spans="2:12" s="1" customFormat="1" ht="13.35" customHeight="1" x14ac:dyDescent="0.15">
      <c r="B175" s="2">
        <v>12</v>
      </c>
      <c r="C175" s="188"/>
      <c r="D175" s="204"/>
      <c r="E175" s="204"/>
      <c r="F175" s="168"/>
      <c r="G175" s="200"/>
      <c r="H175" s="9">
        <v>1</v>
      </c>
      <c r="I175" s="168">
        <f t="shared" si="11"/>
        <v>0</v>
      </c>
      <c r="J175" s="94">
        <f t="shared" si="10"/>
        <v>0</v>
      </c>
      <c r="K175" s="82"/>
      <c r="L175" s="82"/>
    </row>
    <row r="176" spans="2:12" s="1" customFormat="1" ht="13.35" customHeight="1" x14ac:dyDescent="0.15">
      <c r="B176" s="2">
        <v>13</v>
      </c>
      <c r="C176" s="188"/>
      <c r="D176" s="204"/>
      <c r="E176" s="204"/>
      <c r="F176" s="168"/>
      <c r="G176" s="200"/>
      <c r="H176" s="9">
        <v>1</v>
      </c>
      <c r="I176" s="168">
        <f t="shared" si="11"/>
        <v>0</v>
      </c>
      <c r="J176" s="94">
        <f t="shared" si="10"/>
        <v>0</v>
      </c>
      <c r="K176" s="82"/>
      <c r="L176" s="82"/>
    </row>
    <row r="177" spans="2:12" s="1" customFormat="1" ht="13.35" customHeight="1" x14ac:dyDescent="0.15">
      <c r="B177" s="2">
        <v>14</v>
      </c>
      <c r="C177" s="188"/>
      <c r="D177" s="204"/>
      <c r="E177" s="204"/>
      <c r="F177" s="168"/>
      <c r="G177" s="200"/>
      <c r="H177" s="9">
        <v>1</v>
      </c>
      <c r="I177" s="168">
        <f t="shared" si="11"/>
        <v>0</v>
      </c>
      <c r="J177" s="94">
        <f t="shared" si="10"/>
        <v>0</v>
      </c>
      <c r="K177" s="82"/>
      <c r="L177" s="82"/>
    </row>
    <row r="178" spans="2:12" s="1" customFormat="1" ht="13.35" customHeight="1" x14ac:dyDescent="0.15">
      <c r="B178" s="2">
        <v>15</v>
      </c>
      <c r="C178" s="189"/>
      <c r="D178" s="204"/>
      <c r="E178" s="206"/>
      <c r="F178" s="168"/>
      <c r="G178" s="200"/>
      <c r="H178" s="9">
        <v>1</v>
      </c>
      <c r="I178" s="168">
        <f t="shared" si="11"/>
        <v>0</v>
      </c>
      <c r="J178" s="94">
        <f t="shared" si="10"/>
        <v>0</v>
      </c>
      <c r="K178" s="82"/>
      <c r="L178" s="82"/>
    </row>
    <row r="179" spans="2:12" s="1" customFormat="1" ht="13.35" customHeight="1" x14ac:dyDescent="0.15">
      <c r="B179" s="2">
        <v>16</v>
      </c>
      <c r="C179" s="189"/>
      <c r="D179" s="206"/>
      <c r="E179" s="206"/>
      <c r="F179" s="168"/>
      <c r="G179" s="200"/>
      <c r="H179" s="9">
        <v>1</v>
      </c>
      <c r="I179" s="168">
        <f t="shared" si="11"/>
        <v>0</v>
      </c>
      <c r="J179" s="94">
        <f t="shared" si="10"/>
        <v>0</v>
      </c>
      <c r="K179" s="82"/>
      <c r="L179" s="82"/>
    </row>
    <row r="180" spans="2:12" s="1" customFormat="1" ht="14.45" customHeight="1" x14ac:dyDescent="0.15">
      <c r="B180" s="2">
        <v>17</v>
      </c>
      <c r="C180" s="189"/>
      <c r="D180" s="206"/>
      <c r="E180" s="206"/>
      <c r="F180" s="219"/>
      <c r="G180" s="200"/>
      <c r="H180" s="9">
        <v>1</v>
      </c>
      <c r="I180" s="168">
        <f t="shared" si="11"/>
        <v>0</v>
      </c>
      <c r="J180" s="94">
        <f t="shared" si="10"/>
        <v>0</v>
      </c>
      <c r="K180" s="82"/>
      <c r="L180" s="82"/>
    </row>
    <row r="181" spans="2:12" s="1" customFormat="1" ht="13.35" customHeight="1" x14ac:dyDescent="0.15">
      <c r="B181" s="2">
        <v>18</v>
      </c>
      <c r="C181" s="189"/>
      <c r="D181" s="206"/>
      <c r="E181" s="206"/>
      <c r="F181" s="168"/>
      <c r="G181" s="200"/>
      <c r="H181" s="9">
        <v>1</v>
      </c>
      <c r="I181" s="168">
        <f t="shared" si="11"/>
        <v>0</v>
      </c>
      <c r="J181" s="94">
        <f t="shared" si="10"/>
        <v>0</v>
      </c>
      <c r="K181" s="82"/>
      <c r="L181" s="82"/>
    </row>
    <row r="182" spans="2:12" s="1" customFormat="1" ht="13.35" customHeight="1" x14ac:dyDescent="0.15">
      <c r="B182" s="2">
        <v>19</v>
      </c>
      <c r="C182" s="189"/>
      <c r="D182" s="206"/>
      <c r="E182" s="206"/>
      <c r="F182" s="168"/>
      <c r="G182" s="200"/>
      <c r="H182" s="9">
        <v>1</v>
      </c>
      <c r="I182" s="168">
        <f t="shared" si="11"/>
        <v>0</v>
      </c>
      <c r="J182" s="94">
        <f t="shared" si="10"/>
        <v>0</v>
      </c>
      <c r="K182" s="82"/>
      <c r="L182" s="82"/>
    </row>
    <row r="183" spans="2:12" s="1" customFormat="1" ht="13.35" customHeight="1" x14ac:dyDescent="0.15">
      <c r="B183" s="2">
        <v>20</v>
      </c>
      <c r="C183" s="189"/>
      <c r="D183" s="206"/>
      <c r="E183" s="206"/>
      <c r="F183" s="168"/>
      <c r="G183" s="200"/>
      <c r="H183" s="9">
        <v>1</v>
      </c>
      <c r="I183" s="168">
        <f t="shared" si="11"/>
        <v>0</v>
      </c>
      <c r="J183" s="94">
        <f t="shared" si="10"/>
        <v>0</v>
      </c>
      <c r="K183" s="82"/>
      <c r="L183" s="82"/>
    </row>
    <row r="184" spans="2:12" s="1" customFormat="1" ht="12.75" x14ac:dyDescent="0.15">
      <c r="B184" s="2"/>
      <c r="C184" s="89"/>
      <c r="D184" s="90"/>
      <c r="E184" s="90"/>
      <c r="F184" s="168"/>
      <c r="G184" s="200"/>
      <c r="H184" s="9"/>
      <c r="I184" s="168"/>
      <c r="J184" s="94"/>
      <c r="K184" s="82"/>
      <c r="L184" s="82"/>
    </row>
    <row r="185" spans="2:12" s="1" customFormat="1" ht="12.75" x14ac:dyDescent="0.15">
      <c r="B185" s="2"/>
      <c r="C185" s="203"/>
      <c r="D185" s="169"/>
      <c r="E185" s="169"/>
      <c r="F185" s="168"/>
      <c r="G185" s="200"/>
      <c r="H185" s="9"/>
      <c r="I185" s="168"/>
      <c r="J185" s="94"/>
      <c r="K185" s="82"/>
      <c r="L185" s="82"/>
    </row>
    <row r="186" spans="2:12" s="1" customFormat="1" ht="12.75" x14ac:dyDescent="0.15">
      <c r="B186" s="2"/>
      <c r="C186" s="167" t="s">
        <v>154</v>
      </c>
      <c r="D186" s="391"/>
      <c r="E186" s="391"/>
      <c r="F186" s="168"/>
      <c r="G186" s="200"/>
      <c r="H186" s="9"/>
      <c r="I186" s="168"/>
      <c r="J186" s="94"/>
      <c r="K186" s="82"/>
      <c r="L186" s="82"/>
    </row>
    <row r="187" spans="2:12" s="1" customFormat="1" ht="12.75" x14ac:dyDescent="0.15">
      <c r="B187" s="2">
        <v>1</v>
      </c>
      <c r="C187" s="207"/>
      <c r="D187" s="391"/>
      <c r="E187" s="391"/>
      <c r="F187" s="168"/>
      <c r="G187" s="200"/>
      <c r="H187" s="9">
        <v>1</v>
      </c>
      <c r="I187" s="168">
        <f t="shared" si="11"/>
        <v>0</v>
      </c>
      <c r="J187" s="94">
        <f t="shared" si="10"/>
        <v>0</v>
      </c>
      <c r="K187" s="82"/>
      <c r="L187" s="82"/>
    </row>
    <row r="188" spans="2:12" s="1" customFormat="1" ht="12.75" x14ac:dyDescent="0.15">
      <c r="B188" s="2">
        <v>2</v>
      </c>
      <c r="C188" s="403"/>
      <c r="D188" s="403"/>
      <c r="E188" s="403"/>
      <c r="F188" s="168"/>
      <c r="G188" s="200"/>
      <c r="H188" s="9">
        <v>1</v>
      </c>
      <c r="I188" s="168">
        <f t="shared" si="11"/>
        <v>0</v>
      </c>
      <c r="J188" s="94">
        <f t="shared" si="10"/>
        <v>0</v>
      </c>
      <c r="K188" s="82"/>
      <c r="L188" s="82"/>
    </row>
    <row r="189" spans="2:12" s="1" customFormat="1" ht="12.75" x14ac:dyDescent="0.15">
      <c r="B189" s="2">
        <f>B188+1</f>
        <v>3</v>
      </c>
      <c r="C189" s="183"/>
      <c r="D189" s="89"/>
      <c r="E189" s="89"/>
      <c r="F189" s="168"/>
      <c r="G189" s="200"/>
      <c r="H189" s="9">
        <v>1</v>
      </c>
      <c r="I189" s="168">
        <f t="shared" si="11"/>
        <v>0</v>
      </c>
      <c r="J189" s="94">
        <f t="shared" si="10"/>
        <v>0</v>
      </c>
      <c r="K189" s="82"/>
      <c r="L189" s="82"/>
    </row>
    <row r="190" spans="2:12" s="1" customFormat="1" ht="12.75" x14ac:dyDescent="0.15">
      <c r="B190" s="2">
        <f>B189+1</f>
        <v>4</v>
      </c>
      <c r="C190" s="89"/>
      <c r="D190" s="89"/>
      <c r="E190" s="89"/>
      <c r="F190" s="168"/>
      <c r="G190" s="200"/>
      <c r="H190" s="9">
        <v>1</v>
      </c>
      <c r="I190" s="168">
        <f t="shared" si="11"/>
        <v>0</v>
      </c>
      <c r="J190" s="94">
        <f t="shared" si="10"/>
        <v>0</v>
      </c>
      <c r="K190" s="82"/>
      <c r="L190" s="82"/>
    </row>
    <row r="191" spans="2:12" s="1" customFormat="1" ht="12.75" x14ac:dyDescent="0.15">
      <c r="B191" s="2">
        <f>B190+1</f>
        <v>5</v>
      </c>
      <c r="C191" s="89"/>
      <c r="D191" s="391"/>
      <c r="E191" s="391"/>
      <c r="F191" s="168"/>
      <c r="G191" s="200"/>
      <c r="H191" s="9">
        <v>1</v>
      </c>
      <c r="I191" s="168">
        <f t="shared" si="11"/>
        <v>0</v>
      </c>
      <c r="J191" s="94">
        <f t="shared" si="10"/>
        <v>0</v>
      </c>
      <c r="K191" s="82"/>
      <c r="L191" s="82"/>
    </row>
    <row r="192" spans="2:12" s="1" customFormat="1" ht="12.75" x14ac:dyDescent="0.15">
      <c r="B192" s="2">
        <f>B191+1</f>
        <v>6</v>
      </c>
      <c r="C192" s="392"/>
      <c r="D192" s="392"/>
      <c r="E192" s="392"/>
      <c r="F192" s="168"/>
      <c r="G192" s="200"/>
      <c r="H192" s="9">
        <v>1</v>
      </c>
      <c r="I192" s="168">
        <f t="shared" si="11"/>
        <v>0</v>
      </c>
      <c r="J192" s="94">
        <f t="shared" si="10"/>
        <v>0</v>
      </c>
      <c r="K192" s="82"/>
      <c r="L192" s="82"/>
    </row>
    <row r="193" spans="2:12" s="1" customFormat="1" ht="12.75" x14ac:dyDescent="0.15">
      <c r="B193" s="2">
        <f t="shared" ref="B193:B195" si="12">B192+1</f>
        <v>7</v>
      </c>
      <c r="C193" s="183"/>
      <c r="D193" s="391"/>
      <c r="E193" s="391"/>
      <c r="F193" s="168"/>
      <c r="G193" s="200"/>
      <c r="H193" s="9">
        <v>1</v>
      </c>
      <c r="I193" s="168">
        <f t="shared" si="11"/>
        <v>0</v>
      </c>
      <c r="J193" s="94">
        <f t="shared" si="10"/>
        <v>0</v>
      </c>
      <c r="K193" s="82"/>
      <c r="L193" s="82"/>
    </row>
    <row r="194" spans="2:12" s="1" customFormat="1" ht="12.75" x14ac:dyDescent="0.15">
      <c r="B194" s="2">
        <f t="shared" si="12"/>
        <v>8</v>
      </c>
      <c r="C194" s="183"/>
      <c r="D194" s="391"/>
      <c r="E194" s="391"/>
      <c r="F194" s="168"/>
      <c r="G194" s="200"/>
      <c r="H194" s="9">
        <v>1</v>
      </c>
      <c r="I194" s="168">
        <f t="shared" si="11"/>
        <v>0</v>
      </c>
      <c r="J194" s="94">
        <f t="shared" si="10"/>
        <v>0</v>
      </c>
      <c r="K194" s="82"/>
      <c r="L194" s="82"/>
    </row>
    <row r="195" spans="2:12" s="1" customFormat="1" ht="12.75" x14ac:dyDescent="0.15">
      <c r="B195" s="2">
        <f t="shared" si="12"/>
        <v>9</v>
      </c>
      <c r="C195" s="183"/>
      <c r="D195" s="391"/>
      <c r="E195" s="391"/>
      <c r="F195" s="168"/>
      <c r="G195" s="200"/>
      <c r="H195" s="9">
        <v>1</v>
      </c>
      <c r="I195" s="168">
        <f t="shared" si="11"/>
        <v>0</v>
      </c>
      <c r="J195" s="94">
        <f t="shared" si="10"/>
        <v>0</v>
      </c>
      <c r="K195" s="82"/>
      <c r="L195" s="82"/>
    </row>
    <row r="196" spans="2:12" s="1" customFormat="1" ht="12.75" x14ac:dyDescent="0.15">
      <c r="B196" s="2">
        <v>10</v>
      </c>
      <c r="C196" s="183"/>
      <c r="D196" s="90"/>
      <c r="E196" s="90"/>
      <c r="F196" s="168"/>
      <c r="G196" s="200"/>
      <c r="H196" s="9">
        <v>1</v>
      </c>
      <c r="I196" s="168">
        <f t="shared" si="11"/>
        <v>0</v>
      </c>
      <c r="J196" s="94">
        <f t="shared" si="10"/>
        <v>0</v>
      </c>
      <c r="K196" s="82"/>
      <c r="L196" s="82"/>
    </row>
    <row r="197" spans="2:12" s="1" customFormat="1" ht="12.75" x14ac:dyDescent="0.15">
      <c r="B197" s="2">
        <v>11</v>
      </c>
      <c r="C197" s="183"/>
      <c r="D197" s="90"/>
      <c r="E197" s="90"/>
      <c r="F197" s="168"/>
      <c r="G197" s="200"/>
      <c r="H197" s="9">
        <v>1</v>
      </c>
      <c r="I197" s="168">
        <f t="shared" si="11"/>
        <v>0</v>
      </c>
      <c r="J197" s="94">
        <f t="shared" si="10"/>
        <v>0</v>
      </c>
      <c r="K197" s="82"/>
      <c r="L197" s="82"/>
    </row>
    <row r="198" spans="2:12" s="1" customFormat="1" ht="12.75" x14ac:dyDescent="0.15">
      <c r="B198" s="2">
        <v>12</v>
      </c>
      <c r="C198" s="183"/>
      <c r="D198" s="90"/>
      <c r="E198" s="90"/>
      <c r="F198" s="168"/>
      <c r="G198" s="200"/>
      <c r="H198" s="9">
        <v>1</v>
      </c>
      <c r="I198" s="168">
        <f t="shared" si="11"/>
        <v>0</v>
      </c>
      <c r="J198" s="94">
        <f t="shared" si="10"/>
        <v>0</v>
      </c>
      <c r="K198" s="82"/>
      <c r="L198" s="82"/>
    </row>
    <row r="199" spans="2:12" s="1" customFormat="1" ht="12.75" x14ac:dyDescent="0.15">
      <c r="B199" s="2">
        <v>13</v>
      </c>
      <c r="C199" s="183"/>
      <c r="D199" s="90"/>
      <c r="E199" s="90"/>
      <c r="F199" s="168"/>
      <c r="G199" s="200"/>
      <c r="H199" s="9">
        <v>1</v>
      </c>
      <c r="I199" s="168">
        <f t="shared" si="11"/>
        <v>0</v>
      </c>
      <c r="J199" s="94">
        <f t="shared" si="10"/>
        <v>0</v>
      </c>
      <c r="K199" s="82"/>
      <c r="L199" s="82"/>
    </row>
    <row r="200" spans="2:12" s="1" customFormat="1" ht="12.75" x14ac:dyDescent="0.15">
      <c r="B200" s="2">
        <v>14</v>
      </c>
      <c r="C200" s="183"/>
      <c r="D200" s="90"/>
      <c r="E200" s="90"/>
      <c r="F200" s="168"/>
      <c r="G200" s="200"/>
      <c r="H200" s="9">
        <v>1</v>
      </c>
      <c r="I200" s="168">
        <f t="shared" si="11"/>
        <v>0</v>
      </c>
      <c r="J200" s="94">
        <f t="shared" si="10"/>
        <v>0</v>
      </c>
      <c r="K200" s="82"/>
      <c r="L200" s="82"/>
    </row>
    <row r="201" spans="2:12" s="1" customFormat="1" ht="12.75" x14ac:dyDescent="0.15">
      <c r="B201" s="2">
        <v>15</v>
      </c>
      <c r="C201" s="183"/>
      <c r="D201" s="90"/>
      <c r="E201" s="90"/>
      <c r="F201" s="168"/>
      <c r="G201" s="200"/>
      <c r="H201" s="9">
        <v>1</v>
      </c>
      <c r="I201" s="168">
        <f t="shared" si="11"/>
        <v>0</v>
      </c>
      <c r="J201" s="94">
        <f t="shared" si="10"/>
        <v>0</v>
      </c>
      <c r="K201" s="82"/>
      <c r="L201" s="82"/>
    </row>
    <row r="202" spans="2:12" s="1" customFormat="1" ht="12.75" x14ac:dyDescent="0.15">
      <c r="B202" s="2">
        <v>16</v>
      </c>
      <c r="C202" s="183"/>
      <c r="D202" s="90"/>
      <c r="E202" s="90"/>
      <c r="F202" s="168"/>
      <c r="G202" s="200"/>
      <c r="H202" s="9">
        <v>1</v>
      </c>
      <c r="I202" s="168">
        <f t="shared" si="11"/>
        <v>0</v>
      </c>
      <c r="J202" s="94">
        <f t="shared" si="10"/>
        <v>0</v>
      </c>
      <c r="K202" s="82"/>
      <c r="L202" s="82"/>
    </row>
    <row r="203" spans="2:12" s="1" customFormat="1" ht="12.75" x14ac:dyDescent="0.15">
      <c r="B203" s="2">
        <v>17</v>
      </c>
      <c r="C203" s="183"/>
      <c r="D203" s="90"/>
      <c r="E203" s="90"/>
      <c r="F203" s="168"/>
      <c r="G203" s="200"/>
      <c r="H203" s="9">
        <v>1</v>
      </c>
      <c r="I203" s="168">
        <f t="shared" si="11"/>
        <v>0</v>
      </c>
      <c r="J203" s="94">
        <f t="shared" si="10"/>
        <v>0</v>
      </c>
      <c r="K203" s="82"/>
      <c r="L203" s="82"/>
    </row>
    <row r="204" spans="2:12" s="1" customFormat="1" ht="12.75" x14ac:dyDescent="0.15">
      <c r="B204" s="2">
        <v>18</v>
      </c>
      <c r="C204" s="183"/>
      <c r="D204" s="90"/>
      <c r="E204" s="90"/>
      <c r="F204" s="168"/>
      <c r="G204" s="200"/>
      <c r="H204" s="9">
        <v>1</v>
      </c>
      <c r="I204" s="168">
        <f t="shared" si="11"/>
        <v>0</v>
      </c>
      <c r="J204" s="94">
        <f t="shared" si="10"/>
        <v>0</v>
      </c>
      <c r="K204" s="82"/>
      <c r="L204" s="82"/>
    </row>
    <row r="205" spans="2:12" s="1" customFormat="1" ht="12.75" x14ac:dyDescent="0.15">
      <c r="B205" s="2">
        <v>19</v>
      </c>
      <c r="C205" s="183"/>
      <c r="D205" s="90"/>
      <c r="E205" s="90"/>
      <c r="F205" s="168"/>
      <c r="G205" s="201"/>
      <c r="H205" s="197">
        <v>1</v>
      </c>
      <c r="I205" s="168">
        <f t="shared" si="11"/>
        <v>0</v>
      </c>
      <c r="J205" s="94">
        <f t="shared" si="10"/>
        <v>0</v>
      </c>
      <c r="K205" s="82"/>
      <c r="L205" s="82"/>
    </row>
    <row r="206" spans="2:12" s="1" customFormat="1" ht="12.75" x14ac:dyDescent="0.15">
      <c r="B206" s="112">
        <v>20</v>
      </c>
      <c r="C206" s="183"/>
      <c r="D206" s="90"/>
      <c r="E206" s="90"/>
      <c r="F206" s="168"/>
      <c r="G206" s="202"/>
      <c r="H206" s="92">
        <v>1</v>
      </c>
      <c r="I206" s="168">
        <f t="shared" si="11"/>
        <v>0</v>
      </c>
      <c r="J206" s="94">
        <f t="shared" si="10"/>
        <v>0</v>
      </c>
      <c r="K206" s="82"/>
      <c r="L206" s="82"/>
    </row>
    <row r="207" spans="2:12" s="1" customFormat="1" ht="12.75" x14ac:dyDescent="0.15">
      <c r="B207" s="82"/>
      <c r="C207" s="183"/>
      <c r="D207" s="90"/>
      <c r="E207" s="90"/>
      <c r="F207" s="168"/>
      <c r="G207" s="92"/>
      <c r="H207" s="92"/>
      <c r="I207" s="168"/>
      <c r="J207" s="94"/>
      <c r="K207" s="82"/>
      <c r="L207" s="82"/>
    </row>
    <row r="208" spans="2:12" s="1" customFormat="1" ht="12.75" x14ac:dyDescent="0.15">
      <c r="B208" s="82"/>
      <c r="C208" s="102"/>
      <c r="D208" s="103"/>
      <c r="E208" s="102"/>
      <c r="F208" s="128">
        <f>SUM(F149:F207)</f>
        <v>0</v>
      </c>
      <c r="G208" s="104"/>
      <c r="H208" s="105"/>
      <c r="I208" s="128">
        <f>SUM(I150:I207)</f>
        <v>0</v>
      </c>
      <c r="J208" s="257">
        <f>SUM(J149:J207)</f>
        <v>0</v>
      </c>
    </row>
    <row r="209" spans="2:12" s="1" customFormat="1" ht="12.75" x14ac:dyDescent="0.15">
      <c r="B209" s="82"/>
      <c r="C209" s="102"/>
      <c r="D209" s="103"/>
      <c r="E209" s="102" t="s">
        <v>147</v>
      </c>
      <c r="F209" s="128">
        <f>100/115*F208</f>
        <v>0</v>
      </c>
      <c r="G209" s="104"/>
      <c r="H209" s="105" t="s">
        <v>147</v>
      </c>
      <c r="I209" s="128">
        <f>100/115*I208</f>
        <v>0</v>
      </c>
      <c r="J209" s="106"/>
    </row>
    <row r="210" spans="2:12" s="1" customFormat="1" ht="12.75" x14ac:dyDescent="0.15"/>
    <row r="211" spans="2:12" s="1" customFormat="1" ht="12.75" x14ac:dyDescent="0.15"/>
    <row r="212" spans="2:12" s="1" customFormat="1" ht="12.75" x14ac:dyDescent="0.15"/>
    <row r="213" spans="2:12" s="1" customFormat="1" ht="12.75" x14ac:dyDescent="0.15"/>
    <row r="214" spans="2:12" s="247" customFormat="1" ht="32.25" x14ac:dyDescent="0.4">
      <c r="B214" s="248"/>
      <c r="C214" s="380" t="s">
        <v>112</v>
      </c>
      <c r="D214" s="380"/>
      <c r="E214" s="428" t="s">
        <v>155</v>
      </c>
      <c r="F214" s="428"/>
      <c r="G214" s="428"/>
      <c r="H214" s="428"/>
      <c r="I214" s="428"/>
      <c r="J214" s="382">
        <v>2026</v>
      </c>
      <c r="K214" s="382"/>
      <c r="L214" s="382"/>
    </row>
    <row r="215" spans="2:12" s="1" customFormat="1" ht="22.5" x14ac:dyDescent="0.15">
      <c r="B215" s="82"/>
      <c r="C215" s="102" t="s">
        <v>114</v>
      </c>
      <c r="D215" s="388" t="s">
        <v>115</v>
      </c>
      <c r="E215" s="388"/>
      <c r="F215" s="102" t="s">
        <v>116</v>
      </c>
      <c r="G215" s="102" t="s">
        <v>117</v>
      </c>
      <c r="H215" s="102" t="s">
        <v>118</v>
      </c>
      <c r="I215" s="102" t="s">
        <v>119</v>
      </c>
      <c r="J215" s="102" t="s">
        <v>120</v>
      </c>
      <c r="K215" s="82"/>
      <c r="L215" s="82"/>
    </row>
    <row r="216" spans="2:12" s="1" customFormat="1" ht="12.75" x14ac:dyDescent="0.15">
      <c r="B216" s="82"/>
      <c r="C216" s="66">
        <f>C147</f>
        <v>250</v>
      </c>
      <c r="D216" s="389">
        <v>19</v>
      </c>
      <c r="E216" s="389"/>
      <c r="F216" s="13">
        <f>F147</f>
        <v>0.85</v>
      </c>
      <c r="G216" s="14">
        <f>G147</f>
        <v>8</v>
      </c>
      <c r="H216" s="142">
        <f>D216*G216*F216</f>
        <v>129.19999999999999</v>
      </c>
      <c r="I216" s="66">
        <f>I278</f>
        <v>0</v>
      </c>
      <c r="J216" s="143">
        <f>H216-J278</f>
        <v>129.19999999999999</v>
      </c>
      <c r="K216" s="82"/>
      <c r="L216" s="82"/>
    </row>
    <row r="217" spans="2:12" s="1" customFormat="1" ht="33.75" x14ac:dyDescent="0.15">
      <c r="B217" s="82"/>
      <c r="C217" s="167" t="s">
        <v>121</v>
      </c>
      <c r="D217" s="395" t="s">
        <v>122</v>
      </c>
      <c r="E217" s="395"/>
      <c r="F217" s="177" t="s">
        <v>123</v>
      </c>
      <c r="G217" s="178" t="s">
        <v>124</v>
      </c>
      <c r="H217" s="179" t="s">
        <v>125</v>
      </c>
      <c r="I217" s="180" t="s">
        <v>126</v>
      </c>
      <c r="J217" s="178" t="s">
        <v>127</v>
      </c>
      <c r="K217" s="114" t="s">
        <v>128</v>
      </c>
      <c r="L217" s="114" t="s">
        <v>129</v>
      </c>
    </row>
    <row r="218" spans="2:12" s="1" customFormat="1" ht="12.75" x14ac:dyDescent="0.15">
      <c r="B218" s="79"/>
      <c r="C218" s="193"/>
      <c r="D218" s="406"/>
      <c r="E218" s="406"/>
      <c r="F218" s="194"/>
      <c r="G218" s="195"/>
      <c r="H218" s="196"/>
      <c r="I218" s="176"/>
      <c r="J218" s="88"/>
      <c r="K218" s="79"/>
      <c r="L218" s="120"/>
    </row>
    <row r="219" spans="2:12" s="1" customFormat="1" ht="12.75" x14ac:dyDescent="0.15">
      <c r="B219" s="80"/>
      <c r="C219" s="392" t="s">
        <v>130</v>
      </c>
      <c r="D219" s="392"/>
      <c r="E219" s="392"/>
      <c r="F219" s="184"/>
      <c r="G219" s="92"/>
      <c r="H219" s="163"/>
      <c r="I219" s="126"/>
      <c r="J219" s="21"/>
      <c r="K219" s="80"/>
      <c r="L219" s="82"/>
    </row>
    <row r="220" spans="2:12" s="1" customFormat="1" ht="12.75" x14ac:dyDescent="0.15">
      <c r="B220" s="80"/>
      <c r="C220" s="167" t="s">
        <v>149</v>
      </c>
      <c r="D220" s="167"/>
      <c r="E220" s="167"/>
      <c r="F220" s="168"/>
      <c r="G220" s="92"/>
      <c r="H220" s="163"/>
      <c r="I220" s="126"/>
      <c r="J220" s="21"/>
      <c r="K220" s="80"/>
      <c r="L220" s="82"/>
    </row>
    <row r="221" spans="2:12" s="1" customFormat="1" ht="12.75" x14ac:dyDescent="0.15">
      <c r="B221" s="80">
        <v>1</v>
      </c>
      <c r="C221" s="89"/>
      <c r="D221" s="167"/>
      <c r="E221" s="167"/>
      <c r="F221" s="168"/>
      <c r="G221" s="92"/>
      <c r="H221" s="163">
        <v>1</v>
      </c>
      <c r="I221" s="126">
        <f>J221*$C$32</f>
        <v>0</v>
      </c>
      <c r="J221" s="21">
        <f>(F221*G221*H221)/$C$32</f>
        <v>0</v>
      </c>
      <c r="K221" s="80"/>
      <c r="L221" s="82"/>
    </row>
    <row r="222" spans="2:12" s="1" customFormat="1" ht="12.75" customHeight="1" x14ac:dyDescent="0.15">
      <c r="B222" s="80">
        <v>2</v>
      </c>
      <c r="C222" s="187"/>
      <c r="D222" s="90"/>
      <c r="E222" s="90"/>
      <c r="F222" s="168"/>
      <c r="G222" s="92"/>
      <c r="H222" s="163">
        <v>1</v>
      </c>
      <c r="I222" s="126">
        <f>J222*$C$32</f>
        <v>0</v>
      </c>
      <c r="J222" s="21">
        <f>(F222*G222*H222)/$C$32</f>
        <v>0</v>
      </c>
      <c r="K222" s="80"/>
      <c r="L222" s="82"/>
    </row>
    <row r="223" spans="2:12" s="1" customFormat="1" ht="12.75" customHeight="1" x14ac:dyDescent="0.15">
      <c r="B223" s="80">
        <v>3</v>
      </c>
      <c r="C223" s="188"/>
      <c r="D223" s="169"/>
      <c r="E223" s="169"/>
      <c r="F223" s="168"/>
      <c r="G223" s="92"/>
      <c r="H223" s="163">
        <v>1</v>
      </c>
      <c r="I223" s="126">
        <f t="shared" ref="I223:I253" si="13">J223*$C$32</f>
        <v>0</v>
      </c>
      <c r="J223" s="21">
        <f t="shared" ref="J223:J253" si="14">(F223*G223*H223)/$C$32</f>
        <v>0</v>
      </c>
      <c r="K223" s="80"/>
      <c r="L223" s="82"/>
    </row>
    <row r="224" spans="2:12" s="1" customFormat="1" ht="12.75" customHeight="1" x14ac:dyDescent="0.15">
      <c r="B224" s="80">
        <v>4</v>
      </c>
      <c r="C224" s="188"/>
      <c r="D224" s="169"/>
      <c r="E224" s="169"/>
      <c r="F224" s="168"/>
      <c r="G224" s="92"/>
      <c r="H224" s="163">
        <v>1</v>
      </c>
      <c r="I224" s="126">
        <f t="shared" si="13"/>
        <v>0</v>
      </c>
      <c r="J224" s="21">
        <f t="shared" si="14"/>
        <v>0</v>
      </c>
      <c r="K224" s="80"/>
      <c r="L224" s="82"/>
    </row>
    <row r="225" spans="2:12" s="1" customFormat="1" ht="12.75" customHeight="1" x14ac:dyDescent="0.15">
      <c r="B225" s="80">
        <v>5</v>
      </c>
      <c r="C225" s="189"/>
      <c r="D225" s="169"/>
      <c r="E225" s="169"/>
      <c r="F225" s="168"/>
      <c r="G225" s="92"/>
      <c r="H225" s="163">
        <v>1</v>
      </c>
      <c r="I225" s="126">
        <f t="shared" si="13"/>
        <v>0</v>
      </c>
      <c r="J225" s="21">
        <f t="shared" si="14"/>
        <v>0</v>
      </c>
      <c r="K225" s="80"/>
      <c r="L225" s="82"/>
    </row>
    <row r="226" spans="2:12" s="1" customFormat="1" ht="12.75" customHeight="1" x14ac:dyDescent="0.15">
      <c r="B226" s="80">
        <v>6</v>
      </c>
      <c r="C226" s="188"/>
      <c r="D226" s="190"/>
      <c r="E226" s="190"/>
      <c r="F226" s="168"/>
      <c r="G226" s="92"/>
      <c r="H226" s="163">
        <v>1</v>
      </c>
      <c r="I226" s="126">
        <f t="shared" si="13"/>
        <v>0</v>
      </c>
      <c r="J226" s="21">
        <f t="shared" si="14"/>
        <v>0</v>
      </c>
      <c r="K226" s="80"/>
      <c r="L226" s="82"/>
    </row>
    <row r="227" spans="2:12" s="1" customFormat="1" ht="12.75" customHeight="1" x14ac:dyDescent="0.15">
      <c r="B227" s="80">
        <v>7</v>
      </c>
      <c r="C227" s="188"/>
      <c r="D227" s="169"/>
      <c r="E227" s="169"/>
      <c r="F227" s="168"/>
      <c r="G227" s="92"/>
      <c r="H227" s="163">
        <v>1</v>
      </c>
      <c r="I227" s="126">
        <f t="shared" si="13"/>
        <v>0</v>
      </c>
      <c r="J227" s="21">
        <f t="shared" si="14"/>
        <v>0</v>
      </c>
      <c r="K227" s="80"/>
      <c r="L227" s="82"/>
    </row>
    <row r="228" spans="2:12" s="1" customFormat="1" ht="12.75" customHeight="1" x14ac:dyDescent="0.15">
      <c r="B228" s="80">
        <v>8</v>
      </c>
      <c r="C228" s="188"/>
      <c r="D228" s="169"/>
      <c r="E228" s="169"/>
      <c r="F228" s="168"/>
      <c r="G228" s="92"/>
      <c r="H228" s="163">
        <v>1</v>
      </c>
      <c r="I228" s="192">
        <f t="shared" si="13"/>
        <v>0</v>
      </c>
      <c r="J228" s="21">
        <f t="shared" si="14"/>
        <v>0</v>
      </c>
      <c r="K228" s="80"/>
      <c r="L228" s="82"/>
    </row>
    <row r="229" spans="2:12" s="1" customFormat="1" ht="12.75" customHeight="1" x14ac:dyDescent="0.15">
      <c r="B229" s="80">
        <v>9</v>
      </c>
      <c r="C229" s="188"/>
      <c r="D229" s="90"/>
      <c r="E229" s="90"/>
      <c r="F229" s="168"/>
      <c r="G229" s="92"/>
      <c r="H229" s="163">
        <v>1</v>
      </c>
      <c r="I229" s="192">
        <f t="shared" si="13"/>
        <v>0</v>
      </c>
      <c r="J229" s="21">
        <f t="shared" si="14"/>
        <v>0</v>
      </c>
      <c r="K229" s="80"/>
      <c r="L229" s="82"/>
    </row>
    <row r="230" spans="2:12" s="1" customFormat="1" ht="12.75" x14ac:dyDescent="0.15">
      <c r="B230" s="80">
        <v>10</v>
      </c>
      <c r="C230" s="113"/>
      <c r="D230" s="90"/>
      <c r="E230" s="90"/>
      <c r="F230" s="168"/>
      <c r="G230" s="92"/>
      <c r="H230" s="163">
        <v>1</v>
      </c>
      <c r="I230" s="192">
        <f t="shared" si="13"/>
        <v>0</v>
      </c>
      <c r="J230" s="21">
        <f t="shared" si="14"/>
        <v>0</v>
      </c>
      <c r="K230" s="80"/>
      <c r="L230" s="82"/>
    </row>
    <row r="231" spans="2:12" s="1" customFormat="1" ht="12.75" x14ac:dyDescent="0.15">
      <c r="B231" s="80"/>
      <c r="C231" s="113"/>
      <c r="D231" s="90"/>
      <c r="E231" s="90"/>
      <c r="F231" s="168"/>
      <c r="G231" s="92"/>
      <c r="H231" s="163"/>
      <c r="I231" s="192"/>
      <c r="J231" s="21"/>
      <c r="K231" s="80"/>
      <c r="L231" s="82"/>
    </row>
    <row r="232" spans="2:12" s="1" customFormat="1" ht="12.75" x14ac:dyDescent="0.15">
      <c r="B232" s="80"/>
      <c r="C232" s="113"/>
      <c r="D232" s="90"/>
      <c r="E232" s="90"/>
      <c r="F232" s="168"/>
      <c r="G232" s="92"/>
      <c r="H232" s="163"/>
      <c r="I232" s="192"/>
      <c r="J232" s="21"/>
      <c r="K232" s="80"/>
      <c r="L232" s="82"/>
    </row>
    <row r="233" spans="2:12" s="1" customFormat="1" ht="12.75" x14ac:dyDescent="0.15">
      <c r="B233" s="80"/>
      <c r="C233" s="117" t="s">
        <v>156</v>
      </c>
      <c r="D233" s="90"/>
      <c r="E233" s="90"/>
      <c r="F233" s="168"/>
      <c r="G233" s="92"/>
      <c r="H233" s="163"/>
      <c r="I233" s="192"/>
      <c r="J233" s="21"/>
      <c r="K233" s="80"/>
      <c r="L233" s="82"/>
    </row>
    <row r="234" spans="2:12" s="1" customFormat="1" ht="12.75" x14ac:dyDescent="0.15">
      <c r="B234" s="80">
        <v>1</v>
      </c>
      <c r="C234" s="188"/>
      <c r="D234" s="169"/>
      <c r="E234" s="169"/>
      <c r="F234" s="168"/>
      <c r="G234" s="92"/>
      <c r="H234" s="163">
        <v>1</v>
      </c>
      <c r="I234" s="192">
        <f t="shared" si="13"/>
        <v>0</v>
      </c>
      <c r="J234" s="21">
        <f t="shared" si="14"/>
        <v>0</v>
      </c>
      <c r="K234" s="80"/>
      <c r="L234" s="82"/>
    </row>
    <row r="235" spans="2:12" s="1" customFormat="1" ht="12.75" x14ac:dyDescent="0.15">
      <c r="B235" s="80">
        <v>2</v>
      </c>
      <c r="C235" s="188"/>
      <c r="D235" s="169"/>
      <c r="E235" s="169"/>
      <c r="F235" s="168"/>
      <c r="G235" s="92"/>
      <c r="H235" s="163">
        <v>1</v>
      </c>
      <c r="I235" s="192">
        <f t="shared" si="13"/>
        <v>0</v>
      </c>
      <c r="J235" s="21">
        <f t="shared" si="14"/>
        <v>0</v>
      </c>
      <c r="K235" s="80"/>
      <c r="L235" s="82"/>
    </row>
    <row r="236" spans="2:12" s="1" customFormat="1" ht="12.75" x14ac:dyDescent="0.15">
      <c r="B236" s="80">
        <v>3</v>
      </c>
      <c r="C236" s="188"/>
      <c r="D236" s="169"/>
      <c r="E236" s="169"/>
      <c r="F236" s="168"/>
      <c r="G236" s="92"/>
      <c r="H236" s="163">
        <v>1</v>
      </c>
      <c r="I236" s="192">
        <f t="shared" si="13"/>
        <v>0</v>
      </c>
      <c r="J236" s="21">
        <f t="shared" si="14"/>
        <v>0</v>
      </c>
      <c r="K236" s="80"/>
      <c r="L236" s="82"/>
    </row>
    <row r="237" spans="2:12" s="1" customFormat="1" ht="13.5" customHeight="1" x14ac:dyDescent="0.15">
      <c r="B237" s="80">
        <v>4</v>
      </c>
      <c r="C237" s="188"/>
      <c r="D237" s="169"/>
      <c r="E237" s="169"/>
      <c r="F237" s="168"/>
      <c r="G237" s="92"/>
      <c r="H237" s="163">
        <v>1</v>
      </c>
      <c r="I237" s="192">
        <f t="shared" si="13"/>
        <v>0</v>
      </c>
      <c r="J237" s="21">
        <f t="shared" si="14"/>
        <v>0</v>
      </c>
      <c r="K237" s="80"/>
      <c r="L237" s="82"/>
    </row>
    <row r="238" spans="2:12" s="1" customFormat="1" ht="13.5" customHeight="1" x14ac:dyDescent="0.15">
      <c r="B238" s="80">
        <v>5</v>
      </c>
      <c r="C238" s="188"/>
      <c r="D238" s="169"/>
      <c r="E238" s="169"/>
      <c r="F238" s="168"/>
      <c r="G238" s="92"/>
      <c r="H238" s="163">
        <v>1</v>
      </c>
      <c r="I238" s="129">
        <f t="shared" si="13"/>
        <v>0</v>
      </c>
      <c r="J238" s="21">
        <f t="shared" si="14"/>
        <v>0</v>
      </c>
      <c r="K238" s="80"/>
      <c r="L238" s="82"/>
    </row>
    <row r="239" spans="2:12" s="1" customFormat="1" ht="13.5" customHeight="1" x14ac:dyDescent="0.15">
      <c r="B239" s="80">
        <v>6</v>
      </c>
      <c r="C239" s="189"/>
      <c r="D239" s="169"/>
      <c r="E239" s="90"/>
      <c r="F239" s="168"/>
      <c r="G239" s="92"/>
      <c r="H239" s="163">
        <v>1</v>
      </c>
      <c r="I239" s="129">
        <f t="shared" si="13"/>
        <v>0</v>
      </c>
      <c r="J239" s="21">
        <f t="shared" si="14"/>
        <v>0</v>
      </c>
      <c r="K239" s="80"/>
      <c r="L239" s="82"/>
    </row>
    <row r="240" spans="2:12" s="1" customFormat="1" ht="13.5" customHeight="1" x14ac:dyDescent="0.15">
      <c r="B240" s="80">
        <v>7</v>
      </c>
      <c r="C240" s="189"/>
      <c r="D240" s="90"/>
      <c r="E240" s="90"/>
      <c r="F240" s="168"/>
      <c r="G240" s="92"/>
      <c r="H240" s="163">
        <v>1</v>
      </c>
      <c r="I240" s="129">
        <f t="shared" si="13"/>
        <v>0</v>
      </c>
      <c r="J240" s="21">
        <f t="shared" si="14"/>
        <v>0</v>
      </c>
      <c r="K240" s="80"/>
      <c r="L240" s="82"/>
    </row>
    <row r="241" spans="2:12" s="1" customFormat="1" ht="13.5" customHeight="1" x14ac:dyDescent="0.15">
      <c r="B241" s="80">
        <v>8</v>
      </c>
      <c r="C241" s="189"/>
      <c r="D241" s="90"/>
      <c r="E241" s="90"/>
      <c r="F241" s="191"/>
      <c r="G241" s="92"/>
      <c r="H241" s="163">
        <v>1</v>
      </c>
      <c r="I241" s="129">
        <f t="shared" si="13"/>
        <v>0</v>
      </c>
      <c r="J241" s="21">
        <f t="shared" si="14"/>
        <v>0</v>
      </c>
      <c r="K241" s="80"/>
      <c r="L241" s="82"/>
    </row>
    <row r="242" spans="2:12" s="1" customFormat="1" ht="13.5" customHeight="1" x14ac:dyDescent="0.15">
      <c r="B242" s="80">
        <v>9</v>
      </c>
      <c r="C242" s="189"/>
      <c r="D242" s="90"/>
      <c r="E242" s="90"/>
      <c r="F242" s="168"/>
      <c r="G242" s="92"/>
      <c r="H242" s="163">
        <v>1</v>
      </c>
      <c r="I242" s="129">
        <f t="shared" si="13"/>
        <v>0</v>
      </c>
      <c r="J242" s="21">
        <f t="shared" si="14"/>
        <v>0</v>
      </c>
      <c r="K242" s="80"/>
      <c r="L242" s="82"/>
    </row>
    <row r="243" spans="2:12" s="1" customFormat="1" ht="13.5" customHeight="1" x14ac:dyDescent="0.15">
      <c r="B243" s="80">
        <v>10</v>
      </c>
      <c r="C243" s="189"/>
      <c r="D243" s="90"/>
      <c r="E243" s="90"/>
      <c r="F243" s="168"/>
      <c r="G243" s="92"/>
      <c r="H243" s="163">
        <v>1</v>
      </c>
      <c r="I243" s="129">
        <f t="shared" si="13"/>
        <v>0</v>
      </c>
      <c r="J243" s="21">
        <f t="shared" si="14"/>
        <v>0</v>
      </c>
      <c r="K243" s="80"/>
      <c r="L243" s="82"/>
    </row>
    <row r="244" spans="2:12" s="1" customFormat="1" ht="12.75" x14ac:dyDescent="0.15">
      <c r="B244" s="80">
        <v>11</v>
      </c>
      <c r="C244" s="189"/>
      <c r="D244" s="90"/>
      <c r="E244" s="90"/>
      <c r="F244" s="168"/>
      <c r="G244" s="92"/>
      <c r="H244" s="163">
        <v>1</v>
      </c>
      <c r="I244" s="129">
        <f t="shared" si="13"/>
        <v>0</v>
      </c>
      <c r="J244" s="21">
        <f t="shared" si="14"/>
        <v>0</v>
      </c>
      <c r="K244" s="80"/>
      <c r="L244" s="82"/>
    </row>
    <row r="245" spans="2:12" s="1" customFormat="1" ht="12.75" x14ac:dyDescent="0.15">
      <c r="B245" s="80">
        <v>12</v>
      </c>
      <c r="C245" s="189"/>
      <c r="D245" s="90"/>
      <c r="E245" s="90"/>
      <c r="F245" s="168"/>
      <c r="G245" s="92"/>
      <c r="H245" s="163">
        <v>1</v>
      </c>
      <c r="I245" s="129">
        <f t="shared" si="13"/>
        <v>0</v>
      </c>
      <c r="J245" s="21">
        <f t="shared" si="14"/>
        <v>0</v>
      </c>
      <c r="K245" s="80"/>
      <c r="L245" s="82"/>
    </row>
    <row r="246" spans="2:12" s="1" customFormat="1" ht="12.75" x14ac:dyDescent="0.15">
      <c r="B246" s="80">
        <v>13</v>
      </c>
      <c r="C246" s="189"/>
      <c r="D246" s="90"/>
      <c r="E246" s="90"/>
      <c r="F246" s="168"/>
      <c r="G246" s="92"/>
      <c r="H246" s="163">
        <v>1</v>
      </c>
      <c r="I246" s="129">
        <f t="shared" si="13"/>
        <v>0</v>
      </c>
      <c r="J246" s="21">
        <f t="shared" si="14"/>
        <v>0</v>
      </c>
      <c r="K246" s="80"/>
      <c r="L246" s="82"/>
    </row>
    <row r="247" spans="2:12" s="1" customFormat="1" ht="12.75" x14ac:dyDescent="0.15">
      <c r="B247" s="80">
        <v>14</v>
      </c>
      <c r="C247" s="189"/>
      <c r="D247" s="90"/>
      <c r="E247" s="90"/>
      <c r="F247" s="168"/>
      <c r="G247" s="92"/>
      <c r="H247" s="163">
        <v>1</v>
      </c>
      <c r="I247" s="129">
        <f t="shared" si="13"/>
        <v>0</v>
      </c>
      <c r="J247" s="21">
        <f t="shared" si="14"/>
        <v>0</v>
      </c>
      <c r="K247" s="80"/>
      <c r="L247" s="82"/>
    </row>
    <row r="248" spans="2:12" s="1" customFormat="1" ht="12.75" x14ac:dyDescent="0.15">
      <c r="B248" s="80">
        <v>15</v>
      </c>
      <c r="C248" s="189"/>
      <c r="D248" s="90"/>
      <c r="E248" s="90"/>
      <c r="F248" s="168"/>
      <c r="G248" s="92"/>
      <c r="H248" s="163">
        <v>1</v>
      </c>
      <c r="I248" s="129">
        <f t="shared" si="13"/>
        <v>0</v>
      </c>
      <c r="J248" s="21">
        <f t="shared" si="14"/>
        <v>0</v>
      </c>
      <c r="K248" s="80"/>
      <c r="L248" s="82"/>
    </row>
    <row r="249" spans="2:12" s="1" customFormat="1" ht="12.75" x14ac:dyDescent="0.15">
      <c r="B249" s="80">
        <v>16</v>
      </c>
      <c r="C249" s="189"/>
      <c r="D249" s="90"/>
      <c r="E249" s="90"/>
      <c r="F249" s="168"/>
      <c r="G249" s="92"/>
      <c r="H249" s="163">
        <v>1</v>
      </c>
      <c r="I249" s="129">
        <f t="shared" si="13"/>
        <v>0</v>
      </c>
      <c r="J249" s="21">
        <f t="shared" si="14"/>
        <v>0</v>
      </c>
      <c r="K249" s="80"/>
      <c r="L249" s="82"/>
    </row>
    <row r="250" spans="2:12" s="1" customFormat="1" ht="12.75" x14ac:dyDescent="0.15">
      <c r="B250" s="80">
        <v>17</v>
      </c>
      <c r="C250" s="189"/>
      <c r="D250" s="90"/>
      <c r="E250" s="90"/>
      <c r="F250" s="168"/>
      <c r="G250" s="92"/>
      <c r="H250" s="163">
        <v>1</v>
      </c>
      <c r="I250" s="129">
        <f t="shared" si="13"/>
        <v>0</v>
      </c>
      <c r="J250" s="21">
        <f t="shared" si="14"/>
        <v>0</v>
      </c>
      <c r="K250" s="80"/>
      <c r="L250" s="82"/>
    </row>
    <row r="251" spans="2:12" s="1" customFormat="1" ht="12.75" x14ac:dyDescent="0.15">
      <c r="B251" s="80">
        <v>18</v>
      </c>
      <c r="C251" s="189"/>
      <c r="D251" s="90"/>
      <c r="E251" s="90"/>
      <c r="F251" s="168"/>
      <c r="G251" s="92"/>
      <c r="H251" s="163">
        <v>1</v>
      </c>
      <c r="I251" s="129">
        <f t="shared" si="13"/>
        <v>0</v>
      </c>
      <c r="J251" s="21">
        <f t="shared" si="14"/>
        <v>0</v>
      </c>
      <c r="K251" s="80"/>
      <c r="L251" s="82"/>
    </row>
    <row r="252" spans="2:12" s="1" customFormat="1" ht="12.75" x14ac:dyDescent="0.15">
      <c r="B252" s="80">
        <v>19</v>
      </c>
      <c r="C252" s="188"/>
      <c r="D252" s="89"/>
      <c r="E252" s="89"/>
      <c r="F252" s="168"/>
      <c r="G252" s="92"/>
      <c r="H252" s="163">
        <v>1</v>
      </c>
      <c r="I252" s="129">
        <f t="shared" si="13"/>
        <v>0</v>
      </c>
      <c r="J252" s="21">
        <f t="shared" si="14"/>
        <v>0</v>
      </c>
      <c r="K252" s="80"/>
      <c r="L252" s="82"/>
    </row>
    <row r="253" spans="2:12" s="1" customFormat="1" ht="12.75" x14ac:dyDescent="0.15">
      <c r="B253" s="80">
        <v>20</v>
      </c>
      <c r="C253" s="188"/>
      <c r="D253" s="90"/>
      <c r="E253" s="90"/>
      <c r="F253" s="168"/>
      <c r="G253" s="92"/>
      <c r="H253" s="163">
        <v>1</v>
      </c>
      <c r="I253" s="129">
        <f t="shared" si="13"/>
        <v>0</v>
      </c>
      <c r="J253" s="21">
        <f t="shared" si="14"/>
        <v>0</v>
      </c>
      <c r="K253" s="80"/>
      <c r="L253" s="82"/>
    </row>
    <row r="254" spans="2:12" s="1" customFormat="1" ht="12.75" x14ac:dyDescent="0.15">
      <c r="B254" s="80"/>
      <c r="C254" s="188"/>
      <c r="D254" s="90"/>
      <c r="E254" s="90"/>
      <c r="F254" s="168"/>
      <c r="G254" s="92"/>
      <c r="H254" s="163"/>
      <c r="I254" s="129"/>
      <c r="J254" s="21"/>
      <c r="K254" s="80"/>
      <c r="L254" s="82"/>
    </row>
    <row r="255" spans="2:12" s="1" customFormat="1" ht="12.75" x14ac:dyDescent="0.15">
      <c r="B255" s="80"/>
      <c r="C255" s="188"/>
      <c r="D255" s="90"/>
      <c r="E255" s="90"/>
      <c r="F255" s="168"/>
      <c r="G255" s="92"/>
      <c r="H255" s="163"/>
      <c r="I255" s="129"/>
      <c r="J255" s="21"/>
      <c r="K255" s="80"/>
      <c r="L255" s="82"/>
    </row>
    <row r="256" spans="2:12" s="1" customFormat="1" ht="12.75" x14ac:dyDescent="0.15">
      <c r="B256" s="80"/>
      <c r="C256" s="167" t="s">
        <v>157</v>
      </c>
      <c r="D256" s="90"/>
      <c r="E256" s="90"/>
      <c r="F256" s="168"/>
      <c r="G256" s="92"/>
      <c r="H256" s="163"/>
      <c r="I256" s="129"/>
      <c r="J256" s="27"/>
      <c r="K256" s="80"/>
      <c r="L256" s="82"/>
    </row>
    <row r="257" spans="2:12" s="1" customFormat="1" ht="12.75" x14ac:dyDescent="0.15">
      <c r="B257" s="80">
        <v>1</v>
      </c>
      <c r="C257" s="89"/>
      <c r="D257" s="90"/>
      <c r="E257" s="90"/>
      <c r="F257" s="168"/>
      <c r="G257" s="92"/>
      <c r="H257" s="163">
        <v>1</v>
      </c>
      <c r="I257" s="129">
        <f t="shared" ref="I257:I276" si="15">J257*$C$32</f>
        <v>0</v>
      </c>
      <c r="J257" s="27">
        <f t="shared" ref="J257:J276" si="16">(F257*G257*H257)/$C$32</f>
        <v>0</v>
      </c>
      <c r="K257" s="80"/>
      <c r="L257" s="82"/>
    </row>
    <row r="258" spans="2:12" s="1" customFormat="1" ht="12.75" x14ac:dyDescent="0.15">
      <c r="B258" s="80">
        <v>2</v>
      </c>
      <c r="C258" s="183"/>
      <c r="D258" s="90"/>
      <c r="E258" s="90"/>
      <c r="F258" s="168"/>
      <c r="G258" s="92"/>
      <c r="H258" s="163">
        <v>1</v>
      </c>
      <c r="I258" s="129">
        <f t="shared" si="15"/>
        <v>0</v>
      </c>
      <c r="J258" s="27">
        <f t="shared" si="16"/>
        <v>0</v>
      </c>
      <c r="K258" s="80"/>
      <c r="L258" s="82"/>
    </row>
    <row r="259" spans="2:12" s="1" customFormat="1" ht="12.75" x14ac:dyDescent="0.15">
      <c r="B259" s="80">
        <v>3</v>
      </c>
      <c r="C259" s="89"/>
      <c r="D259" s="90"/>
      <c r="E259" s="90"/>
      <c r="F259" s="168"/>
      <c r="G259" s="92"/>
      <c r="H259" s="163">
        <v>1</v>
      </c>
      <c r="I259" s="129">
        <f t="shared" si="15"/>
        <v>0</v>
      </c>
      <c r="J259" s="27">
        <f t="shared" si="16"/>
        <v>0</v>
      </c>
      <c r="K259" s="80"/>
      <c r="L259" s="82"/>
    </row>
    <row r="260" spans="2:12" s="1" customFormat="1" ht="12.75" x14ac:dyDescent="0.15">
      <c r="B260" s="80">
        <v>4</v>
      </c>
      <c r="C260" s="169"/>
      <c r="D260" s="90"/>
      <c r="E260" s="90"/>
      <c r="F260" s="168"/>
      <c r="G260" s="92"/>
      <c r="H260" s="163">
        <v>1</v>
      </c>
      <c r="I260" s="129">
        <f t="shared" si="15"/>
        <v>0</v>
      </c>
      <c r="J260" s="27">
        <f t="shared" si="16"/>
        <v>0</v>
      </c>
      <c r="K260" s="80"/>
      <c r="L260" s="82"/>
    </row>
    <row r="261" spans="2:12" s="1" customFormat="1" ht="12.75" x14ac:dyDescent="0.15">
      <c r="B261" s="80">
        <v>5</v>
      </c>
      <c r="C261" s="183"/>
      <c r="D261" s="90"/>
      <c r="E261" s="90"/>
      <c r="F261" s="168"/>
      <c r="G261" s="92"/>
      <c r="H261" s="163">
        <v>1</v>
      </c>
      <c r="I261" s="129">
        <f t="shared" si="15"/>
        <v>0</v>
      </c>
      <c r="J261" s="27">
        <f t="shared" si="16"/>
        <v>0</v>
      </c>
      <c r="K261" s="80"/>
      <c r="L261" s="82"/>
    </row>
    <row r="262" spans="2:12" s="1" customFormat="1" ht="12.75" x14ac:dyDescent="0.15">
      <c r="B262" s="80">
        <v>6</v>
      </c>
      <c r="C262" s="89"/>
      <c r="D262" s="90"/>
      <c r="E262" s="90"/>
      <c r="F262" s="168"/>
      <c r="G262" s="92"/>
      <c r="H262" s="163">
        <v>1</v>
      </c>
      <c r="I262" s="129">
        <f t="shared" si="15"/>
        <v>0</v>
      </c>
      <c r="J262" s="27">
        <f t="shared" si="16"/>
        <v>0</v>
      </c>
      <c r="K262" s="80"/>
      <c r="L262" s="82"/>
    </row>
    <row r="263" spans="2:12" s="1" customFormat="1" ht="12.75" x14ac:dyDescent="0.15">
      <c r="B263" s="80">
        <v>7</v>
      </c>
      <c r="C263" s="183"/>
      <c r="D263" s="90"/>
      <c r="E263" s="90"/>
      <c r="F263" s="168"/>
      <c r="G263" s="92"/>
      <c r="H263" s="163">
        <v>1</v>
      </c>
      <c r="I263" s="129">
        <f t="shared" si="15"/>
        <v>0</v>
      </c>
      <c r="J263" s="27">
        <f t="shared" si="16"/>
        <v>0</v>
      </c>
      <c r="K263" s="80"/>
      <c r="L263" s="82"/>
    </row>
    <row r="264" spans="2:12" s="1" customFormat="1" ht="12.75" x14ac:dyDescent="0.15">
      <c r="B264" s="80">
        <v>8</v>
      </c>
      <c r="C264" s="183"/>
      <c r="D264" s="90"/>
      <c r="E264" s="90"/>
      <c r="F264" s="168"/>
      <c r="G264" s="92"/>
      <c r="H264" s="163">
        <v>1</v>
      </c>
      <c r="I264" s="129">
        <f t="shared" si="15"/>
        <v>0</v>
      </c>
      <c r="J264" s="27">
        <f t="shared" si="16"/>
        <v>0</v>
      </c>
      <c r="K264" s="80"/>
      <c r="L264" s="82"/>
    </row>
    <row r="265" spans="2:12" s="1" customFormat="1" ht="12.75" x14ac:dyDescent="0.15">
      <c r="B265" s="80">
        <v>9</v>
      </c>
      <c r="C265" s="183"/>
      <c r="D265" s="90"/>
      <c r="E265" s="90"/>
      <c r="F265" s="168"/>
      <c r="G265" s="92"/>
      <c r="H265" s="163">
        <v>1</v>
      </c>
      <c r="I265" s="129">
        <f t="shared" si="15"/>
        <v>0</v>
      </c>
      <c r="J265" s="27">
        <f t="shared" si="16"/>
        <v>0</v>
      </c>
      <c r="K265" s="80"/>
      <c r="L265" s="82"/>
    </row>
    <row r="266" spans="2:12" s="1" customFormat="1" ht="12.75" x14ac:dyDescent="0.15">
      <c r="B266" s="80">
        <v>10</v>
      </c>
      <c r="C266" s="183"/>
      <c r="D266" s="90"/>
      <c r="E266" s="90"/>
      <c r="F266" s="168"/>
      <c r="G266" s="92"/>
      <c r="H266" s="163">
        <v>1</v>
      </c>
      <c r="I266" s="129">
        <f t="shared" si="15"/>
        <v>0</v>
      </c>
      <c r="J266" s="27">
        <f t="shared" si="16"/>
        <v>0</v>
      </c>
      <c r="K266" s="80"/>
      <c r="L266" s="82"/>
    </row>
    <row r="267" spans="2:12" s="1" customFormat="1" ht="12.75" x14ac:dyDescent="0.15">
      <c r="B267" s="80">
        <v>11</v>
      </c>
      <c r="C267" s="183"/>
      <c r="D267" s="90"/>
      <c r="E267" s="90"/>
      <c r="F267" s="168"/>
      <c r="G267" s="92"/>
      <c r="H267" s="163">
        <v>1</v>
      </c>
      <c r="I267" s="129">
        <f t="shared" si="15"/>
        <v>0</v>
      </c>
      <c r="J267" s="27">
        <f t="shared" si="16"/>
        <v>0</v>
      </c>
      <c r="K267" s="80"/>
      <c r="L267" s="82"/>
    </row>
    <row r="268" spans="2:12" s="1" customFormat="1" ht="12.75" x14ac:dyDescent="0.15">
      <c r="B268" s="80">
        <v>12</v>
      </c>
      <c r="C268" s="183"/>
      <c r="D268" s="90"/>
      <c r="E268" s="90"/>
      <c r="F268" s="168"/>
      <c r="G268" s="92"/>
      <c r="H268" s="163">
        <v>1</v>
      </c>
      <c r="I268" s="129">
        <f t="shared" si="15"/>
        <v>0</v>
      </c>
      <c r="J268" s="27">
        <f t="shared" si="16"/>
        <v>0</v>
      </c>
      <c r="K268" s="80"/>
      <c r="L268" s="82"/>
    </row>
    <row r="269" spans="2:12" s="1" customFormat="1" ht="12.75" x14ac:dyDescent="0.15">
      <c r="B269" s="80">
        <v>13</v>
      </c>
      <c r="C269" s="183"/>
      <c r="D269" s="90"/>
      <c r="E269" s="90"/>
      <c r="F269" s="168"/>
      <c r="G269" s="92"/>
      <c r="H269" s="163">
        <v>1</v>
      </c>
      <c r="I269" s="129">
        <f t="shared" si="15"/>
        <v>0</v>
      </c>
      <c r="J269" s="27">
        <f t="shared" si="16"/>
        <v>0</v>
      </c>
      <c r="K269" s="80"/>
      <c r="L269" s="82"/>
    </row>
    <row r="270" spans="2:12" s="1" customFormat="1" ht="12.75" x14ac:dyDescent="0.15">
      <c r="B270" s="80">
        <v>14</v>
      </c>
      <c r="C270" s="183"/>
      <c r="D270" s="90"/>
      <c r="E270" s="90"/>
      <c r="F270" s="168"/>
      <c r="G270" s="92"/>
      <c r="H270" s="163">
        <v>1</v>
      </c>
      <c r="I270" s="129">
        <f t="shared" si="15"/>
        <v>0</v>
      </c>
      <c r="J270" s="27">
        <f t="shared" si="16"/>
        <v>0</v>
      </c>
      <c r="K270" s="80"/>
      <c r="L270" s="82"/>
    </row>
    <row r="271" spans="2:12" s="1" customFormat="1" ht="12.75" x14ac:dyDescent="0.15">
      <c r="B271" s="80">
        <v>15</v>
      </c>
      <c r="C271" s="183"/>
      <c r="D271" s="90"/>
      <c r="E271" s="90"/>
      <c r="F271" s="168"/>
      <c r="G271" s="92"/>
      <c r="H271" s="163">
        <v>1</v>
      </c>
      <c r="I271" s="129">
        <f t="shared" si="15"/>
        <v>0</v>
      </c>
      <c r="J271" s="27">
        <f t="shared" si="16"/>
        <v>0</v>
      </c>
      <c r="K271" s="80"/>
      <c r="L271" s="82"/>
    </row>
    <row r="272" spans="2:12" s="1" customFormat="1" ht="12.75" x14ac:dyDescent="0.15">
      <c r="B272" s="80">
        <v>16</v>
      </c>
      <c r="C272" s="183"/>
      <c r="D272" s="90"/>
      <c r="E272" s="90"/>
      <c r="F272" s="168"/>
      <c r="G272" s="92"/>
      <c r="H272" s="163">
        <v>1</v>
      </c>
      <c r="I272" s="129">
        <f t="shared" si="15"/>
        <v>0</v>
      </c>
      <c r="J272" s="27">
        <f t="shared" si="16"/>
        <v>0</v>
      </c>
      <c r="K272" s="80"/>
      <c r="L272" s="82"/>
    </row>
    <row r="273" spans="2:12" s="1" customFormat="1" ht="12.75" x14ac:dyDescent="0.15">
      <c r="B273" s="80">
        <v>17</v>
      </c>
      <c r="C273" s="183"/>
      <c r="D273" s="90"/>
      <c r="E273" s="90"/>
      <c r="F273" s="168"/>
      <c r="G273" s="92"/>
      <c r="H273" s="163">
        <v>1</v>
      </c>
      <c r="I273" s="129">
        <f t="shared" si="15"/>
        <v>0</v>
      </c>
      <c r="J273" s="27">
        <f t="shared" si="16"/>
        <v>0</v>
      </c>
      <c r="K273" s="80"/>
      <c r="L273" s="82"/>
    </row>
    <row r="274" spans="2:12" s="1" customFormat="1" ht="12.75" x14ac:dyDescent="0.15">
      <c r="B274" s="80">
        <v>18</v>
      </c>
      <c r="C274" s="183"/>
      <c r="D274" s="90"/>
      <c r="E274" s="90"/>
      <c r="F274" s="168"/>
      <c r="G274" s="92"/>
      <c r="H274" s="163">
        <v>1</v>
      </c>
      <c r="I274" s="132">
        <f t="shared" si="15"/>
        <v>0</v>
      </c>
      <c r="J274" s="182">
        <f t="shared" si="16"/>
        <v>0</v>
      </c>
      <c r="K274" s="111"/>
      <c r="L274" s="119"/>
    </row>
    <row r="275" spans="2:12" s="1" customFormat="1" ht="12.75" x14ac:dyDescent="0.15">
      <c r="B275" s="16">
        <v>19</v>
      </c>
      <c r="C275" s="186"/>
      <c r="D275" s="85"/>
      <c r="E275" s="85"/>
      <c r="F275" s="166"/>
      <c r="G275" s="87"/>
      <c r="H275" s="267">
        <v>1</v>
      </c>
      <c r="I275" s="168">
        <f t="shared" si="15"/>
        <v>0</v>
      </c>
      <c r="J275" s="185">
        <f t="shared" si="16"/>
        <v>0</v>
      </c>
      <c r="K275" s="82"/>
      <c r="L275" s="82"/>
    </row>
    <row r="276" spans="2:12" s="1" customFormat="1" ht="12.75" x14ac:dyDescent="0.15">
      <c r="B276" s="83">
        <v>20</v>
      </c>
      <c r="C276" s="181"/>
      <c r="D276" s="75"/>
      <c r="E276" s="75"/>
      <c r="F276" s="132"/>
      <c r="G276" s="77"/>
      <c r="H276" s="268">
        <v>1</v>
      </c>
      <c r="I276" s="168">
        <f t="shared" si="15"/>
        <v>0</v>
      </c>
      <c r="J276" s="185">
        <f t="shared" si="16"/>
        <v>0</v>
      </c>
      <c r="K276" s="82"/>
      <c r="L276" s="82"/>
    </row>
    <row r="277" spans="2:12" s="1" customFormat="1" ht="12.75" x14ac:dyDescent="0.15">
      <c r="B277" s="82"/>
      <c r="C277" s="183"/>
      <c r="D277" s="90"/>
      <c r="E277" s="90"/>
      <c r="F277" s="168"/>
      <c r="G277" s="92"/>
      <c r="H277" s="269"/>
      <c r="I277" s="168"/>
      <c r="J277" s="185"/>
      <c r="K277" s="82"/>
      <c r="L277" s="82"/>
    </row>
    <row r="278" spans="2:12" s="1" customFormat="1" ht="12.75" x14ac:dyDescent="0.15">
      <c r="B278" s="82"/>
      <c r="C278" s="102"/>
      <c r="D278" s="103"/>
      <c r="E278" s="102"/>
      <c r="F278" s="128">
        <f>SUM(F218:F277)</f>
        <v>0</v>
      </c>
      <c r="G278" s="104"/>
      <c r="H278" s="253"/>
      <c r="I278" s="128">
        <f>SUM(I219:I277)</f>
        <v>0</v>
      </c>
      <c r="J278" s="257">
        <f>SUM(J222:J263)</f>
        <v>0</v>
      </c>
    </row>
    <row r="279" spans="2:12" s="67" customFormat="1" ht="12.75" x14ac:dyDescent="0.15">
      <c r="B279" s="116"/>
      <c r="C279" s="114"/>
      <c r="D279" s="114"/>
      <c r="E279" s="114" t="s">
        <v>147</v>
      </c>
      <c r="F279" s="162">
        <f>100/115*F278</f>
        <v>0</v>
      </c>
      <c r="G279" s="161"/>
      <c r="H279" s="270" t="s">
        <v>147</v>
      </c>
      <c r="I279" s="162">
        <f>100/115*I278</f>
        <v>0</v>
      </c>
      <c r="J279" s="114"/>
    </row>
    <row r="280" spans="2:12" s="1" customFormat="1" ht="12.75" x14ac:dyDescent="0.15"/>
    <row r="281" spans="2:12" s="1" customFormat="1" ht="12.75" x14ac:dyDescent="0.15"/>
    <row r="282" spans="2:12" s="1" customFormat="1" ht="12.75" x14ac:dyDescent="0.15"/>
    <row r="283" spans="2:12" s="1" customFormat="1" ht="12.75" x14ac:dyDescent="0.15"/>
    <row r="284" spans="2:12" s="247" customFormat="1" ht="32.25" x14ac:dyDescent="0.4">
      <c r="B284" s="248"/>
      <c r="C284" s="380" t="s">
        <v>112</v>
      </c>
      <c r="D284" s="380"/>
      <c r="E284" s="428" t="s">
        <v>104</v>
      </c>
      <c r="F284" s="428"/>
      <c r="G284" s="428"/>
      <c r="H284" s="428"/>
      <c r="I284" s="428"/>
      <c r="J284" s="382">
        <v>2026</v>
      </c>
      <c r="K284" s="382"/>
      <c r="L284" s="382"/>
    </row>
    <row r="285" spans="2:12" s="1" customFormat="1" ht="22.5" x14ac:dyDescent="0.15">
      <c r="B285" s="82"/>
      <c r="C285" s="102" t="s">
        <v>114</v>
      </c>
      <c r="D285" s="388" t="s">
        <v>115</v>
      </c>
      <c r="E285" s="388"/>
      <c r="F285" s="102" t="s">
        <v>116</v>
      </c>
      <c r="G285" s="102" t="s">
        <v>117</v>
      </c>
      <c r="H285" s="102" t="s">
        <v>118</v>
      </c>
      <c r="I285" s="102" t="s">
        <v>119</v>
      </c>
      <c r="J285" s="102" t="s">
        <v>120</v>
      </c>
      <c r="K285" s="82"/>
      <c r="L285" s="82"/>
    </row>
    <row r="286" spans="2:12" s="1" customFormat="1" ht="12.75" x14ac:dyDescent="0.15">
      <c r="B286" s="82"/>
      <c r="C286" s="66">
        <f>C216</f>
        <v>250</v>
      </c>
      <c r="D286" s="389">
        <v>22</v>
      </c>
      <c r="E286" s="389"/>
      <c r="F286" s="13">
        <f>F216</f>
        <v>0.85</v>
      </c>
      <c r="G286" s="14">
        <f>G216</f>
        <v>8</v>
      </c>
      <c r="H286" s="142">
        <f>D286*G286*F286</f>
        <v>149.6</v>
      </c>
      <c r="I286" s="66">
        <f>I348</f>
        <v>0</v>
      </c>
      <c r="J286" s="143">
        <f>H286-J348</f>
        <v>149.6</v>
      </c>
      <c r="K286" s="82"/>
      <c r="L286" s="82"/>
    </row>
    <row r="287" spans="2:12" s="1" customFormat="1" ht="33.75" x14ac:dyDescent="0.15">
      <c r="B287" s="82"/>
      <c r="C287" s="167" t="s">
        <v>121</v>
      </c>
      <c r="D287" s="395" t="s">
        <v>122</v>
      </c>
      <c r="E287" s="395"/>
      <c r="F287" s="177" t="s">
        <v>123</v>
      </c>
      <c r="G287" s="178" t="s">
        <v>124</v>
      </c>
      <c r="H287" s="179" t="s">
        <v>125</v>
      </c>
      <c r="I287" s="180" t="s">
        <v>126</v>
      </c>
      <c r="J287" s="178" t="s">
        <v>127</v>
      </c>
      <c r="K287" s="114" t="s">
        <v>128</v>
      </c>
      <c r="L287" s="114" t="s">
        <v>129</v>
      </c>
    </row>
    <row r="288" spans="2:12" s="1" customFormat="1" ht="12.75" x14ac:dyDescent="0.15">
      <c r="B288" s="84"/>
      <c r="C288" s="81"/>
      <c r="D288" s="404"/>
      <c r="E288" s="404"/>
      <c r="F288" s="86"/>
      <c r="G288" s="87"/>
      <c r="H288" s="87"/>
      <c r="I288" s="176"/>
      <c r="J288" s="88"/>
      <c r="K288" s="79"/>
      <c r="L288" s="120"/>
    </row>
    <row r="289" spans="2:20" s="1" customFormat="1" ht="13.35" customHeight="1" x14ac:dyDescent="0.15">
      <c r="B289" s="16"/>
      <c r="C289" s="37" t="s">
        <v>158</v>
      </c>
      <c r="D289" s="24"/>
      <c r="E289" s="24"/>
      <c r="F289" s="129"/>
      <c r="G289" s="20"/>
      <c r="H289" s="20"/>
      <c r="I289" s="126"/>
      <c r="J289" s="38"/>
      <c r="K289" s="80"/>
      <c r="L289" s="82"/>
    </row>
    <row r="290" spans="2:20" s="1" customFormat="1" ht="13.35" customHeight="1" x14ac:dyDescent="0.15">
      <c r="B290" s="16"/>
      <c r="C290" s="37" t="s">
        <v>149</v>
      </c>
      <c r="D290" s="24"/>
      <c r="E290" s="24"/>
      <c r="F290" s="129"/>
      <c r="G290" s="20"/>
      <c r="H290" s="20"/>
      <c r="I290" s="126"/>
      <c r="J290" s="38"/>
      <c r="K290" s="80"/>
      <c r="L290" s="82"/>
    </row>
    <row r="291" spans="2:20" s="1" customFormat="1" ht="13.35" customHeight="1" x14ac:dyDescent="0.15">
      <c r="B291" s="16">
        <v>1</v>
      </c>
      <c r="C291" s="23"/>
      <c r="D291" s="24"/>
      <c r="E291" s="24"/>
      <c r="F291" s="129"/>
      <c r="G291" s="20"/>
      <c r="H291" s="20">
        <v>1</v>
      </c>
      <c r="I291" s="126">
        <f t="shared" ref="I291:I346" si="17">J291*$C$32</f>
        <v>0</v>
      </c>
      <c r="J291" s="38">
        <f t="shared" ref="J291:J306" si="18">(F291*G291*H291)/$C$32</f>
        <v>0</v>
      </c>
      <c r="K291" s="80"/>
      <c r="L291" s="82"/>
    </row>
    <row r="292" spans="2:20" s="1" customFormat="1" ht="13.35" customHeight="1" x14ac:dyDescent="0.15">
      <c r="B292" s="16">
        <v>2</v>
      </c>
      <c r="C292" s="23"/>
      <c r="D292" s="24"/>
      <c r="E292" s="24"/>
      <c r="F292" s="126"/>
      <c r="G292" s="20"/>
      <c r="H292" s="20">
        <v>1</v>
      </c>
      <c r="I292" s="126">
        <f t="shared" si="17"/>
        <v>0</v>
      </c>
      <c r="J292" s="38">
        <f t="shared" si="18"/>
        <v>0</v>
      </c>
      <c r="K292" s="80"/>
      <c r="L292" s="82"/>
    </row>
    <row r="293" spans="2:20" s="1" customFormat="1" ht="13.35" customHeight="1" x14ac:dyDescent="0.15">
      <c r="B293" s="16">
        <v>3</v>
      </c>
      <c r="C293" s="23"/>
      <c r="D293" s="25"/>
      <c r="E293" s="25"/>
      <c r="F293" s="129"/>
      <c r="G293" s="20"/>
      <c r="H293" s="20">
        <v>1</v>
      </c>
      <c r="I293" s="126">
        <f t="shared" si="17"/>
        <v>0</v>
      </c>
      <c r="J293" s="38">
        <f t="shared" si="18"/>
        <v>0</v>
      </c>
      <c r="K293" s="80"/>
      <c r="L293" s="82"/>
    </row>
    <row r="294" spans="2:20" s="1" customFormat="1" ht="13.35" customHeight="1" x14ac:dyDescent="0.15">
      <c r="B294" s="16">
        <v>4</v>
      </c>
      <c r="C294" s="23"/>
      <c r="D294" s="24"/>
      <c r="E294" s="24"/>
      <c r="F294" s="129"/>
      <c r="G294" s="20"/>
      <c r="H294" s="20">
        <v>1</v>
      </c>
      <c r="I294" s="126">
        <f t="shared" si="17"/>
        <v>0</v>
      </c>
      <c r="J294" s="38">
        <f t="shared" si="18"/>
        <v>0</v>
      </c>
      <c r="K294" s="80"/>
      <c r="L294" s="82"/>
    </row>
    <row r="295" spans="2:20" s="1" customFormat="1" ht="13.35" customHeight="1" x14ac:dyDescent="0.15">
      <c r="B295" s="16">
        <v>5</v>
      </c>
      <c r="C295" s="16"/>
      <c r="D295" s="18"/>
      <c r="E295" s="18"/>
      <c r="F295" s="129"/>
      <c r="G295" s="20"/>
      <c r="H295" s="20">
        <v>1</v>
      </c>
      <c r="I295" s="126">
        <f t="shared" si="17"/>
        <v>0</v>
      </c>
      <c r="J295" s="38">
        <f t="shared" si="18"/>
        <v>0</v>
      </c>
      <c r="K295" s="80"/>
      <c r="L295" s="82"/>
    </row>
    <row r="296" spans="2:20" s="1" customFormat="1" ht="13.35" customHeight="1" x14ac:dyDescent="0.15">
      <c r="B296" s="16">
        <v>6</v>
      </c>
      <c r="C296" s="17"/>
      <c r="D296" s="24"/>
      <c r="E296" s="24"/>
      <c r="F296" s="129"/>
      <c r="G296" s="20"/>
      <c r="H296" s="20">
        <v>1</v>
      </c>
      <c r="I296" s="126">
        <f t="shared" si="17"/>
        <v>0</v>
      </c>
      <c r="J296" s="38">
        <f t="shared" si="18"/>
        <v>0</v>
      </c>
      <c r="K296" s="80"/>
      <c r="L296" s="82"/>
    </row>
    <row r="297" spans="2:20" s="1" customFormat="1" ht="13.35" customHeight="1" x14ac:dyDescent="0.15">
      <c r="B297" s="16">
        <v>7</v>
      </c>
      <c r="C297" s="17"/>
      <c r="D297" s="24"/>
      <c r="E297" s="24"/>
      <c r="F297" s="129"/>
      <c r="G297" s="20"/>
      <c r="H297" s="20">
        <v>1</v>
      </c>
      <c r="I297" s="126">
        <f t="shared" si="17"/>
        <v>0</v>
      </c>
      <c r="J297" s="38">
        <f t="shared" si="18"/>
        <v>0</v>
      </c>
      <c r="K297" s="80"/>
      <c r="L297" s="82"/>
    </row>
    <row r="298" spans="2:20" s="1" customFormat="1" ht="13.35" customHeight="1" x14ac:dyDescent="0.15">
      <c r="B298" s="16">
        <v>8</v>
      </c>
      <c r="C298" s="17"/>
      <c r="D298" s="24"/>
      <c r="E298" s="24"/>
      <c r="F298" s="129"/>
      <c r="G298" s="20"/>
      <c r="H298" s="20">
        <v>1</v>
      </c>
      <c r="I298" s="126">
        <f t="shared" si="17"/>
        <v>0</v>
      </c>
      <c r="J298" s="38">
        <f t="shared" si="18"/>
        <v>0</v>
      </c>
      <c r="K298" s="80"/>
      <c r="L298" s="82"/>
    </row>
    <row r="299" spans="2:20" s="1" customFormat="1" ht="13.35" customHeight="1" x14ac:dyDescent="0.15">
      <c r="B299" s="16">
        <v>9</v>
      </c>
      <c r="C299" s="17"/>
      <c r="D299" s="24"/>
      <c r="E299" s="24"/>
      <c r="F299" s="129"/>
      <c r="G299" s="20"/>
      <c r="H299" s="20">
        <v>1</v>
      </c>
      <c r="I299" s="126">
        <f t="shared" si="17"/>
        <v>0</v>
      </c>
      <c r="J299" s="38">
        <f t="shared" si="18"/>
        <v>0</v>
      </c>
      <c r="K299" s="80"/>
      <c r="L299" s="82"/>
    </row>
    <row r="300" spans="2:20" s="1" customFormat="1" ht="13.35" customHeight="1" x14ac:dyDescent="0.15">
      <c r="B300" s="16">
        <v>10</v>
      </c>
      <c r="C300" s="17"/>
      <c r="D300" s="24"/>
      <c r="E300" s="24"/>
      <c r="F300" s="129"/>
      <c r="G300" s="20"/>
      <c r="H300" s="20">
        <v>1</v>
      </c>
      <c r="I300" s="126">
        <f t="shared" si="17"/>
        <v>0</v>
      </c>
      <c r="J300" s="38">
        <f t="shared" si="18"/>
        <v>0</v>
      </c>
      <c r="K300" s="80"/>
      <c r="L300" s="82"/>
    </row>
    <row r="301" spans="2:20" s="1" customFormat="1" ht="13.35" customHeight="1" x14ac:dyDescent="0.15">
      <c r="B301" s="16"/>
      <c r="C301" s="17"/>
      <c r="D301" s="24"/>
      <c r="E301" s="24"/>
      <c r="F301" s="129"/>
      <c r="G301" s="20"/>
      <c r="H301" s="20"/>
      <c r="I301" s="126"/>
      <c r="J301" s="38"/>
      <c r="K301" s="80"/>
      <c r="L301" s="82"/>
      <c r="N301" s="41"/>
    </row>
    <row r="302" spans="2:20" s="1" customFormat="1" ht="13.35" customHeight="1" x14ac:dyDescent="0.15">
      <c r="B302" s="16"/>
      <c r="C302" s="17"/>
      <c r="D302" s="24"/>
      <c r="E302" s="24"/>
      <c r="F302" s="129"/>
      <c r="G302" s="20"/>
      <c r="H302" s="20"/>
      <c r="I302" s="126"/>
      <c r="J302" s="21"/>
      <c r="K302" s="80"/>
      <c r="L302" s="82"/>
    </row>
    <row r="303" spans="2:20" s="1" customFormat="1" ht="13.35" customHeight="1" x14ac:dyDescent="0.15">
      <c r="B303" s="16"/>
      <c r="C303" s="22" t="s">
        <v>156</v>
      </c>
      <c r="D303" s="24"/>
      <c r="E303" s="24"/>
      <c r="F303" s="129"/>
      <c r="G303" s="20"/>
      <c r="H303" s="20"/>
      <c r="I303" s="126"/>
      <c r="J303" s="21"/>
      <c r="K303" s="80"/>
      <c r="L303" s="82"/>
    </row>
    <row r="304" spans="2:20" s="1" customFormat="1" ht="16.5" x14ac:dyDescent="0.15">
      <c r="B304" s="16">
        <v>1</v>
      </c>
      <c r="C304" s="44"/>
      <c r="D304" s="18"/>
      <c r="E304" s="18"/>
      <c r="F304" s="129"/>
      <c r="G304" s="20"/>
      <c r="H304" s="20">
        <v>1</v>
      </c>
      <c r="I304" s="126">
        <f t="shared" si="17"/>
        <v>0</v>
      </c>
      <c r="J304" s="38">
        <f t="shared" si="18"/>
        <v>0</v>
      </c>
      <c r="K304" s="80"/>
      <c r="L304" s="82"/>
      <c r="M304" s="10"/>
      <c r="N304" s="42"/>
      <c r="O304" s="10"/>
      <c r="P304" s="10"/>
      <c r="Q304" s="43"/>
      <c r="R304" s="10"/>
      <c r="T304" s="10"/>
    </row>
    <row r="305" spans="2:20" s="1" customFormat="1" ht="16.5" x14ac:dyDescent="0.15">
      <c r="B305" s="16">
        <v>2</v>
      </c>
      <c r="C305" s="45"/>
      <c r="D305" s="18"/>
      <c r="E305" s="18"/>
      <c r="F305" s="129"/>
      <c r="G305" s="20"/>
      <c r="H305" s="20">
        <v>1</v>
      </c>
      <c r="I305" s="126">
        <f>J305*$C$32</f>
        <v>0</v>
      </c>
      <c r="J305" s="38">
        <f t="shared" si="18"/>
        <v>0</v>
      </c>
      <c r="K305" s="80"/>
      <c r="L305" s="82"/>
      <c r="M305" s="10"/>
      <c r="N305" s="42"/>
      <c r="O305" s="10"/>
      <c r="P305" s="10"/>
      <c r="Q305" s="43"/>
      <c r="R305" s="10"/>
      <c r="T305" s="10"/>
    </row>
    <row r="306" spans="2:20" s="1" customFormat="1" ht="12.95" customHeight="1" x14ac:dyDescent="0.15">
      <c r="B306" s="16">
        <v>3</v>
      </c>
      <c r="C306" s="44"/>
      <c r="D306" s="18"/>
      <c r="E306" s="18"/>
      <c r="F306" s="129"/>
      <c r="G306" s="20"/>
      <c r="H306" s="20">
        <v>1</v>
      </c>
      <c r="I306" s="126">
        <f t="shared" si="17"/>
        <v>0</v>
      </c>
      <c r="J306" s="21">
        <f t="shared" si="18"/>
        <v>0</v>
      </c>
      <c r="K306" s="80"/>
      <c r="L306" s="82"/>
      <c r="M306" s="10"/>
      <c r="N306" s="42"/>
      <c r="O306" s="10"/>
      <c r="P306" s="10"/>
      <c r="Q306" s="43"/>
      <c r="R306" s="10"/>
      <c r="T306" s="10"/>
    </row>
    <row r="307" spans="2:20" s="1" customFormat="1" ht="14.25" x14ac:dyDescent="0.15">
      <c r="B307" s="16">
        <v>4</v>
      </c>
      <c r="C307" s="46"/>
      <c r="D307" s="405"/>
      <c r="E307" s="405"/>
      <c r="F307" s="129"/>
      <c r="G307" s="20"/>
      <c r="H307" s="20">
        <v>1</v>
      </c>
      <c r="I307" s="126">
        <f t="shared" si="17"/>
        <v>0</v>
      </c>
      <c r="J307" s="38">
        <f>(F308*G307*H307)/$C$32</f>
        <v>0</v>
      </c>
      <c r="K307" s="80"/>
      <c r="L307" s="82"/>
      <c r="M307" s="10"/>
      <c r="N307" s="42"/>
      <c r="O307" s="10"/>
      <c r="P307" s="10"/>
      <c r="Q307" s="43"/>
      <c r="R307" s="10"/>
      <c r="T307" s="10"/>
    </row>
    <row r="308" spans="2:20" s="1" customFormat="1" ht="14.25" x14ac:dyDescent="0.15">
      <c r="B308" s="16">
        <v>5</v>
      </c>
      <c r="C308" s="11"/>
      <c r="D308" s="18"/>
      <c r="E308" s="18"/>
      <c r="F308" s="129"/>
      <c r="G308" s="20"/>
      <c r="H308" s="20">
        <v>1</v>
      </c>
      <c r="I308" s="126">
        <f t="shared" si="17"/>
        <v>0</v>
      </c>
      <c r="J308" s="38">
        <f>(F310*G308*H308)/$C$32</f>
        <v>0</v>
      </c>
      <c r="K308" s="80"/>
      <c r="L308" s="82"/>
      <c r="M308" s="10"/>
      <c r="N308" s="42"/>
      <c r="O308" s="10"/>
      <c r="P308" s="10"/>
      <c r="Q308" s="43"/>
      <c r="R308" s="10"/>
      <c r="T308" s="10"/>
    </row>
    <row r="309" spans="2:20" s="1" customFormat="1" ht="14.25" x14ac:dyDescent="0.15">
      <c r="B309" s="16">
        <v>6</v>
      </c>
      <c r="C309" s="11"/>
      <c r="D309" s="18"/>
      <c r="E309" s="18"/>
      <c r="F309" s="129"/>
      <c r="G309" s="20"/>
      <c r="H309" s="20">
        <v>1</v>
      </c>
      <c r="I309" s="126">
        <f t="shared" si="17"/>
        <v>0</v>
      </c>
      <c r="J309" s="38">
        <f>(F311*G309*H309)/$C$32</f>
        <v>0</v>
      </c>
      <c r="K309" s="80"/>
      <c r="L309" s="82"/>
      <c r="M309" s="10"/>
      <c r="N309" s="42"/>
      <c r="O309" s="10"/>
      <c r="P309" s="10"/>
      <c r="Q309" s="43"/>
      <c r="R309" s="10"/>
      <c r="T309" s="10"/>
    </row>
    <row r="310" spans="2:20" s="1" customFormat="1" ht="16.5" x14ac:dyDescent="0.2">
      <c r="B310" s="16">
        <v>7</v>
      </c>
      <c r="C310" s="47"/>
      <c r="D310" s="18"/>
      <c r="E310" s="18"/>
      <c r="F310" s="129"/>
      <c r="G310" s="20"/>
      <c r="H310" s="20">
        <v>1</v>
      </c>
      <c r="I310" s="126">
        <f t="shared" si="17"/>
        <v>0</v>
      </c>
      <c r="J310" s="38">
        <f>(F312*G310*H310)/$C$32</f>
        <v>0</v>
      </c>
      <c r="K310" s="80"/>
      <c r="L310" s="82"/>
      <c r="M310" s="10"/>
      <c r="N310" s="42"/>
      <c r="O310" s="10"/>
      <c r="P310" s="10"/>
      <c r="Q310" s="43"/>
      <c r="R310" s="10"/>
      <c r="T310" s="10"/>
    </row>
    <row r="311" spans="2:20" s="1" customFormat="1" ht="14.25" x14ac:dyDescent="0.15">
      <c r="B311" s="16">
        <v>8</v>
      </c>
      <c r="C311" s="11"/>
      <c r="D311" s="18"/>
      <c r="E311" s="18"/>
      <c r="F311" s="129"/>
      <c r="G311" s="20"/>
      <c r="H311" s="20">
        <v>1</v>
      </c>
      <c r="I311" s="126">
        <f t="shared" si="17"/>
        <v>0</v>
      </c>
      <c r="J311" s="21">
        <f>(F313*G311*H311)/$C$32</f>
        <v>0</v>
      </c>
      <c r="K311" s="80"/>
      <c r="L311" s="82"/>
      <c r="M311" s="10"/>
      <c r="N311" s="42"/>
      <c r="O311" s="10"/>
      <c r="P311" s="10"/>
      <c r="Q311" s="43"/>
      <c r="R311" s="10"/>
      <c r="T311" s="10"/>
    </row>
    <row r="312" spans="2:20" s="1" customFormat="1" ht="14.25" x14ac:dyDescent="0.15">
      <c r="B312" s="16">
        <v>9</v>
      </c>
      <c r="C312" s="11"/>
      <c r="D312" s="18"/>
      <c r="E312" s="18"/>
      <c r="F312" s="129"/>
      <c r="G312" s="20"/>
      <c r="H312" s="20">
        <v>1</v>
      </c>
      <c r="I312" s="126">
        <f t="shared" si="17"/>
        <v>0</v>
      </c>
      <c r="J312" s="38">
        <f t="shared" ref="J312:J313" si="19">(F314*G312*H312)/$C$32</f>
        <v>0</v>
      </c>
      <c r="K312" s="80"/>
      <c r="L312" s="82"/>
      <c r="M312" s="10"/>
      <c r="N312" s="42"/>
      <c r="O312" s="10"/>
      <c r="P312" s="10"/>
      <c r="Q312" s="43"/>
      <c r="R312" s="10"/>
      <c r="T312" s="10"/>
    </row>
    <row r="313" spans="2:20" s="1" customFormat="1" ht="14.25" x14ac:dyDescent="0.15">
      <c r="B313" s="16">
        <v>10</v>
      </c>
      <c r="C313" s="11"/>
      <c r="D313" s="18"/>
      <c r="E313" s="18"/>
      <c r="F313" s="129"/>
      <c r="G313" s="20"/>
      <c r="H313" s="20">
        <v>1</v>
      </c>
      <c r="I313" s="126">
        <f t="shared" si="17"/>
        <v>0</v>
      </c>
      <c r="J313" s="38">
        <f t="shared" si="19"/>
        <v>0</v>
      </c>
      <c r="K313" s="80"/>
      <c r="L313" s="82"/>
      <c r="M313" s="10"/>
      <c r="N313" s="42"/>
      <c r="O313" s="10"/>
      <c r="P313" s="10"/>
      <c r="Q313" s="43"/>
      <c r="R313" s="10"/>
      <c r="T313" s="10"/>
    </row>
    <row r="314" spans="2:20" s="1" customFormat="1" ht="14.25" x14ac:dyDescent="0.15">
      <c r="B314" s="16">
        <v>11</v>
      </c>
      <c r="C314" s="11"/>
      <c r="D314" s="18"/>
      <c r="E314" s="18"/>
      <c r="F314" s="129"/>
      <c r="G314" s="20"/>
      <c r="H314" s="20">
        <v>1</v>
      </c>
      <c r="I314" s="126">
        <f t="shared" si="17"/>
        <v>0</v>
      </c>
      <c r="J314" s="38">
        <f t="shared" ref="J314:J346" si="20">(F314*G314*H314)/$C$32</f>
        <v>0</v>
      </c>
      <c r="K314" s="80"/>
      <c r="L314" s="82"/>
      <c r="M314" s="10"/>
      <c r="N314" s="42"/>
      <c r="O314" s="10"/>
      <c r="P314" s="10"/>
      <c r="Q314" s="43"/>
      <c r="R314" s="10"/>
      <c r="T314" s="10"/>
    </row>
    <row r="315" spans="2:20" s="1" customFormat="1" ht="14.25" x14ac:dyDescent="0.15">
      <c r="B315" s="16">
        <v>12</v>
      </c>
      <c r="C315" s="11"/>
      <c r="D315" s="18"/>
      <c r="E315" s="18"/>
      <c r="F315" s="129"/>
      <c r="G315" s="20"/>
      <c r="H315" s="20">
        <v>1</v>
      </c>
      <c r="I315" s="126">
        <f t="shared" si="17"/>
        <v>0</v>
      </c>
      <c r="J315" s="21">
        <f t="shared" si="20"/>
        <v>0</v>
      </c>
      <c r="K315" s="80"/>
      <c r="L315" s="82"/>
      <c r="M315" s="10"/>
      <c r="N315" s="42"/>
      <c r="O315" s="10"/>
      <c r="P315" s="10"/>
      <c r="Q315" s="43"/>
      <c r="R315" s="10"/>
      <c r="T315" s="10"/>
    </row>
    <row r="316" spans="2:20" s="1" customFormat="1" ht="14.25" x14ac:dyDescent="0.15">
      <c r="B316" s="16">
        <v>13</v>
      </c>
      <c r="C316" s="11"/>
      <c r="D316" s="18"/>
      <c r="E316" s="18"/>
      <c r="F316" s="129"/>
      <c r="G316" s="20"/>
      <c r="H316" s="20">
        <v>1</v>
      </c>
      <c r="I316" s="126">
        <f t="shared" si="17"/>
        <v>0</v>
      </c>
      <c r="J316" s="38">
        <f t="shared" si="20"/>
        <v>0</v>
      </c>
      <c r="K316" s="80"/>
      <c r="L316" s="82"/>
      <c r="M316" s="10"/>
      <c r="N316" s="42"/>
      <c r="O316" s="10"/>
      <c r="P316" s="10"/>
      <c r="Q316" s="43"/>
      <c r="R316" s="10"/>
      <c r="T316" s="10"/>
    </row>
    <row r="317" spans="2:20" s="1" customFormat="1" ht="14.25" x14ac:dyDescent="0.15">
      <c r="B317" s="16">
        <v>14</v>
      </c>
      <c r="C317" s="11"/>
      <c r="D317" s="18"/>
      <c r="E317" s="18"/>
      <c r="F317" s="129"/>
      <c r="G317" s="20"/>
      <c r="H317" s="20">
        <v>1</v>
      </c>
      <c r="I317" s="126">
        <f t="shared" si="17"/>
        <v>0</v>
      </c>
      <c r="J317" s="38">
        <f t="shared" si="20"/>
        <v>0</v>
      </c>
      <c r="K317" s="80"/>
      <c r="L317" s="82"/>
      <c r="M317" s="10"/>
      <c r="N317" s="42"/>
      <c r="O317" s="10"/>
      <c r="P317" s="10"/>
      <c r="Q317" s="43"/>
      <c r="R317" s="10"/>
      <c r="T317" s="10"/>
    </row>
    <row r="318" spans="2:20" s="1" customFormat="1" ht="14.25" x14ac:dyDescent="0.15">
      <c r="B318" s="16">
        <v>15</v>
      </c>
      <c r="C318" s="11"/>
      <c r="D318" s="18"/>
      <c r="E318" s="18"/>
      <c r="F318" s="129"/>
      <c r="G318" s="20"/>
      <c r="H318" s="20">
        <v>1</v>
      </c>
      <c r="I318" s="126">
        <f t="shared" si="17"/>
        <v>0</v>
      </c>
      <c r="J318" s="38">
        <f t="shared" si="20"/>
        <v>0</v>
      </c>
      <c r="K318" s="80"/>
      <c r="L318" s="82"/>
      <c r="M318" s="10"/>
      <c r="N318" s="42"/>
      <c r="O318" s="10"/>
      <c r="P318" s="10"/>
      <c r="Q318" s="43"/>
      <c r="R318" s="10"/>
      <c r="T318" s="10"/>
    </row>
    <row r="319" spans="2:20" s="1" customFormat="1" ht="14.25" x14ac:dyDescent="0.15">
      <c r="B319" s="16">
        <v>16</v>
      </c>
      <c r="C319" s="11"/>
      <c r="D319" s="18"/>
      <c r="E319" s="18"/>
      <c r="F319" s="129"/>
      <c r="G319" s="20"/>
      <c r="H319" s="20">
        <v>1</v>
      </c>
      <c r="I319" s="126">
        <f t="shared" si="17"/>
        <v>0</v>
      </c>
      <c r="J319" s="21">
        <f t="shared" si="20"/>
        <v>0</v>
      </c>
      <c r="K319" s="80"/>
      <c r="L319" s="82"/>
      <c r="M319" s="10"/>
      <c r="N319" s="42"/>
      <c r="O319" s="10"/>
      <c r="P319" s="10"/>
      <c r="Q319" s="43"/>
      <c r="R319" s="10"/>
      <c r="T319" s="10"/>
    </row>
    <row r="320" spans="2:20" s="1" customFormat="1" ht="14.25" x14ac:dyDescent="0.15">
      <c r="B320" s="16">
        <v>17</v>
      </c>
      <c r="C320" s="11"/>
      <c r="D320" s="18"/>
      <c r="E320" s="18"/>
      <c r="F320" s="129"/>
      <c r="G320" s="20"/>
      <c r="H320" s="20">
        <v>1</v>
      </c>
      <c r="I320" s="126">
        <f t="shared" si="17"/>
        <v>0</v>
      </c>
      <c r="J320" s="38">
        <f t="shared" si="20"/>
        <v>0</v>
      </c>
      <c r="K320" s="80"/>
      <c r="L320" s="82"/>
      <c r="M320" s="10"/>
      <c r="N320" s="42"/>
      <c r="O320" s="10"/>
      <c r="P320" s="10"/>
      <c r="Q320" s="43"/>
      <c r="R320" s="10"/>
      <c r="T320" s="10"/>
    </row>
    <row r="321" spans="2:20" s="1" customFormat="1" ht="14.25" x14ac:dyDescent="0.15">
      <c r="B321" s="16">
        <v>18</v>
      </c>
      <c r="C321" s="11"/>
      <c r="D321" s="18"/>
      <c r="E321" s="18"/>
      <c r="F321" s="129"/>
      <c r="G321" s="20"/>
      <c r="H321" s="20">
        <v>1</v>
      </c>
      <c r="I321" s="126">
        <f t="shared" si="17"/>
        <v>0</v>
      </c>
      <c r="J321" s="38">
        <f t="shared" si="20"/>
        <v>0</v>
      </c>
      <c r="K321" s="80"/>
      <c r="L321" s="82"/>
      <c r="M321" s="10"/>
      <c r="N321" s="42"/>
      <c r="O321" s="10"/>
      <c r="P321" s="10"/>
      <c r="Q321" s="43"/>
      <c r="R321" s="10"/>
      <c r="T321" s="10"/>
    </row>
    <row r="322" spans="2:20" s="1" customFormat="1" ht="14.25" x14ac:dyDescent="0.15">
      <c r="B322" s="16">
        <v>19</v>
      </c>
      <c r="C322" s="11"/>
      <c r="D322" s="18"/>
      <c r="E322" s="18"/>
      <c r="F322" s="129"/>
      <c r="G322" s="20"/>
      <c r="H322" s="20">
        <v>1</v>
      </c>
      <c r="I322" s="126">
        <f t="shared" si="17"/>
        <v>0</v>
      </c>
      <c r="J322" s="38">
        <f t="shared" si="20"/>
        <v>0</v>
      </c>
      <c r="K322" s="80"/>
      <c r="L322" s="82"/>
      <c r="M322" s="10"/>
      <c r="N322" s="42"/>
      <c r="O322" s="10"/>
      <c r="P322" s="10"/>
      <c r="Q322" s="43"/>
      <c r="R322" s="10"/>
      <c r="T322" s="10"/>
    </row>
    <row r="323" spans="2:20" s="1" customFormat="1" ht="14.25" x14ac:dyDescent="0.15">
      <c r="B323" s="16">
        <v>20</v>
      </c>
      <c r="C323" s="11"/>
      <c r="D323" s="18"/>
      <c r="E323" s="18"/>
      <c r="F323" s="129"/>
      <c r="G323" s="20"/>
      <c r="H323" s="20">
        <v>1</v>
      </c>
      <c r="I323" s="126">
        <f t="shared" si="17"/>
        <v>0</v>
      </c>
      <c r="J323" s="21">
        <f t="shared" si="20"/>
        <v>0</v>
      </c>
      <c r="K323" s="80"/>
      <c r="L323" s="82"/>
      <c r="M323" s="10"/>
      <c r="N323" s="42"/>
      <c r="O323" s="10"/>
      <c r="P323" s="10"/>
      <c r="Q323" s="43"/>
      <c r="R323" s="10"/>
      <c r="T323" s="10"/>
    </row>
    <row r="324" spans="2:20" s="1" customFormat="1" ht="14.25" x14ac:dyDescent="0.15">
      <c r="B324" s="16"/>
      <c r="C324" s="11"/>
      <c r="D324" s="18"/>
      <c r="E324" s="18"/>
      <c r="F324" s="129"/>
      <c r="G324" s="20"/>
      <c r="H324" s="20"/>
      <c r="I324" s="126"/>
      <c r="J324" s="21"/>
      <c r="K324" s="80"/>
      <c r="L324" s="82"/>
      <c r="M324" s="10"/>
      <c r="N324" s="42"/>
      <c r="O324" s="10"/>
      <c r="P324" s="10"/>
      <c r="Q324" s="43"/>
      <c r="R324" s="10"/>
      <c r="T324" s="10"/>
    </row>
    <row r="325" spans="2:20" s="1" customFormat="1" ht="14.25" x14ac:dyDescent="0.15">
      <c r="B325" s="16"/>
      <c r="C325" s="11"/>
      <c r="D325" s="18"/>
      <c r="E325" s="18"/>
      <c r="F325" s="129"/>
      <c r="G325" s="20"/>
      <c r="H325" s="20"/>
      <c r="I325" s="126"/>
      <c r="J325" s="21"/>
      <c r="K325" s="80"/>
      <c r="L325" s="82"/>
      <c r="M325" s="10"/>
      <c r="N325" s="42"/>
      <c r="O325" s="10"/>
      <c r="P325" s="10"/>
      <c r="Q325" s="43"/>
      <c r="R325" s="10"/>
      <c r="T325" s="10"/>
    </row>
    <row r="326" spans="2:20" s="1" customFormat="1" ht="14.25" x14ac:dyDescent="0.15">
      <c r="B326" s="16"/>
      <c r="C326" s="46" t="s">
        <v>159</v>
      </c>
      <c r="D326" s="18"/>
      <c r="E326" s="18"/>
      <c r="F326" s="129"/>
      <c r="G326" s="20"/>
      <c r="H326" s="20"/>
      <c r="I326" s="126"/>
      <c r="J326" s="21"/>
      <c r="K326" s="80"/>
      <c r="L326" s="82"/>
      <c r="M326" s="10"/>
      <c r="N326" s="10"/>
      <c r="O326" s="10"/>
      <c r="P326" s="10"/>
      <c r="Q326" s="43"/>
      <c r="R326" s="10"/>
      <c r="T326" s="10"/>
    </row>
    <row r="327" spans="2:20" s="1" customFormat="1" ht="14.25" x14ac:dyDescent="0.15">
      <c r="B327" s="16">
        <v>1</v>
      </c>
      <c r="C327" s="11"/>
      <c r="D327" s="18"/>
      <c r="E327" s="18"/>
      <c r="F327" s="129"/>
      <c r="G327" s="20"/>
      <c r="H327" s="20">
        <v>1</v>
      </c>
      <c r="I327" s="126">
        <f t="shared" si="17"/>
        <v>0</v>
      </c>
      <c r="J327" s="21">
        <f t="shared" si="20"/>
        <v>0</v>
      </c>
      <c r="K327" s="80"/>
      <c r="L327" s="82"/>
      <c r="M327" s="10"/>
      <c r="N327" s="10"/>
      <c r="O327" s="10"/>
      <c r="P327" s="10"/>
      <c r="Q327" s="43"/>
      <c r="R327" s="10"/>
      <c r="T327" s="10"/>
    </row>
    <row r="328" spans="2:20" s="1" customFormat="1" ht="14.25" x14ac:dyDescent="0.15">
      <c r="B328" s="16">
        <v>2</v>
      </c>
      <c r="C328" s="11"/>
      <c r="D328" s="18"/>
      <c r="E328" s="18"/>
      <c r="F328" s="129"/>
      <c r="G328" s="20"/>
      <c r="H328" s="20">
        <v>1</v>
      </c>
      <c r="I328" s="126">
        <f t="shared" si="17"/>
        <v>0</v>
      </c>
      <c r="J328" s="21">
        <f t="shared" si="20"/>
        <v>0</v>
      </c>
      <c r="K328" s="80"/>
      <c r="L328" s="82"/>
      <c r="M328" s="10"/>
      <c r="N328" s="10"/>
      <c r="O328" s="10"/>
      <c r="P328" s="10"/>
      <c r="Q328" s="43"/>
      <c r="R328" s="10"/>
      <c r="T328" s="10"/>
    </row>
    <row r="329" spans="2:20" s="1" customFormat="1" ht="14.25" x14ac:dyDescent="0.15">
      <c r="B329" s="16">
        <v>3</v>
      </c>
      <c r="C329" s="11"/>
      <c r="D329" s="18"/>
      <c r="E329" s="18"/>
      <c r="F329" s="129"/>
      <c r="G329" s="20"/>
      <c r="H329" s="20">
        <v>1</v>
      </c>
      <c r="I329" s="126">
        <f t="shared" si="17"/>
        <v>0</v>
      </c>
      <c r="J329" s="21">
        <f t="shared" si="20"/>
        <v>0</v>
      </c>
      <c r="K329" s="80"/>
      <c r="L329" s="82"/>
      <c r="M329" s="10"/>
      <c r="N329" s="10"/>
      <c r="O329" s="10"/>
      <c r="P329" s="10"/>
      <c r="Q329" s="43"/>
      <c r="R329" s="10"/>
      <c r="T329" s="10"/>
    </row>
    <row r="330" spans="2:20" s="1" customFormat="1" ht="14.25" x14ac:dyDescent="0.15">
      <c r="B330" s="16">
        <v>4</v>
      </c>
      <c r="C330" s="11"/>
      <c r="D330" s="18"/>
      <c r="E330" s="18"/>
      <c r="F330" s="129"/>
      <c r="G330" s="20"/>
      <c r="H330" s="20">
        <v>1</v>
      </c>
      <c r="I330" s="126">
        <f t="shared" si="17"/>
        <v>0</v>
      </c>
      <c r="J330" s="21">
        <f t="shared" si="20"/>
        <v>0</v>
      </c>
      <c r="K330" s="80"/>
      <c r="L330" s="82"/>
      <c r="M330" s="10"/>
      <c r="N330" s="10"/>
      <c r="O330" s="10"/>
      <c r="P330" s="10"/>
      <c r="Q330" s="43"/>
      <c r="R330" s="10"/>
      <c r="T330" s="10"/>
    </row>
    <row r="331" spans="2:20" s="1" customFormat="1" ht="14.25" x14ac:dyDescent="0.15">
      <c r="B331" s="16">
        <v>5</v>
      </c>
      <c r="C331" s="11"/>
      <c r="D331" s="18"/>
      <c r="E331" s="18"/>
      <c r="F331" s="129"/>
      <c r="G331" s="20"/>
      <c r="H331" s="20">
        <v>1</v>
      </c>
      <c r="I331" s="126">
        <f t="shared" si="17"/>
        <v>0</v>
      </c>
      <c r="J331" s="21">
        <f t="shared" si="20"/>
        <v>0</v>
      </c>
      <c r="K331" s="80"/>
      <c r="L331" s="82"/>
      <c r="M331" s="10"/>
      <c r="N331" s="10"/>
      <c r="O331" s="10"/>
      <c r="P331" s="10"/>
      <c r="Q331" s="43"/>
      <c r="R331" s="10"/>
      <c r="T331" s="10"/>
    </row>
    <row r="332" spans="2:20" s="1" customFormat="1" ht="14.25" x14ac:dyDescent="0.15">
      <c r="B332" s="16">
        <v>6</v>
      </c>
      <c r="C332" s="11"/>
      <c r="D332" s="18"/>
      <c r="E332" s="18"/>
      <c r="F332" s="129"/>
      <c r="G332" s="20"/>
      <c r="H332" s="20">
        <v>1</v>
      </c>
      <c r="I332" s="126">
        <f t="shared" si="17"/>
        <v>0</v>
      </c>
      <c r="J332" s="21">
        <f t="shared" si="20"/>
        <v>0</v>
      </c>
      <c r="K332" s="80"/>
      <c r="L332" s="82"/>
      <c r="M332" s="10"/>
      <c r="N332" s="10"/>
      <c r="O332" s="10"/>
      <c r="P332" s="10"/>
      <c r="Q332" s="43"/>
      <c r="R332" s="10"/>
      <c r="T332" s="10"/>
    </row>
    <row r="333" spans="2:20" s="1" customFormat="1" ht="14.25" x14ac:dyDescent="0.15">
      <c r="B333" s="16">
        <v>7</v>
      </c>
      <c r="C333" s="11"/>
      <c r="D333" s="18"/>
      <c r="E333" s="18"/>
      <c r="F333" s="129"/>
      <c r="G333" s="20"/>
      <c r="H333" s="20">
        <v>1</v>
      </c>
      <c r="I333" s="126">
        <f t="shared" si="17"/>
        <v>0</v>
      </c>
      <c r="J333" s="21">
        <f t="shared" si="20"/>
        <v>0</v>
      </c>
      <c r="K333" s="80"/>
      <c r="L333" s="82"/>
      <c r="M333" s="10"/>
      <c r="N333" s="10"/>
      <c r="O333" s="10"/>
      <c r="P333" s="10"/>
      <c r="Q333" s="43"/>
      <c r="R333" s="10"/>
      <c r="T333" s="10"/>
    </row>
    <row r="334" spans="2:20" s="1" customFormat="1" ht="14.25" x14ac:dyDescent="0.15">
      <c r="B334" s="16">
        <v>8</v>
      </c>
      <c r="C334" s="11"/>
      <c r="D334" s="18"/>
      <c r="E334" s="18"/>
      <c r="F334" s="129"/>
      <c r="G334" s="20"/>
      <c r="H334" s="20">
        <v>1</v>
      </c>
      <c r="I334" s="126">
        <f t="shared" si="17"/>
        <v>0</v>
      </c>
      <c r="J334" s="21">
        <f t="shared" si="20"/>
        <v>0</v>
      </c>
      <c r="K334" s="80"/>
      <c r="L334" s="82"/>
      <c r="M334" s="10"/>
      <c r="N334" s="10"/>
      <c r="O334" s="10"/>
      <c r="P334" s="10"/>
      <c r="Q334" s="43"/>
      <c r="R334" s="10"/>
      <c r="T334" s="10"/>
    </row>
    <row r="335" spans="2:20" s="1" customFormat="1" ht="14.25" x14ac:dyDescent="0.15">
      <c r="B335" s="16">
        <v>9</v>
      </c>
      <c r="C335" s="11"/>
      <c r="D335" s="18"/>
      <c r="E335" s="18"/>
      <c r="F335" s="129"/>
      <c r="G335" s="20"/>
      <c r="H335" s="20">
        <v>1</v>
      </c>
      <c r="I335" s="126">
        <f t="shared" si="17"/>
        <v>0</v>
      </c>
      <c r="J335" s="21">
        <f t="shared" si="20"/>
        <v>0</v>
      </c>
      <c r="K335" s="80"/>
      <c r="L335" s="82"/>
      <c r="M335" s="10"/>
      <c r="N335" s="10"/>
      <c r="O335" s="10"/>
      <c r="P335" s="10"/>
      <c r="Q335" s="43"/>
      <c r="R335" s="10"/>
      <c r="T335" s="10"/>
    </row>
    <row r="336" spans="2:20" s="1" customFormat="1" ht="14.25" x14ac:dyDescent="0.15">
      <c r="B336" s="16">
        <v>10</v>
      </c>
      <c r="C336" s="11"/>
      <c r="D336" s="18"/>
      <c r="E336" s="18"/>
      <c r="F336" s="129"/>
      <c r="G336" s="20"/>
      <c r="H336" s="20">
        <v>1</v>
      </c>
      <c r="I336" s="126">
        <f t="shared" si="17"/>
        <v>0</v>
      </c>
      <c r="J336" s="21">
        <f t="shared" si="20"/>
        <v>0</v>
      </c>
      <c r="K336" s="80"/>
      <c r="L336" s="82"/>
      <c r="M336" s="10"/>
      <c r="N336" s="10"/>
      <c r="O336" s="10"/>
      <c r="P336" s="10"/>
      <c r="Q336" s="43"/>
      <c r="R336" s="10"/>
      <c r="T336" s="10"/>
    </row>
    <row r="337" spans="2:20" s="1" customFormat="1" ht="14.25" x14ac:dyDescent="0.15">
      <c r="B337" s="16">
        <v>11</v>
      </c>
      <c r="C337" s="11"/>
      <c r="D337" s="18"/>
      <c r="E337" s="18"/>
      <c r="F337" s="129"/>
      <c r="G337" s="20"/>
      <c r="H337" s="20">
        <v>1</v>
      </c>
      <c r="I337" s="126">
        <f t="shared" si="17"/>
        <v>0</v>
      </c>
      <c r="J337" s="21">
        <f t="shared" si="20"/>
        <v>0</v>
      </c>
      <c r="K337" s="80"/>
      <c r="L337" s="82"/>
      <c r="M337" s="10"/>
      <c r="N337" s="10"/>
      <c r="O337" s="10"/>
      <c r="P337" s="10"/>
      <c r="Q337" s="43"/>
      <c r="R337" s="10"/>
      <c r="T337" s="10"/>
    </row>
    <row r="338" spans="2:20" s="1" customFormat="1" ht="14.25" x14ac:dyDescent="0.15">
      <c r="B338" s="16">
        <v>12</v>
      </c>
      <c r="C338" s="11"/>
      <c r="D338" s="18"/>
      <c r="E338" s="18"/>
      <c r="F338" s="129"/>
      <c r="G338" s="20"/>
      <c r="H338" s="20">
        <v>1</v>
      </c>
      <c r="I338" s="126">
        <f t="shared" si="17"/>
        <v>0</v>
      </c>
      <c r="J338" s="21">
        <f t="shared" si="20"/>
        <v>0</v>
      </c>
      <c r="K338" s="80"/>
      <c r="L338" s="82"/>
      <c r="M338" s="10"/>
      <c r="N338" s="10"/>
      <c r="O338" s="10"/>
      <c r="P338" s="10"/>
      <c r="Q338" s="43"/>
      <c r="R338" s="10"/>
      <c r="T338" s="10"/>
    </row>
    <row r="339" spans="2:20" s="1" customFormat="1" ht="14.25" x14ac:dyDescent="0.15">
      <c r="B339" s="16">
        <v>13</v>
      </c>
      <c r="C339" s="11"/>
      <c r="D339" s="18"/>
      <c r="E339" s="18"/>
      <c r="F339" s="129"/>
      <c r="G339" s="20"/>
      <c r="H339" s="20">
        <v>1</v>
      </c>
      <c r="I339" s="126">
        <f t="shared" si="17"/>
        <v>0</v>
      </c>
      <c r="J339" s="21">
        <f t="shared" si="20"/>
        <v>0</v>
      </c>
      <c r="K339" s="80"/>
      <c r="L339" s="82"/>
      <c r="M339" s="10"/>
      <c r="N339" s="10"/>
      <c r="O339" s="10"/>
      <c r="P339" s="10"/>
      <c r="Q339" s="43"/>
      <c r="R339" s="10"/>
      <c r="T339" s="10"/>
    </row>
    <row r="340" spans="2:20" s="1" customFormat="1" ht="14.25" x14ac:dyDescent="0.15">
      <c r="B340" s="16">
        <v>14</v>
      </c>
      <c r="C340" s="11"/>
      <c r="D340" s="18"/>
      <c r="E340" s="18"/>
      <c r="F340" s="129"/>
      <c r="G340" s="20"/>
      <c r="H340" s="20">
        <v>1</v>
      </c>
      <c r="I340" s="126">
        <f t="shared" si="17"/>
        <v>0</v>
      </c>
      <c r="J340" s="21">
        <f t="shared" si="20"/>
        <v>0</v>
      </c>
      <c r="K340" s="80"/>
      <c r="L340" s="82"/>
      <c r="M340" s="10"/>
      <c r="N340" s="10"/>
      <c r="O340" s="10"/>
      <c r="P340" s="10"/>
      <c r="Q340" s="43"/>
      <c r="R340" s="10"/>
      <c r="T340" s="10"/>
    </row>
    <row r="341" spans="2:20" s="1" customFormat="1" ht="14.25" x14ac:dyDescent="0.15">
      <c r="B341" s="16">
        <v>15</v>
      </c>
      <c r="C341" s="11"/>
      <c r="D341" s="18"/>
      <c r="E341" s="18"/>
      <c r="F341" s="129"/>
      <c r="G341" s="20"/>
      <c r="H341" s="20">
        <v>1</v>
      </c>
      <c r="I341" s="126">
        <f t="shared" si="17"/>
        <v>0</v>
      </c>
      <c r="J341" s="21">
        <f t="shared" si="20"/>
        <v>0</v>
      </c>
      <c r="K341" s="80"/>
      <c r="L341" s="82"/>
      <c r="M341" s="10"/>
      <c r="N341" s="10"/>
      <c r="O341" s="10"/>
      <c r="P341" s="10"/>
      <c r="Q341" s="43"/>
      <c r="R341" s="10"/>
      <c r="T341" s="10"/>
    </row>
    <row r="342" spans="2:20" s="1" customFormat="1" ht="14.25" x14ac:dyDescent="0.15">
      <c r="B342" s="16">
        <v>16</v>
      </c>
      <c r="C342" s="11"/>
      <c r="D342" s="18"/>
      <c r="E342" s="18"/>
      <c r="F342" s="129"/>
      <c r="G342" s="20"/>
      <c r="H342" s="20">
        <v>1</v>
      </c>
      <c r="I342" s="126">
        <f t="shared" si="17"/>
        <v>0</v>
      </c>
      <c r="J342" s="21">
        <f t="shared" si="20"/>
        <v>0</v>
      </c>
      <c r="K342" s="80"/>
      <c r="L342" s="82"/>
      <c r="M342" s="10"/>
      <c r="N342" s="10"/>
      <c r="O342" s="10"/>
      <c r="P342" s="10"/>
      <c r="Q342" s="43"/>
      <c r="R342" s="10"/>
      <c r="T342" s="10"/>
    </row>
    <row r="343" spans="2:20" s="1" customFormat="1" ht="14.25" x14ac:dyDescent="0.15">
      <c r="B343" s="16">
        <v>17</v>
      </c>
      <c r="C343" s="11"/>
      <c r="D343" s="18"/>
      <c r="E343" s="18"/>
      <c r="F343" s="129"/>
      <c r="G343" s="20"/>
      <c r="H343" s="20">
        <v>1</v>
      </c>
      <c r="I343" s="126">
        <f t="shared" si="17"/>
        <v>0</v>
      </c>
      <c r="J343" s="21">
        <f t="shared" si="20"/>
        <v>0</v>
      </c>
      <c r="K343" s="80"/>
      <c r="L343" s="82"/>
      <c r="M343" s="10"/>
      <c r="N343" s="10"/>
      <c r="O343" s="10"/>
      <c r="P343" s="10"/>
      <c r="Q343" s="43"/>
      <c r="R343" s="10"/>
      <c r="T343" s="10"/>
    </row>
    <row r="344" spans="2:20" s="1" customFormat="1" ht="14.25" x14ac:dyDescent="0.15">
      <c r="B344" s="16">
        <v>18</v>
      </c>
      <c r="C344" s="11"/>
      <c r="D344" s="18"/>
      <c r="E344" s="18"/>
      <c r="F344" s="129"/>
      <c r="G344" s="20"/>
      <c r="H344" s="20">
        <v>1</v>
      </c>
      <c r="I344" s="126">
        <f t="shared" si="17"/>
        <v>0</v>
      </c>
      <c r="J344" s="78">
        <f t="shared" si="20"/>
        <v>0</v>
      </c>
      <c r="K344" s="111"/>
      <c r="L344" s="119"/>
      <c r="M344" s="10"/>
      <c r="N344" s="10"/>
      <c r="O344" s="10"/>
      <c r="P344" s="10"/>
      <c r="Q344" s="43"/>
      <c r="R344" s="10"/>
      <c r="T344" s="10"/>
    </row>
    <row r="345" spans="2:20" s="1" customFormat="1" ht="14.25" x14ac:dyDescent="0.15">
      <c r="B345" s="16">
        <v>19</v>
      </c>
      <c r="C345" s="11"/>
      <c r="D345" s="18"/>
      <c r="E345" s="18"/>
      <c r="F345" s="129"/>
      <c r="G345" s="20"/>
      <c r="H345" s="20">
        <v>1</v>
      </c>
      <c r="I345" s="254">
        <f t="shared" si="17"/>
        <v>0</v>
      </c>
      <c r="J345" s="94">
        <f t="shared" si="20"/>
        <v>0</v>
      </c>
      <c r="K345" s="82"/>
      <c r="L345" s="82"/>
      <c r="M345" s="10"/>
      <c r="N345" s="10"/>
      <c r="O345" s="10"/>
      <c r="P345" s="10"/>
      <c r="Q345" s="43"/>
      <c r="R345" s="10"/>
      <c r="T345" s="10"/>
    </row>
    <row r="346" spans="2:20" s="1" customFormat="1" ht="14.25" x14ac:dyDescent="0.15">
      <c r="B346" s="16">
        <v>20</v>
      </c>
      <c r="C346" s="11"/>
      <c r="D346" s="18"/>
      <c r="E346" s="18"/>
      <c r="F346" s="129"/>
      <c r="G346" s="20"/>
      <c r="H346" s="20">
        <v>1</v>
      </c>
      <c r="I346" s="254">
        <f t="shared" si="17"/>
        <v>0</v>
      </c>
      <c r="J346" s="94">
        <f t="shared" si="20"/>
        <v>0</v>
      </c>
      <c r="K346" s="82"/>
      <c r="L346" s="82"/>
      <c r="M346" s="10"/>
      <c r="N346" s="10"/>
      <c r="O346" s="10"/>
      <c r="P346" s="10"/>
      <c r="Q346" s="43"/>
      <c r="R346" s="10"/>
      <c r="T346" s="10"/>
    </row>
    <row r="347" spans="2:20" s="1" customFormat="1" ht="14.25" x14ac:dyDescent="0.15">
      <c r="B347" s="83"/>
      <c r="C347" s="160"/>
      <c r="D347" s="75"/>
      <c r="E347" s="75"/>
      <c r="F347" s="132"/>
      <c r="G347" s="77"/>
      <c r="H347" s="77"/>
      <c r="I347" s="255"/>
      <c r="J347" s="94"/>
      <c r="K347" s="82"/>
      <c r="L347" s="82"/>
      <c r="M347" s="10"/>
      <c r="N347" s="10"/>
      <c r="O347" s="10"/>
      <c r="P347" s="10"/>
      <c r="Q347" s="43"/>
      <c r="R347" s="10"/>
      <c r="T347" s="10"/>
    </row>
    <row r="348" spans="2:20" s="1" customFormat="1" ht="14.25" x14ac:dyDescent="0.15">
      <c r="B348" s="82"/>
      <c r="C348" s="102"/>
      <c r="D348" s="103"/>
      <c r="E348" s="102"/>
      <c r="F348" s="128">
        <f>SUM(F288:F347)</f>
        <v>0</v>
      </c>
      <c r="G348" s="104"/>
      <c r="H348" s="105"/>
      <c r="I348" s="256">
        <f>SUM(I289:I347)</f>
        <v>0</v>
      </c>
      <c r="J348" s="257">
        <f>SUM(J288:J307)</f>
        <v>0</v>
      </c>
      <c r="M348" s="10"/>
      <c r="N348" s="10"/>
      <c r="O348" s="10"/>
      <c r="P348" s="10"/>
      <c r="Q348" s="43"/>
      <c r="R348" s="10"/>
      <c r="T348" s="10"/>
    </row>
    <row r="349" spans="2:20" s="67" customFormat="1" ht="14.25" x14ac:dyDescent="0.15">
      <c r="B349" s="116"/>
      <c r="C349" s="114"/>
      <c r="D349" s="114"/>
      <c r="E349" s="114" t="s">
        <v>147</v>
      </c>
      <c r="F349" s="162">
        <f>100/115*F348</f>
        <v>0</v>
      </c>
      <c r="G349" s="161"/>
      <c r="H349" s="161" t="s">
        <v>147</v>
      </c>
      <c r="I349" s="264">
        <f>100/115*I348</f>
        <v>0</v>
      </c>
      <c r="J349" s="114"/>
      <c r="M349" s="68"/>
      <c r="N349" s="68"/>
      <c r="O349" s="68"/>
      <c r="P349" s="68"/>
      <c r="Q349" s="69"/>
      <c r="R349" s="68"/>
      <c r="T349" s="68"/>
    </row>
    <row r="350" spans="2:20" s="1" customFormat="1" ht="14.25" x14ac:dyDescent="0.15">
      <c r="M350" s="10"/>
      <c r="N350" s="10"/>
      <c r="O350" s="10"/>
      <c r="P350" s="10"/>
      <c r="Q350" s="43"/>
      <c r="R350" s="10"/>
      <c r="T350" s="10"/>
    </row>
    <row r="351" spans="2:20" s="1" customFormat="1" ht="14.25" x14ac:dyDescent="0.15">
      <c r="M351" s="10"/>
      <c r="N351" s="10"/>
      <c r="O351" s="10"/>
      <c r="P351" s="10"/>
      <c r="Q351" s="43"/>
      <c r="R351" s="10"/>
      <c r="T351" s="10"/>
    </row>
    <row r="352" spans="2:20" s="1" customFormat="1" ht="14.25" x14ac:dyDescent="0.15">
      <c r="M352" s="10"/>
      <c r="N352" s="10"/>
      <c r="O352" s="10"/>
      <c r="P352" s="10"/>
      <c r="Q352" s="43"/>
      <c r="R352" s="10"/>
      <c r="T352" s="10"/>
    </row>
    <row r="353" spans="2:20" s="1" customFormat="1" ht="14.25" x14ac:dyDescent="0.15">
      <c r="M353" s="10"/>
      <c r="N353" s="10"/>
      <c r="O353" s="10"/>
      <c r="P353" s="10"/>
      <c r="Q353" s="43"/>
      <c r="R353" s="10"/>
      <c r="T353" s="10"/>
    </row>
    <row r="354" spans="2:20" s="247" customFormat="1" ht="32.25" x14ac:dyDescent="0.4">
      <c r="B354" s="248"/>
      <c r="C354" s="380" t="s">
        <v>112</v>
      </c>
      <c r="D354" s="380"/>
      <c r="E354" s="428" t="s">
        <v>108</v>
      </c>
      <c r="F354" s="428"/>
      <c r="G354" s="428"/>
      <c r="H354" s="428"/>
      <c r="I354" s="428"/>
      <c r="J354" s="382">
        <v>2026</v>
      </c>
      <c r="K354" s="382"/>
      <c r="L354" s="382"/>
      <c r="M354" s="249"/>
      <c r="N354" s="249"/>
      <c r="O354" s="249"/>
      <c r="P354" s="249"/>
      <c r="Q354" s="250"/>
      <c r="R354" s="249"/>
      <c r="T354" s="249"/>
    </row>
    <row r="355" spans="2:20" s="1" customFormat="1" ht="22.5" x14ac:dyDescent="0.15">
      <c r="B355" s="82"/>
      <c r="C355" s="102" t="s">
        <v>114</v>
      </c>
      <c r="D355" s="388" t="s">
        <v>115</v>
      </c>
      <c r="E355" s="388"/>
      <c r="F355" s="102" t="s">
        <v>116</v>
      </c>
      <c r="G355" s="102" t="s">
        <v>117</v>
      </c>
      <c r="H355" s="102" t="s">
        <v>118</v>
      </c>
      <c r="I355" s="102" t="s">
        <v>119</v>
      </c>
      <c r="J355" s="102" t="s">
        <v>120</v>
      </c>
      <c r="K355" s="82"/>
      <c r="L355" s="82"/>
      <c r="M355" s="10"/>
      <c r="N355" s="10"/>
      <c r="O355" s="10"/>
      <c r="P355" s="10"/>
      <c r="Q355" s="43"/>
      <c r="R355" s="10"/>
      <c r="T355" s="10"/>
    </row>
    <row r="356" spans="2:20" s="1" customFormat="1" ht="14.25" x14ac:dyDescent="0.15">
      <c r="B356" s="82"/>
      <c r="C356" s="66">
        <f>C286</f>
        <v>250</v>
      </c>
      <c r="D356" s="389">
        <v>20</v>
      </c>
      <c r="E356" s="389"/>
      <c r="F356" s="13">
        <f>F286</f>
        <v>0.85</v>
      </c>
      <c r="G356" s="14">
        <f>G286</f>
        <v>8</v>
      </c>
      <c r="H356" s="142">
        <f>D356*G356*F356</f>
        <v>136</v>
      </c>
      <c r="I356" s="66">
        <f>I418</f>
        <v>0</v>
      </c>
      <c r="J356" s="143">
        <f>H356-J418</f>
        <v>136</v>
      </c>
      <c r="K356" s="82"/>
      <c r="L356" s="82"/>
      <c r="M356" s="10"/>
      <c r="N356" s="10"/>
      <c r="O356" s="10"/>
      <c r="P356" s="10"/>
      <c r="Q356" s="43"/>
      <c r="R356" s="10"/>
      <c r="T356" s="10"/>
    </row>
    <row r="357" spans="2:20" s="1" customFormat="1" ht="33.75" x14ac:dyDescent="0.15">
      <c r="B357" s="82"/>
      <c r="C357" s="167" t="s">
        <v>121</v>
      </c>
      <c r="D357" s="395" t="s">
        <v>122</v>
      </c>
      <c r="E357" s="395"/>
      <c r="F357" s="177" t="s">
        <v>123</v>
      </c>
      <c r="G357" s="178" t="s">
        <v>124</v>
      </c>
      <c r="H357" s="179" t="s">
        <v>125</v>
      </c>
      <c r="I357" s="180" t="s">
        <v>126</v>
      </c>
      <c r="J357" s="178" t="s">
        <v>127</v>
      </c>
      <c r="K357" s="114" t="s">
        <v>128</v>
      </c>
      <c r="L357" s="114" t="s">
        <v>129</v>
      </c>
      <c r="M357" s="10"/>
      <c r="N357" s="10"/>
      <c r="O357" s="10"/>
      <c r="P357" s="10"/>
      <c r="Q357" s="43"/>
      <c r="R357" s="10"/>
      <c r="T357" s="10"/>
    </row>
    <row r="358" spans="2:20" s="1" customFormat="1" ht="14.25" x14ac:dyDescent="0.15">
      <c r="B358" s="84"/>
      <c r="C358" s="81"/>
      <c r="D358" s="404"/>
      <c r="E358" s="404"/>
      <c r="F358" s="175"/>
      <c r="G358" s="87"/>
      <c r="H358" s="87"/>
      <c r="I358" s="176"/>
      <c r="J358" s="88"/>
      <c r="K358" s="79"/>
      <c r="L358" s="120"/>
      <c r="M358" s="10"/>
      <c r="N358" s="10"/>
      <c r="O358" s="10"/>
      <c r="P358" s="10"/>
      <c r="Q358" s="43"/>
      <c r="R358" s="10"/>
      <c r="T358" s="10"/>
    </row>
    <row r="359" spans="2:20" s="1" customFormat="1" ht="12.95" customHeight="1" x14ac:dyDescent="0.15">
      <c r="B359" s="16"/>
      <c r="C359" s="411" t="s">
        <v>130</v>
      </c>
      <c r="D359" s="411"/>
      <c r="E359" s="411"/>
      <c r="F359" s="129"/>
      <c r="G359" s="20"/>
      <c r="H359" s="20"/>
      <c r="I359" s="126"/>
      <c r="J359" s="21"/>
      <c r="K359" s="80"/>
      <c r="L359" s="82"/>
      <c r="M359" s="10"/>
      <c r="N359" s="10"/>
      <c r="O359" s="10"/>
      <c r="P359" s="10"/>
      <c r="Q359" s="43"/>
      <c r="R359" s="10"/>
      <c r="T359" s="10"/>
    </row>
    <row r="360" spans="2:20" s="1" customFormat="1" ht="12.95" customHeight="1" x14ac:dyDescent="0.15">
      <c r="B360" s="16"/>
      <c r="C360" s="37" t="s">
        <v>149</v>
      </c>
      <c r="D360" s="24"/>
      <c r="E360" s="24"/>
      <c r="F360" s="129"/>
      <c r="G360" s="20"/>
      <c r="H360" s="20">
        <v>1</v>
      </c>
      <c r="I360" s="126">
        <f>J360*$C$32</f>
        <v>0</v>
      </c>
      <c r="J360" s="38">
        <f t="shared" ref="J360:J378" si="21">(F360*G360*H360)/$C$32</f>
        <v>0</v>
      </c>
      <c r="K360" s="80"/>
      <c r="L360" s="82"/>
    </row>
    <row r="361" spans="2:20" s="1" customFormat="1" ht="12.95" customHeight="1" x14ac:dyDescent="0.15">
      <c r="B361" s="16">
        <v>1</v>
      </c>
      <c r="C361" s="23"/>
      <c r="D361" s="24"/>
      <c r="E361" s="24"/>
      <c r="F361" s="129"/>
      <c r="G361" s="20"/>
      <c r="H361" s="20">
        <v>1</v>
      </c>
      <c r="I361" s="126">
        <f t="shared" ref="I361:I390" si="22">J361*$C$32</f>
        <v>0</v>
      </c>
      <c r="J361" s="38">
        <f t="shared" si="21"/>
        <v>0</v>
      </c>
      <c r="K361" s="80"/>
      <c r="L361" s="82"/>
    </row>
    <row r="362" spans="2:20" s="1" customFormat="1" ht="12.95" customHeight="1" x14ac:dyDescent="0.15">
      <c r="B362" s="16">
        <v>2</v>
      </c>
      <c r="C362" s="23"/>
      <c r="D362" s="24"/>
      <c r="E362" s="24"/>
      <c r="F362" s="126"/>
      <c r="G362" s="20"/>
      <c r="H362" s="20">
        <v>1</v>
      </c>
      <c r="I362" s="126">
        <f t="shared" si="22"/>
        <v>0</v>
      </c>
      <c r="J362" s="38">
        <f t="shared" si="21"/>
        <v>0</v>
      </c>
      <c r="K362" s="80"/>
      <c r="L362" s="82"/>
    </row>
    <row r="363" spans="2:20" s="1" customFormat="1" ht="12.95" customHeight="1" x14ac:dyDescent="0.15">
      <c r="B363" s="16">
        <v>3</v>
      </c>
      <c r="C363" s="23"/>
      <c r="D363" s="25"/>
      <c r="E363" s="25"/>
      <c r="F363" s="129"/>
      <c r="G363" s="20"/>
      <c r="H363" s="20">
        <v>1</v>
      </c>
      <c r="I363" s="126">
        <f t="shared" si="22"/>
        <v>0</v>
      </c>
      <c r="J363" s="38">
        <f t="shared" si="21"/>
        <v>0</v>
      </c>
      <c r="K363" s="80"/>
      <c r="L363" s="82"/>
    </row>
    <row r="364" spans="2:20" s="1" customFormat="1" ht="12.95" customHeight="1" x14ac:dyDescent="0.15">
      <c r="B364" s="16">
        <v>4</v>
      </c>
      <c r="C364" s="23"/>
      <c r="D364" s="24"/>
      <c r="E364" s="24"/>
      <c r="F364" s="129"/>
      <c r="G364" s="20"/>
      <c r="H364" s="20">
        <v>1</v>
      </c>
      <c r="I364" s="126">
        <f t="shared" si="22"/>
        <v>0</v>
      </c>
      <c r="J364" s="38">
        <f t="shared" si="21"/>
        <v>0</v>
      </c>
      <c r="K364" s="80"/>
      <c r="L364" s="82"/>
    </row>
    <row r="365" spans="2:20" s="1" customFormat="1" ht="12.95" customHeight="1" x14ac:dyDescent="0.15">
      <c r="B365" s="16">
        <v>5</v>
      </c>
      <c r="C365" s="16"/>
      <c r="D365" s="18"/>
      <c r="E365" s="18"/>
      <c r="F365" s="129"/>
      <c r="G365" s="20"/>
      <c r="H365" s="20">
        <v>1</v>
      </c>
      <c r="I365" s="126">
        <f t="shared" si="22"/>
        <v>0</v>
      </c>
      <c r="J365" s="38">
        <f t="shared" si="21"/>
        <v>0</v>
      </c>
      <c r="K365" s="80"/>
      <c r="L365" s="82"/>
    </row>
    <row r="366" spans="2:20" s="1" customFormat="1" ht="12.95" customHeight="1" x14ac:dyDescent="0.15">
      <c r="B366" s="16">
        <v>6</v>
      </c>
      <c r="C366" s="17"/>
      <c r="D366" s="24"/>
      <c r="E366" s="24"/>
      <c r="F366" s="129"/>
      <c r="G366" s="20"/>
      <c r="H366" s="20">
        <v>1</v>
      </c>
      <c r="I366" s="126">
        <f t="shared" si="22"/>
        <v>0</v>
      </c>
      <c r="J366" s="38">
        <f t="shared" si="21"/>
        <v>0</v>
      </c>
      <c r="K366" s="80"/>
      <c r="L366" s="82"/>
    </row>
    <row r="367" spans="2:20" s="1" customFormat="1" ht="12.95" customHeight="1" x14ac:dyDescent="0.15">
      <c r="B367" s="16">
        <v>7</v>
      </c>
      <c r="C367" s="17"/>
      <c r="D367" s="24"/>
      <c r="E367" s="24"/>
      <c r="F367" s="129"/>
      <c r="G367" s="20"/>
      <c r="H367" s="20">
        <v>1</v>
      </c>
      <c r="I367" s="126">
        <f t="shared" si="22"/>
        <v>0</v>
      </c>
      <c r="J367" s="38">
        <f t="shared" si="21"/>
        <v>0</v>
      </c>
      <c r="K367" s="80"/>
      <c r="L367" s="82"/>
    </row>
    <row r="368" spans="2:20" s="1" customFormat="1" ht="12.95" customHeight="1" x14ac:dyDescent="0.15">
      <c r="B368" s="16">
        <v>8</v>
      </c>
      <c r="C368" s="23"/>
      <c r="D368" s="48"/>
      <c r="E368" s="48"/>
      <c r="F368" s="129"/>
      <c r="G368" s="20"/>
      <c r="H368" s="20">
        <v>1</v>
      </c>
      <c r="I368" s="126">
        <f t="shared" si="22"/>
        <v>0</v>
      </c>
      <c r="J368" s="38">
        <f t="shared" si="21"/>
        <v>0</v>
      </c>
      <c r="K368" s="80"/>
      <c r="L368" s="82"/>
    </row>
    <row r="369" spans="2:15" s="1" customFormat="1" ht="12.95" customHeight="1" x14ac:dyDescent="0.15">
      <c r="B369" s="16">
        <v>9</v>
      </c>
      <c r="C369" s="23"/>
      <c r="D369" s="48"/>
      <c r="E369" s="48"/>
      <c r="F369" s="129"/>
      <c r="G369" s="20"/>
      <c r="H369" s="20">
        <v>1</v>
      </c>
      <c r="I369" s="126">
        <f t="shared" si="22"/>
        <v>0</v>
      </c>
      <c r="J369" s="38">
        <f t="shared" si="21"/>
        <v>0</v>
      </c>
      <c r="K369" s="80"/>
      <c r="L369" s="82"/>
    </row>
    <row r="370" spans="2:15" s="1" customFormat="1" ht="12.95" customHeight="1" x14ac:dyDescent="0.15">
      <c r="B370" s="16">
        <v>10</v>
      </c>
      <c r="C370" s="23"/>
      <c r="D370" s="48"/>
      <c r="E370" s="48"/>
      <c r="F370" s="129"/>
      <c r="G370" s="20"/>
      <c r="H370" s="20">
        <v>1</v>
      </c>
      <c r="I370" s="126">
        <f t="shared" si="22"/>
        <v>0</v>
      </c>
      <c r="J370" s="38">
        <f t="shared" si="21"/>
        <v>0</v>
      </c>
      <c r="K370" s="80"/>
      <c r="L370" s="82"/>
    </row>
    <row r="371" spans="2:15" s="1" customFormat="1" ht="12.95" customHeight="1" x14ac:dyDescent="0.15">
      <c r="B371" s="16"/>
      <c r="C371" s="23"/>
      <c r="D371" s="49"/>
      <c r="E371" s="48"/>
      <c r="F371" s="129"/>
      <c r="G371" s="20"/>
      <c r="H371" s="20"/>
      <c r="I371" s="126"/>
      <c r="J371" s="38"/>
      <c r="K371" s="80"/>
      <c r="L371" s="82"/>
    </row>
    <row r="372" spans="2:15" s="1" customFormat="1" ht="12.95" customHeight="1" x14ac:dyDescent="0.15">
      <c r="B372" s="16"/>
      <c r="C372" s="23"/>
      <c r="D372" s="49"/>
      <c r="E372" s="48"/>
      <c r="F372" s="129"/>
      <c r="G372" s="20"/>
      <c r="H372" s="20"/>
      <c r="I372" s="126"/>
      <c r="J372" s="38"/>
      <c r="K372" s="80"/>
      <c r="L372" s="82"/>
    </row>
    <row r="373" spans="2:15" s="1" customFormat="1" ht="12.95" customHeight="1" x14ac:dyDescent="0.15">
      <c r="B373" s="16"/>
      <c r="C373" s="72" t="s">
        <v>153</v>
      </c>
      <c r="D373" s="48"/>
      <c r="E373" s="49"/>
      <c r="F373" s="129"/>
      <c r="G373" s="20"/>
      <c r="H373" s="20"/>
      <c r="I373" s="126"/>
      <c r="J373" s="38"/>
      <c r="K373" s="80"/>
      <c r="L373" s="82"/>
    </row>
    <row r="374" spans="2:15" s="1" customFormat="1" ht="12.95" customHeight="1" x14ac:dyDescent="0.15">
      <c r="B374" s="16">
        <v>1</v>
      </c>
      <c r="C374" s="23"/>
      <c r="D374" s="48"/>
      <c r="E374" s="49"/>
      <c r="F374" s="129"/>
      <c r="G374" s="20"/>
      <c r="H374" s="20">
        <v>1</v>
      </c>
      <c r="I374" s="126">
        <f t="shared" si="22"/>
        <v>0</v>
      </c>
      <c r="J374" s="38">
        <f t="shared" si="21"/>
        <v>0</v>
      </c>
      <c r="K374" s="80"/>
      <c r="L374" s="82"/>
    </row>
    <row r="375" spans="2:15" s="1" customFormat="1" ht="14.85" customHeight="1" x14ac:dyDescent="0.15">
      <c r="B375" s="16">
        <v>2</v>
      </c>
      <c r="C375" s="23"/>
      <c r="D375" s="48"/>
      <c r="E375" s="49"/>
      <c r="F375" s="129"/>
      <c r="G375" s="20"/>
      <c r="H375" s="20">
        <v>1</v>
      </c>
      <c r="I375" s="126">
        <f t="shared" si="22"/>
        <v>0</v>
      </c>
      <c r="J375" s="38">
        <f t="shared" si="21"/>
        <v>0</v>
      </c>
      <c r="K375" s="80"/>
      <c r="L375" s="82"/>
    </row>
    <row r="376" spans="2:15" s="1" customFormat="1" ht="12.95" customHeight="1" x14ac:dyDescent="0.15">
      <c r="B376" s="16">
        <v>3</v>
      </c>
      <c r="C376" s="23"/>
      <c r="D376" s="48"/>
      <c r="E376" s="49"/>
      <c r="F376" s="129"/>
      <c r="G376" s="20"/>
      <c r="H376" s="20">
        <v>1</v>
      </c>
      <c r="I376" s="126">
        <f t="shared" si="22"/>
        <v>0</v>
      </c>
      <c r="J376" s="38">
        <f t="shared" si="21"/>
        <v>0</v>
      </c>
      <c r="K376" s="80"/>
      <c r="L376" s="82"/>
    </row>
    <row r="377" spans="2:15" s="1" customFormat="1" ht="12.95" customHeight="1" x14ac:dyDescent="0.15">
      <c r="B377" s="16">
        <v>4</v>
      </c>
      <c r="C377" s="23"/>
      <c r="D377" s="48"/>
      <c r="E377" s="49"/>
      <c r="F377" s="129"/>
      <c r="G377" s="20"/>
      <c r="H377" s="20">
        <v>1</v>
      </c>
      <c r="I377" s="126">
        <f t="shared" si="22"/>
        <v>0</v>
      </c>
      <c r="J377" s="38">
        <f t="shared" si="21"/>
        <v>0</v>
      </c>
      <c r="K377" s="80"/>
      <c r="L377" s="82"/>
    </row>
    <row r="378" spans="2:15" s="1" customFormat="1" ht="12.95" customHeight="1" x14ac:dyDescent="0.15">
      <c r="B378" s="16">
        <v>5</v>
      </c>
      <c r="C378" s="23"/>
      <c r="D378" s="48"/>
      <c r="E378" s="48"/>
      <c r="F378" s="129"/>
      <c r="G378" s="20"/>
      <c r="H378" s="20">
        <v>1</v>
      </c>
      <c r="I378" s="126">
        <f t="shared" si="22"/>
        <v>0</v>
      </c>
      <c r="J378" s="38">
        <f t="shared" si="21"/>
        <v>0</v>
      </c>
      <c r="K378" s="80"/>
      <c r="L378" s="82"/>
    </row>
    <row r="379" spans="2:15" s="1" customFormat="1" ht="12.95" customHeight="1" x14ac:dyDescent="0.15">
      <c r="B379" s="16">
        <v>6</v>
      </c>
      <c r="C379" s="23"/>
      <c r="D379" s="48"/>
      <c r="E379" s="48"/>
      <c r="F379" s="129"/>
      <c r="G379" s="20"/>
      <c r="H379" s="20">
        <v>1</v>
      </c>
      <c r="I379" s="126">
        <f t="shared" si="22"/>
        <v>0</v>
      </c>
      <c r="J379" s="38">
        <f>(F379*G379*H379)/$C$32</f>
        <v>0</v>
      </c>
      <c r="K379" s="80"/>
      <c r="L379" s="82"/>
    </row>
    <row r="380" spans="2:15" s="1" customFormat="1" ht="12.95" customHeight="1" x14ac:dyDescent="0.15">
      <c r="B380" s="16">
        <v>7</v>
      </c>
      <c r="C380" s="23"/>
      <c r="D380" s="48"/>
      <c r="E380" s="48"/>
      <c r="F380" s="129"/>
      <c r="G380" s="20"/>
      <c r="H380" s="20">
        <v>1</v>
      </c>
      <c r="I380" s="126">
        <f t="shared" si="22"/>
        <v>0</v>
      </c>
      <c r="J380" s="38">
        <f>(F380*G380*H380)/$C$32</f>
        <v>0</v>
      </c>
      <c r="K380" s="80"/>
      <c r="L380" s="82"/>
    </row>
    <row r="381" spans="2:15" s="1" customFormat="1" ht="12.95" customHeight="1" x14ac:dyDescent="0.15">
      <c r="B381" s="16">
        <v>8</v>
      </c>
      <c r="C381" s="23"/>
      <c r="D381" s="48"/>
      <c r="E381" s="48"/>
      <c r="F381" s="129"/>
      <c r="G381" s="20"/>
      <c r="H381" s="20">
        <v>1</v>
      </c>
      <c r="I381" s="126">
        <f t="shared" si="22"/>
        <v>0</v>
      </c>
      <c r="J381" s="38">
        <f t="shared" ref="J381:J416" si="23">(F381*G381*H381)/$C$32</f>
        <v>0</v>
      </c>
      <c r="K381" s="80"/>
      <c r="L381" s="82"/>
      <c r="M381" s="39"/>
      <c r="N381" s="40"/>
      <c r="O381" s="40"/>
    </row>
    <row r="382" spans="2:15" s="1" customFormat="1" ht="12.95" customHeight="1" x14ac:dyDescent="0.15">
      <c r="B382" s="16">
        <v>9</v>
      </c>
      <c r="C382" s="23"/>
      <c r="D382" s="48"/>
      <c r="E382" s="48"/>
      <c r="F382" s="129"/>
      <c r="G382" s="20"/>
      <c r="H382" s="20">
        <v>1</v>
      </c>
      <c r="I382" s="126">
        <f t="shared" si="22"/>
        <v>0</v>
      </c>
      <c r="J382" s="38">
        <f t="shared" si="23"/>
        <v>0</v>
      </c>
      <c r="K382" s="80"/>
      <c r="L382" s="82"/>
    </row>
    <row r="383" spans="2:15" s="1" customFormat="1" ht="12.95" customHeight="1" x14ac:dyDescent="0.15">
      <c r="B383" s="16">
        <v>10</v>
      </c>
      <c r="C383" s="23"/>
      <c r="D383" s="48"/>
      <c r="E383" s="48"/>
      <c r="F383" s="129"/>
      <c r="G383" s="20"/>
      <c r="H383" s="20">
        <v>1</v>
      </c>
      <c r="I383" s="126">
        <f t="shared" si="22"/>
        <v>0</v>
      </c>
      <c r="J383" s="38">
        <f t="shared" si="23"/>
        <v>0</v>
      </c>
      <c r="K383" s="80"/>
      <c r="L383" s="82"/>
    </row>
    <row r="384" spans="2:15" s="1" customFormat="1" ht="12.95" customHeight="1" x14ac:dyDescent="0.15">
      <c r="B384" s="16">
        <v>11</v>
      </c>
      <c r="C384" s="23"/>
      <c r="D384" s="48"/>
      <c r="E384" s="48"/>
      <c r="F384" s="130"/>
      <c r="G384" s="20"/>
      <c r="H384" s="20">
        <v>1</v>
      </c>
      <c r="I384" s="126">
        <f t="shared" si="22"/>
        <v>0</v>
      </c>
      <c r="J384" s="38">
        <f t="shared" si="23"/>
        <v>0</v>
      </c>
      <c r="K384" s="80"/>
      <c r="L384" s="82"/>
    </row>
    <row r="385" spans="2:20" s="1" customFormat="1" ht="12.95" customHeight="1" x14ac:dyDescent="0.15">
      <c r="B385" s="16">
        <v>12</v>
      </c>
      <c r="C385" s="23"/>
      <c r="D385" s="48"/>
      <c r="E385" s="48"/>
      <c r="F385" s="129"/>
      <c r="G385" s="20"/>
      <c r="H385" s="20">
        <v>1</v>
      </c>
      <c r="I385" s="126">
        <f t="shared" si="22"/>
        <v>0</v>
      </c>
      <c r="J385" s="38">
        <f t="shared" si="23"/>
        <v>0</v>
      </c>
      <c r="K385" s="80"/>
      <c r="L385" s="82"/>
    </row>
    <row r="386" spans="2:20" s="1" customFormat="1" ht="12.95" customHeight="1" x14ac:dyDescent="0.15">
      <c r="B386" s="16">
        <v>13</v>
      </c>
      <c r="C386" s="23"/>
      <c r="D386" s="48"/>
      <c r="E386" s="48"/>
      <c r="F386" s="129"/>
      <c r="G386" s="20"/>
      <c r="H386" s="20">
        <v>1</v>
      </c>
      <c r="I386" s="126">
        <f t="shared" si="22"/>
        <v>0</v>
      </c>
      <c r="J386" s="38">
        <f t="shared" si="23"/>
        <v>0</v>
      </c>
      <c r="K386" s="80"/>
      <c r="L386" s="82"/>
    </row>
    <row r="387" spans="2:20" s="1" customFormat="1" ht="12.95" customHeight="1" x14ac:dyDescent="0.15">
      <c r="B387" s="16">
        <v>14</v>
      </c>
      <c r="C387" s="23"/>
      <c r="D387" s="48"/>
      <c r="E387" s="48"/>
      <c r="F387" s="129"/>
      <c r="G387" s="20"/>
      <c r="H387" s="20">
        <v>1</v>
      </c>
      <c r="I387" s="126">
        <f t="shared" si="22"/>
        <v>0</v>
      </c>
      <c r="J387" s="38">
        <f t="shared" si="23"/>
        <v>0</v>
      </c>
      <c r="K387" s="80"/>
      <c r="L387" s="82"/>
    </row>
    <row r="388" spans="2:20" s="1" customFormat="1" ht="12.95" customHeight="1" x14ac:dyDescent="0.15">
      <c r="B388" s="16">
        <v>15</v>
      </c>
      <c r="C388" s="23"/>
      <c r="D388" s="48"/>
      <c r="E388" s="48"/>
      <c r="F388" s="129"/>
      <c r="G388" s="20"/>
      <c r="H388" s="20">
        <v>1</v>
      </c>
      <c r="I388" s="126">
        <f t="shared" si="22"/>
        <v>0</v>
      </c>
      <c r="J388" s="38">
        <f t="shared" si="23"/>
        <v>0</v>
      </c>
      <c r="K388" s="80"/>
      <c r="L388" s="82"/>
    </row>
    <row r="389" spans="2:20" s="1" customFormat="1" ht="12.95" customHeight="1" x14ac:dyDescent="0.15">
      <c r="B389" s="16">
        <v>16</v>
      </c>
      <c r="C389" s="23"/>
      <c r="D389" s="48"/>
      <c r="E389" s="48"/>
      <c r="F389" s="129"/>
      <c r="G389" s="20"/>
      <c r="H389" s="20">
        <v>1</v>
      </c>
      <c r="I389" s="126">
        <f t="shared" si="22"/>
        <v>0</v>
      </c>
      <c r="J389" s="38">
        <f t="shared" si="23"/>
        <v>0</v>
      </c>
      <c r="K389" s="80"/>
      <c r="L389" s="82"/>
    </row>
    <row r="390" spans="2:20" s="1" customFormat="1" ht="12.95" customHeight="1" x14ac:dyDescent="0.2">
      <c r="B390" s="16">
        <v>17</v>
      </c>
      <c r="C390" s="410"/>
      <c r="D390" s="410"/>
      <c r="E390" s="410"/>
      <c r="F390" s="129"/>
      <c r="G390" s="20"/>
      <c r="H390" s="20">
        <v>1</v>
      </c>
      <c r="I390" s="126">
        <f t="shared" si="22"/>
        <v>0</v>
      </c>
      <c r="J390" s="21">
        <f t="shared" si="23"/>
        <v>0</v>
      </c>
      <c r="K390" s="80"/>
      <c r="L390" s="82"/>
      <c r="M390" s="10"/>
      <c r="N390" s="10"/>
      <c r="O390" s="10"/>
      <c r="P390" s="10"/>
      <c r="Q390" s="43"/>
      <c r="R390" s="10"/>
      <c r="T390" s="10"/>
    </row>
    <row r="391" spans="2:20" s="1" customFormat="1" ht="12.95" customHeight="1" x14ac:dyDescent="0.15">
      <c r="B391" s="16">
        <v>18</v>
      </c>
      <c r="C391" s="60"/>
      <c r="D391" s="49"/>
      <c r="E391" s="49"/>
      <c r="F391" s="129"/>
      <c r="G391" s="20"/>
      <c r="H391" s="20">
        <v>1</v>
      </c>
      <c r="I391" s="126">
        <f>J391*$C$32</f>
        <v>0</v>
      </c>
      <c r="J391" s="21">
        <f t="shared" si="23"/>
        <v>0</v>
      </c>
      <c r="K391" s="80"/>
      <c r="L391" s="82"/>
      <c r="M391" s="10"/>
      <c r="N391" s="10"/>
      <c r="O391" s="10"/>
      <c r="P391" s="10"/>
      <c r="Q391" s="43"/>
      <c r="R391" s="10"/>
      <c r="T391" s="10"/>
    </row>
    <row r="392" spans="2:20" s="1" customFormat="1" ht="12.95" customHeight="1" x14ac:dyDescent="0.15">
      <c r="B392" s="16">
        <v>19</v>
      </c>
      <c r="C392" s="59"/>
      <c r="D392" s="49"/>
      <c r="E392" s="49"/>
      <c r="F392" s="129"/>
      <c r="G392" s="20"/>
      <c r="H392" s="20">
        <v>1</v>
      </c>
      <c r="I392" s="126">
        <f t="shared" ref="I392:I406" si="24">J392*$C$32</f>
        <v>0</v>
      </c>
      <c r="J392" s="21">
        <f t="shared" si="23"/>
        <v>0</v>
      </c>
      <c r="K392" s="80"/>
      <c r="L392" s="82"/>
      <c r="M392" s="10"/>
      <c r="N392" s="10"/>
      <c r="O392" s="10"/>
      <c r="P392" s="10"/>
      <c r="Q392" s="43"/>
      <c r="R392" s="10"/>
      <c r="T392" s="10"/>
    </row>
    <row r="393" spans="2:20" s="1" customFormat="1" ht="12.95" customHeight="1" x14ac:dyDescent="0.15">
      <c r="B393" s="16">
        <v>20</v>
      </c>
      <c r="C393" s="70"/>
      <c r="D393" s="49"/>
      <c r="E393" s="49"/>
      <c r="F393" s="129"/>
      <c r="G393" s="20"/>
      <c r="H393" s="20">
        <v>1</v>
      </c>
      <c r="I393" s="126">
        <f t="shared" si="24"/>
        <v>0</v>
      </c>
      <c r="J393" s="21">
        <f t="shared" si="23"/>
        <v>0</v>
      </c>
      <c r="K393" s="80"/>
      <c r="L393" s="82"/>
      <c r="M393" s="10"/>
      <c r="N393" s="10"/>
      <c r="O393" s="10"/>
      <c r="P393" s="10"/>
      <c r="Q393" s="43"/>
      <c r="R393" s="10"/>
      <c r="T393" s="10"/>
    </row>
    <row r="394" spans="2:20" s="1" customFormat="1" ht="12.95" customHeight="1" x14ac:dyDescent="0.15">
      <c r="B394" s="16"/>
      <c r="C394" s="70"/>
      <c r="D394" s="49"/>
      <c r="E394" s="49"/>
      <c r="F394" s="129"/>
      <c r="G394" s="20"/>
      <c r="H394" s="20"/>
      <c r="I394" s="126"/>
      <c r="J394" s="21"/>
      <c r="K394" s="80"/>
      <c r="L394" s="82"/>
      <c r="M394" s="10"/>
      <c r="N394" s="10"/>
      <c r="O394" s="10"/>
      <c r="P394" s="10"/>
      <c r="Q394" s="43"/>
      <c r="R394" s="10"/>
      <c r="T394" s="10"/>
    </row>
    <row r="395" spans="2:20" s="1" customFormat="1" ht="12.95" customHeight="1" x14ac:dyDescent="0.15">
      <c r="B395" s="16"/>
      <c r="C395" s="70"/>
      <c r="D395" s="49"/>
      <c r="E395" s="49"/>
      <c r="F395" s="129"/>
      <c r="G395" s="20"/>
      <c r="H395" s="20"/>
      <c r="I395" s="126"/>
      <c r="J395" s="21"/>
      <c r="K395" s="80"/>
      <c r="L395" s="82"/>
      <c r="M395" s="10"/>
      <c r="N395" s="10"/>
      <c r="O395" s="10"/>
      <c r="P395" s="10"/>
      <c r="Q395" s="43"/>
      <c r="R395" s="10"/>
      <c r="T395" s="10"/>
    </row>
    <row r="396" spans="2:20" s="1" customFormat="1" ht="12.95" customHeight="1" x14ac:dyDescent="0.15">
      <c r="B396" s="16"/>
      <c r="C396" s="70" t="s">
        <v>159</v>
      </c>
      <c r="D396" s="49"/>
      <c r="E396" s="49"/>
      <c r="F396" s="129"/>
      <c r="G396" s="20"/>
      <c r="H396" s="20"/>
      <c r="I396" s="126"/>
      <c r="J396" s="21"/>
      <c r="K396" s="80"/>
      <c r="L396" s="82"/>
      <c r="M396" s="10"/>
      <c r="N396" s="10"/>
      <c r="O396" s="10"/>
      <c r="P396" s="10"/>
      <c r="Q396" s="43"/>
      <c r="R396" s="10"/>
      <c r="T396" s="10"/>
    </row>
    <row r="397" spans="2:20" s="1" customFormat="1" ht="12.95" customHeight="1" x14ac:dyDescent="0.15">
      <c r="B397" s="16">
        <v>1</v>
      </c>
      <c r="C397" s="61"/>
      <c r="D397" s="49"/>
      <c r="E397" s="49"/>
      <c r="F397" s="129"/>
      <c r="G397" s="20"/>
      <c r="H397" s="20">
        <v>1</v>
      </c>
      <c r="I397" s="126">
        <f t="shared" si="24"/>
        <v>0</v>
      </c>
      <c r="J397" s="21">
        <f t="shared" si="23"/>
        <v>0</v>
      </c>
      <c r="K397" s="80"/>
      <c r="L397" s="82"/>
      <c r="M397" s="10"/>
      <c r="N397" s="10"/>
      <c r="O397" s="10"/>
      <c r="P397" s="10"/>
      <c r="Q397" s="43"/>
      <c r="R397" s="10"/>
      <c r="T397" s="10"/>
    </row>
    <row r="398" spans="2:20" s="1" customFormat="1" ht="14.25" x14ac:dyDescent="0.15">
      <c r="B398" s="16">
        <v>2</v>
      </c>
      <c r="C398" s="61"/>
      <c r="D398" s="49"/>
      <c r="E398" s="49"/>
      <c r="F398" s="129"/>
      <c r="G398" s="20"/>
      <c r="H398" s="20">
        <v>1</v>
      </c>
      <c r="I398" s="126">
        <f t="shared" si="24"/>
        <v>0</v>
      </c>
      <c r="J398" s="21">
        <f t="shared" si="23"/>
        <v>0</v>
      </c>
      <c r="K398" s="80"/>
      <c r="L398" s="82"/>
    </row>
    <row r="399" spans="2:20" s="1" customFormat="1" ht="14.25" x14ac:dyDescent="0.15">
      <c r="B399" s="16">
        <v>3</v>
      </c>
      <c r="C399" s="61"/>
      <c r="D399" s="49"/>
      <c r="E399" s="49"/>
      <c r="F399" s="129"/>
      <c r="G399" s="20"/>
      <c r="H399" s="20">
        <v>1</v>
      </c>
      <c r="I399" s="126">
        <f t="shared" si="24"/>
        <v>0</v>
      </c>
      <c r="J399" s="21">
        <f t="shared" si="23"/>
        <v>0</v>
      </c>
      <c r="K399" s="80"/>
      <c r="L399" s="82"/>
    </row>
    <row r="400" spans="2:20" s="1" customFormat="1" ht="14.25" x14ac:dyDescent="0.15">
      <c r="B400" s="16">
        <v>4</v>
      </c>
      <c r="C400" s="61"/>
      <c r="D400" s="49"/>
      <c r="E400" s="49"/>
      <c r="F400" s="129"/>
      <c r="G400" s="20"/>
      <c r="H400" s="20">
        <v>1</v>
      </c>
      <c r="I400" s="126">
        <f t="shared" si="24"/>
        <v>0</v>
      </c>
      <c r="J400" s="21">
        <f t="shared" si="23"/>
        <v>0</v>
      </c>
      <c r="K400" s="80"/>
      <c r="L400" s="82"/>
    </row>
    <row r="401" spans="2:12" s="1" customFormat="1" ht="16.5" x14ac:dyDescent="0.2">
      <c r="B401" s="16">
        <v>5</v>
      </c>
      <c r="C401" s="71"/>
      <c r="D401" s="49"/>
      <c r="E401" s="49"/>
      <c r="F401" s="129"/>
      <c r="G401" s="20"/>
      <c r="H401" s="20">
        <v>1</v>
      </c>
      <c r="I401" s="126">
        <f t="shared" si="24"/>
        <v>0</v>
      </c>
      <c r="J401" s="21">
        <f t="shared" si="23"/>
        <v>0</v>
      </c>
      <c r="K401" s="80"/>
      <c r="L401" s="82"/>
    </row>
    <row r="402" spans="2:12" s="1" customFormat="1" ht="14.25" x14ac:dyDescent="0.15">
      <c r="B402" s="16">
        <v>6</v>
      </c>
      <c r="C402" s="61"/>
      <c r="D402" s="49"/>
      <c r="E402" s="49"/>
      <c r="F402" s="129"/>
      <c r="G402" s="20"/>
      <c r="H402" s="20">
        <v>1</v>
      </c>
      <c r="I402" s="126">
        <f t="shared" si="24"/>
        <v>0</v>
      </c>
      <c r="J402" s="21">
        <f t="shared" si="23"/>
        <v>0</v>
      </c>
      <c r="K402" s="80"/>
      <c r="L402" s="82"/>
    </row>
    <row r="403" spans="2:12" s="1" customFormat="1" ht="14.25" x14ac:dyDescent="0.15">
      <c r="B403" s="16">
        <v>7</v>
      </c>
      <c r="C403" s="61"/>
      <c r="D403" s="49"/>
      <c r="E403" s="49"/>
      <c r="F403" s="129"/>
      <c r="G403" s="20"/>
      <c r="H403" s="20">
        <v>1</v>
      </c>
      <c r="I403" s="126">
        <f t="shared" si="24"/>
        <v>0</v>
      </c>
      <c r="J403" s="21">
        <f t="shared" si="23"/>
        <v>0</v>
      </c>
      <c r="K403" s="80"/>
      <c r="L403" s="82"/>
    </row>
    <row r="404" spans="2:12" s="1" customFormat="1" ht="14.25" x14ac:dyDescent="0.15">
      <c r="B404" s="16">
        <v>8</v>
      </c>
      <c r="C404" s="61"/>
      <c r="D404" s="49"/>
      <c r="E404" s="49"/>
      <c r="F404" s="129"/>
      <c r="G404" s="20"/>
      <c r="H404" s="20">
        <v>1</v>
      </c>
      <c r="I404" s="126">
        <f t="shared" si="24"/>
        <v>0</v>
      </c>
      <c r="J404" s="21">
        <f t="shared" si="23"/>
        <v>0</v>
      </c>
      <c r="K404" s="80"/>
      <c r="L404" s="82"/>
    </row>
    <row r="405" spans="2:12" s="1" customFormat="1" ht="14.25" x14ac:dyDescent="0.15">
      <c r="B405" s="16">
        <v>9</v>
      </c>
      <c r="C405" s="61"/>
      <c r="D405" s="49"/>
      <c r="E405" s="49"/>
      <c r="F405" s="129"/>
      <c r="G405" s="20"/>
      <c r="H405" s="20">
        <v>1</v>
      </c>
      <c r="I405" s="126">
        <f t="shared" si="24"/>
        <v>0</v>
      </c>
      <c r="J405" s="21">
        <f t="shared" si="23"/>
        <v>0</v>
      </c>
      <c r="K405" s="80"/>
      <c r="L405" s="82"/>
    </row>
    <row r="406" spans="2:12" s="1" customFormat="1" ht="14.25" x14ac:dyDescent="0.15">
      <c r="B406" s="16">
        <v>10</v>
      </c>
      <c r="C406" s="61"/>
      <c r="D406" s="49"/>
      <c r="E406" s="49"/>
      <c r="F406" s="129"/>
      <c r="G406" s="20"/>
      <c r="H406" s="20">
        <v>1</v>
      </c>
      <c r="I406" s="126">
        <f t="shared" si="24"/>
        <v>0</v>
      </c>
      <c r="J406" s="21">
        <f t="shared" si="23"/>
        <v>0</v>
      </c>
      <c r="K406" s="80"/>
      <c r="L406" s="82"/>
    </row>
    <row r="407" spans="2:12" s="1" customFormat="1" ht="14.25" x14ac:dyDescent="0.15">
      <c r="B407" s="16">
        <v>11</v>
      </c>
      <c r="C407" s="61"/>
      <c r="D407" s="49"/>
      <c r="E407" s="49"/>
      <c r="F407" s="129"/>
      <c r="G407" s="20"/>
      <c r="H407" s="20">
        <v>1</v>
      </c>
      <c r="I407" s="126">
        <f>J407*$C$32</f>
        <v>0</v>
      </c>
      <c r="J407" s="21">
        <f t="shared" si="23"/>
        <v>0</v>
      </c>
      <c r="K407" s="80"/>
      <c r="L407" s="82"/>
    </row>
    <row r="408" spans="2:12" s="1" customFormat="1" ht="14.25" x14ac:dyDescent="0.15">
      <c r="B408" s="16">
        <v>12</v>
      </c>
      <c r="C408" s="46"/>
      <c r="D408" s="18"/>
      <c r="E408" s="18"/>
      <c r="F408" s="129"/>
      <c r="G408" s="20"/>
      <c r="H408" s="20">
        <v>1</v>
      </c>
      <c r="I408" s="126">
        <f t="shared" ref="I408:I416" si="25">J408*$C$32</f>
        <v>0</v>
      </c>
      <c r="J408" s="21">
        <f t="shared" si="23"/>
        <v>0</v>
      </c>
      <c r="K408" s="80"/>
      <c r="L408" s="82"/>
    </row>
    <row r="409" spans="2:12" s="1" customFormat="1" ht="14.25" x14ac:dyDescent="0.15">
      <c r="B409" s="16">
        <v>13</v>
      </c>
      <c r="C409" s="46"/>
      <c r="D409" s="18"/>
      <c r="E409" s="18"/>
      <c r="F409" s="129"/>
      <c r="G409" s="20"/>
      <c r="H409" s="20">
        <v>1</v>
      </c>
      <c r="I409" s="126">
        <f t="shared" si="25"/>
        <v>0</v>
      </c>
      <c r="J409" s="21">
        <f t="shared" si="23"/>
        <v>0</v>
      </c>
      <c r="K409" s="80"/>
      <c r="L409" s="82"/>
    </row>
    <row r="410" spans="2:12" s="1" customFormat="1" ht="14.25" x14ac:dyDescent="0.15">
      <c r="B410" s="16">
        <v>14</v>
      </c>
      <c r="C410" s="46"/>
      <c r="D410" s="18"/>
      <c r="E410" s="18"/>
      <c r="F410" s="129"/>
      <c r="G410" s="20"/>
      <c r="H410" s="20">
        <v>1</v>
      </c>
      <c r="I410" s="126">
        <f t="shared" si="25"/>
        <v>0</v>
      </c>
      <c r="J410" s="21">
        <f t="shared" si="23"/>
        <v>0</v>
      </c>
      <c r="K410" s="80"/>
      <c r="L410" s="82"/>
    </row>
    <row r="411" spans="2:12" s="1" customFormat="1" ht="14.25" x14ac:dyDescent="0.15">
      <c r="B411" s="16">
        <v>15</v>
      </c>
      <c r="C411" s="46"/>
      <c r="D411" s="18"/>
      <c r="E411" s="18"/>
      <c r="F411" s="129"/>
      <c r="G411" s="20"/>
      <c r="H411" s="20">
        <v>1</v>
      </c>
      <c r="I411" s="126">
        <f t="shared" si="25"/>
        <v>0</v>
      </c>
      <c r="J411" s="21">
        <f t="shared" si="23"/>
        <v>0</v>
      </c>
      <c r="K411" s="80"/>
      <c r="L411" s="82"/>
    </row>
    <row r="412" spans="2:12" s="1" customFormat="1" ht="14.25" x14ac:dyDescent="0.15">
      <c r="B412" s="16">
        <v>16</v>
      </c>
      <c r="C412" s="46"/>
      <c r="D412" s="18"/>
      <c r="E412" s="18"/>
      <c r="F412" s="129"/>
      <c r="G412" s="20"/>
      <c r="H412" s="20">
        <v>1</v>
      </c>
      <c r="I412" s="126">
        <f t="shared" si="25"/>
        <v>0</v>
      </c>
      <c r="J412" s="21">
        <f t="shared" si="23"/>
        <v>0</v>
      </c>
      <c r="K412" s="80"/>
      <c r="L412" s="82"/>
    </row>
    <row r="413" spans="2:12" s="1" customFormat="1" ht="14.25" x14ac:dyDescent="0.15">
      <c r="B413" s="16">
        <v>17</v>
      </c>
      <c r="C413" s="46"/>
      <c r="D413" s="18"/>
      <c r="E413" s="18"/>
      <c r="F413" s="129"/>
      <c r="G413" s="20"/>
      <c r="H413" s="20">
        <v>1</v>
      </c>
      <c r="I413" s="126">
        <f t="shared" si="25"/>
        <v>0</v>
      </c>
      <c r="J413" s="78">
        <f t="shared" si="23"/>
        <v>0</v>
      </c>
      <c r="K413" s="111"/>
      <c r="L413" s="119"/>
    </row>
    <row r="414" spans="2:12" s="1" customFormat="1" ht="14.25" x14ac:dyDescent="0.15">
      <c r="B414" s="16">
        <v>18</v>
      </c>
      <c r="C414" s="46"/>
      <c r="D414" s="18"/>
      <c r="E414" s="18"/>
      <c r="F414" s="129"/>
      <c r="G414" s="20"/>
      <c r="H414" s="20">
        <v>1</v>
      </c>
      <c r="I414" s="254">
        <f t="shared" si="25"/>
        <v>0</v>
      </c>
      <c r="J414" s="94">
        <f t="shared" si="23"/>
        <v>0</v>
      </c>
      <c r="K414" s="82"/>
      <c r="L414" s="82"/>
    </row>
    <row r="415" spans="2:12" s="1" customFormat="1" ht="14.25" x14ac:dyDescent="0.15">
      <c r="B415" s="16">
        <v>19</v>
      </c>
      <c r="C415" s="46"/>
      <c r="D415" s="18"/>
      <c r="E415" s="18"/>
      <c r="F415" s="129"/>
      <c r="G415" s="20"/>
      <c r="H415" s="20">
        <v>1</v>
      </c>
      <c r="I415" s="254">
        <f t="shared" si="25"/>
        <v>0</v>
      </c>
      <c r="J415" s="94">
        <f t="shared" si="23"/>
        <v>0</v>
      </c>
      <c r="K415" s="82"/>
      <c r="L415" s="82"/>
    </row>
    <row r="416" spans="2:12" s="1" customFormat="1" ht="14.25" x14ac:dyDescent="0.15">
      <c r="B416" s="16">
        <v>20</v>
      </c>
      <c r="C416" s="46"/>
      <c r="D416" s="18"/>
      <c r="E416" s="18"/>
      <c r="F416" s="129"/>
      <c r="G416" s="20"/>
      <c r="H416" s="20">
        <v>1</v>
      </c>
      <c r="I416" s="254">
        <f t="shared" si="25"/>
        <v>0</v>
      </c>
      <c r="J416" s="94">
        <f t="shared" si="23"/>
        <v>0</v>
      </c>
      <c r="K416" s="82"/>
      <c r="L416" s="82"/>
    </row>
    <row r="417" spans="2:12" s="1" customFormat="1" ht="14.25" x14ac:dyDescent="0.15">
      <c r="B417" s="83"/>
      <c r="C417" s="174"/>
      <c r="D417" s="75"/>
      <c r="E417" s="75"/>
      <c r="F417" s="132"/>
      <c r="G417" s="77"/>
      <c r="H417" s="77"/>
      <c r="I417" s="255"/>
      <c r="J417" s="94"/>
      <c r="K417" s="82"/>
      <c r="L417" s="82"/>
    </row>
    <row r="418" spans="2:12" s="1" customFormat="1" ht="12.75" x14ac:dyDescent="0.15">
      <c r="B418" s="82"/>
      <c r="C418" s="102"/>
      <c r="D418" s="103"/>
      <c r="E418" s="102"/>
      <c r="F418" s="128">
        <f>SUM(F358:F417)</f>
        <v>0</v>
      </c>
      <c r="G418" s="104"/>
      <c r="H418" s="105"/>
      <c r="I418" s="256">
        <f>SUM(I359:I417)</f>
        <v>0</v>
      </c>
      <c r="J418" s="257">
        <f>SUM(J358:J417)</f>
        <v>0</v>
      </c>
    </row>
    <row r="419" spans="2:12" s="67" customFormat="1" ht="12.75" x14ac:dyDescent="0.15">
      <c r="B419" s="116"/>
      <c r="C419" s="114"/>
      <c r="D419" s="114"/>
      <c r="E419" s="114" t="s">
        <v>147</v>
      </c>
      <c r="F419" s="162">
        <f>100/115*F418</f>
        <v>0</v>
      </c>
      <c r="G419" s="114"/>
      <c r="H419" s="114" t="s">
        <v>147</v>
      </c>
      <c r="I419" s="264">
        <f>100/115*I418</f>
        <v>0</v>
      </c>
      <c r="J419" s="114"/>
    </row>
    <row r="420" spans="2:12" s="1" customFormat="1" ht="12.75" x14ac:dyDescent="0.15"/>
    <row r="421" spans="2:12" s="1" customFormat="1" ht="12.75" x14ac:dyDescent="0.15"/>
    <row r="422" spans="2:12" s="1" customFormat="1" ht="12.75" x14ac:dyDescent="0.15"/>
    <row r="423" spans="2:12" s="1" customFormat="1" ht="12.75" x14ac:dyDescent="0.15"/>
    <row r="424" spans="2:12" s="247" customFormat="1" ht="32.25" x14ac:dyDescent="0.4">
      <c r="B424" s="248"/>
      <c r="C424" s="380" t="s">
        <v>112</v>
      </c>
      <c r="D424" s="380"/>
      <c r="E424" s="428" t="s">
        <v>101</v>
      </c>
      <c r="F424" s="428"/>
      <c r="G424" s="428"/>
      <c r="H424" s="428"/>
      <c r="I424" s="428"/>
      <c r="J424" s="382">
        <v>2026</v>
      </c>
      <c r="K424" s="382"/>
      <c r="L424" s="382"/>
    </row>
    <row r="425" spans="2:12" s="1" customFormat="1" ht="22.5" x14ac:dyDescent="0.15">
      <c r="B425" s="82"/>
      <c r="C425" s="102" t="s">
        <v>114</v>
      </c>
      <c r="D425" s="388" t="s">
        <v>115</v>
      </c>
      <c r="E425" s="388"/>
      <c r="F425" s="102" t="s">
        <v>116</v>
      </c>
      <c r="G425" s="102" t="s">
        <v>117</v>
      </c>
      <c r="H425" s="102" t="s">
        <v>118</v>
      </c>
      <c r="I425" s="102" t="s">
        <v>119</v>
      </c>
      <c r="J425" s="102" t="s">
        <v>120</v>
      </c>
      <c r="K425" s="82"/>
      <c r="L425" s="82"/>
    </row>
    <row r="426" spans="2:12" s="1" customFormat="1" ht="12.75" x14ac:dyDescent="0.15">
      <c r="B426" s="82"/>
      <c r="C426" s="66">
        <f>C356</f>
        <v>250</v>
      </c>
      <c r="D426" s="389">
        <v>21</v>
      </c>
      <c r="E426" s="389"/>
      <c r="F426" s="13">
        <f>F356</f>
        <v>0.85</v>
      </c>
      <c r="G426" s="14">
        <f>G356</f>
        <v>8</v>
      </c>
      <c r="H426" s="142">
        <f>D426*G426*F426</f>
        <v>142.79999999999998</v>
      </c>
      <c r="I426" s="66">
        <f>I488</f>
        <v>0</v>
      </c>
      <c r="J426" s="143">
        <f>H426-J488</f>
        <v>142.79999999999998</v>
      </c>
      <c r="K426" s="82"/>
      <c r="L426" s="82"/>
    </row>
    <row r="427" spans="2:12" s="1" customFormat="1" ht="33.75" x14ac:dyDescent="0.15">
      <c r="B427" s="84"/>
      <c r="C427" s="136" t="s">
        <v>121</v>
      </c>
      <c r="D427" s="414" t="s">
        <v>122</v>
      </c>
      <c r="E427" s="414"/>
      <c r="F427" s="137" t="s">
        <v>123</v>
      </c>
      <c r="G427" s="138" t="s">
        <v>124</v>
      </c>
      <c r="H427" s="139" t="s">
        <v>125</v>
      </c>
      <c r="I427" s="140" t="s">
        <v>126</v>
      </c>
      <c r="J427" s="138" t="s">
        <v>127</v>
      </c>
      <c r="K427" s="122" t="s">
        <v>128</v>
      </c>
      <c r="L427" s="123" t="s">
        <v>129</v>
      </c>
    </row>
    <row r="428" spans="2:12" s="1" customFormat="1" ht="12.75" x14ac:dyDescent="0.15">
      <c r="B428" s="16"/>
      <c r="C428" s="17"/>
      <c r="D428" s="405"/>
      <c r="E428" s="405"/>
      <c r="F428" s="36"/>
      <c r="G428" s="20"/>
      <c r="H428" s="20"/>
      <c r="I428" s="126"/>
      <c r="J428" s="21"/>
      <c r="K428" s="80"/>
      <c r="L428" s="82"/>
    </row>
    <row r="429" spans="2:12" s="1" customFormat="1" ht="12.95" customHeight="1" x14ac:dyDescent="0.15">
      <c r="B429" s="16"/>
      <c r="C429" s="411" t="s">
        <v>130</v>
      </c>
      <c r="D429" s="411"/>
      <c r="E429" s="411"/>
      <c r="F429" s="129"/>
      <c r="G429" s="20"/>
      <c r="H429" s="20"/>
      <c r="I429" s="126"/>
      <c r="J429" s="21"/>
      <c r="K429" s="80"/>
      <c r="L429" s="82"/>
    </row>
    <row r="430" spans="2:12" s="1" customFormat="1" ht="12.75" customHeight="1" x14ac:dyDescent="0.15">
      <c r="B430" s="16"/>
      <c r="C430" s="37" t="s">
        <v>149</v>
      </c>
      <c r="D430" s="24"/>
      <c r="E430" s="24"/>
      <c r="F430" s="129"/>
      <c r="G430" s="20"/>
      <c r="H430" s="20"/>
      <c r="I430" s="126"/>
      <c r="J430" s="38"/>
      <c r="K430" s="80"/>
      <c r="L430" s="82"/>
    </row>
    <row r="431" spans="2:12" s="1" customFormat="1" ht="12.75" x14ac:dyDescent="0.15">
      <c r="B431" s="16">
        <v>1</v>
      </c>
      <c r="C431" s="23"/>
      <c r="D431" s="24"/>
      <c r="E431" s="24"/>
      <c r="F431" s="129"/>
      <c r="G431" s="20"/>
      <c r="H431" s="20">
        <v>1</v>
      </c>
      <c r="I431" s="126">
        <f t="shared" ref="I431:I486" si="26">J431*$C$32</f>
        <v>0</v>
      </c>
      <c r="J431" s="38">
        <f t="shared" ref="J431:J450" si="27">(F431*G431*H431)/$C$32</f>
        <v>0</v>
      </c>
      <c r="K431" s="80"/>
      <c r="L431" s="82"/>
    </row>
    <row r="432" spans="2:12" s="1" customFormat="1" ht="12.75" customHeight="1" x14ac:dyDescent="0.15">
      <c r="B432" s="16">
        <v>2</v>
      </c>
      <c r="C432" s="23"/>
      <c r="D432" s="24"/>
      <c r="E432" s="24"/>
      <c r="F432" s="126"/>
      <c r="G432" s="20"/>
      <c r="H432" s="20">
        <v>1</v>
      </c>
      <c r="I432" s="126">
        <f t="shared" si="26"/>
        <v>0</v>
      </c>
      <c r="J432" s="38">
        <f t="shared" si="27"/>
        <v>0</v>
      </c>
      <c r="K432" s="80"/>
      <c r="L432" s="82"/>
    </row>
    <row r="433" spans="2:12" s="1" customFormat="1" ht="12.95" customHeight="1" x14ac:dyDescent="0.15">
      <c r="B433" s="16">
        <v>3</v>
      </c>
      <c r="C433" s="23"/>
      <c r="D433" s="25"/>
      <c r="E433" s="25"/>
      <c r="F433" s="129"/>
      <c r="G433" s="20"/>
      <c r="H433" s="20">
        <v>1</v>
      </c>
      <c r="I433" s="126">
        <f t="shared" si="26"/>
        <v>0</v>
      </c>
      <c r="J433" s="38">
        <f t="shared" si="27"/>
        <v>0</v>
      </c>
      <c r="K433" s="80"/>
      <c r="L433" s="82"/>
    </row>
    <row r="434" spans="2:12" s="1" customFormat="1" ht="12.95" customHeight="1" x14ac:dyDescent="0.15">
      <c r="B434" s="16">
        <v>4</v>
      </c>
      <c r="C434" s="23"/>
      <c r="D434" s="24"/>
      <c r="E434" s="24"/>
      <c r="F434" s="129"/>
      <c r="G434" s="20"/>
      <c r="H434" s="20">
        <v>1</v>
      </c>
      <c r="I434" s="126">
        <f t="shared" si="26"/>
        <v>0</v>
      </c>
      <c r="J434" s="38">
        <f t="shared" si="27"/>
        <v>0</v>
      </c>
      <c r="K434" s="80"/>
      <c r="L434" s="82"/>
    </row>
    <row r="435" spans="2:12" s="1" customFormat="1" ht="12.95" customHeight="1" x14ac:dyDescent="0.15">
      <c r="B435" s="16">
        <v>5</v>
      </c>
      <c r="C435" s="16"/>
      <c r="D435" s="18"/>
      <c r="E435" s="18"/>
      <c r="F435" s="129"/>
      <c r="G435" s="20"/>
      <c r="H435" s="20">
        <v>1</v>
      </c>
      <c r="I435" s="126">
        <f t="shared" si="26"/>
        <v>0</v>
      </c>
      <c r="J435" s="38">
        <f t="shared" si="27"/>
        <v>0</v>
      </c>
      <c r="K435" s="80"/>
      <c r="L435" s="82"/>
    </row>
    <row r="436" spans="2:12" s="1" customFormat="1" ht="12.95" customHeight="1" x14ac:dyDescent="0.15">
      <c r="B436" s="16">
        <v>6</v>
      </c>
      <c r="C436" s="17"/>
      <c r="D436" s="24"/>
      <c r="E436" s="24"/>
      <c r="F436" s="129"/>
      <c r="G436" s="20"/>
      <c r="H436" s="20">
        <v>1</v>
      </c>
      <c r="I436" s="126">
        <f t="shared" si="26"/>
        <v>0</v>
      </c>
      <c r="J436" s="38">
        <f t="shared" si="27"/>
        <v>0</v>
      </c>
      <c r="K436" s="80"/>
      <c r="L436" s="82"/>
    </row>
    <row r="437" spans="2:12" s="1" customFormat="1" ht="12.95" customHeight="1" x14ac:dyDescent="0.15">
      <c r="B437" s="16">
        <v>7</v>
      </c>
      <c r="C437" s="17"/>
      <c r="D437" s="24"/>
      <c r="E437" s="24"/>
      <c r="F437" s="129"/>
      <c r="G437" s="20"/>
      <c r="H437" s="20">
        <v>1</v>
      </c>
      <c r="I437" s="126">
        <f t="shared" si="26"/>
        <v>0</v>
      </c>
      <c r="J437" s="38">
        <f t="shared" si="27"/>
        <v>0</v>
      </c>
      <c r="K437" s="80"/>
      <c r="L437" s="82"/>
    </row>
    <row r="438" spans="2:12" s="1" customFormat="1" ht="12.95" customHeight="1" x14ac:dyDescent="0.15">
      <c r="B438" s="16">
        <v>8</v>
      </c>
      <c r="C438" s="17"/>
      <c r="D438" s="24"/>
      <c r="E438" s="24"/>
      <c r="F438" s="129"/>
      <c r="G438" s="20"/>
      <c r="H438" s="20">
        <v>1</v>
      </c>
      <c r="I438" s="126">
        <f t="shared" si="26"/>
        <v>0</v>
      </c>
      <c r="J438" s="38">
        <f t="shared" si="27"/>
        <v>0</v>
      </c>
      <c r="K438" s="80"/>
      <c r="L438" s="82"/>
    </row>
    <row r="439" spans="2:12" s="1" customFormat="1" ht="12.95" customHeight="1" x14ac:dyDescent="0.15">
      <c r="B439" s="16">
        <v>9</v>
      </c>
      <c r="C439" s="17"/>
      <c r="D439" s="24"/>
      <c r="E439" s="24"/>
      <c r="F439" s="129"/>
      <c r="G439" s="20"/>
      <c r="H439" s="20">
        <v>1</v>
      </c>
      <c r="I439" s="126">
        <f t="shared" si="26"/>
        <v>0</v>
      </c>
      <c r="J439" s="38">
        <f t="shared" si="27"/>
        <v>0</v>
      </c>
      <c r="K439" s="80"/>
      <c r="L439" s="82"/>
    </row>
    <row r="440" spans="2:12" s="1" customFormat="1" ht="12.95" customHeight="1" x14ac:dyDescent="0.15">
      <c r="B440" s="16">
        <v>10</v>
      </c>
      <c r="C440" s="17"/>
      <c r="D440" s="24"/>
      <c r="E440" s="24"/>
      <c r="F440" s="129"/>
      <c r="G440" s="20"/>
      <c r="H440" s="20">
        <v>1</v>
      </c>
      <c r="I440" s="126">
        <f t="shared" si="26"/>
        <v>0</v>
      </c>
      <c r="J440" s="38">
        <f t="shared" si="27"/>
        <v>0</v>
      </c>
      <c r="K440" s="80"/>
      <c r="L440" s="82"/>
    </row>
    <row r="441" spans="2:12" s="1" customFormat="1" ht="12.95" customHeight="1" x14ac:dyDescent="0.15">
      <c r="B441" s="16"/>
      <c r="C441" s="17"/>
      <c r="D441" s="24"/>
      <c r="E441" s="24"/>
      <c r="F441" s="129"/>
      <c r="G441" s="20"/>
      <c r="H441" s="20"/>
      <c r="I441" s="126"/>
      <c r="J441" s="38"/>
      <c r="K441" s="80"/>
      <c r="L441" s="82"/>
    </row>
    <row r="442" spans="2:12" s="1" customFormat="1" ht="12.95" customHeight="1" x14ac:dyDescent="0.15">
      <c r="B442" s="16"/>
      <c r="C442" s="17"/>
      <c r="D442" s="24"/>
      <c r="E442" s="24"/>
      <c r="F442" s="129"/>
      <c r="G442" s="20"/>
      <c r="H442" s="20"/>
      <c r="I442" s="126"/>
      <c r="J442" s="38"/>
      <c r="K442" s="80"/>
      <c r="L442" s="82"/>
    </row>
    <row r="443" spans="2:12" s="1" customFormat="1" ht="12.95" customHeight="1" x14ac:dyDescent="0.15">
      <c r="B443" s="16"/>
      <c r="C443" s="22" t="s">
        <v>153</v>
      </c>
      <c r="D443" s="24"/>
      <c r="E443" s="24"/>
      <c r="F443" s="129"/>
      <c r="G443" s="20"/>
      <c r="H443" s="20"/>
      <c r="I443" s="126"/>
      <c r="J443" s="38"/>
      <c r="K443" s="80"/>
      <c r="L443" s="82"/>
    </row>
    <row r="444" spans="2:12" s="1" customFormat="1" ht="12.95" customHeight="1" x14ac:dyDescent="0.15">
      <c r="B444" s="16">
        <v>1</v>
      </c>
      <c r="C444" s="17"/>
      <c r="D444" s="18"/>
      <c r="E444" s="24"/>
      <c r="F444" s="129"/>
      <c r="G444" s="20"/>
      <c r="H444" s="20">
        <v>1</v>
      </c>
      <c r="I444" s="126">
        <f t="shared" si="26"/>
        <v>0</v>
      </c>
      <c r="J444" s="38">
        <f t="shared" si="27"/>
        <v>0</v>
      </c>
      <c r="K444" s="80"/>
      <c r="L444" s="82"/>
    </row>
    <row r="445" spans="2:12" s="1" customFormat="1" ht="12.95" customHeight="1" x14ac:dyDescent="0.15">
      <c r="B445" s="16">
        <v>2</v>
      </c>
      <c r="C445" s="17"/>
      <c r="D445" s="18"/>
      <c r="E445" s="24"/>
      <c r="F445" s="129"/>
      <c r="G445" s="20"/>
      <c r="H445" s="20">
        <v>1</v>
      </c>
      <c r="I445" s="126">
        <f t="shared" si="26"/>
        <v>0</v>
      </c>
      <c r="J445" s="38">
        <f t="shared" si="27"/>
        <v>0</v>
      </c>
      <c r="K445" s="80"/>
      <c r="L445" s="82"/>
    </row>
    <row r="446" spans="2:12" s="1" customFormat="1" ht="12.95" customHeight="1" x14ac:dyDescent="0.15">
      <c r="B446" s="16">
        <v>3</v>
      </c>
      <c r="C446" s="17"/>
      <c r="D446" s="24"/>
      <c r="E446" s="18"/>
      <c r="F446" s="129"/>
      <c r="G446" s="20"/>
      <c r="H446" s="20">
        <v>1</v>
      </c>
      <c r="I446" s="126">
        <f t="shared" si="26"/>
        <v>0</v>
      </c>
      <c r="J446" s="38">
        <f t="shared" si="27"/>
        <v>0</v>
      </c>
      <c r="K446" s="80"/>
      <c r="L446" s="82"/>
    </row>
    <row r="447" spans="2:12" s="4" customFormat="1" ht="12.95" customHeight="1" x14ac:dyDescent="0.15">
      <c r="B447" s="26">
        <v>4</v>
      </c>
      <c r="C447" s="23"/>
      <c r="D447" s="48"/>
      <c r="E447" s="49"/>
      <c r="F447" s="126"/>
      <c r="G447" s="50"/>
      <c r="H447" s="50">
        <v>1</v>
      </c>
      <c r="I447" s="126">
        <f t="shared" si="26"/>
        <v>0</v>
      </c>
      <c r="J447" s="38">
        <f t="shared" si="27"/>
        <v>0</v>
      </c>
      <c r="K447" s="108"/>
      <c r="L447" s="113"/>
    </row>
    <row r="448" spans="2:12" s="1" customFormat="1" ht="12.95" customHeight="1" x14ac:dyDescent="0.15">
      <c r="B448" s="16">
        <v>5</v>
      </c>
      <c r="C448" s="17"/>
      <c r="D448" s="24"/>
      <c r="E448" s="18"/>
      <c r="F448" s="129"/>
      <c r="G448" s="20"/>
      <c r="H448" s="20">
        <v>1</v>
      </c>
      <c r="I448" s="126">
        <f t="shared" si="26"/>
        <v>0</v>
      </c>
      <c r="J448" s="38">
        <f t="shared" si="27"/>
        <v>0</v>
      </c>
      <c r="K448" s="80"/>
      <c r="L448" s="82"/>
    </row>
    <row r="449" spans="2:20" s="1" customFormat="1" ht="12.95" customHeight="1" x14ac:dyDescent="0.15">
      <c r="B449" s="16">
        <v>6</v>
      </c>
      <c r="C449" s="17"/>
      <c r="D449" s="24"/>
      <c r="E449" s="18"/>
      <c r="F449" s="129"/>
      <c r="G449" s="20"/>
      <c r="H449" s="20">
        <v>1</v>
      </c>
      <c r="I449" s="126">
        <f t="shared" si="26"/>
        <v>0</v>
      </c>
      <c r="J449" s="38">
        <f t="shared" si="27"/>
        <v>0</v>
      </c>
      <c r="K449" s="80"/>
      <c r="L449" s="82"/>
    </row>
    <row r="450" spans="2:20" s="1" customFormat="1" ht="12.95" customHeight="1" x14ac:dyDescent="0.15">
      <c r="B450" s="16">
        <v>7</v>
      </c>
      <c r="C450" s="17"/>
      <c r="D450" s="24"/>
      <c r="E450" s="24"/>
      <c r="F450" s="129"/>
      <c r="G450" s="20"/>
      <c r="H450" s="20">
        <v>1</v>
      </c>
      <c r="I450" s="126">
        <f t="shared" si="26"/>
        <v>0</v>
      </c>
      <c r="J450" s="38">
        <f t="shared" si="27"/>
        <v>0</v>
      </c>
      <c r="K450" s="80"/>
      <c r="L450" s="82"/>
    </row>
    <row r="451" spans="2:20" s="1" customFormat="1" ht="12.95" customHeight="1" x14ac:dyDescent="0.15">
      <c r="B451" s="16">
        <v>8</v>
      </c>
      <c r="C451" s="17"/>
      <c r="D451" s="24"/>
      <c r="E451" s="24"/>
      <c r="F451" s="129"/>
      <c r="G451" s="20"/>
      <c r="H451" s="20">
        <v>1</v>
      </c>
      <c r="I451" s="126">
        <f t="shared" si="26"/>
        <v>0</v>
      </c>
      <c r="J451" s="38">
        <f>(F451*G451*H451)/$C$32</f>
        <v>0</v>
      </c>
      <c r="K451" s="80"/>
      <c r="L451" s="82"/>
    </row>
    <row r="452" spans="2:20" s="1" customFormat="1" ht="14.85" customHeight="1" x14ac:dyDescent="0.15">
      <c r="B452" s="16">
        <v>9</v>
      </c>
      <c r="C452" s="17"/>
      <c r="D452" s="24"/>
      <c r="E452" s="24"/>
      <c r="F452" s="129"/>
      <c r="G452" s="20"/>
      <c r="H452" s="20">
        <v>1</v>
      </c>
      <c r="I452" s="126">
        <f t="shared" si="26"/>
        <v>0</v>
      </c>
      <c r="J452" s="38">
        <f>(F452*G452*H452)/$C$32</f>
        <v>0</v>
      </c>
      <c r="K452" s="80"/>
      <c r="L452" s="82"/>
    </row>
    <row r="453" spans="2:20" s="1" customFormat="1" ht="12.95" customHeight="1" x14ac:dyDescent="0.15">
      <c r="B453" s="16">
        <v>10</v>
      </c>
      <c r="C453" s="17"/>
      <c r="D453" s="24"/>
      <c r="E453" s="24"/>
      <c r="F453" s="129"/>
      <c r="G453" s="20"/>
      <c r="H453" s="20">
        <v>1</v>
      </c>
      <c r="I453" s="126">
        <f t="shared" si="26"/>
        <v>0</v>
      </c>
      <c r="J453" s="38">
        <f t="shared" ref="J453:J486" si="28">(F453*G453*H453)/$C$32</f>
        <v>0</v>
      </c>
      <c r="K453" s="80"/>
      <c r="L453" s="82"/>
      <c r="M453" s="39"/>
      <c r="N453" s="40"/>
      <c r="O453" s="40"/>
    </row>
    <row r="454" spans="2:20" s="1" customFormat="1" ht="12.95" customHeight="1" x14ac:dyDescent="0.15">
      <c r="B454" s="16">
        <v>11</v>
      </c>
      <c r="C454" s="17"/>
      <c r="D454" s="24"/>
      <c r="E454" s="24"/>
      <c r="F454" s="129"/>
      <c r="G454" s="20"/>
      <c r="H454" s="20">
        <v>1</v>
      </c>
      <c r="I454" s="126">
        <f t="shared" si="26"/>
        <v>0</v>
      </c>
      <c r="J454" s="38">
        <f t="shared" si="28"/>
        <v>0</v>
      </c>
      <c r="K454" s="80"/>
      <c r="L454" s="82"/>
    </row>
    <row r="455" spans="2:20" s="1" customFormat="1" ht="12.95" customHeight="1" x14ac:dyDescent="0.15">
      <c r="B455" s="16">
        <v>12</v>
      </c>
      <c r="C455" s="17"/>
      <c r="D455" s="24"/>
      <c r="E455" s="24"/>
      <c r="F455" s="129"/>
      <c r="G455" s="20"/>
      <c r="H455" s="20">
        <v>1</v>
      </c>
      <c r="I455" s="126">
        <f t="shared" si="26"/>
        <v>0</v>
      </c>
      <c r="J455" s="38">
        <f t="shared" si="28"/>
        <v>0</v>
      </c>
      <c r="K455" s="80"/>
      <c r="L455" s="82"/>
    </row>
    <row r="456" spans="2:20" s="1" customFormat="1" ht="12.95" customHeight="1" x14ac:dyDescent="0.15">
      <c r="B456" s="16">
        <v>13</v>
      </c>
      <c r="C456" s="17"/>
      <c r="D456" s="24"/>
      <c r="E456" s="24"/>
      <c r="F456" s="130"/>
      <c r="G456" s="20"/>
      <c r="H456" s="20">
        <v>1</v>
      </c>
      <c r="I456" s="126">
        <f t="shared" si="26"/>
        <v>0</v>
      </c>
      <c r="J456" s="38">
        <f t="shared" si="28"/>
        <v>0</v>
      </c>
      <c r="K456" s="80"/>
      <c r="L456" s="82"/>
    </row>
    <row r="457" spans="2:20" s="1" customFormat="1" ht="12.95" customHeight="1" x14ac:dyDescent="0.15">
      <c r="B457" s="16">
        <v>14</v>
      </c>
      <c r="C457" s="17"/>
      <c r="D457" s="24"/>
      <c r="E457" s="24"/>
      <c r="F457" s="129"/>
      <c r="G457" s="20"/>
      <c r="H457" s="20">
        <v>1</v>
      </c>
      <c r="I457" s="126">
        <f t="shared" si="26"/>
        <v>0</v>
      </c>
      <c r="J457" s="38">
        <f t="shared" si="28"/>
        <v>0</v>
      </c>
      <c r="K457" s="80"/>
      <c r="L457" s="82"/>
    </row>
    <row r="458" spans="2:20" s="1" customFormat="1" ht="12.95" customHeight="1" x14ac:dyDescent="0.15">
      <c r="B458" s="16">
        <v>15</v>
      </c>
      <c r="C458" s="17"/>
      <c r="D458" s="24"/>
      <c r="E458" s="24"/>
      <c r="F458" s="129"/>
      <c r="G458" s="20"/>
      <c r="H458" s="20">
        <v>1</v>
      </c>
      <c r="I458" s="126">
        <f t="shared" si="26"/>
        <v>0</v>
      </c>
      <c r="J458" s="38">
        <f t="shared" si="28"/>
        <v>0</v>
      </c>
      <c r="K458" s="80"/>
      <c r="L458" s="82"/>
    </row>
    <row r="459" spans="2:20" s="1" customFormat="1" ht="12.95" customHeight="1" x14ac:dyDescent="0.15">
      <c r="B459" s="16">
        <v>16</v>
      </c>
      <c r="C459" s="17"/>
      <c r="D459" s="24"/>
      <c r="E459" s="24"/>
      <c r="F459" s="129"/>
      <c r="G459" s="20"/>
      <c r="H459" s="20">
        <v>1</v>
      </c>
      <c r="I459" s="126">
        <f t="shared" si="26"/>
        <v>0</v>
      </c>
      <c r="J459" s="38">
        <f t="shared" si="28"/>
        <v>0</v>
      </c>
      <c r="K459" s="80"/>
      <c r="L459" s="82"/>
    </row>
    <row r="460" spans="2:20" s="1" customFormat="1" ht="12.95" customHeight="1" x14ac:dyDescent="0.15">
      <c r="B460" s="16">
        <v>17</v>
      </c>
      <c r="C460" s="17"/>
      <c r="D460" s="24"/>
      <c r="E460" s="24"/>
      <c r="F460" s="129"/>
      <c r="G460" s="20"/>
      <c r="H460" s="20">
        <v>1</v>
      </c>
      <c r="I460" s="126">
        <f t="shared" si="26"/>
        <v>0</v>
      </c>
      <c r="J460" s="38">
        <f t="shared" si="28"/>
        <v>0</v>
      </c>
      <c r="K460" s="80"/>
      <c r="L460" s="82"/>
    </row>
    <row r="461" spans="2:20" s="1" customFormat="1" ht="12.95" customHeight="1" x14ac:dyDescent="0.15">
      <c r="B461" s="16">
        <v>18</v>
      </c>
      <c r="C461" s="17"/>
      <c r="D461" s="24"/>
      <c r="E461" s="24"/>
      <c r="F461" s="129"/>
      <c r="G461" s="20"/>
      <c r="H461" s="20">
        <v>1</v>
      </c>
      <c r="I461" s="126">
        <f t="shared" si="26"/>
        <v>0</v>
      </c>
      <c r="J461" s="38">
        <f t="shared" si="28"/>
        <v>0</v>
      </c>
      <c r="K461" s="80"/>
      <c r="L461" s="82"/>
    </row>
    <row r="462" spans="2:20" s="1" customFormat="1" ht="12.95" customHeight="1" x14ac:dyDescent="0.15">
      <c r="B462" s="16">
        <v>19</v>
      </c>
      <c r="C462" s="17"/>
      <c r="D462" s="18"/>
      <c r="E462" s="18"/>
      <c r="F462" s="129"/>
      <c r="G462" s="20"/>
      <c r="H462" s="20">
        <v>1</v>
      </c>
      <c r="I462" s="126">
        <f t="shared" si="26"/>
        <v>0</v>
      </c>
      <c r="J462" s="21">
        <f t="shared" si="28"/>
        <v>0</v>
      </c>
      <c r="K462" s="80"/>
      <c r="L462" s="82"/>
      <c r="M462" s="10"/>
      <c r="N462" s="10"/>
      <c r="O462" s="10"/>
      <c r="P462" s="10"/>
      <c r="Q462" s="43"/>
      <c r="R462" s="10"/>
      <c r="T462" s="10"/>
    </row>
    <row r="463" spans="2:20" s="1" customFormat="1" ht="12.95" customHeight="1" x14ac:dyDescent="0.15">
      <c r="B463" s="16">
        <v>20</v>
      </c>
      <c r="C463" s="17"/>
      <c r="D463" s="18"/>
      <c r="E463" s="18"/>
      <c r="F463" s="129"/>
      <c r="G463" s="20"/>
      <c r="H463" s="20">
        <v>1</v>
      </c>
      <c r="I463" s="126">
        <f t="shared" si="26"/>
        <v>0</v>
      </c>
      <c r="J463" s="21">
        <f t="shared" si="28"/>
        <v>0</v>
      </c>
      <c r="K463" s="80"/>
      <c r="L463" s="82"/>
      <c r="M463" s="10"/>
      <c r="N463" s="10"/>
      <c r="O463" s="10"/>
      <c r="P463" s="10"/>
      <c r="Q463" s="43"/>
      <c r="R463" s="10"/>
      <c r="T463" s="10"/>
    </row>
    <row r="464" spans="2:20" s="1" customFormat="1" ht="12.95" customHeight="1" x14ac:dyDescent="0.15">
      <c r="B464" s="16"/>
      <c r="C464" s="17"/>
      <c r="D464" s="18"/>
      <c r="E464" s="18"/>
      <c r="F464" s="129"/>
      <c r="G464" s="20"/>
      <c r="H464" s="20"/>
      <c r="I464" s="126"/>
      <c r="J464" s="21"/>
      <c r="K464" s="80"/>
      <c r="L464" s="82"/>
      <c r="M464" s="10"/>
      <c r="N464" s="10"/>
      <c r="O464" s="10"/>
      <c r="P464" s="10"/>
      <c r="Q464" s="43"/>
      <c r="R464" s="10"/>
      <c r="T464" s="10"/>
    </row>
    <row r="465" spans="2:20" s="1" customFormat="1" ht="12.95" customHeight="1" x14ac:dyDescent="0.15">
      <c r="B465" s="16"/>
      <c r="C465" s="17"/>
      <c r="D465" s="18"/>
      <c r="E465" s="18"/>
      <c r="F465" s="129"/>
      <c r="G465" s="20"/>
      <c r="H465" s="20"/>
      <c r="I465" s="126"/>
      <c r="J465" s="21"/>
      <c r="K465" s="80"/>
      <c r="L465" s="82"/>
      <c r="M465" s="10"/>
      <c r="N465" s="10"/>
      <c r="O465" s="10"/>
      <c r="P465" s="10"/>
      <c r="Q465" s="43"/>
      <c r="R465" s="10"/>
      <c r="T465" s="10"/>
    </row>
    <row r="466" spans="2:20" s="1" customFormat="1" ht="12.95" customHeight="1" x14ac:dyDescent="0.15">
      <c r="B466" s="16"/>
      <c r="C466" s="22" t="s">
        <v>160</v>
      </c>
      <c r="D466" s="18"/>
      <c r="E466" s="18"/>
      <c r="F466" s="129"/>
      <c r="G466" s="20"/>
      <c r="H466" s="20"/>
      <c r="I466" s="126"/>
      <c r="J466" s="21"/>
      <c r="K466" s="80"/>
      <c r="L466" s="82"/>
      <c r="M466" s="10"/>
      <c r="N466" s="10"/>
      <c r="O466" s="10"/>
      <c r="P466" s="10"/>
      <c r="Q466" s="43"/>
      <c r="R466" s="10"/>
      <c r="T466" s="10"/>
    </row>
    <row r="467" spans="2:20" s="1" customFormat="1" ht="12.95" customHeight="1" x14ac:dyDescent="0.15">
      <c r="B467" s="16">
        <v>1</v>
      </c>
      <c r="C467" s="22"/>
      <c r="D467" s="18"/>
      <c r="E467" s="18"/>
      <c r="F467" s="129"/>
      <c r="G467" s="20"/>
      <c r="H467" s="20">
        <v>1</v>
      </c>
      <c r="I467" s="126">
        <f t="shared" si="26"/>
        <v>0</v>
      </c>
      <c r="J467" s="21">
        <f t="shared" si="28"/>
        <v>0</v>
      </c>
      <c r="K467" s="80"/>
      <c r="L467" s="82"/>
      <c r="M467" s="10"/>
      <c r="N467" s="10"/>
      <c r="O467" s="10"/>
      <c r="P467" s="10"/>
      <c r="Q467" s="43"/>
      <c r="R467" s="10"/>
      <c r="T467" s="10"/>
    </row>
    <row r="468" spans="2:20" s="1" customFormat="1" ht="12.95" customHeight="1" x14ac:dyDescent="0.15">
      <c r="B468" s="16">
        <v>2</v>
      </c>
      <c r="C468" s="22"/>
      <c r="D468" s="18"/>
      <c r="E468" s="18"/>
      <c r="F468" s="129"/>
      <c r="G468" s="20"/>
      <c r="H468" s="20">
        <v>1</v>
      </c>
      <c r="I468" s="126">
        <f t="shared" si="26"/>
        <v>0</v>
      </c>
      <c r="J468" s="21">
        <f t="shared" si="28"/>
        <v>0</v>
      </c>
      <c r="K468" s="80"/>
      <c r="L468" s="82"/>
      <c r="M468" s="10"/>
      <c r="N468" s="10"/>
      <c r="O468" s="10"/>
      <c r="P468" s="10"/>
      <c r="Q468" s="43"/>
      <c r="R468" s="10"/>
      <c r="T468" s="10"/>
    </row>
    <row r="469" spans="2:20" s="1" customFormat="1" ht="12.95" customHeight="1" x14ac:dyDescent="0.15">
      <c r="B469" s="16">
        <v>3</v>
      </c>
      <c r="C469" s="22"/>
      <c r="D469" s="18"/>
      <c r="E469" s="18"/>
      <c r="F469" s="129"/>
      <c r="G469" s="20"/>
      <c r="H469" s="20">
        <v>1</v>
      </c>
      <c r="I469" s="126">
        <f t="shared" si="26"/>
        <v>0</v>
      </c>
      <c r="J469" s="21">
        <f t="shared" si="28"/>
        <v>0</v>
      </c>
      <c r="K469" s="80"/>
      <c r="L469" s="82"/>
      <c r="M469" s="10"/>
      <c r="N469" s="10"/>
      <c r="O469" s="10"/>
      <c r="P469" s="10"/>
      <c r="Q469" s="43"/>
      <c r="R469" s="10"/>
      <c r="T469" s="10"/>
    </row>
    <row r="470" spans="2:20" s="1" customFormat="1" ht="12.95" customHeight="1" x14ac:dyDescent="0.15">
      <c r="B470" s="16">
        <v>4</v>
      </c>
      <c r="C470" s="22"/>
      <c r="D470" s="18"/>
      <c r="E470" s="18"/>
      <c r="F470" s="129"/>
      <c r="G470" s="20"/>
      <c r="H470" s="20">
        <v>1</v>
      </c>
      <c r="I470" s="126">
        <f t="shared" si="26"/>
        <v>0</v>
      </c>
      <c r="J470" s="21">
        <f t="shared" si="28"/>
        <v>0</v>
      </c>
      <c r="K470" s="80"/>
      <c r="L470" s="82"/>
      <c r="M470" s="10"/>
      <c r="N470" s="10"/>
      <c r="O470" s="10"/>
      <c r="P470" s="10"/>
      <c r="Q470" s="43"/>
      <c r="R470" s="10"/>
      <c r="T470" s="10"/>
    </row>
    <row r="471" spans="2:20" s="1" customFormat="1" ht="12.95" customHeight="1" x14ac:dyDescent="0.15">
      <c r="B471" s="16">
        <v>5</v>
      </c>
      <c r="C471" s="22"/>
      <c r="D471" s="18"/>
      <c r="E471" s="18"/>
      <c r="F471" s="129"/>
      <c r="G471" s="20"/>
      <c r="H471" s="20">
        <v>1</v>
      </c>
      <c r="I471" s="126">
        <f t="shared" si="26"/>
        <v>0</v>
      </c>
      <c r="J471" s="21">
        <f t="shared" si="28"/>
        <v>0</v>
      </c>
      <c r="K471" s="80"/>
      <c r="L471" s="82"/>
      <c r="M471" s="10"/>
      <c r="N471" s="10"/>
      <c r="O471" s="10"/>
      <c r="P471" s="10"/>
      <c r="Q471" s="43"/>
      <c r="R471" s="10"/>
      <c r="T471" s="10"/>
    </row>
    <row r="472" spans="2:20" s="1" customFormat="1" ht="12.95" customHeight="1" x14ac:dyDescent="0.15">
      <c r="B472" s="16">
        <v>6</v>
      </c>
      <c r="C472" s="22"/>
      <c r="D472" s="18"/>
      <c r="E472" s="18"/>
      <c r="F472" s="129"/>
      <c r="G472" s="20"/>
      <c r="H472" s="20">
        <v>1</v>
      </c>
      <c r="I472" s="126">
        <f t="shared" si="26"/>
        <v>0</v>
      </c>
      <c r="J472" s="21">
        <f t="shared" si="28"/>
        <v>0</v>
      </c>
      <c r="K472" s="80"/>
      <c r="L472" s="82"/>
      <c r="M472" s="10"/>
      <c r="N472" s="10"/>
      <c r="O472" s="10"/>
      <c r="P472" s="10"/>
      <c r="Q472" s="43"/>
      <c r="R472" s="10"/>
      <c r="T472" s="10"/>
    </row>
    <row r="473" spans="2:20" s="1" customFormat="1" ht="12.95" customHeight="1" x14ac:dyDescent="0.15">
      <c r="B473" s="16">
        <v>7</v>
      </c>
      <c r="C473" s="22"/>
      <c r="D473" s="18"/>
      <c r="E473" s="18"/>
      <c r="F473" s="129"/>
      <c r="G473" s="20"/>
      <c r="H473" s="20">
        <v>1</v>
      </c>
      <c r="I473" s="126">
        <f t="shared" si="26"/>
        <v>0</v>
      </c>
      <c r="J473" s="21">
        <f t="shared" si="28"/>
        <v>0</v>
      </c>
      <c r="K473" s="80"/>
      <c r="L473" s="82"/>
      <c r="M473" s="10"/>
      <c r="N473" s="10"/>
      <c r="O473" s="10"/>
      <c r="P473" s="10"/>
      <c r="Q473" s="43"/>
      <c r="R473" s="10"/>
      <c r="T473" s="10"/>
    </row>
    <row r="474" spans="2:20" s="1" customFormat="1" ht="12.95" customHeight="1" x14ac:dyDescent="0.15">
      <c r="B474" s="16">
        <v>8</v>
      </c>
      <c r="C474" s="22"/>
      <c r="D474" s="18"/>
      <c r="E474" s="18"/>
      <c r="F474" s="129"/>
      <c r="G474" s="20"/>
      <c r="H474" s="20">
        <v>1</v>
      </c>
      <c r="I474" s="126">
        <f t="shared" si="26"/>
        <v>0</v>
      </c>
      <c r="J474" s="21">
        <f t="shared" si="28"/>
        <v>0</v>
      </c>
      <c r="K474" s="80"/>
      <c r="L474" s="82"/>
      <c r="M474" s="10"/>
      <c r="N474" s="10"/>
      <c r="O474" s="10"/>
      <c r="P474" s="10"/>
      <c r="Q474" s="43"/>
      <c r="R474" s="10"/>
      <c r="T474" s="10"/>
    </row>
    <row r="475" spans="2:20" s="1" customFormat="1" ht="12.95" customHeight="1" x14ac:dyDescent="0.15">
      <c r="B475" s="16">
        <v>9</v>
      </c>
      <c r="C475" s="22"/>
      <c r="D475" s="18"/>
      <c r="E475" s="18"/>
      <c r="F475" s="129"/>
      <c r="G475" s="20"/>
      <c r="H475" s="20">
        <v>1</v>
      </c>
      <c r="I475" s="126">
        <f t="shared" si="26"/>
        <v>0</v>
      </c>
      <c r="J475" s="21">
        <f t="shared" si="28"/>
        <v>0</v>
      </c>
      <c r="K475" s="80"/>
      <c r="L475" s="82"/>
      <c r="M475" s="10"/>
      <c r="N475" s="10"/>
      <c r="O475" s="10"/>
      <c r="P475" s="10"/>
      <c r="Q475" s="43"/>
      <c r="R475" s="10"/>
      <c r="T475" s="10"/>
    </row>
    <row r="476" spans="2:20" s="1" customFormat="1" ht="12.95" customHeight="1" x14ac:dyDescent="0.15">
      <c r="B476" s="16">
        <v>10</v>
      </c>
      <c r="C476" s="22"/>
      <c r="D476" s="18"/>
      <c r="E476" s="18"/>
      <c r="F476" s="129"/>
      <c r="G476" s="20"/>
      <c r="H476" s="20">
        <v>1</v>
      </c>
      <c r="I476" s="126">
        <f t="shared" si="26"/>
        <v>0</v>
      </c>
      <c r="J476" s="21">
        <f t="shared" si="28"/>
        <v>0</v>
      </c>
      <c r="K476" s="80"/>
      <c r="L476" s="82"/>
      <c r="M476" s="10"/>
      <c r="N476" s="10"/>
      <c r="O476" s="10"/>
      <c r="P476" s="10"/>
      <c r="Q476" s="43"/>
      <c r="R476" s="10"/>
      <c r="T476" s="10"/>
    </row>
    <row r="477" spans="2:20" s="1" customFormat="1" ht="12.95" customHeight="1" x14ac:dyDescent="0.15">
      <c r="B477" s="16">
        <v>11</v>
      </c>
      <c r="C477" s="22"/>
      <c r="D477" s="18"/>
      <c r="E477" s="18"/>
      <c r="F477" s="129"/>
      <c r="G477" s="20"/>
      <c r="H477" s="20">
        <v>1</v>
      </c>
      <c r="I477" s="126">
        <f t="shared" si="26"/>
        <v>0</v>
      </c>
      <c r="J477" s="21">
        <f t="shared" si="28"/>
        <v>0</v>
      </c>
      <c r="K477" s="80"/>
      <c r="L477" s="82"/>
      <c r="M477" s="10"/>
      <c r="N477" s="10"/>
      <c r="O477" s="10"/>
      <c r="P477" s="10"/>
      <c r="Q477" s="43"/>
      <c r="R477" s="10"/>
      <c r="T477" s="10"/>
    </row>
    <row r="478" spans="2:20" s="1" customFormat="1" ht="12.95" customHeight="1" x14ac:dyDescent="0.2">
      <c r="B478" s="16">
        <v>12</v>
      </c>
      <c r="C478" s="45"/>
      <c r="D478" s="18"/>
      <c r="E478" s="18"/>
      <c r="F478" s="51"/>
      <c r="G478" s="20"/>
      <c r="H478" s="20">
        <v>1</v>
      </c>
      <c r="I478" s="126">
        <f t="shared" si="26"/>
        <v>0</v>
      </c>
      <c r="J478" s="21">
        <f t="shared" si="28"/>
        <v>0</v>
      </c>
      <c r="K478" s="80"/>
      <c r="L478" s="82"/>
      <c r="N478" s="10"/>
      <c r="O478" s="10"/>
      <c r="P478" s="10"/>
      <c r="Q478" s="43"/>
      <c r="R478" s="10"/>
      <c r="T478" s="10"/>
    </row>
    <row r="479" spans="2:20" s="1" customFormat="1" ht="12.95" customHeight="1" x14ac:dyDescent="0.2">
      <c r="B479" s="16">
        <v>13</v>
      </c>
      <c r="C479" s="45"/>
      <c r="D479" s="18"/>
      <c r="E479" s="18"/>
      <c r="F479" s="51"/>
      <c r="G479" s="20"/>
      <c r="H479" s="20">
        <v>1</v>
      </c>
      <c r="I479" s="126">
        <f t="shared" si="26"/>
        <v>0</v>
      </c>
      <c r="J479" s="21">
        <f t="shared" si="28"/>
        <v>0</v>
      </c>
      <c r="K479" s="80"/>
      <c r="L479" s="82"/>
      <c r="N479" s="10"/>
      <c r="O479" s="10"/>
      <c r="P479" s="10"/>
      <c r="Q479" s="43"/>
      <c r="R479" s="10"/>
      <c r="T479" s="10"/>
    </row>
    <row r="480" spans="2:20" s="1" customFormat="1" ht="12.95" customHeight="1" x14ac:dyDescent="0.2">
      <c r="B480" s="16">
        <v>14</v>
      </c>
      <c r="C480" s="45"/>
      <c r="D480" s="18"/>
      <c r="E480" s="18"/>
      <c r="F480" s="51"/>
      <c r="G480" s="20"/>
      <c r="H480" s="20">
        <v>1</v>
      </c>
      <c r="I480" s="126">
        <f t="shared" si="26"/>
        <v>0</v>
      </c>
      <c r="J480" s="21">
        <f t="shared" si="28"/>
        <v>0</v>
      </c>
      <c r="K480" s="80"/>
      <c r="L480" s="82"/>
      <c r="N480" s="10"/>
      <c r="O480" s="10"/>
      <c r="P480" s="10"/>
      <c r="Q480" s="43"/>
      <c r="R480" s="10"/>
      <c r="T480" s="10"/>
    </row>
    <row r="481" spans="2:20" s="1" customFormat="1" ht="12.95" customHeight="1" x14ac:dyDescent="0.2">
      <c r="B481" s="16">
        <v>15</v>
      </c>
      <c r="C481" s="45"/>
      <c r="D481" s="18"/>
      <c r="E481" s="18"/>
      <c r="F481" s="51"/>
      <c r="G481" s="20"/>
      <c r="H481" s="20">
        <v>1</v>
      </c>
      <c r="I481" s="126">
        <f t="shared" si="26"/>
        <v>0</v>
      </c>
      <c r="J481" s="21">
        <f t="shared" si="28"/>
        <v>0</v>
      </c>
      <c r="K481" s="80"/>
      <c r="L481" s="82"/>
      <c r="N481" s="10"/>
      <c r="O481" s="10"/>
      <c r="P481" s="10"/>
      <c r="Q481" s="43"/>
      <c r="R481" s="10"/>
      <c r="T481" s="10"/>
    </row>
    <row r="482" spans="2:20" s="1" customFormat="1" ht="12.95" customHeight="1" x14ac:dyDescent="0.2">
      <c r="B482" s="16">
        <v>16</v>
      </c>
      <c r="C482" s="45"/>
      <c r="D482" s="18"/>
      <c r="E482" s="18"/>
      <c r="F482" s="51"/>
      <c r="G482" s="20"/>
      <c r="H482" s="20">
        <v>1</v>
      </c>
      <c r="I482" s="126">
        <f t="shared" si="26"/>
        <v>0</v>
      </c>
      <c r="J482" s="21">
        <f t="shared" si="28"/>
        <v>0</v>
      </c>
      <c r="K482" s="80"/>
      <c r="L482" s="82"/>
      <c r="N482" s="10"/>
      <c r="O482" s="10"/>
      <c r="P482" s="10"/>
      <c r="Q482" s="43"/>
      <c r="R482" s="10"/>
      <c r="T482" s="10"/>
    </row>
    <row r="483" spans="2:20" s="1" customFormat="1" ht="12.95" customHeight="1" x14ac:dyDescent="0.2">
      <c r="B483" s="16">
        <v>17</v>
      </c>
      <c r="C483" s="45"/>
      <c r="D483" s="18"/>
      <c r="E483" s="18"/>
      <c r="F483" s="51"/>
      <c r="G483" s="20"/>
      <c r="H483" s="20">
        <v>1</v>
      </c>
      <c r="I483" s="126">
        <f t="shared" si="26"/>
        <v>0</v>
      </c>
      <c r="J483" s="21">
        <f t="shared" si="28"/>
        <v>0</v>
      </c>
      <c r="K483" s="80"/>
      <c r="L483" s="82"/>
      <c r="N483" s="10"/>
      <c r="O483" s="10"/>
      <c r="P483" s="10"/>
      <c r="Q483" s="43"/>
      <c r="R483" s="10"/>
      <c r="T483" s="10"/>
    </row>
    <row r="484" spans="2:20" s="1" customFormat="1" ht="12.95" customHeight="1" x14ac:dyDescent="0.2">
      <c r="B484" s="16">
        <v>18</v>
      </c>
      <c r="C484" s="45"/>
      <c r="D484" s="18"/>
      <c r="E484" s="18"/>
      <c r="F484" s="51"/>
      <c r="G484" s="20"/>
      <c r="H484" s="20">
        <v>1</v>
      </c>
      <c r="I484" s="126">
        <f t="shared" si="26"/>
        <v>0</v>
      </c>
      <c r="J484" s="21">
        <f t="shared" si="28"/>
        <v>0</v>
      </c>
      <c r="K484" s="80"/>
      <c r="L484" s="82"/>
      <c r="N484" s="10"/>
      <c r="O484" s="10"/>
      <c r="P484" s="10"/>
      <c r="Q484" s="43"/>
      <c r="R484" s="10"/>
      <c r="T484" s="10"/>
    </row>
    <row r="485" spans="2:20" s="1" customFormat="1" ht="12.95" customHeight="1" x14ac:dyDescent="0.2">
      <c r="B485" s="16">
        <v>19</v>
      </c>
      <c r="C485" s="45"/>
      <c r="D485" s="18"/>
      <c r="E485" s="18"/>
      <c r="F485" s="51"/>
      <c r="G485" s="20"/>
      <c r="H485" s="20">
        <v>1</v>
      </c>
      <c r="I485" s="126">
        <f t="shared" si="26"/>
        <v>0</v>
      </c>
      <c r="J485" s="78">
        <f t="shared" si="28"/>
        <v>0</v>
      </c>
      <c r="K485" s="111"/>
      <c r="L485" s="119"/>
      <c r="N485" s="10"/>
      <c r="O485" s="10"/>
      <c r="P485" s="10"/>
      <c r="Q485" s="43"/>
      <c r="R485" s="10"/>
      <c r="T485" s="10"/>
    </row>
    <row r="486" spans="2:20" s="1" customFormat="1" ht="12.95" customHeight="1" x14ac:dyDescent="0.2">
      <c r="B486" s="16">
        <v>20</v>
      </c>
      <c r="C486" s="45"/>
      <c r="D486" s="18"/>
      <c r="E486" s="18"/>
      <c r="F486" s="51"/>
      <c r="G486" s="20"/>
      <c r="H486" s="20">
        <v>1</v>
      </c>
      <c r="I486" s="254">
        <f t="shared" si="26"/>
        <v>0</v>
      </c>
      <c r="J486" s="94">
        <f t="shared" si="28"/>
        <v>0</v>
      </c>
      <c r="K486" s="82"/>
      <c r="L486" s="82"/>
      <c r="N486" s="10"/>
      <c r="O486" s="10"/>
      <c r="P486" s="10"/>
      <c r="Q486" s="43"/>
      <c r="R486" s="10"/>
      <c r="T486" s="10"/>
    </row>
    <row r="487" spans="2:20" s="1" customFormat="1" ht="12.95" customHeight="1" x14ac:dyDescent="0.2">
      <c r="B487" s="83"/>
      <c r="C487" s="171"/>
      <c r="D487" s="75"/>
      <c r="E487" s="75"/>
      <c r="F487" s="172"/>
      <c r="G487" s="77"/>
      <c r="H487" s="77"/>
      <c r="I487" s="255"/>
      <c r="J487" s="94"/>
      <c r="K487" s="82"/>
      <c r="L487" s="82"/>
      <c r="N487" s="10"/>
      <c r="O487" s="10"/>
      <c r="P487" s="10"/>
      <c r="Q487" s="43"/>
      <c r="R487" s="10"/>
      <c r="T487" s="10"/>
    </row>
    <row r="488" spans="2:20" s="1" customFormat="1" ht="12.95" customHeight="1" x14ac:dyDescent="0.15">
      <c r="B488" s="82"/>
      <c r="C488" s="102"/>
      <c r="D488" s="103"/>
      <c r="E488" s="102"/>
      <c r="F488" s="128">
        <f>SUM(F428:F487)</f>
        <v>0</v>
      </c>
      <c r="G488" s="104"/>
      <c r="H488" s="105"/>
      <c r="I488" s="256">
        <f>SUM(I429:I487)</f>
        <v>0</v>
      </c>
      <c r="J488" s="257">
        <f>SUM(J428:J487)</f>
        <v>0</v>
      </c>
    </row>
    <row r="489" spans="2:20" s="67" customFormat="1" ht="12.95" customHeight="1" x14ac:dyDescent="0.15">
      <c r="B489" s="116"/>
      <c r="C489" s="114"/>
      <c r="D489" s="114"/>
      <c r="E489" s="114" t="s">
        <v>147</v>
      </c>
      <c r="F489" s="162">
        <f>100/115*F488</f>
        <v>0</v>
      </c>
      <c r="G489" s="114"/>
      <c r="H489" s="114" t="s">
        <v>147</v>
      </c>
      <c r="I489" s="264">
        <f>100/115*I488</f>
        <v>0</v>
      </c>
      <c r="J489" s="114"/>
    </row>
    <row r="490" spans="2:20" s="1" customFormat="1" ht="12.95" customHeight="1" x14ac:dyDescent="0.15"/>
    <row r="491" spans="2:20" s="1" customFormat="1" ht="12.95" customHeight="1" x14ac:dyDescent="0.15"/>
    <row r="492" spans="2:20" s="1" customFormat="1" ht="12.95" customHeight="1" x14ac:dyDescent="0.15"/>
    <row r="493" spans="2:20" s="1" customFormat="1" ht="12.95" customHeight="1" x14ac:dyDescent="0.15"/>
    <row r="494" spans="2:20" s="247" customFormat="1" ht="32.25" x14ac:dyDescent="0.4">
      <c r="B494" s="248"/>
      <c r="C494" s="380" t="s">
        <v>112</v>
      </c>
      <c r="D494" s="380"/>
      <c r="E494" s="400" t="s">
        <v>161</v>
      </c>
      <c r="F494" s="401"/>
      <c r="G494" s="401"/>
      <c r="H494" s="401"/>
      <c r="I494" s="402"/>
      <c r="J494" s="407">
        <v>2026</v>
      </c>
      <c r="K494" s="408"/>
      <c r="L494" s="409"/>
    </row>
    <row r="495" spans="2:20" s="1" customFormat="1" ht="42" customHeight="1" x14ac:dyDescent="0.15">
      <c r="B495" s="82"/>
      <c r="C495" s="102" t="s">
        <v>114</v>
      </c>
      <c r="D495" s="388" t="s">
        <v>115</v>
      </c>
      <c r="E495" s="388"/>
      <c r="F495" s="102" t="s">
        <v>116</v>
      </c>
      <c r="G495" s="102" t="s">
        <v>117</v>
      </c>
      <c r="H495" s="102" t="s">
        <v>118</v>
      </c>
      <c r="I495" s="173" t="s">
        <v>119</v>
      </c>
      <c r="J495" s="102" t="s">
        <v>120</v>
      </c>
      <c r="K495" s="82"/>
      <c r="L495" s="82"/>
    </row>
    <row r="496" spans="2:20" s="1" customFormat="1" ht="12.95" customHeight="1" x14ac:dyDescent="0.15">
      <c r="B496" s="84"/>
      <c r="C496" s="149">
        <f>C426</f>
        <v>250</v>
      </c>
      <c r="D496" s="412">
        <v>21</v>
      </c>
      <c r="E496" s="412"/>
      <c r="F496" s="146">
        <f>F426</f>
        <v>0.85</v>
      </c>
      <c r="G496" s="147">
        <f>G426</f>
        <v>8</v>
      </c>
      <c r="H496" s="148">
        <f>D496*G496*F496</f>
        <v>142.79999999999998</v>
      </c>
      <c r="I496" s="149">
        <f>I558</f>
        <v>0</v>
      </c>
      <c r="J496" s="150">
        <f>H496-J558</f>
        <v>142.79999999999998</v>
      </c>
      <c r="K496" s="79"/>
      <c r="L496" s="120"/>
    </row>
    <row r="497" spans="2:12" s="1" customFormat="1" ht="69.95" customHeight="1" x14ac:dyDescent="0.15">
      <c r="B497" s="16"/>
      <c r="C497" s="22" t="s">
        <v>121</v>
      </c>
      <c r="D497" s="413" t="s">
        <v>122</v>
      </c>
      <c r="E497" s="413"/>
      <c r="F497" s="33" t="s">
        <v>123</v>
      </c>
      <c r="G497" s="34" t="s">
        <v>124</v>
      </c>
      <c r="H497" s="35" t="s">
        <v>125</v>
      </c>
      <c r="I497" s="125" t="s">
        <v>126</v>
      </c>
      <c r="J497" s="34" t="s">
        <v>127</v>
      </c>
      <c r="K497" s="107" t="s">
        <v>128</v>
      </c>
      <c r="L497" s="123" t="s">
        <v>129</v>
      </c>
    </row>
    <row r="498" spans="2:12" s="1" customFormat="1" ht="12.75" customHeight="1" x14ac:dyDescent="0.15">
      <c r="B498" s="83"/>
      <c r="C498" s="159"/>
      <c r="D498" s="164"/>
      <c r="E498" s="164"/>
      <c r="F498" s="76"/>
      <c r="G498" s="20"/>
      <c r="H498" s="20"/>
      <c r="I498" s="126"/>
      <c r="J498" s="38"/>
      <c r="K498" s="80"/>
      <c r="L498" s="82"/>
    </row>
    <row r="499" spans="2:12" s="1" customFormat="1" ht="12.75" x14ac:dyDescent="0.15">
      <c r="B499" s="82"/>
      <c r="C499" s="392" t="s">
        <v>130</v>
      </c>
      <c r="D499" s="392"/>
      <c r="E499" s="392"/>
      <c r="F499" s="168"/>
      <c r="G499" s="163"/>
      <c r="H499" s="20"/>
      <c r="I499" s="126"/>
      <c r="J499" s="21"/>
      <c r="K499" s="80"/>
      <c r="L499" s="82"/>
    </row>
    <row r="500" spans="2:12" s="1" customFormat="1" ht="12.95" customHeight="1" x14ac:dyDescent="0.15">
      <c r="B500" s="82"/>
      <c r="C500" s="116" t="s">
        <v>149</v>
      </c>
      <c r="D500" s="169"/>
      <c r="E500" s="169"/>
      <c r="F500" s="168"/>
      <c r="G500" s="163"/>
      <c r="H500" s="20"/>
      <c r="I500" s="126"/>
      <c r="J500" s="38"/>
      <c r="K500" s="80"/>
      <c r="L500" s="82"/>
    </row>
    <row r="501" spans="2:12" s="1" customFormat="1" ht="12.95" customHeight="1" x14ac:dyDescent="0.15">
      <c r="B501" s="82">
        <v>1</v>
      </c>
      <c r="C501" s="89"/>
      <c r="D501" s="169"/>
      <c r="E501" s="169"/>
      <c r="F501" s="168"/>
      <c r="G501" s="163"/>
      <c r="H501" s="20">
        <v>1</v>
      </c>
      <c r="I501" s="129">
        <f t="shared" ref="I501:I533" si="29">J501*$C$32</f>
        <v>0</v>
      </c>
      <c r="J501" s="52">
        <f t="shared" ref="J501:J514" si="30">(F501*G501*H501)/$C$32</f>
        <v>0</v>
      </c>
      <c r="K501" s="80"/>
      <c r="L501" s="82"/>
    </row>
    <row r="502" spans="2:12" s="1" customFormat="1" ht="12.95" customHeight="1" x14ac:dyDescent="0.15">
      <c r="B502" s="82">
        <v>2</v>
      </c>
      <c r="C502" s="89"/>
      <c r="D502" s="169"/>
      <c r="E502" s="169"/>
      <c r="F502" s="168"/>
      <c r="G502" s="163"/>
      <c r="H502" s="20">
        <v>1</v>
      </c>
      <c r="I502" s="129">
        <f t="shared" si="29"/>
        <v>0</v>
      </c>
      <c r="J502" s="52">
        <f t="shared" si="30"/>
        <v>0</v>
      </c>
      <c r="K502" s="80"/>
      <c r="L502" s="82"/>
    </row>
    <row r="503" spans="2:12" s="1" customFormat="1" ht="12.95" customHeight="1" x14ac:dyDescent="0.15">
      <c r="B503" s="82">
        <v>3</v>
      </c>
      <c r="C503" s="89"/>
      <c r="D503" s="169"/>
      <c r="E503" s="169"/>
      <c r="F503" s="168"/>
      <c r="G503" s="163"/>
      <c r="H503" s="20">
        <v>1</v>
      </c>
      <c r="I503" s="129">
        <f t="shared" si="29"/>
        <v>0</v>
      </c>
      <c r="J503" s="52">
        <f t="shared" si="30"/>
        <v>0</v>
      </c>
      <c r="K503" s="80"/>
      <c r="L503" s="82"/>
    </row>
    <row r="504" spans="2:12" s="1" customFormat="1" ht="12.95" customHeight="1" x14ac:dyDescent="0.15">
      <c r="B504" s="82">
        <v>4</v>
      </c>
      <c r="C504" s="82"/>
      <c r="D504" s="90"/>
      <c r="E504" s="90"/>
      <c r="F504" s="168"/>
      <c r="G504" s="163"/>
      <c r="H504" s="20">
        <v>1</v>
      </c>
      <c r="I504" s="129">
        <f t="shared" si="29"/>
        <v>0</v>
      </c>
      <c r="J504" s="52">
        <f t="shared" si="30"/>
        <v>0</v>
      </c>
      <c r="K504" s="80"/>
      <c r="L504" s="82"/>
    </row>
    <row r="505" spans="2:12" s="1" customFormat="1" ht="12.95" customHeight="1" x14ac:dyDescent="0.15">
      <c r="B505" s="82">
        <v>5</v>
      </c>
      <c r="C505" s="89"/>
      <c r="D505" s="170"/>
      <c r="E505" s="170"/>
      <c r="F505" s="168"/>
      <c r="G505" s="163"/>
      <c r="H505" s="20">
        <v>1</v>
      </c>
      <c r="I505" s="129">
        <f t="shared" si="29"/>
        <v>0</v>
      </c>
      <c r="J505" s="27">
        <f t="shared" si="30"/>
        <v>0</v>
      </c>
      <c r="K505" s="80"/>
      <c r="L505" s="82"/>
    </row>
    <row r="506" spans="2:12" s="1" customFormat="1" ht="12.95" customHeight="1" x14ac:dyDescent="0.15">
      <c r="B506" s="82">
        <v>6</v>
      </c>
      <c r="C506" s="89"/>
      <c r="D506" s="169"/>
      <c r="E506" s="169"/>
      <c r="F506" s="168"/>
      <c r="G506" s="163"/>
      <c r="H506" s="20">
        <v>1</v>
      </c>
      <c r="I506" s="129">
        <f t="shared" si="29"/>
        <v>0</v>
      </c>
      <c r="J506" s="52">
        <f t="shared" si="30"/>
        <v>0</v>
      </c>
      <c r="K506" s="80"/>
      <c r="L506" s="82"/>
    </row>
    <row r="507" spans="2:12" s="1" customFormat="1" ht="12.95" customHeight="1" x14ac:dyDescent="0.15">
      <c r="B507" s="82">
        <v>7</v>
      </c>
      <c r="C507" s="89"/>
      <c r="D507" s="167"/>
      <c r="E507" s="167"/>
      <c r="F507" s="168"/>
      <c r="G507" s="163"/>
      <c r="H507" s="20">
        <v>1</v>
      </c>
      <c r="I507" s="129">
        <f t="shared" si="29"/>
        <v>0</v>
      </c>
      <c r="J507" s="27">
        <f t="shared" si="30"/>
        <v>0</v>
      </c>
      <c r="K507" s="80"/>
      <c r="L507" s="82"/>
    </row>
    <row r="508" spans="2:12" s="1" customFormat="1" ht="12.95" customHeight="1" x14ac:dyDescent="0.15">
      <c r="B508" s="84">
        <v>8</v>
      </c>
      <c r="C508" s="81"/>
      <c r="D508" s="85"/>
      <c r="E508" s="165"/>
      <c r="F508" s="166"/>
      <c r="G508" s="20"/>
      <c r="H508" s="20">
        <v>1</v>
      </c>
      <c r="I508" s="129">
        <f t="shared" si="29"/>
        <v>0</v>
      </c>
      <c r="J508" s="52">
        <f t="shared" si="30"/>
        <v>0</v>
      </c>
      <c r="K508" s="80"/>
      <c r="L508" s="82"/>
    </row>
    <row r="509" spans="2:12" s="1" customFormat="1" ht="12.95" customHeight="1" x14ac:dyDescent="0.15">
      <c r="B509" s="16">
        <v>9</v>
      </c>
      <c r="C509" s="17"/>
      <c r="D509" s="18"/>
      <c r="E509" s="24"/>
      <c r="F509" s="129"/>
      <c r="G509" s="20"/>
      <c r="H509" s="20">
        <v>1</v>
      </c>
      <c r="I509" s="129">
        <f t="shared" si="29"/>
        <v>0</v>
      </c>
      <c r="J509" s="52">
        <f t="shared" si="30"/>
        <v>0</v>
      </c>
      <c r="K509" s="80"/>
      <c r="L509" s="82"/>
    </row>
    <row r="510" spans="2:12" s="1" customFormat="1" ht="12.95" customHeight="1" x14ac:dyDescent="0.15">
      <c r="B510" s="16">
        <v>10</v>
      </c>
      <c r="C510" s="17"/>
      <c r="D510" s="24"/>
      <c r="E510" s="18"/>
      <c r="F510" s="129"/>
      <c r="G510" s="20"/>
      <c r="H510" s="20">
        <v>1</v>
      </c>
      <c r="I510" s="129">
        <f t="shared" si="29"/>
        <v>0</v>
      </c>
      <c r="J510" s="52">
        <f t="shared" si="30"/>
        <v>0</v>
      </c>
      <c r="K510" s="80"/>
      <c r="L510" s="82"/>
    </row>
    <row r="511" spans="2:12" s="1" customFormat="1" ht="12.95" customHeight="1" x14ac:dyDescent="0.15">
      <c r="B511" s="16"/>
      <c r="C511" s="17"/>
      <c r="D511" s="24"/>
      <c r="E511" s="18"/>
      <c r="F511" s="129"/>
      <c r="G511" s="20"/>
      <c r="H511" s="20"/>
      <c r="I511" s="129"/>
      <c r="J511" s="52"/>
      <c r="K511" s="80"/>
      <c r="L511" s="82"/>
    </row>
    <row r="512" spans="2:12" s="1" customFormat="1" ht="12.95" customHeight="1" x14ac:dyDescent="0.15">
      <c r="B512" s="16"/>
      <c r="C512" s="17"/>
      <c r="D512" s="24"/>
      <c r="E512" s="18"/>
      <c r="F512" s="129"/>
      <c r="G512" s="20"/>
      <c r="H512" s="20"/>
      <c r="I512" s="129"/>
      <c r="J512" s="52"/>
      <c r="K512" s="80"/>
      <c r="L512" s="82"/>
    </row>
    <row r="513" spans="2:20" s="1" customFormat="1" ht="12.95" customHeight="1" x14ac:dyDescent="0.15">
      <c r="B513" s="16"/>
      <c r="C513" s="22" t="s">
        <v>153</v>
      </c>
      <c r="D513" s="24"/>
      <c r="E513" s="18"/>
      <c r="F513" s="129"/>
      <c r="G513" s="20"/>
      <c r="H513" s="20"/>
      <c r="I513" s="129"/>
      <c r="J513" s="52"/>
      <c r="K513" s="80"/>
      <c r="L513" s="82"/>
    </row>
    <row r="514" spans="2:20" s="1" customFormat="1" ht="12.95" customHeight="1" x14ac:dyDescent="0.15">
      <c r="B514" s="16">
        <v>1</v>
      </c>
      <c r="C514" s="17"/>
      <c r="D514" s="24"/>
      <c r="E514" s="24"/>
      <c r="F514" s="129"/>
      <c r="G514" s="20"/>
      <c r="H514" s="20">
        <v>1</v>
      </c>
      <c r="I514" s="129">
        <f t="shared" si="29"/>
        <v>0</v>
      </c>
      <c r="J514" s="52">
        <f t="shared" si="30"/>
        <v>0</v>
      </c>
      <c r="K514" s="80"/>
      <c r="L514" s="82"/>
    </row>
    <row r="515" spans="2:20" s="1" customFormat="1" ht="12.95" customHeight="1" x14ac:dyDescent="0.15">
      <c r="B515" s="16">
        <v>2</v>
      </c>
      <c r="C515" s="17"/>
      <c r="D515" s="24"/>
      <c r="E515" s="24"/>
      <c r="F515" s="129"/>
      <c r="G515" s="20"/>
      <c r="H515" s="20">
        <v>1</v>
      </c>
      <c r="I515" s="129">
        <f t="shared" si="29"/>
        <v>0</v>
      </c>
      <c r="J515" s="52">
        <f>(F515*G515*H515)/$C$32</f>
        <v>0</v>
      </c>
      <c r="K515" s="80"/>
      <c r="L515" s="82"/>
    </row>
    <row r="516" spans="2:20" s="1" customFormat="1" ht="12.95" customHeight="1" x14ac:dyDescent="0.15">
      <c r="B516" s="16">
        <v>3</v>
      </c>
      <c r="C516" s="24"/>
      <c r="D516" s="24"/>
      <c r="E516" s="24"/>
      <c r="F516" s="129"/>
      <c r="G516" s="20"/>
      <c r="H516" s="20">
        <v>1</v>
      </c>
      <c r="I516" s="129">
        <f t="shared" si="29"/>
        <v>0</v>
      </c>
      <c r="J516" s="52">
        <f>(F516*G516*H516)/$C$32</f>
        <v>0</v>
      </c>
      <c r="K516" s="80"/>
      <c r="L516" s="82"/>
    </row>
    <row r="517" spans="2:20" s="1" customFormat="1" ht="12.95" customHeight="1" x14ac:dyDescent="0.15">
      <c r="B517" s="16">
        <v>4</v>
      </c>
      <c r="C517" s="24"/>
      <c r="D517" s="18"/>
      <c r="E517" s="18"/>
      <c r="F517" s="129"/>
      <c r="G517" s="20"/>
      <c r="H517" s="20">
        <v>1</v>
      </c>
      <c r="I517" s="129">
        <f t="shared" si="29"/>
        <v>0</v>
      </c>
      <c r="J517" s="27">
        <f t="shared" ref="J517:J543" si="31">(F517*G517*H517)/$C$32</f>
        <v>0</v>
      </c>
      <c r="K517" s="80"/>
      <c r="L517" s="82"/>
      <c r="M517" s="10"/>
      <c r="N517" s="10"/>
      <c r="O517" s="10"/>
      <c r="P517" s="10"/>
      <c r="Q517" s="43"/>
      <c r="R517" s="10"/>
      <c r="T517" s="10"/>
    </row>
    <row r="518" spans="2:20" s="1" customFormat="1" ht="12.95" customHeight="1" x14ac:dyDescent="0.15">
      <c r="B518" s="16">
        <v>5</v>
      </c>
      <c r="C518" s="24"/>
      <c r="D518" s="24"/>
      <c r="E518" s="24"/>
      <c r="F518" s="129"/>
      <c r="G518" s="20"/>
      <c r="H518" s="20">
        <v>1</v>
      </c>
      <c r="I518" s="129">
        <f t="shared" si="29"/>
        <v>0</v>
      </c>
      <c r="J518" s="52">
        <f t="shared" si="31"/>
        <v>0</v>
      </c>
      <c r="K518" s="80"/>
      <c r="L518" s="82"/>
      <c r="M518" s="39"/>
      <c r="N518" s="40"/>
      <c r="O518" s="40"/>
    </row>
    <row r="519" spans="2:20" s="1" customFormat="1" ht="12.95" customHeight="1" x14ac:dyDescent="0.15">
      <c r="B519" s="16">
        <v>6</v>
      </c>
      <c r="C519" s="17"/>
      <c r="D519" s="18"/>
      <c r="E519" s="18"/>
      <c r="F519" s="129"/>
      <c r="G519" s="20"/>
      <c r="H519" s="20">
        <v>1</v>
      </c>
      <c r="I519" s="129">
        <f>J519*$C$32</f>
        <v>0</v>
      </c>
      <c r="J519" s="27">
        <f t="shared" si="31"/>
        <v>0</v>
      </c>
      <c r="K519" s="80"/>
      <c r="L519" s="82"/>
      <c r="N519" s="10"/>
      <c r="O519" s="10"/>
      <c r="P519" s="10"/>
      <c r="Q519" s="43"/>
      <c r="R519" s="10"/>
      <c r="T519" s="10"/>
    </row>
    <row r="520" spans="2:20" s="1" customFormat="1" ht="12.95" customHeight="1" x14ac:dyDescent="0.15">
      <c r="B520" s="16">
        <v>7</v>
      </c>
      <c r="C520" s="17"/>
      <c r="D520" s="24"/>
      <c r="E520" s="24"/>
      <c r="F520" s="129"/>
      <c r="G520" s="20"/>
      <c r="H520" s="20">
        <v>1</v>
      </c>
      <c r="I520" s="129">
        <f t="shared" si="29"/>
        <v>0</v>
      </c>
      <c r="J520" s="54">
        <f>(F520*G520*H520)/$C$32</f>
        <v>0</v>
      </c>
      <c r="K520" s="80"/>
      <c r="L520" s="82"/>
    </row>
    <row r="521" spans="2:20" s="1" customFormat="1" ht="12.95" customHeight="1" x14ac:dyDescent="0.15">
      <c r="B521" s="16">
        <v>8</v>
      </c>
      <c r="C521" s="17"/>
      <c r="D521" s="24"/>
      <c r="E521" s="24"/>
      <c r="F521" s="129"/>
      <c r="G521" s="20"/>
      <c r="H521" s="20">
        <v>1</v>
      </c>
      <c r="I521" s="129">
        <f>J521*$C$32</f>
        <v>0</v>
      </c>
      <c r="J521" s="54">
        <f>(F521*G521*H521)/$C$32</f>
        <v>0</v>
      </c>
      <c r="K521" s="80"/>
      <c r="L521" s="82"/>
    </row>
    <row r="522" spans="2:20" s="1" customFormat="1" ht="12.95" customHeight="1" x14ac:dyDescent="0.15">
      <c r="B522" s="16">
        <v>9</v>
      </c>
      <c r="C522" s="17"/>
      <c r="D522" s="24"/>
      <c r="E522" s="24"/>
      <c r="F522" s="129"/>
      <c r="G522" s="20"/>
      <c r="H522" s="20">
        <v>1</v>
      </c>
      <c r="I522" s="129">
        <f t="shared" si="29"/>
        <v>0</v>
      </c>
      <c r="J522" s="52">
        <f t="shared" si="31"/>
        <v>0</v>
      </c>
      <c r="K522" s="80"/>
      <c r="L522" s="82"/>
    </row>
    <row r="523" spans="2:20" s="1" customFormat="1" ht="12.95" customHeight="1" x14ac:dyDescent="0.15">
      <c r="B523" s="16">
        <v>10</v>
      </c>
      <c r="C523" s="17"/>
      <c r="D523" s="24"/>
      <c r="E523" s="24"/>
      <c r="F523" s="129"/>
      <c r="G523" s="20"/>
      <c r="H523" s="20">
        <v>1</v>
      </c>
      <c r="I523" s="129">
        <f t="shared" si="29"/>
        <v>0</v>
      </c>
      <c r="J523" s="52">
        <f t="shared" si="31"/>
        <v>0</v>
      </c>
      <c r="K523" s="80"/>
      <c r="L523" s="82"/>
    </row>
    <row r="524" spans="2:20" s="1" customFormat="1" ht="12" customHeight="1" x14ac:dyDescent="0.15">
      <c r="B524" s="16">
        <v>11</v>
      </c>
      <c r="C524" s="17"/>
      <c r="D524" s="24"/>
      <c r="E524" s="24"/>
      <c r="F524" s="129"/>
      <c r="G524" s="20"/>
      <c r="H524" s="20">
        <v>1</v>
      </c>
      <c r="I524" s="129">
        <f t="shared" si="29"/>
        <v>0</v>
      </c>
      <c r="J524" s="52">
        <f t="shared" si="31"/>
        <v>0</v>
      </c>
      <c r="K524" s="80"/>
      <c r="L524" s="82"/>
    </row>
    <row r="525" spans="2:20" s="1" customFormat="1" ht="12.95" customHeight="1" x14ac:dyDescent="0.15">
      <c r="B525" s="16">
        <v>12</v>
      </c>
      <c r="C525" s="17"/>
      <c r="D525" s="24"/>
      <c r="E525" s="24"/>
      <c r="F525" s="129"/>
      <c r="G525" s="20"/>
      <c r="H525" s="20">
        <v>1</v>
      </c>
      <c r="I525" s="129">
        <f t="shared" si="29"/>
        <v>0</v>
      </c>
      <c r="J525" s="52">
        <f t="shared" si="31"/>
        <v>0</v>
      </c>
      <c r="K525" s="80"/>
      <c r="L525" s="82"/>
    </row>
    <row r="526" spans="2:20" s="1" customFormat="1" ht="12.95" customHeight="1" x14ac:dyDescent="0.15">
      <c r="B526" s="16">
        <v>13</v>
      </c>
      <c r="C526" s="17"/>
      <c r="D526" s="18"/>
      <c r="E526" s="18"/>
      <c r="F526" s="129"/>
      <c r="G526" s="20"/>
      <c r="H526" s="20">
        <v>1</v>
      </c>
      <c r="I526" s="129">
        <f t="shared" si="29"/>
        <v>0</v>
      </c>
      <c r="J526" s="52">
        <f t="shared" si="31"/>
        <v>0</v>
      </c>
      <c r="K526" s="80"/>
      <c r="L526" s="82"/>
      <c r="M526" s="10"/>
      <c r="N526" s="10"/>
      <c r="O526" s="10"/>
      <c r="P526" s="10"/>
      <c r="Q526" s="43"/>
      <c r="R526" s="10"/>
      <c r="T526" s="10"/>
    </row>
    <row r="527" spans="2:20" s="1" customFormat="1" ht="12.95" customHeight="1" x14ac:dyDescent="0.15">
      <c r="B527" s="16">
        <v>14</v>
      </c>
      <c r="C527" s="17"/>
      <c r="D527" s="18"/>
      <c r="E527" s="18"/>
      <c r="F527" s="129"/>
      <c r="G527" s="20"/>
      <c r="H527" s="20">
        <v>1</v>
      </c>
      <c r="I527" s="129">
        <f t="shared" si="29"/>
        <v>0</v>
      </c>
      <c r="J527" s="52">
        <f t="shared" si="31"/>
        <v>0</v>
      </c>
      <c r="K527" s="80"/>
      <c r="L527" s="82"/>
      <c r="M527" s="10"/>
      <c r="N527" s="10"/>
      <c r="O527" s="10"/>
      <c r="P527" s="10"/>
      <c r="Q527" s="43"/>
      <c r="R527" s="10"/>
      <c r="T527" s="10"/>
    </row>
    <row r="528" spans="2:20" s="1" customFormat="1" ht="12.95" customHeight="1" x14ac:dyDescent="0.15">
      <c r="B528" s="16">
        <v>15</v>
      </c>
      <c r="C528" s="17"/>
      <c r="D528" s="18"/>
      <c r="E528" s="18"/>
      <c r="F528" s="129"/>
      <c r="G528" s="20"/>
      <c r="H528" s="20">
        <v>1</v>
      </c>
      <c r="I528" s="129">
        <f t="shared" si="29"/>
        <v>0</v>
      </c>
      <c r="J528" s="52">
        <f t="shared" si="31"/>
        <v>0</v>
      </c>
      <c r="K528" s="80"/>
      <c r="L528" s="82"/>
      <c r="M528" s="10"/>
      <c r="N528" s="10"/>
      <c r="O528" s="10"/>
      <c r="P528" s="10"/>
      <c r="Q528" s="43"/>
      <c r="R528" s="10"/>
      <c r="T528" s="10"/>
    </row>
    <row r="529" spans="2:20" s="1" customFormat="1" ht="12.95" customHeight="1" x14ac:dyDescent="0.15">
      <c r="B529" s="16">
        <v>16</v>
      </c>
      <c r="C529" s="17"/>
      <c r="D529" s="18"/>
      <c r="E529" s="18"/>
      <c r="F529" s="129"/>
      <c r="G529" s="20"/>
      <c r="H529" s="20">
        <v>1</v>
      </c>
      <c r="I529" s="129">
        <f t="shared" si="29"/>
        <v>0</v>
      </c>
      <c r="J529" s="52">
        <f t="shared" si="31"/>
        <v>0</v>
      </c>
      <c r="K529" s="80"/>
      <c r="L529" s="82"/>
      <c r="M529" s="10"/>
      <c r="N529" s="10"/>
      <c r="O529" s="10"/>
      <c r="P529" s="10"/>
      <c r="Q529" s="43"/>
      <c r="R529" s="10"/>
      <c r="T529" s="10"/>
    </row>
    <row r="530" spans="2:20" s="1" customFormat="1" ht="12.95" customHeight="1" x14ac:dyDescent="0.15">
      <c r="B530" s="16">
        <v>17</v>
      </c>
      <c r="C530" s="17"/>
      <c r="D530" s="18"/>
      <c r="E530" s="18"/>
      <c r="F530" s="129"/>
      <c r="G530" s="20"/>
      <c r="H530" s="20">
        <v>1</v>
      </c>
      <c r="I530" s="129">
        <f t="shared" si="29"/>
        <v>0</v>
      </c>
      <c r="J530" s="52">
        <f t="shared" si="31"/>
        <v>0</v>
      </c>
      <c r="K530" s="80"/>
      <c r="L530" s="82"/>
      <c r="M530" s="10"/>
      <c r="N530" s="10"/>
      <c r="O530" s="10"/>
      <c r="P530" s="10"/>
      <c r="Q530" s="43"/>
      <c r="R530" s="10"/>
      <c r="T530" s="10"/>
    </row>
    <row r="531" spans="2:20" s="1" customFormat="1" ht="12.95" customHeight="1" x14ac:dyDescent="0.15">
      <c r="B531" s="16">
        <v>18</v>
      </c>
      <c r="C531" s="17"/>
      <c r="D531" s="18"/>
      <c r="E531" s="18"/>
      <c r="F531" s="129"/>
      <c r="G531" s="20"/>
      <c r="H531" s="20">
        <v>1</v>
      </c>
      <c r="I531" s="129">
        <f t="shared" si="29"/>
        <v>0</v>
      </c>
      <c r="J531" s="52">
        <f t="shared" si="31"/>
        <v>0</v>
      </c>
      <c r="K531" s="80"/>
      <c r="L531" s="82"/>
      <c r="M531" s="10"/>
      <c r="N531" s="10"/>
      <c r="O531" s="10"/>
      <c r="P531" s="10"/>
      <c r="Q531" s="43"/>
      <c r="R531" s="10"/>
      <c r="T531" s="10"/>
    </row>
    <row r="532" spans="2:20" s="1" customFormat="1" ht="12.95" customHeight="1" x14ac:dyDescent="0.15">
      <c r="B532" s="16">
        <v>19</v>
      </c>
      <c r="C532" s="17"/>
      <c r="D532" s="18"/>
      <c r="E532" s="18"/>
      <c r="F532" s="129"/>
      <c r="G532" s="20"/>
      <c r="H532" s="20">
        <v>1</v>
      </c>
      <c r="I532" s="129">
        <f t="shared" si="29"/>
        <v>0</v>
      </c>
      <c r="J532" s="52">
        <f t="shared" si="31"/>
        <v>0</v>
      </c>
      <c r="K532" s="80"/>
      <c r="L532" s="82"/>
      <c r="M532" s="10"/>
      <c r="N532" s="10"/>
      <c r="O532" s="10"/>
      <c r="P532" s="10"/>
      <c r="Q532" s="43"/>
      <c r="R532" s="10"/>
      <c r="T532" s="10"/>
    </row>
    <row r="533" spans="2:20" s="1" customFormat="1" ht="12.95" customHeight="1" x14ac:dyDescent="0.15">
      <c r="B533" s="16">
        <v>20</v>
      </c>
      <c r="C533" s="17"/>
      <c r="D533" s="18"/>
      <c r="E533" s="18"/>
      <c r="F533" s="129"/>
      <c r="G533" s="20"/>
      <c r="H533" s="20">
        <v>1</v>
      </c>
      <c r="I533" s="129">
        <f t="shared" si="29"/>
        <v>0</v>
      </c>
      <c r="J533" s="52">
        <f t="shared" si="31"/>
        <v>0</v>
      </c>
      <c r="K533" s="80"/>
      <c r="L533" s="82"/>
      <c r="M533" s="10"/>
      <c r="N533" s="10"/>
      <c r="O533" s="10"/>
      <c r="P533" s="10"/>
      <c r="Q533" s="43"/>
      <c r="R533" s="10"/>
      <c r="T533" s="10"/>
    </row>
    <row r="534" spans="2:20" s="1" customFormat="1" ht="12.95" customHeight="1" x14ac:dyDescent="0.15">
      <c r="B534" s="16"/>
      <c r="C534" s="17"/>
      <c r="D534" s="18"/>
      <c r="E534" s="18"/>
      <c r="F534" s="129"/>
      <c r="G534" s="20"/>
      <c r="H534" s="20"/>
      <c r="I534" s="129"/>
      <c r="J534" s="52"/>
      <c r="K534" s="80"/>
      <c r="L534" s="82"/>
      <c r="M534" s="10"/>
      <c r="N534" s="10"/>
      <c r="O534" s="10"/>
      <c r="P534" s="10"/>
      <c r="Q534" s="43"/>
      <c r="R534" s="10"/>
      <c r="T534" s="10"/>
    </row>
    <row r="535" spans="2:20" s="1" customFormat="1" ht="12.95" customHeight="1" x14ac:dyDescent="0.15">
      <c r="B535" s="16"/>
      <c r="C535" s="17"/>
      <c r="D535" s="18"/>
      <c r="E535" s="18"/>
      <c r="F535" s="129"/>
      <c r="G535" s="20"/>
      <c r="H535" s="20"/>
      <c r="I535" s="129"/>
      <c r="J535" s="52"/>
      <c r="K535" s="80"/>
      <c r="L535" s="82"/>
      <c r="M535" s="10"/>
      <c r="N535" s="10"/>
      <c r="O535" s="10"/>
      <c r="P535" s="10"/>
      <c r="Q535" s="43"/>
      <c r="R535" s="10"/>
      <c r="T535" s="10"/>
    </row>
    <row r="536" spans="2:20" s="1" customFormat="1" ht="12.95" customHeight="1" x14ac:dyDescent="0.15">
      <c r="B536" s="16"/>
      <c r="C536" s="73" t="s">
        <v>132</v>
      </c>
      <c r="D536" s="18"/>
      <c r="E536" s="18"/>
      <c r="F536" s="129"/>
      <c r="G536" s="55"/>
      <c r="H536" s="20"/>
      <c r="I536" s="129"/>
      <c r="J536" s="52"/>
      <c r="K536" s="80"/>
      <c r="L536" s="82"/>
      <c r="N536" s="10"/>
      <c r="O536" s="10"/>
      <c r="P536" s="10"/>
      <c r="Q536" s="43"/>
      <c r="R536" s="10"/>
      <c r="T536" s="10"/>
    </row>
    <row r="537" spans="2:20" s="1" customFormat="1" ht="12.95" customHeight="1" x14ac:dyDescent="0.15">
      <c r="B537" s="16">
        <v>1</v>
      </c>
      <c r="C537" s="45"/>
      <c r="D537" s="18"/>
      <c r="E537" s="18"/>
      <c r="F537" s="129"/>
      <c r="G537" s="20"/>
      <c r="H537" s="20">
        <v>1</v>
      </c>
      <c r="I537" s="129">
        <f>J537*$C$32</f>
        <v>0</v>
      </c>
      <c r="J537" s="52">
        <f t="shared" si="31"/>
        <v>0</v>
      </c>
      <c r="K537" s="80"/>
      <c r="L537" s="82"/>
      <c r="N537" s="10"/>
      <c r="O537" s="10"/>
      <c r="P537" s="10"/>
      <c r="Q537" s="43"/>
      <c r="R537" s="10"/>
      <c r="T537" s="10"/>
    </row>
    <row r="538" spans="2:20" s="1" customFormat="1" ht="12.95" customHeight="1" x14ac:dyDescent="0.15">
      <c r="B538" s="16">
        <v>2</v>
      </c>
      <c r="C538" s="44"/>
      <c r="D538" s="18"/>
      <c r="E538" s="18"/>
      <c r="F538" s="129"/>
      <c r="G538" s="20"/>
      <c r="H538" s="20">
        <v>1</v>
      </c>
      <c r="I538" s="129">
        <f>J538*$C$32</f>
        <v>0</v>
      </c>
      <c r="J538" s="52">
        <f t="shared" si="31"/>
        <v>0</v>
      </c>
      <c r="K538" s="80"/>
      <c r="L538" s="82"/>
      <c r="N538" s="10"/>
      <c r="O538" s="10"/>
      <c r="P538" s="10"/>
      <c r="Q538" s="43"/>
      <c r="R538" s="10"/>
      <c r="T538" s="10"/>
    </row>
    <row r="539" spans="2:20" s="1" customFormat="1" ht="12.95" customHeight="1" x14ac:dyDescent="0.15">
      <c r="B539" s="16">
        <v>3</v>
      </c>
      <c r="C539" s="11"/>
      <c r="D539" s="18"/>
      <c r="E539" s="18"/>
      <c r="F539" s="129"/>
      <c r="G539" s="20"/>
      <c r="H539" s="20">
        <v>1</v>
      </c>
      <c r="I539" s="129">
        <f t="shared" ref="I539:I556" si="32">J539*$C$32</f>
        <v>0</v>
      </c>
      <c r="J539" s="52">
        <f t="shared" si="31"/>
        <v>0</v>
      </c>
      <c r="K539" s="80"/>
      <c r="L539" s="82"/>
      <c r="N539" s="10"/>
      <c r="O539" s="10"/>
      <c r="P539" s="10"/>
      <c r="Q539" s="43"/>
      <c r="R539" s="10"/>
      <c r="T539" s="10"/>
    </row>
    <row r="540" spans="2:20" s="1" customFormat="1" ht="12.95" customHeight="1" x14ac:dyDescent="0.2">
      <c r="B540" s="16">
        <v>4</v>
      </c>
      <c r="C540" s="56"/>
      <c r="D540" s="17"/>
      <c r="E540" s="17"/>
      <c r="F540" s="129"/>
      <c r="G540" s="20"/>
      <c r="H540" s="20">
        <v>1</v>
      </c>
      <c r="I540" s="129">
        <f t="shared" si="32"/>
        <v>0</v>
      </c>
      <c r="J540" s="52">
        <f t="shared" si="31"/>
        <v>0</v>
      </c>
      <c r="K540" s="80"/>
      <c r="L540" s="82"/>
      <c r="M540" s="10"/>
      <c r="N540" s="10"/>
      <c r="O540" s="10"/>
      <c r="P540" s="10"/>
      <c r="Q540" s="43"/>
      <c r="R540" s="10"/>
      <c r="T540" s="10"/>
    </row>
    <row r="541" spans="2:20" s="1" customFormat="1" ht="12.95" customHeight="1" x14ac:dyDescent="0.15">
      <c r="B541" s="16">
        <v>5</v>
      </c>
      <c r="C541" s="17"/>
      <c r="D541" s="17"/>
      <c r="E541" s="17"/>
      <c r="F541" s="129"/>
      <c r="G541" s="20"/>
      <c r="H541" s="20">
        <v>1</v>
      </c>
      <c r="I541" s="129">
        <f t="shared" si="32"/>
        <v>0</v>
      </c>
      <c r="J541" s="52">
        <f t="shared" si="31"/>
        <v>0</v>
      </c>
      <c r="K541" s="80"/>
      <c r="L541" s="82"/>
      <c r="M541" s="10"/>
      <c r="N541" s="10"/>
      <c r="O541" s="10"/>
      <c r="P541" s="10"/>
      <c r="Q541" s="43"/>
      <c r="R541" s="10"/>
      <c r="T541" s="10"/>
    </row>
    <row r="542" spans="2:20" s="1" customFormat="1" ht="12.95" customHeight="1" x14ac:dyDescent="0.15">
      <c r="B542" s="16">
        <v>6</v>
      </c>
      <c r="C542" s="17"/>
      <c r="D542" s="17"/>
      <c r="E542" s="17"/>
      <c r="F542" s="129"/>
      <c r="G542" s="20"/>
      <c r="H542" s="20">
        <v>1</v>
      </c>
      <c r="I542" s="129">
        <f t="shared" si="32"/>
        <v>0</v>
      </c>
      <c r="J542" s="52">
        <f t="shared" si="31"/>
        <v>0</v>
      </c>
      <c r="K542" s="80"/>
      <c r="L542" s="82"/>
      <c r="M542" s="10"/>
      <c r="N542" s="10"/>
      <c r="O542" s="10"/>
      <c r="P542" s="10"/>
      <c r="Q542" s="43"/>
      <c r="R542" s="10"/>
      <c r="T542" s="10"/>
    </row>
    <row r="543" spans="2:20" s="1" customFormat="1" ht="12.95" customHeight="1" x14ac:dyDescent="0.15">
      <c r="B543" s="16">
        <v>7</v>
      </c>
      <c r="C543" s="17"/>
      <c r="D543" s="17"/>
      <c r="E543" s="17"/>
      <c r="F543" s="129"/>
      <c r="G543" s="20"/>
      <c r="H543" s="20">
        <v>1</v>
      </c>
      <c r="I543" s="129">
        <f t="shared" si="32"/>
        <v>0</v>
      </c>
      <c r="J543" s="52">
        <f t="shared" si="31"/>
        <v>0</v>
      </c>
      <c r="K543" s="80"/>
      <c r="L543" s="82"/>
      <c r="M543" s="10"/>
      <c r="N543" s="10"/>
      <c r="O543" s="10"/>
      <c r="P543" s="10"/>
      <c r="Q543" s="43"/>
      <c r="R543" s="10"/>
      <c r="T543" s="10"/>
    </row>
    <row r="544" spans="2:20" s="1" customFormat="1" ht="12.95" customHeight="1" x14ac:dyDescent="0.15">
      <c r="B544" s="16">
        <v>8</v>
      </c>
      <c r="C544" s="17"/>
      <c r="D544" s="17"/>
      <c r="E544" s="17"/>
      <c r="F544" s="129"/>
      <c r="G544" s="20"/>
      <c r="H544" s="20">
        <v>1</v>
      </c>
      <c r="I544" s="129">
        <f t="shared" si="32"/>
        <v>0</v>
      </c>
      <c r="J544" s="52">
        <f>(F544*G544*H544)/$C$32</f>
        <v>0</v>
      </c>
      <c r="K544" s="80"/>
      <c r="L544" s="82"/>
    </row>
    <row r="545" spans="2:20" s="1" customFormat="1" ht="12.95" customHeight="1" x14ac:dyDescent="0.15">
      <c r="B545" s="16">
        <v>9</v>
      </c>
      <c r="C545" s="17"/>
      <c r="D545" s="17"/>
      <c r="E545" s="17"/>
      <c r="F545" s="129"/>
      <c r="G545" s="20"/>
      <c r="H545" s="20">
        <v>1</v>
      </c>
      <c r="I545" s="129">
        <f t="shared" si="32"/>
        <v>0</v>
      </c>
      <c r="J545" s="52">
        <f>(F545*G545*H545)/$C$32</f>
        <v>0</v>
      </c>
      <c r="K545" s="80"/>
      <c r="L545" s="82"/>
    </row>
    <row r="546" spans="2:20" s="1" customFormat="1" ht="12.95" customHeight="1" x14ac:dyDescent="0.15">
      <c r="B546" s="16">
        <v>10</v>
      </c>
      <c r="C546" s="17"/>
      <c r="D546" s="17"/>
      <c r="E546" s="17"/>
      <c r="F546" s="129"/>
      <c r="G546" s="20"/>
      <c r="H546" s="20">
        <v>1</v>
      </c>
      <c r="I546" s="129">
        <f t="shared" si="32"/>
        <v>0</v>
      </c>
      <c r="J546" s="52">
        <f t="shared" ref="J546:J556" si="33">(F546*G546*H546)/$C$32</f>
        <v>0</v>
      </c>
      <c r="K546" s="80"/>
      <c r="L546" s="82"/>
      <c r="M546" s="10"/>
      <c r="N546" s="10"/>
      <c r="O546" s="10"/>
      <c r="P546" s="10"/>
      <c r="Q546" s="43"/>
      <c r="R546" s="10"/>
      <c r="T546" s="10"/>
    </row>
    <row r="547" spans="2:20" s="1" customFormat="1" ht="12.95" customHeight="1" x14ac:dyDescent="0.15">
      <c r="B547" s="16">
        <v>11</v>
      </c>
      <c r="C547" s="17"/>
      <c r="D547" s="17"/>
      <c r="E547" s="17"/>
      <c r="F547" s="129"/>
      <c r="G547" s="20"/>
      <c r="H547" s="20">
        <v>1</v>
      </c>
      <c r="I547" s="129">
        <f t="shared" si="32"/>
        <v>0</v>
      </c>
      <c r="J547" s="52">
        <f t="shared" si="33"/>
        <v>0</v>
      </c>
      <c r="K547" s="80"/>
      <c r="L547" s="82"/>
      <c r="M547" s="10"/>
      <c r="N547" s="10"/>
      <c r="O547" s="10"/>
      <c r="P547" s="10"/>
      <c r="Q547" s="43"/>
      <c r="R547" s="10"/>
      <c r="T547" s="10"/>
    </row>
    <row r="548" spans="2:20" s="1" customFormat="1" ht="12.95" customHeight="1" x14ac:dyDescent="0.15">
      <c r="B548" s="16">
        <v>12</v>
      </c>
      <c r="C548" s="17"/>
      <c r="D548" s="17"/>
      <c r="E548" s="17"/>
      <c r="F548" s="129"/>
      <c r="G548" s="20"/>
      <c r="H548" s="20">
        <v>1</v>
      </c>
      <c r="I548" s="129">
        <f t="shared" si="32"/>
        <v>0</v>
      </c>
      <c r="J548" s="52">
        <f t="shared" si="33"/>
        <v>0</v>
      </c>
      <c r="K548" s="80"/>
      <c r="L548" s="82"/>
      <c r="M548" s="10"/>
      <c r="N548" s="10"/>
      <c r="O548" s="10"/>
      <c r="P548" s="10"/>
      <c r="Q548" s="43"/>
      <c r="R548" s="10"/>
      <c r="T548" s="10"/>
    </row>
    <row r="549" spans="2:20" s="1" customFormat="1" ht="12.95" customHeight="1" x14ac:dyDescent="0.15">
      <c r="B549" s="16">
        <v>13</v>
      </c>
      <c r="C549" s="17"/>
      <c r="D549" s="17"/>
      <c r="E549" s="17"/>
      <c r="F549" s="129"/>
      <c r="G549" s="20"/>
      <c r="H549" s="20">
        <v>1</v>
      </c>
      <c r="I549" s="129">
        <f t="shared" si="32"/>
        <v>0</v>
      </c>
      <c r="J549" s="52">
        <f t="shared" si="33"/>
        <v>0</v>
      </c>
      <c r="K549" s="80"/>
      <c r="L549" s="82"/>
      <c r="M549" s="10"/>
      <c r="N549" s="10"/>
      <c r="O549" s="10"/>
      <c r="P549" s="10"/>
      <c r="Q549" s="43"/>
      <c r="R549" s="10"/>
      <c r="T549" s="10"/>
    </row>
    <row r="550" spans="2:20" s="1" customFormat="1" ht="12.95" customHeight="1" x14ac:dyDescent="0.15">
      <c r="B550" s="16">
        <v>14</v>
      </c>
      <c r="C550" s="17"/>
      <c r="D550" s="17"/>
      <c r="E550" s="17"/>
      <c r="F550" s="129"/>
      <c r="G550" s="20"/>
      <c r="H550" s="20">
        <v>1</v>
      </c>
      <c r="I550" s="129">
        <f t="shared" si="32"/>
        <v>0</v>
      </c>
      <c r="J550" s="52">
        <f t="shared" si="33"/>
        <v>0</v>
      </c>
      <c r="K550" s="80"/>
      <c r="L550" s="82"/>
      <c r="M550" s="10"/>
      <c r="N550" s="10"/>
      <c r="O550" s="10"/>
      <c r="P550" s="10"/>
      <c r="Q550" s="43"/>
      <c r="R550" s="10"/>
      <c r="T550" s="10"/>
    </row>
    <row r="551" spans="2:20" s="1" customFormat="1" ht="12.95" customHeight="1" x14ac:dyDescent="0.15">
      <c r="B551" s="16">
        <v>15</v>
      </c>
      <c r="C551" s="17"/>
      <c r="D551" s="17"/>
      <c r="E551" s="17"/>
      <c r="F551" s="129"/>
      <c r="G551" s="20"/>
      <c r="H551" s="20">
        <v>1</v>
      </c>
      <c r="I551" s="129">
        <f t="shared" si="32"/>
        <v>0</v>
      </c>
      <c r="J551" s="52">
        <f t="shared" si="33"/>
        <v>0</v>
      </c>
      <c r="K551" s="80"/>
      <c r="L551" s="82"/>
      <c r="M551" s="10"/>
      <c r="N551" s="10"/>
      <c r="O551" s="10"/>
      <c r="P551" s="10"/>
      <c r="Q551" s="43"/>
      <c r="R551" s="10"/>
      <c r="T551" s="10"/>
    </row>
    <row r="552" spans="2:20" s="1" customFormat="1" ht="12.95" customHeight="1" x14ac:dyDescent="0.15">
      <c r="B552" s="16">
        <v>16</v>
      </c>
      <c r="C552" s="17"/>
      <c r="D552" s="17"/>
      <c r="E552" s="17"/>
      <c r="F552" s="129"/>
      <c r="G552" s="20"/>
      <c r="H552" s="20">
        <v>1</v>
      </c>
      <c r="I552" s="129">
        <f t="shared" si="32"/>
        <v>0</v>
      </c>
      <c r="J552" s="52">
        <f t="shared" si="33"/>
        <v>0</v>
      </c>
      <c r="K552" s="80"/>
      <c r="L552" s="82"/>
      <c r="M552" s="10"/>
      <c r="N552" s="10"/>
      <c r="O552" s="10"/>
      <c r="P552" s="10"/>
      <c r="Q552" s="43"/>
      <c r="R552" s="10"/>
      <c r="T552" s="10"/>
    </row>
    <row r="553" spans="2:20" s="1" customFormat="1" ht="12.95" customHeight="1" x14ac:dyDescent="0.15">
      <c r="B553" s="16">
        <v>17</v>
      </c>
      <c r="C553" s="17"/>
      <c r="D553" s="17"/>
      <c r="E553" s="17"/>
      <c r="F553" s="129"/>
      <c r="G553" s="20"/>
      <c r="H553" s="20">
        <v>1</v>
      </c>
      <c r="I553" s="129">
        <f t="shared" si="32"/>
        <v>0</v>
      </c>
      <c r="J553" s="52">
        <f t="shared" si="33"/>
        <v>0</v>
      </c>
      <c r="K553" s="80"/>
      <c r="L553" s="82"/>
      <c r="M553" s="10"/>
      <c r="N553" s="10"/>
      <c r="O553" s="10"/>
      <c r="P553" s="10"/>
      <c r="Q553" s="43"/>
      <c r="R553" s="10"/>
      <c r="T553" s="10"/>
    </row>
    <row r="554" spans="2:20" s="1" customFormat="1" ht="12.95" customHeight="1" x14ac:dyDescent="0.15">
      <c r="B554" s="16">
        <v>18</v>
      </c>
      <c r="C554" s="17"/>
      <c r="D554" s="17"/>
      <c r="E554" s="17"/>
      <c r="F554" s="129"/>
      <c r="G554" s="20"/>
      <c r="H554" s="20">
        <v>1</v>
      </c>
      <c r="I554" s="129">
        <f t="shared" si="32"/>
        <v>0</v>
      </c>
      <c r="J554" s="265">
        <f t="shared" si="33"/>
        <v>0</v>
      </c>
      <c r="K554" s="111"/>
      <c r="L554" s="119"/>
      <c r="M554" s="10"/>
      <c r="N554" s="10"/>
      <c r="O554" s="10"/>
      <c r="P554" s="10"/>
      <c r="Q554" s="43"/>
      <c r="R554" s="10"/>
      <c r="T554" s="10"/>
    </row>
    <row r="555" spans="2:20" s="1" customFormat="1" ht="12.95" customHeight="1" x14ac:dyDescent="0.15">
      <c r="B555" s="16">
        <v>19</v>
      </c>
      <c r="C555" s="17"/>
      <c r="D555" s="17"/>
      <c r="E555" s="17"/>
      <c r="F555" s="129"/>
      <c r="G555" s="20"/>
      <c r="H555" s="20">
        <v>1</v>
      </c>
      <c r="I555" s="262">
        <f t="shared" si="32"/>
        <v>0</v>
      </c>
      <c r="J555" s="266">
        <f t="shared" si="33"/>
        <v>0</v>
      </c>
      <c r="K555" s="82"/>
      <c r="L555" s="82"/>
      <c r="M555" s="10"/>
      <c r="N555" s="10"/>
      <c r="O555" s="10"/>
      <c r="P555" s="10"/>
      <c r="Q555" s="43"/>
      <c r="R555" s="10"/>
      <c r="T555" s="10"/>
    </row>
    <row r="556" spans="2:20" s="1" customFormat="1" ht="12.95" customHeight="1" x14ac:dyDescent="0.15">
      <c r="B556" s="16">
        <v>20</v>
      </c>
      <c r="C556" s="17"/>
      <c r="D556" s="17"/>
      <c r="E556" s="17"/>
      <c r="F556" s="129"/>
      <c r="G556" s="20"/>
      <c r="H556" s="20">
        <v>1</v>
      </c>
      <c r="I556" s="262">
        <f t="shared" si="32"/>
        <v>0</v>
      </c>
      <c r="J556" s="266">
        <f t="shared" si="33"/>
        <v>0</v>
      </c>
      <c r="K556" s="82"/>
      <c r="L556" s="82"/>
      <c r="M556" s="10"/>
      <c r="N556" s="10"/>
      <c r="O556" s="10"/>
      <c r="P556" s="10"/>
      <c r="Q556" s="43"/>
      <c r="R556" s="10"/>
      <c r="T556" s="10"/>
    </row>
    <row r="557" spans="2:20" s="1" customFormat="1" ht="12.95" customHeight="1" x14ac:dyDescent="0.15">
      <c r="B557" s="83"/>
      <c r="C557" s="160"/>
      <c r="D557" s="160"/>
      <c r="E557" s="160"/>
      <c r="F557" s="132"/>
      <c r="G557" s="76"/>
      <c r="H557" s="76"/>
      <c r="I557" s="263"/>
      <c r="J557" s="184"/>
      <c r="K557" s="82"/>
      <c r="L557" s="82"/>
      <c r="M557" s="10"/>
      <c r="N557" s="10"/>
      <c r="O557" s="10"/>
      <c r="P557" s="10"/>
      <c r="Q557" s="43"/>
      <c r="R557" s="10"/>
      <c r="T557" s="10"/>
    </row>
    <row r="558" spans="2:20" s="1" customFormat="1" ht="12.75" x14ac:dyDescent="0.15">
      <c r="B558" s="82"/>
      <c r="C558" s="102"/>
      <c r="D558" s="103"/>
      <c r="E558" s="102"/>
      <c r="F558" s="128">
        <f>SUM(F498:F557)</f>
        <v>0</v>
      </c>
      <c r="G558" s="104"/>
      <c r="H558" s="105"/>
      <c r="I558" s="256">
        <f>SUM(I500:I557)</f>
        <v>0</v>
      </c>
      <c r="J558" s="257">
        <f>SUM(J498:J557)</f>
        <v>0</v>
      </c>
    </row>
    <row r="559" spans="2:20" s="67" customFormat="1" ht="12.75" x14ac:dyDescent="0.15">
      <c r="B559" s="116"/>
      <c r="C559" s="114"/>
      <c r="D559" s="114"/>
      <c r="E559" s="114" t="s">
        <v>147</v>
      </c>
      <c r="F559" s="162">
        <f>100/115*F558</f>
        <v>0</v>
      </c>
      <c r="G559" s="114"/>
      <c r="H559" s="114" t="s">
        <v>147</v>
      </c>
      <c r="I559" s="264">
        <f>100/115*I558</f>
        <v>0</v>
      </c>
      <c r="J559" s="114"/>
    </row>
    <row r="560" spans="2:20" s="1" customFormat="1" ht="13.5" customHeight="1" x14ac:dyDescent="0.15"/>
    <row r="561" spans="2:13" s="1" customFormat="1" ht="16.899999999999999" customHeight="1" x14ac:dyDescent="0.15"/>
    <row r="562" spans="2:13" s="1" customFormat="1" ht="13.5" customHeight="1" x14ac:dyDescent="0.15"/>
    <row r="563" spans="2:13" s="1" customFormat="1" ht="13.5" customHeight="1" x14ac:dyDescent="0.15"/>
    <row r="564" spans="2:13" s="247" customFormat="1" ht="32.25" x14ac:dyDescent="0.4">
      <c r="B564" s="248"/>
      <c r="C564" s="380" t="s">
        <v>112</v>
      </c>
      <c r="D564" s="380"/>
      <c r="E564" s="428" t="s">
        <v>162</v>
      </c>
      <c r="F564" s="428"/>
      <c r="G564" s="428"/>
      <c r="H564" s="428"/>
      <c r="I564" s="428"/>
      <c r="J564" s="382">
        <v>2026</v>
      </c>
      <c r="K564" s="382"/>
      <c r="L564" s="382"/>
    </row>
    <row r="565" spans="2:13" s="1" customFormat="1" ht="42" customHeight="1" x14ac:dyDescent="0.15">
      <c r="B565" s="82"/>
      <c r="C565" s="102" t="s">
        <v>114</v>
      </c>
      <c r="D565" s="388" t="s">
        <v>115</v>
      </c>
      <c r="E565" s="388"/>
      <c r="F565" s="102" t="s">
        <v>116</v>
      </c>
      <c r="G565" s="102" t="s">
        <v>117</v>
      </c>
      <c r="H565" s="102" t="s">
        <v>118</v>
      </c>
      <c r="I565" s="102" t="s">
        <v>119</v>
      </c>
      <c r="J565" s="102" t="s">
        <v>120</v>
      </c>
      <c r="K565" s="82"/>
      <c r="L565" s="82"/>
    </row>
    <row r="566" spans="2:13" s="1" customFormat="1" ht="12.95" customHeight="1" x14ac:dyDescent="0.15">
      <c r="B566" s="84"/>
      <c r="C566" s="149">
        <f>C496</f>
        <v>250</v>
      </c>
      <c r="D566" s="412">
        <v>21</v>
      </c>
      <c r="E566" s="412"/>
      <c r="F566" s="146">
        <f>F496</f>
        <v>0.85</v>
      </c>
      <c r="G566" s="147">
        <f>G496</f>
        <v>8</v>
      </c>
      <c r="H566" s="148">
        <f>D566*G566*F566</f>
        <v>142.79999999999998</v>
      </c>
      <c r="I566" s="149">
        <f>I628</f>
        <v>0</v>
      </c>
      <c r="J566" s="150">
        <f>H566-J628</f>
        <v>142.79999999999998</v>
      </c>
      <c r="K566" s="79"/>
      <c r="L566" s="120"/>
    </row>
    <row r="567" spans="2:13" s="1" customFormat="1" ht="33.75" x14ac:dyDescent="0.15">
      <c r="B567" s="16"/>
      <c r="C567" s="22" t="s">
        <v>121</v>
      </c>
      <c r="D567" s="413" t="s">
        <v>122</v>
      </c>
      <c r="E567" s="413"/>
      <c r="F567" s="33" t="s">
        <v>123</v>
      </c>
      <c r="G567" s="34" t="s">
        <v>124</v>
      </c>
      <c r="H567" s="35" t="s">
        <v>125</v>
      </c>
      <c r="I567" s="125" t="s">
        <v>126</v>
      </c>
      <c r="J567" s="34" t="s">
        <v>127</v>
      </c>
      <c r="K567" s="107" t="s">
        <v>128</v>
      </c>
      <c r="L567" s="123" t="s">
        <v>129</v>
      </c>
    </row>
    <row r="568" spans="2:13" s="1" customFormat="1" ht="12.75" x14ac:dyDescent="0.15">
      <c r="B568" s="16"/>
      <c r="C568" s="22"/>
      <c r="D568" s="32"/>
      <c r="E568" s="32"/>
      <c r="F568" s="33"/>
      <c r="G568" s="34"/>
      <c r="H568" s="35"/>
      <c r="I568" s="125"/>
      <c r="J568" s="34"/>
      <c r="K568" s="110"/>
      <c r="L568" s="117"/>
    </row>
    <row r="569" spans="2:13" s="1" customFormat="1" ht="12.75" x14ac:dyDescent="0.15">
      <c r="B569" s="16"/>
      <c r="C569" s="22" t="s">
        <v>130</v>
      </c>
      <c r="D569" s="32"/>
      <c r="E569" s="32"/>
      <c r="F569" s="151"/>
      <c r="G569" s="34"/>
      <c r="H569" s="35"/>
      <c r="I569" s="125"/>
      <c r="J569" s="34"/>
      <c r="K569" s="110"/>
      <c r="L569" s="117"/>
    </row>
    <row r="570" spans="2:13" s="1" customFormat="1" ht="12.75" customHeight="1" x14ac:dyDescent="0.15">
      <c r="B570" s="16"/>
      <c r="C570" s="37" t="s">
        <v>149</v>
      </c>
      <c r="D570" s="24"/>
      <c r="E570" s="24"/>
      <c r="F570" s="129"/>
      <c r="G570" s="20"/>
      <c r="H570" s="20"/>
      <c r="I570" s="126"/>
      <c r="J570" s="38"/>
      <c r="K570" s="80"/>
      <c r="L570" s="82"/>
    </row>
    <row r="571" spans="2:13" s="4" customFormat="1" ht="12.75" customHeight="1" x14ac:dyDescent="0.15">
      <c r="B571" s="26">
        <v>1</v>
      </c>
      <c r="C571" s="17"/>
      <c r="D571" s="24"/>
      <c r="E571" s="24"/>
      <c r="F571" s="129"/>
      <c r="G571" s="20"/>
      <c r="H571" s="20">
        <v>1</v>
      </c>
      <c r="I571" s="129">
        <f t="shared" ref="I571:I588" si="34">J571*$C$32</f>
        <v>0</v>
      </c>
      <c r="J571" s="52">
        <f t="shared" ref="J571:J584" si="35">(F571*G571*H571)/$C$32</f>
        <v>0</v>
      </c>
      <c r="K571" s="108"/>
      <c r="L571" s="113"/>
    </row>
    <row r="572" spans="2:13" s="4" customFormat="1" ht="12.75" customHeight="1" x14ac:dyDescent="0.15">
      <c r="B572" s="26">
        <v>2</v>
      </c>
      <c r="C572" s="17"/>
      <c r="D572" s="24"/>
      <c r="E572" s="24"/>
      <c r="F572" s="129"/>
      <c r="G572" s="20"/>
      <c r="H572" s="20">
        <v>1</v>
      </c>
      <c r="I572" s="129">
        <f t="shared" si="34"/>
        <v>0</v>
      </c>
      <c r="J572" s="52">
        <f t="shared" si="35"/>
        <v>0</v>
      </c>
      <c r="K572" s="108"/>
      <c r="L572" s="113"/>
      <c r="M572" s="144"/>
    </row>
    <row r="573" spans="2:13" s="4" customFormat="1" ht="12.95" customHeight="1" x14ac:dyDescent="0.15">
      <c r="B573" s="26">
        <v>3</v>
      </c>
      <c r="C573" s="17"/>
      <c r="D573" s="24"/>
      <c r="E573" s="24"/>
      <c r="F573" s="129"/>
      <c r="G573" s="20"/>
      <c r="H573" s="20">
        <v>1</v>
      </c>
      <c r="I573" s="129">
        <f t="shared" si="34"/>
        <v>0</v>
      </c>
      <c r="J573" s="52">
        <f t="shared" si="35"/>
        <v>0</v>
      </c>
      <c r="K573" s="108"/>
      <c r="L573" s="113"/>
      <c r="M573" s="145"/>
    </row>
    <row r="574" spans="2:13" s="4" customFormat="1" ht="12.95" customHeight="1" x14ac:dyDescent="0.15">
      <c r="B574" s="26">
        <v>4</v>
      </c>
      <c r="C574" s="16"/>
      <c r="D574" s="18"/>
      <c r="E574" s="18"/>
      <c r="F574" s="129"/>
      <c r="G574" s="20"/>
      <c r="H574" s="20">
        <v>1</v>
      </c>
      <c r="I574" s="129">
        <f t="shared" si="34"/>
        <v>0</v>
      </c>
      <c r="J574" s="52">
        <f t="shared" si="35"/>
        <v>0</v>
      </c>
      <c r="K574" s="108"/>
      <c r="L574" s="113"/>
    </row>
    <row r="575" spans="2:13" s="4" customFormat="1" ht="12.95" customHeight="1" x14ac:dyDescent="0.15">
      <c r="B575" s="26">
        <v>5</v>
      </c>
      <c r="C575" s="17"/>
      <c r="D575" s="53"/>
      <c r="E575" s="53"/>
      <c r="F575" s="129"/>
      <c r="G575" s="20"/>
      <c r="H575" s="20">
        <v>1</v>
      </c>
      <c r="I575" s="129">
        <f t="shared" si="34"/>
        <v>0</v>
      </c>
      <c r="J575" s="27">
        <f t="shared" si="35"/>
        <v>0</v>
      </c>
      <c r="K575" s="108"/>
      <c r="L575" s="113"/>
    </row>
    <row r="576" spans="2:13" s="4" customFormat="1" ht="12.95" customHeight="1" x14ac:dyDescent="0.15">
      <c r="B576" s="26">
        <v>6</v>
      </c>
      <c r="C576" s="17"/>
      <c r="D576" s="24"/>
      <c r="E576" s="24"/>
      <c r="F576" s="129"/>
      <c r="G576" s="20"/>
      <c r="H576" s="20">
        <v>1</v>
      </c>
      <c r="I576" s="129">
        <f t="shared" si="34"/>
        <v>0</v>
      </c>
      <c r="J576" s="52">
        <f t="shared" si="35"/>
        <v>0</v>
      </c>
      <c r="K576" s="108"/>
      <c r="L576" s="113"/>
    </row>
    <row r="577" spans="2:12" s="4" customFormat="1" ht="12.95" customHeight="1" x14ac:dyDescent="0.15">
      <c r="B577" s="26">
        <v>7</v>
      </c>
      <c r="C577" s="17"/>
      <c r="D577" s="22"/>
      <c r="E577" s="22"/>
      <c r="F577" s="129"/>
      <c r="G577" s="20"/>
      <c r="H577" s="20">
        <v>1</v>
      </c>
      <c r="I577" s="129">
        <f t="shared" si="34"/>
        <v>0</v>
      </c>
      <c r="J577" s="27">
        <f t="shared" si="35"/>
        <v>0</v>
      </c>
      <c r="K577" s="108"/>
      <c r="L577" s="113"/>
    </row>
    <row r="578" spans="2:12" s="4" customFormat="1" ht="12.95" customHeight="1" x14ac:dyDescent="0.15">
      <c r="B578" s="26">
        <v>8</v>
      </c>
      <c r="C578" s="17"/>
      <c r="D578" s="18"/>
      <c r="E578" s="24"/>
      <c r="F578" s="129"/>
      <c r="G578" s="20"/>
      <c r="H578" s="20">
        <v>1</v>
      </c>
      <c r="I578" s="129">
        <f t="shared" si="34"/>
        <v>0</v>
      </c>
      <c r="J578" s="52">
        <f t="shared" si="35"/>
        <v>0</v>
      </c>
      <c r="K578" s="108"/>
      <c r="L578" s="113"/>
    </row>
    <row r="579" spans="2:12" s="4" customFormat="1" ht="12.95" customHeight="1" x14ac:dyDescent="0.15">
      <c r="B579" s="26">
        <v>9</v>
      </c>
      <c r="C579" s="17"/>
      <c r="D579" s="18"/>
      <c r="E579" s="24"/>
      <c r="F579" s="129"/>
      <c r="G579" s="20"/>
      <c r="H579" s="20">
        <v>1</v>
      </c>
      <c r="I579" s="129">
        <f t="shared" si="34"/>
        <v>0</v>
      </c>
      <c r="J579" s="52">
        <f t="shared" si="35"/>
        <v>0</v>
      </c>
      <c r="K579" s="108"/>
      <c r="L579" s="113"/>
    </row>
    <row r="580" spans="2:12" s="4" customFormat="1" ht="12.95" customHeight="1" x14ac:dyDescent="0.15">
      <c r="B580" s="26">
        <v>10</v>
      </c>
      <c r="C580" s="17"/>
      <c r="D580" s="24"/>
      <c r="E580" s="18"/>
      <c r="F580" s="129"/>
      <c r="G580" s="20"/>
      <c r="H580" s="20">
        <v>1</v>
      </c>
      <c r="I580" s="129">
        <f t="shared" si="34"/>
        <v>0</v>
      </c>
      <c r="J580" s="52">
        <f t="shared" si="35"/>
        <v>0</v>
      </c>
      <c r="K580" s="108"/>
      <c r="L580" s="113"/>
    </row>
    <row r="581" spans="2:12" s="4" customFormat="1" ht="12.95" customHeight="1" x14ac:dyDescent="0.15">
      <c r="B581" s="26"/>
      <c r="C581" s="17"/>
      <c r="D581" s="24"/>
      <c r="E581" s="18"/>
      <c r="F581" s="129"/>
      <c r="G581" s="20"/>
      <c r="H581" s="20"/>
      <c r="I581" s="129"/>
      <c r="J581" s="52"/>
      <c r="K581" s="108"/>
      <c r="L581" s="113"/>
    </row>
    <row r="582" spans="2:12" s="4" customFormat="1" ht="12.95" customHeight="1" x14ac:dyDescent="0.15">
      <c r="B582" s="26"/>
      <c r="C582" s="17"/>
      <c r="D582" s="24"/>
      <c r="E582" s="18"/>
      <c r="F582" s="129"/>
      <c r="G582" s="20"/>
      <c r="H582" s="20"/>
      <c r="I582" s="129"/>
      <c r="J582" s="52"/>
      <c r="K582" s="108"/>
      <c r="L582" s="113"/>
    </row>
    <row r="583" spans="2:12" s="4" customFormat="1" ht="12.95" customHeight="1" x14ac:dyDescent="0.15">
      <c r="B583" s="26"/>
      <c r="C583" s="22" t="s">
        <v>153</v>
      </c>
      <c r="D583" s="24"/>
      <c r="E583" s="18"/>
      <c r="F583" s="129"/>
      <c r="G583" s="20"/>
      <c r="H583" s="20"/>
      <c r="I583" s="129"/>
      <c r="J583" s="52"/>
      <c r="K583" s="108"/>
      <c r="L583" s="113"/>
    </row>
    <row r="584" spans="2:12" s="4" customFormat="1" ht="12.95" customHeight="1" x14ac:dyDescent="0.15">
      <c r="B584" s="26">
        <v>1</v>
      </c>
      <c r="C584" s="17"/>
      <c r="D584" s="24"/>
      <c r="E584" s="24"/>
      <c r="F584" s="129"/>
      <c r="G584" s="20"/>
      <c r="H584" s="20">
        <v>1</v>
      </c>
      <c r="I584" s="129">
        <f t="shared" si="34"/>
        <v>0</v>
      </c>
      <c r="J584" s="52">
        <f t="shared" si="35"/>
        <v>0</v>
      </c>
      <c r="K584" s="108"/>
      <c r="L584" s="113"/>
    </row>
    <row r="585" spans="2:12" s="4" customFormat="1" ht="12.95" customHeight="1" x14ac:dyDescent="0.15">
      <c r="B585" s="26">
        <v>2</v>
      </c>
      <c r="C585" s="17"/>
      <c r="D585" s="24"/>
      <c r="E585" s="24"/>
      <c r="F585" s="129"/>
      <c r="G585" s="20"/>
      <c r="H585" s="20">
        <v>1</v>
      </c>
      <c r="I585" s="129">
        <f t="shared" si="34"/>
        <v>0</v>
      </c>
      <c r="J585" s="52">
        <f>(F585*G585*H585)/$C$32</f>
        <v>0</v>
      </c>
      <c r="K585" s="108"/>
      <c r="L585" s="113"/>
    </row>
    <row r="586" spans="2:12" s="4" customFormat="1" ht="12.95" customHeight="1" x14ac:dyDescent="0.15">
      <c r="B586" s="26">
        <v>3</v>
      </c>
      <c r="C586" s="24"/>
      <c r="D586" s="24"/>
      <c r="E586" s="24"/>
      <c r="F586" s="129"/>
      <c r="G586" s="20"/>
      <c r="H586" s="20">
        <v>1</v>
      </c>
      <c r="I586" s="129">
        <f t="shared" si="34"/>
        <v>0</v>
      </c>
      <c r="J586" s="52">
        <f>(F586*G586*H586)/$C$32</f>
        <v>0</v>
      </c>
      <c r="K586" s="108"/>
      <c r="L586" s="113"/>
    </row>
    <row r="587" spans="2:12" s="4" customFormat="1" ht="12.95" customHeight="1" x14ac:dyDescent="0.15">
      <c r="B587" s="26">
        <v>4</v>
      </c>
      <c r="C587" s="24"/>
      <c r="D587" s="18"/>
      <c r="E587" s="18"/>
      <c r="F587" s="129"/>
      <c r="G587" s="20"/>
      <c r="H587" s="20">
        <v>1</v>
      </c>
      <c r="I587" s="129">
        <f t="shared" si="34"/>
        <v>0</v>
      </c>
      <c r="J587" s="27">
        <f t="shared" ref="J587:J589" si="36">(F587*G587*H587)/$C$32</f>
        <v>0</v>
      </c>
      <c r="K587" s="108"/>
      <c r="L587" s="113"/>
    </row>
    <row r="588" spans="2:12" s="4" customFormat="1" ht="14.85" customHeight="1" x14ac:dyDescent="0.15">
      <c r="B588" s="26">
        <v>5</v>
      </c>
      <c r="C588" s="24"/>
      <c r="D588" s="24"/>
      <c r="E588" s="24"/>
      <c r="F588" s="129"/>
      <c r="G588" s="20"/>
      <c r="H588" s="20">
        <v>1</v>
      </c>
      <c r="I588" s="129">
        <f t="shared" si="34"/>
        <v>0</v>
      </c>
      <c r="J588" s="52">
        <f t="shared" si="36"/>
        <v>0</v>
      </c>
      <c r="K588" s="108"/>
      <c r="L588" s="113"/>
    </row>
    <row r="589" spans="2:12" s="4" customFormat="1" ht="12.95" customHeight="1" x14ac:dyDescent="0.15">
      <c r="B589" s="26">
        <v>6</v>
      </c>
      <c r="C589" s="17"/>
      <c r="D589" s="18"/>
      <c r="E589" s="18"/>
      <c r="F589" s="129"/>
      <c r="G589" s="20"/>
      <c r="H589" s="20">
        <v>1</v>
      </c>
      <c r="I589" s="129">
        <f>J589*$C$32</f>
        <v>0</v>
      </c>
      <c r="J589" s="27">
        <f t="shared" si="36"/>
        <v>0</v>
      </c>
      <c r="K589" s="108"/>
      <c r="L589" s="113"/>
    </row>
    <row r="590" spans="2:12" s="4" customFormat="1" ht="12.95" customHeight="1" x14ac:dyDescent="0.15">
      <c r="B590" s="26">
        <v>7</v>
      </c>
      <c r="C590" s="17"/>
      <c r="D590" s="24"/>
      <c r="E590" s="24"/>
      <c r="F590" s="129"/>
      <c r="G590" s="20"/>
      <c r="H590" s="20">
        <v>1</v>
      </c>
      <c r="I590" s="129">
        <f t="shared" ref="I590" si="37">J590*$C$32</f>
        <v>0</v>
      </c>
      <c r="J590" s="54">
        <f>(F590*G590*H590)/$C$32</f>
        <v>0</v>
      </c>
      <c r="K590" s="108"/>
      <c r="L590" s="113"/>
    </row>
    <row r="591" spans="2:12" s="4" customFormat="1" ht="12.95" customHeight="1" x14ac:dyDescent="0.15">
      <c r="B591" s="26">
        <v>8</v>
      </c>
      <c r="C591" s="17"/>
      <c r="D591" s="24"/>
      <c r="E591" s="24"/>
      <c r="F591" s="129"/>
      <c r="G591" s="20"/>
      <c r="H591" s="20">
        <v>1</v>
      </c>
      <c r="I591" s="129">
        <f>J591*$C$32</f>
        <v>0</v>
      </c>
      <c r="J591" s="54">
        <f>(F591*G591*H591)/$C$32</f>
        <v>0</v>
      </c>
      <c r="K591" s="108"/>
      <c r="L591" s="113"/>
    </row>
    <row r="592" spans="2:12" s="4" customFormat="1" ht="12.95" customHeight="1" x14ac:dyDescent="0.15">
      <c r="B592" s="26">
        <v>9</v>
      </c>
      <c r="C592" s="17"/>
      <c r="D592" s="24"/>
      <c r="E592" s="24"/>
      <c r="F592" s="129"/>
      <c r="G592" s="20"/>
      <c r="H592" s="20">
        <v>1</v>
      </c>
      <c r="I592" s="129">
        <f t="shared" ref="I592:I603" si="38">J592*$C$32</f>
        <v>0</v>
      </c>
      <c r="J592" s="52">
        <f t="shared" ref="J592:J603" si="39">(F592*G592*H592)/$C$32</f>
        <v>0</v>
      </c>
      <c r="K592" s="108"/>
      <c r="L592" s="113"/>
    </row>
    <row r="593" spans="2:20" s="4" customFormat="1" ht="12.95" customHeight="1" x14ac:dyDescent="0.15">
      <c r="B593" s="26">
        <v>10</v>
      </c>
      <c r="C593" s="17"/>
      <c r="D593" s="24"/>
      <c r="E593" s="24"/>
      <c r="F593" s="129"/>
      <c r="G593" s="20"/>
      <c r="H593" s="20">
        <v>1</v>
      </c>
      <c r="I593" s="129">
        <f t="shared" si="38"/>
        <v>0</v>
      </c>
      <c r="J593" s="52">
        <f t="shared" si="39"/>
        <v>0</v>
      </c>
      <c r="K593" s="108"/>
      <c r="L593" s="113"/>
    </row>
    <row r="594" spans="2:20" s="4" customFormat="1" ht="12.95" customHeight="1" x14ac:dyDescent="0.15">
      <c r="B594" s="26">
        <v>11</v>
      </c>
      <c r="C594" s="17"/>
      <c r="D594" s="24"/>
      <c r="E594" s="24"/>
      <c r="F594" s="129"/>
      <c r="G594" s="20"/>
      <c r="H594" s="20">
        <v>1</v>
      </c>
      <c r="I594" s="129">
        <f t="shared" si="38"/>
        <v>0</v>
      </c>
      <c r="J594" s="52">
        <f t="shared" si="39"/>
        <v>0</v>
      </c>
      <c r="K594" s="108"/>
      <c r="L594" s="113"/>
    </row>
    <row r="595" spans="2:20" s="4" customFormat="1" ht="12.95" customHeight="1" x14ac:dyDescent="0.15">
      <c r="B595" s="26">
        <v>12</v>
      </c>
      <c r="C595" s="17"/>
      <c r="D595" s="24"/>
      <c r="E595" s="24"/>
      <c r="F595" s="129"/>
      <c r="G595" s="20"/>
      <c r="H595" s="20">
        <v>1</v>
      </c>
      <c r="I595" s="129">
        <f t="shared" si="38"/>
        <v>0</v>
      </c>
      <c r="J595" s="52">
        <f t="shared" si="39"/>
        <v>0</v>
      </c>
      <c r="K595" s="108"/>
      <c r="L595" s="113"/>
    </row>
    <row r="596" spans="2:20" s="4" customFormat="1" ht="12.95" customHeight="1" x14ac:dyDescent="0.15">
      <c r="B596" s="26">
        <v>13</v>
      </c>
      <c r="C596" s="17"/>
      <c r="D596" s="18"/>
      <c r="E596" s="18"/>
      <c r="F596" s="129"/>
      <c r="G596" s="20"/>
      <c r="H596" s="20">
        <v>1</v>
      </c>
      <c r="I596" s="129">
        <f t="shared" si="38"/>
        <v>0</v>
      </c>
      <c r="J596" s="52">
        <f t="shared" si="39"/>
        <v>0</v>
      </c>
      <c r="K596" s="108"/>
      <c r="L596" s="113"/>
    </row>
    <row r="597" spans="2:20" s="4" customFormat="1" ht="12.95" customHeight="1" x14ac:dyDescent="0.15">
      <c r="B597" s="26">
        <v>14</v>
      </c>
      <c r="C597" s="17"/>
      <c r="D597" s="18"/>
      <c r="E597" s="18"/>
      <c r="F597" s="129"/>
      <c r="G597" s="20"/>
      <c r="H597" s="20">
        <v>1</v>
      </c>
      <c r="I597" s="129">
        <f t="shared" si="38"/>
        <v>0</v>
      </c>
      <c r="J597" s="52">
        <f t="shared" si="39"/>
        <v>0</v>
      </c>
      <c r="K597" s="108"/>
      <c r="L597" s="113"/>
    </row>
    <row r="598" spans="2:20" s="4" customFormat="1" ht="12.95" customHeight="1" x14ac:dyDescent="0.15">
      <c r="B598" s="26">
        <v>15</v>
      </c>
      <c r="C598" s="17"/>
      <c r="D598" s="18"/>
      <c r="E598" s="18"/>
      <c r="F598" s="129"/>
      <c r="G598" s="20"/>
      <c r="H598" s="20">
        <v>1</v>
      </c>
      <c r="I598" s="129">
        <f t="shared" si="38"/>
        <v>0</v>
      </c>
      <c r="J598" s="52">
        <f t="shared" si="39"/>
        <v>0</v>
      </c>
      <c r="K598" s="108"/>
      <c r="L598" s="113"/>
    </row>
    <row r="599" spans="2:20" s="4" customFormat="1" ht="12.95" customHeight="1" x14ac:dyDescent="0.15">
      <c r="B599" s="26">
        <v>16</v>
      </c>
      <c r="C599" s="11"/>
      <c r="D599" s="18"/>
      <c r="E599" s="18"/>
      <c r="F599" s="129"/>
      <c r="G599" s="20"/>
      <c r="H599" s="20">
        <v>1</v>
      </c>
      <c r="I599" s="126">
        <f t="shared" si="38"/>
        <v>0</v>
      </c>
      <c r="J599" s="21">
        <f t="shared" si="39"/>
        <v>0</v>
      </c>
      <c r="K599" s="108"/>
      <c r="L599" s="113"/>
    </row>
    <row r="600" spans="2:20" s="4" customFormat="1" ht="12.95" customHeight="1" x14ac:dyDescent="0.15">
      <c r="B600" s="26">
        <v>17</v>
      </c>
      <c r="C600" s="23"/>
      <c r="D600" s="48"/>
      <c r="E600" s="48"/>
      <c r="F600" s="126"/>
      <c r="G600" s="50"/>
      <c r="H600" s="20">
        <v>1</v>
      </c>
      <c r="I600" s="126">
        <f t="shared" si="38"/>
        <v>0</v>
      </c>
      <c r="J600" s="21">
        <f t="shared" si="39"/>
        <v>0</v>
      </c>
      <c r="K600" s="108"/>
      <c r="L600" s="113"/>
    </row>
    <row r="601" spans="2:20" s="4" customFormat="1" ht="12.95" customHeight="1" x14ac:dyDescent="0.15">
      <c r="B601" s="26">
        <v>18</v>
      </c>
      <c r="C601" s="23"/>
      <c r="D601" s="48"/>
      <c r="E601" s="48"/>
      <c r="F601" s="126"/>
      <c r="G601" s="50"/>
      <c r="H601" s="20">
        <v>1</v>
      </c>
      <c r="I601" s="126">
        <f t="shared" si="38"/>
        <v>0</v>
      </c>
      <c r="J601" s="21">
        <f t="shared" si="39"/>
        <v>0</v>
      </c>
      <c r="K601" s="108"/>
      <c r="L601" s="113"/>
    </row>
    <row r="602" spans="2:20" s="4" customFormat="1" ht="12.95" customHeight="1" x14ac:dyDescent="0.15">
      <c r="B602" s="26">
        <v>19</v>
      </c>
      <c r="C602" s="23"/>
      <c r="D602" s="48"/>
      <c r="E602" s="48"/>
      <c r="F602" s="126"/>
      <c r="G602" s="50"/>
      <c r="H602" s="20">
        <v>1</v>
      </c>
      <c r="I602" s="126">
        <f t="shared" si="38"/>
        <v>0</v>
      </c>
      <c r="J602" s="21">
        <f t="shared" si="39"/>
        <v>0</v>
      </c>
      <c r="K602" s="108"/>
      <c r="L602" s="113"/>
    </row>
    <row r="603" spans="2:20" s="4" customFormat="1" ht="12.95" customHeight="1" x14ac:dyDescent="0.15">
      <c r="B603" s="26">
        <v>20</v>
      </c>
      <c r="C603" s="23"/>
      <c r="D603" s="48"/>
      <c r="E603" s="48"/>
      <c r="F603" s="126"/>
      <c r="G603" s="50"/>
      <c r="H603" s="20">
        <v>1</v>
      </c>
      <c r="I603" s="126">
        <f t="shared" si="38"/>
        <v>0</v>
      </c>
      <c r="J603" s="21">
        <f t="shared" si="39"/>
        <v>0</v>
      </c>
      <c r="K603" s="108"/>
      <c r="L603" s="113"/>
    </row>
    <row r="604" spans="2:20" s="4" customFormat="1" ht="12.95" customHeight="1" x14ac:dyDescent="0.15">
      <c r="B604" s="26"/>
      <c r="C604" s="23"/>
      <c r="D604" s="48"/>
      <c r="E604" s="48"/>
      <c r="F604" s="126"/>
      <c r="G604" s="50"/>
      <c r="H604" s="50"/>
      <c r="I604" s="126"/>
      <c r="J604" s="38"/>
      <c r="K604" s="108"/>
      <c r="L604" s="113"/>
    </row>
    <row r="605" spans="2:20" s="4" customFormat="1" ht="12.95" customHeight="1" x14ac:dyDescent="0.15">
      <c r="B605" s="26"/>
      <c r="C605" s="23"/>
      <c r="D605" s="48"/>
      <c r="E605" s="48"/>
      <c r="F605" s="126"/>
      <c r="G605" s="50"/>
      <c r="H605" s="50"/>
      <c r="I605" s="126"/>
      <c r="J605" s="38"/>
      <c r="K605" s="108"/>
      <c r="L605" s="113"/>
    </row>
    <row r="606" spans="2:20" s="4" customFormat="1" ht="12.95" customHeight="1" x14ac:dyDescent="0.15">
      <c r="B606" s="26"/>
      <c r="C606" s="72" t="s">
        <v>132</v>
      </c>
      <c r="D606" s="48"/>
      <c r="E606" s="48"/>
      <c r="F606" s="126"/>
      <c r="G606" s="50"/>
      <c r="H606" s="50"/>
      <c r="I606" s="126"/>
      <c r="J606" s="38"/>
      <c r="K606" s="108"/>
      <c r="L606" s="113"/>
    </row>
    <row r="607" spans="2:20" s="4" customFormat="1" ht="12.95" customHeight="1" x14ac:dyDescent="0.15">
      <c r="B607" s="26">
        <v>1</v>
      </c>
      <c r="C607" s="59"/>
      <c r="D607" s="49"/>
      <c r="E607" s="49"/>
      <c r="F607" s="126"/>
      <c r="G607" s="50"/>
      <c r="H607" s="50">
        <v>1</v>
      </c>
      <c r="I607" s="126">
        <f t="shared" ref="I607" si="40">J607*$C$32</f>
        <v>0</v>
      </c>
      <c r="J607" s="21">
        <f t="shared" ref="J607:J626" si="41">(F607*G607*H607)/$C$32</f>
        <v>0</v>
      </c>
      <c r="K607" s="108"/>
      <c r="L607" s="113"/>
      <c r="M607" s="57"/>
      <c r="N607" s="57"/>
      <c r="O607" s="57"/>
      <c r="P607" s="57"/>
      <c r="Q607" s="58"/>
      <c r="R607" s="57"/>
      <c r="T607" s="57"/>
    </row>
    <row r="608" spans="2:20" s="4" customFormat="1" ht="12.95" customHeight="1" x14ac:dyDescent="0.15">
      <c r="B608" s="26">
        <v>2</v>
      </c>
      <c r="C608" s="60"/>
      <c r="D608" s="49"/>
      <c r="E608" s="49"/>
      <c r="F608" s="126"/>
      <c r="G608" s="50"/>
      <c r="H608" s="50">
        <v>1</v>
      </c>
      <c r="I608" s="126">
        <f>J608*$C$32</f>
        <v>0</v>
      </c>
      <c r="J608" s="21">
        <f t="shared" si="41"/>
        <v>0</v>
      </c>
      <c r="K608" s="108"/>
      <c r="L608" s="113"/>
      <c r="M608" s="57"/>
      <c r="N608" s="57"/>
      <c r="O608" s="57"/>
      <c r="P608" s="57"/>
      <c r="Q608" s="58"/>
      <c r="R608" s="57"/>
      <c r="T608" s="57"/>
    </row>
    <row r="609" spans="2:20" s="4" customFormat="1" ht="12.95" customHeight="1" x14ac:dyDescent="0.15">
      <c r="B609" s="26">
        <v>3</v>
      </c>
      <c r="C609" s="59"/>
      <c r="D609" s="49"/>
      <c r="E609" s="49"/>
      <c r="F609" s="126"/>
      <c r="G609" s="50"/>
      <c r="H609" s="50">
        <v>1</v>
      </c>
      <c r="I609" s="126">
        <f t="shared" ref="I609:I626" si="42">J609*$C$32</f>
        <v>0</v>
      </c>
      <c r="J609" s="21">
        <f t="shared" si="41"/>
        <v>0</v>
      </c>
      <c r="K609" s="108"/>
      <c r="L609" s="113"/>
      <c r="M609" s="57"/>
      <c r="N609" s="57"/>
      <c r="O609" s="57"/>
      <c r="P609" s="57"/>
      <c r="Q609" s="58"/>
      <c r="R609" s="57"/>
      <c r="T609" s="57"/>
    </row>
    <row r="610" spans="2:20" s="4" customFormat="1" ht="12.95" customHeight="1" x14ac:dyDescent="0.15">
      <c r="B610" s="26">
        <v>4</v>
      </c>
      <c r="C610" s="61"/>
      <c r="D610" s="49"/>
      <c r="E610" s="49"/>
      <c r="F610" s="126"/>
      <c r="G610" s="50"/>
      <c r="H610" s="50">
        <v>1</v>
      </c>
      <c r="I610" s="126">
        <f t="shared" si="42"/>
        <v>0</v>
      </c>
      <c r="J610" s="21">
        <f t="shared" si="41"/>
        <v>0</v>
      </c>
      <c r="K610" s="108"/>
      <c r="L610" s="113"/>
      <c r="M610" s="57"/>
      <c r="N610" s="57"/>
      <c r="O610" s="57"/>
      <c r="P610" s="57"/>
      <c r="Q610" s="58"/>
      <c r="R610" s="57"/>
      <c r="T610" s="57"/>
    </row>
    <row r="611" spans="2:20" s="1" customFormat="1" ht="12.95" customHeight="1" x14ac:dyDescent="0.15">
      <c r="B611" s="16">
        <v>5</v>
      </c>
      <c r="C611" s="11"/>
      <c r="D611" s="18"/>
      <c r="E611" s="18"/>
      <c r="F611" s="129"/>
      <c r="G611" s="20"/>
      <c r="H611" s="20">
        <v>1</v>
      </c>
      <c r="I611" s="126">
        <f t="shared" si="42"/>
        <v>0</v>
      </c>
      <c r="J611" s="21">
        <f t="shared" si="41"/>
        <v>0</v>
      </c>
      <c r="K611" s="80"/>
      <c r="L611" s="82"/>
      <c r="M611" s="10"/>
      <c r="N611" s="10"/>
      <c r="O611" s="10"/>
      <c r="P611" s="10"/>
      <c r="Q611" s="43"/>
      <c r="R611" s="10"/>
      <c r="T611" s="10"/>
    </row>
    <row r="612" spans="2:20" s="1" customFormat="1" ht="12.95" customHeight="1" x14ac:dyDescent="0.15">
      <c r="B612" s="16">
        <v>6</v>
      </c>
      <c r="C612" s="46"/>
      <c r="D612" s="18"/>
      <c r="E612" s="18"/>
      <c r="F612" s="129"/>
      <c r="G612" s="20"/>
      <c r="H612" s="20">
        <v>1</v>
      </c>
      <c r="I612" s="126">
        <f t="shared" si="42"/>
        <v>0</v>
      </c>
      <c r="J612" s="21">
        <f t="shared" si="41"/>
        <v>0</v>
      </c>
      <c r="K612" s="80"/>
      <c r="L612" s="82"/>
      <c r="M612" s="10"/>
      <c r="N612" s="10"/>
      <c r="O612" s="10"/>
      <c r="P612" s="10"/>
      <c r="Q612" s="43"/>
      <c r="R612" s="10"/>
      <c r="T612" s="10"/>
    </row>
    <row r="613" spans="2:20" s="1" customFormat="1" ht="12.95" customHeight="1" x14ac:dyDescent="0.15">
      <c r="B613" s="16">
        <v>7</v>
      </c>
      <c r="C613" s="11"/>
      <c r="D613" s="18"/>
      <c r="E613" s="18"/>
      <c r="F613" s="129"/>
      <c r="G613" s="20"/>
      <c r="H613" s="20">
        <v>1</v>
      </c>
      <c r="I613" s="126">
        <f t="shared" si="42"/>
        <v>0</v>
      </c>
      <c r="J613" s="21">
        <f t="shared" si="41"/>
        <v>0</v>
      </c>
      <c r="K613" s="80"/>
      <c r="L613" s="82"/>
      <c r="M613" s="10"/>
      <c r="N613" s="10"/>
      <c r="O613" s="10"/>
      <c r="P613" s="10"/>
      <c r="Q613" s="43"/>
      <c r="R613" s="10"/>
      <c r="T613" s="10"/>
    </row>
    <row r="614" spans="2:20" s="1" customFormat="1" ht="12.95" customHeight="1" x14ac:dyDescent="0.15">
      <c r="B614" s="16">
        <v>8</v>
      </c>
      <c r="C614" s="11"/>
      <c r="D614" s="18"/>
      <c r="E614" s="18"/>
      <c r="F614" s="129"/>
      <c r="G614" s="20"/>
      <c r="H614" s="20">
        <v>1</v>
      </c>
      <c r="I614" s="126">
        <f t="shared" si="42"/>
        <v>0</v>
      </c>
      <c r="J614" s="21">
        <f t="shared" si="41"/>
        <v>0</v>
      </c>
      <c r="K614" s="80"/>
      <c r="L614" s="82"/>
      <c r="M614" s="10"/>
      <c r="N614" s="10"/>
      <c r="O614" s="10"/>
      <c r="P614" s="10"/>
      <c r="Q614" s="43"/>
      <c r="R614" s="10"/>
      <c r="T614" s="10"/>
    </row>
    <row r="615" spans="2:20" s="1" customFormat="1" ht="12.95" customHeight="1" x14ac:dyDescent="0.15">
      <c r="B615" s="16">
        <v>9</v>
      </c>
      <c r="C615" s="11"/>
      <c r="D615" s="18"/>
      <c r="E615" s="18"/>
      <c r="F615" s="129"/>
      <c r="G615" s="20"/>
      <c r="H615" s="20">
        <v>1</v>
      </c>
      <c r="I615" s="126">
        <f t="shared" si="42"/>
        <v>0</v>
      </c>
      <c r="J615" s="21">
        <f t="shared" si="41"/>
        <v>0</v>
      </c>
      <c r="K615" s="80"/>
      <c r="L615" s="82"/>
      <c r="M615" s="10"/>
      <c r="N615" s="10"/>
      <c r="O615" s="10"/>
      <c r="P615" s="10"/>
      <c r="Q615" s="43"/>
      <c r="R615" s="10"/>
      <c r="T615" s="10"/>
    </row>
    <row r="616" spans="2:20" s="1" customFormat="1" ht="12.95" customHeight="1" x14ac:dyDescent="0.15">
      <c r="B616" s="16">
        <v>10</v>
      </c>
      <c r="C616" s="11"/>
      <c r="D616" s="18"/>
      <c r="E616" s="18"/>
      <c r="F616" s="129"/>
      <c r="G616" s="20"/>
      <c r="H616" s="20">
        <v>1</v>
      </c>
      <c r="I616" s="126">
        <f t="shared" si="42"/>
        <v>0</v>
      </c>
      <c r="J616" s="21">
        <f t="shared" si="41"/>
        <v>0</v>
      </c>
      <c r="K616" s="80"/>
      <c r="L616" s="82"/>
      <c r="M616" s="10"/>
      <c r="N616" s="10"/>
      <c r="O616" s="10"/>
      <c r="P616" s="10"/>
      <c r="Q616" s="43"/>
      <c r="R616" s="10"/>
      <c r="T616" s="10"/>
    </row>
    <row r="617" spans="2:20" s="1" customFormat="1" ht="12.95" customHeight="1" x14ac:dyDescent="0.15">
      <c r="B617" s="16">
        <v>11</v>
      </c>
      <c r="C617" s="11"/>
      <c r="D617" s="18"/>
      <c r="E617" s="18"/>
      <c r="F617" s="129"/>
      <c r="G617" s="20"/>
      <c r="H617" s="20">
        <v>1</v>
      </c>
      <c r="I617" s="126">
        <f t="shared" si="42"/>
        <v>0</v>
      </c>
      <c r="J617" s="21">
        <f t="shared" si="41"/>
        <v>0</v>
      </c>
      <c r="K617" s="80"/>
      <c r="L617" s="82"/>
      <c r="M617" s="10"/>
      <c r="N617" s="10"/>
      <c r="O617" s="10"/>
      <c r="P617" s="10"/>
      <c r="Q617" s="43"/>
      <c r="R617" s="10"/>
      <c r="T617" s="10"/>
    </row>
    <row r="618" spans="2:20" s="1" customFormat="1" ht="12.95" customHeight="1" x14ac:dyDescent="0.15">
      <c r="B618" s="16">
        <v>12</v>
      </c>
      <c r="C618" s="11"/>
      <c r="D618" s="18"/>
      <c r="E618" s="18"/>
      <c r="F618" s="129"/>
      <c r="G618" s="20"/>
      <c r="H618" s="20">
        <v>1</v>
      </c>
      <c r="I618" s="126">
        <f t="shared" si="42"/>
        <v>0</v>
      </c>
      <c r="J618" s="21">
        <f t="shared" si="41"/>
        <v>0</v>
      </c>
      <c r="K618" s="80"/>
      <c r="L618" s="82"/>
      <c r="M618" s="10"/>
      <c r="N618" s="10"/>
      <c r="O618" s="10"/>
      <c r="P618" s="10"/>
      <c r="Q618" s="43"/>
      <c r="R618" s="10"/>
      <c r="T618" s="10"/>
    </row>
    <row r="619" spans="2:20" s="1" customFormat="1" ht="12.95" customHeight="1" x14ac:dyDescent="0.15">
      <c r="B619" s="16">
        <v>13</v>
      </c>
      <c r="C619" s="11"/>
      <c r="D619" s="18"/>
      <c r="E619" s="18"/>
      <c r="F619" s="129"/>
      <c r="G619" s="20"/>
      <c r="H619" s="20">
        <v>1</v>
      </c>
      <c r="I619" s="126">
        <f t="shared" si="42"/>
        <v>0</v>
      </c>
      <c r="J619" s="21">
        <f t="shared" si="41"/>
        <v>0</v>
      </c>
      <c r="K619" s="80"/>
      <c r="L619" s="82"/>
      <c r="M619" s="10"/>
      <c r="N619" s="10"/>
      <c r="O619" s="10"/>
      <c r="P619" s="10"/>
      <c r="Q619" s="43"/>
      <c r="R619" s="10"/>
      <c r="T619" s="10"/>
    </row>
    <row r="620" spans="2:20" s="1" customFormat="1" ht="12.95" customHeight="1" x14ac:dyDescent="0.15">
      <c r="B620" s="16">
        <v>14</v>
      </c>
      <c r="C620" s="11"/>
      <c r="D620" s="18"/>
      <c r="E620" s="18"/>
      <c r="F620" s="129"/>
      <c r="G620" s="20"/>
      <c r="H620" s="20">
        <v>1</v>
      </c>
      <c r="I620" s="126">
        <f t="shared" si="42"/>
        <v>0</v>
      </c>
      <c r="J620" s="21">
        <f t="shared" si="41"/>
        <v>0</v>
      </c>
      <c r="K620" s="80"/>
      <c r="L620" s="82"/>
      <c r="M620" s="10"/>
      <c r="N620" s="10"/>
      <c r="O620" s="10"/>
      <c r="P620" s="10"/>
      <c r="Q620" s="43"/>
      <c r="R620" s="10"/>
      <c r="T620" s="10"/>
    </row>
    <row r="621" spans="2:20" s="1" customFormat="1" ht="12.95" customHeight="1" x14ac:dyDescent="0.15">
      <c r="B621" s="16">
        <v>15</v>
      </c>
      <c r="C621" s="11"/>
      <c r="D621" s="18"/>
      <c r="E621" s="18"/>
      <c r="F621" s="129"/>
      <c r="G621" s="20"/>
      <c r="H621" s="20">
        <v>1</v>
      </c>
      <c r="I621" s="126">
        <f t="shared" si="42"/>
        <v>0</v>
      </c>
      <c r="J621" s="21">
        <f t="shared" si="41"/>
        <v>0</v>
      </c>
      <c r="K621" s="80"/>
      <c r="L621" s="82"/>
      <c r="M621" s="10"/>
      <c r="N621" s="10"/>
      <c r="O621" s="10"/>
      <c r="P621" s="10"/>
      <c r="Q621" s="43"/>
      <c r="R621" s="10"/>
      <c r="T621" s="10"/>
    </row>
    <row r="622" spans="2:20" s="1" customFormat="1" ht="12.95" customHeight="1" x14ac:dyDescent="0.15">
      <c r="B622" s="16">
        <v>16</v>
      </c>
      <c r="C622" s="74"/>
      <c r="D622" s="75"/>
      <c r="E622" s="75"/>
      <c r="F622" s="132"/>
      <c r="G622" s="77"/>
      <c r="H622" s="77">
        <v>1</v>
      </c>
      <c r="I622" s="131">
        <f t="shared" si="42"/>
        <v>0</v>
      </c>
      <c r="J622" s="78">
        <f t="shared" si="41"/>
        <v>0</v>
      </c>
      <c r="K622" s="80"/>
      <c r="L622" s="82"/>
      <c r="M622" s="10"/>
      <c r="N622" s="10"/>
      <c r="O622" s="10"/>
      <c r="P622" s="10"/>
      <c r="Q622" s="43"/>
      <c r="R622" s="10"/>
      <c r="T622" s="10"/>
    </row>
    <row r="623" spans="2:20" s="1" customFormat="1" ht="12.95" customHeight="1" x14ac:dyDescent="0.15">
      <c r="B623" s="80">
        <v>17</v>
      </c>
      <c r="C623" s="82"/>
      <c r="D623" s="82"/>
      <c r="E623" s="82"/>
      <c r="F623" s="156"/>
      <c r="G623" s="82"/>
      <c r="H623" s="77">
        <v>1</v>
      </c>
      <c r="I623" s="131">
        <f t="shared" si="42"/>
        <v>0</v>
      </c>
      <c r="J623" s="78">
        <f t="shared" si="41"/>
        <v>0</v>
      </c>
      <c r="K623" s="109"/>
      <c r="L623" s="82"/>
      <c r="M623" s="10"/>
      <c r="N623" s="10"/>
      <c r="O623" s="10"/>
      <c r="P623" s="10"/>
      <c r="Q623" s="43"/>
      <c r="R623" s="10"/>
      <c r="T623" s="10"/>
    </row>
    <row r="624" spans="2:20" s="1" customFormat="1" ht="12.95" customHeight="1" x14ac:dyDescent="0.15">
      <c r="B624" s="80">
        <v>18</v>
      </c>
      <c r="C624" s="82"/>
      <c r="D624" s="82"/>
      <c r="E624" s="82"/>
      <c r="F624" s="156"/>
      <c r="G624" s="82"/>
      <c r="H624" s="77">
        <v>1</v>
      </c>
      <c r="I624" s="131">
        <f t="shared" si="42"/>
        <v>0</v>
      </c>
      <c r="J624" s="78">
        <f t="shared" si="41"/>
        <v>0</v>
      </c>
      <c r="K624" s="155"/>
      <c r="L624" s="119"/>
      <c r="M624" s="10"/>
      <c r="N624" s="10"/>
      <c r="O624" s="10"/>
      <c r="P624" s="10"/>
      <c r="Q624" s="43"/>
      <c r="R624" s="10"/>
      <c r="T624" s="10"/>
    </row>
    <row r="625" spans="2:20" s="1" customFormat="1" ht="12.95" customHeight="1" x14ac:dyDescent="0.15">
      <c r="B625" s="80">
        <v>19</v>
      </c>
      <c r="C625" s="82"/>
      <c r="D625" s="82"/>
      <c r="E625" s="82"/>
      <c r="F625" s="156"/>
      <c r="G625" s="82"/>
      <c r="H625" s="77">
        <v>1</v>
      </c>
      <c r="I625" s="131">
        <f t="shared" si="42"/>
        <v>0</v>
      </c>
      <c r="J625" s="260">
        <f t="shared" si="41"/>
        <v>0</v>
      </c>
      <c r="K625" s="82"/>
      <c r="L625" s="82"/>
      <c r="M625" s="10"/>
      <c r="N625" s="10"/>
      <c r="O625" s="10"/>
      <c r="P625" s="10"/>
      <c r="Q625" s="43"/>
      <c r="R625" s="10"/>
      <c r="T625" s="10"/>
    </row>
    <row r="626" spans="2:20" s="1" customFormat="1" ht="12.95" customHeight="1" x14ac:dyDescent="0.15">
      <c r="B626" s="80">
        <v>20</v>
      </c>
      <c r="C626" s="82"/>
      <c r="D626" s="82"/>
      <c r="E626" s="82"/>
      <c r="F626" s="156"/>
      <c r="G626" s="82"/>
      <c r="H626" s="77">
        <v>1</v>
      </c>
      <c r="I626" s="131">
        <f t="shared" si="42"/>
        <v>0</v>
      </c>
      <c r="J626" s="260">
        <f t="shared" si="41"/>
        <v>0</v>
      </c>
      <c r="K626" s="82"/>
      <c r="L626" s="82"/>
      <c r="M626" s="10"/>
      <c r="N626" s="10"/>
      <c r="O626" s="10"/>
      <c r="P626" s="10"/>
      <c r="Q626" s="43"/>
      <c r="R626" s="10"/>
      <c r="T626" s="10"/>
    </row>
    <row r="627" spans="2:20" s="1" customFormat="1" ht="12.95" customHeight="1" x14ac:dyDescent="0.15">
      <c r="B627" s="111"/>
      <c r="C627" s="152"/>
      <c r="D627" s="153"/>
      <c r="E627" s="153"/>
      <c r="F627" s="157"/>
      <c r="G627" s="154"/>
      <c r="H627" s="154"/>
      <c r="I627" s="158"/>
      <c r="J627" s="261"/>
      <c r="K627" s="82"/>
      <c r="L627" s="82"/>
      <c r="M627" s="10"/>
      <c r="N627" s="10"/>
      <c r="O627" s="10"/>
      <c r="P627" s="10"/>
      <c r="Q627" s="43"/>
      <c r="R627" s="10"/>
      <c r="T627" s="10"/>
    </row>
    <row r="628" spans="2:20" s="1" customFormat="1" ht="12.75" x14ac:dyDescent="0.15">
      <c r="B628" s="82"/>
      <c r="C628" s="102"/>
      <c r="D628" s="103"/>
      <c r="E628" s="102"/>
      <c r="F628" s="128">
        <f>SUM(F570:F627)</f>
        <v>0</v>
      </c>
      <c r="G628" s="104"/>
      <c r="H628" s="105"/>
      <c r="I628" s="128">
        <f>SUM(I570:I627)</f>
        <v>0</v>
      </c>
      <c r="J628" s="106">
        <f>SUM(J570:J627)</f>
        <v>0</v>
      </c>
    </row>
    <row r="629" spans="2:20" s="1" customFormat="1" ht="12.75" x14ac:dyDescent="0.15">
      <c r="B629" s="82"/>
      <c r="C629" s="102"/>
      <c r="D629" s="103"/>
      <c r="E629" s="102" t="s">
        <v>147</v>
      </c>
      <c r="F629" s="128">
        <f>100/115*F628</f>
        <v>0</v>
      </c>
      <c r="G629" s="104"/>
      <c r="H629" s="105" t="s">
        <v>147</v>
      </c>
      <c r="I629" s="128">
        <f>100/115*I628</f>
        <v>0</v>
      </c>
      <c r="J629" s="106"/>
    </row>
    <row r="630" spans="2:20" s="1" customFormat="1" ht="12.75" x14ac:dyDescent="0.15"/>
    <row r="631" spans="2:20" s="1" customFormat="1" ht="12.75" x14ac:dyDescent="0.15"/>
    <row r="632" spans="2:20" s="1" customFormat="1" ht="12.75" x14ac:dyDescent="0.15"/>
    <row r="633" spans="2:20" s="1" customFormat="1" ht="12.75" x14ac:dyDescent="0.15"/>
    <row r="634" spans="2:20" s="247" customFormat="1" ht="32.25" x14ac:dyDescent="0.4">
      <c r="B634" s="248"/>
      <c r="C634" s="380" t="s">
        <v>112</v>
      </c>
      <c r="D634" s="380"/>
      <c r="E634" s="428" t="s">
        <v>163</v>
      </c>
      <c r="F634" s="428"/>
      <c r="G634" s="428"/>
      <c r="H634" s="428"/>
      <c r="I634" s="428"/>
      <c r="J634" s="382">
        <v>2026</v>
      </c>
      <c r="K634" s="382"/>
      <c r="L634" s="382"/>
    </row>
    <row r="635" spans="2:20" s="1" customFormat="1" ht="22.5" x14ac:dyDescent="0.15">
      <c r="B635" s="82"/>
      <c r="C635" s="102" t="s">
        <v>114</v>
      </c>
      <c r="D635" s="388" t="s">
        <v>115</v>
      </c>
      <c r="E635" s="388"/>
      <c r="F635" s="102" t="s">
        <v>116</v>
      </c>
      <c r="G635" s="102" t="s">
        <v>117</v>
      </c>
      <c r="H635" s="102" t="s">
        <v>118</v>
      </c>
      <c r="I635" s="102" t="s">
        <v>119</v>
      </c>
      <c r="J635" s="102" t="s">
        <v>120</v>
      </c>
      <c r="K635" s="82"/>
      <c r="L635" s="82"/>
    </row>
    <row r="636" spans="2:20" s="1" customFormat="1" ht="12.75" x14ac:dyDescent="0.15">
      <c r="B636" s="84"/>
      <c r="C636" s="149">
        <f>C566</f>
        <v>250</v>
      </c>
      <c r="D636" s="412">
        <v>23</v>
      </c>
      <c r="E636" s="412"/>
      <c r="F636" s="146">
        <f>F566</f>
        <v>0.85</v>
      </c>
      <c r="G636" s="147">
        <f>G566</f>
        <v>8</v>
      </c>
      <c r="H636" s="148">
        <f>D636*G636*F636</f>
        <v>156.4</v>
      </c>
      <c r="I636" s="149">
        <f>I698</f>
        <v>0</v>
      </c>
      <c r="J636" s="150">
        <f>H636-J698</f>
        <v>156.4</v>
      </c>
      <c r="K636" s="79"/>
      <c r="L636" s="120"/>
    </row>
    <row r="637" spans="2:20" s="1" customFormat="1" ht="33.75" x14ac:dyDescent="0.15">
      <c r="B637" s="16"/>
      <c r="C637" s="22" t="s">
        <v>121</v>
      </c>
      <c r="D637" s="413" t="s">
        <v>122</v>
      </c>
      <c r="E637" s="413"/>
      <c r="F637" s="33" t="s">
        <v>123</v>
      </c>
      <c r="G637" s="34" t="s">
        <v>124</v>
      </c>
      <c r="H637" s="35" t="s">
        <v>125</v>
      </c>
      <c r="I637" s="125" t="s">
        <v>126</v>
      </c>
      <c r="J637" s="34" t="s">
        <v>127</v>
      </c>
      <c r="K637" s="107" t="s">
        <v>128</v>
      </c>
      <c r="L637" s="123" t="s">
        <v>129</v>
      </c>
    </row>
    <row r="638" spans="2:20" s="1" customFormat="1" ht="12.75" x14ac:dyDescent="0.15">
      <c r="B638" s="16"/>
      <c r="C638" s="22"/>
      <c r="D638" s="32"/>
      <c r="E638" s="32"/>
      <c r="F638" s="33"/>
      <c r="G638" s="34"/>
      <c r="H638" s="35"/>
      <c r="I638" s="125"/>
      <c r="J638" s="34"/>
      <c r="K638" s="110"/>
      <c r="L638" s="82"/>
    </row>
    <row r="639" spans="2:20" s="1" customFormat="1" ht="12.75" x14ac:dyDescent="0.15">
      <c r="B639" s="16"/>
      <c r="C639" s="22" t="s">
        <v>130</v>
      </c>
      <c r="D639" s="32"/>
      <c r="E639" s="32"/>
      <c r="F639" s="151"/>
      <c r="G639" s="34"/>
      <c r="H639" s="35"/>
      <c r="I639" s="125"/>
      <c r="J639" s="34"/>
      <c r="K639" s="110"/>
      <c r="L639" s="82"/>
    </row>
    <row r="640" spans="2:20" s="1" customFormat="1" ht="12.75" x14ac:dyDescent="0.15">
      <c r="B640" s="16"/>
      <c r="C640" s="22" t="s">
        <v>149</v>
      </c>
      <c r="D640" s="32"/>
      <c r="E640" s="32"/>
      <c r="F640" s="151"/>
      <c r="G640" s="34"/>
      <c r="H640" s="35"/>
      <c r="I640" s="125"/>
      <c r="J640" s="34"/>
      <c r="K640" s="110"/>
      <c r="L640" s="82"/>
    </row>
    <row r="641" spans="2:20" s="1" customFormat="1" ht="13.15" customHeight="1" x14ac:dyDescent="0.15">
      <c r="B641" s="26">
        <v>1</v>
      </c>
      <c r="C641" s="17"/>
      <c r="D641" s="24"/>
      <c r="E641" s="24"/>
      <c r="F641" s="129"/>
      <c r="G641" s="20"/>
      <c r="H641" s="20">
        <v>1</v>
      </c>
      <c r="I641" s="129">
        <f t="shared" ref="I641:I657" si="43">J641*$C$32</f>
        <v>0</v>
      </c>
      <c r="J641" s="52">
        <f t="shared" ref="J641:J654" si="44">(F641*G641*H641)/$C$32</f>
        <v>0</v>
      </c>
      <c r="K641" s="108"/>
      <c r="L641" s="113"/>
      <c r="M641" s="4"/>
      <c r="N641" s="4"/>
      <c r="O641" s="4"/>
      <c r="P641" s="4"/>
      <c r="Q641" s="4"/>
      <c r="R641" s="4"/>
      <c r="S641" s="4"/>
      <c r="T641" s="4"/>
    </row>
    <row r="642" spans="2:20" s="1" customFormat="1" ht="12.75" customHeight="1" x14ac:dyDescent="0.15">
      <c r="B642" s="26">
        <v>2</v>
      </c>
      <c r="C642" s="17"/>
      <c r="D642" s="24"/>
      <c r="E642" s="24"/>
      <c r="F642" s="129"/>
      <c r="G642" s="20"/>
      <c r="H642" s="20">
        <v>1</v>
      </c>
      <c r="I642" s="129">
        <f t="shared" si="43"/>
        <v>0</v>
      </c>
      <c r="J642" s="52">
        <f t="shared" si="44"/>
        <v>0</v>
      </c>
      <c r="K642" s="108"/>
      <c r="L642" s="113"/>
      <c r="M642" s="144"/>
      <c r="N642" s="4"/>
      <c r="O642" s="4"/>
      <c r="P642" s="4"/>
      <c r="Q642" s="4"/>
      <c r="R642" s="4"/>
      <c r="S642" s="4"/>
      <c r="T642" s="4"/>
    </row>
    <row r="643" spans="2:20" s="1" customFormat="1" ht="16.5" x14ac:dyDescent="0.15">
      <c r="B643" s="26">
        <v>3</v>
      </c>
      <c r="C643" s="17"/>
      <c r="D643" s="24"/>
      <c r="E643" s="24"/>
      <c r="F643" s="129"/>
      <c r="G643" s="20"/>
      <c r="H643" s="20">
        <v>1</v>
      </c>
      <c r="I643" s="129">
        <f t="shared" si="43"/>
        <v>0</v>
      </c>
      <c r="J643" s="52">
        <f t="shared" si="44"/>
        <v>0</v>
      </c>
      <c r="K643" s="108"/>
      <c r="L643" s="113"/>
      <c r="M643" s="145"/>
      <c r="N643" s="4"/>
      <c r="O643" s="4"/>
      <c r="P643" s="4"/>
      <c r="Q643" s="4"/>
      <c r="R643" s="4"/>
      <c r="S643" s="4"/>
      <c r="T643" s="4"/>
    </row>
    <row r="644" spans="2:20" s="1" customFormat="1" ht="12.75" customHeight="1" x14ac:dyDescent="0.15">
      <c r="B644" s="26">
        <v>4</v>
      </c>
      <c r="C644" s="16"/>
      <c r="D644" s="18"/>
      <c r="E644" s="18"/>
      <c r="F644" s="129"/>
      <c r="G644" s="20"/>
      <c r="H644" s="20">
        <v>1</v>
      </c>
      <c r="I644" s="129">
        <f t="shared" si="43"/>
        <v>0</v>
      </c>
      <c r="J644" s="52">
        <f t="shared" si="44"/>
        <v>0</v>
      </c>
      <c r="K644" s="108"/>
      <c r="L644" s="113"/>
      <c r="M644" s="4"/>
      <c r="N644" s="4"/>
      <c r="O644" s="4"/>
      <c r="P644" s="4"/>
      <c r="Q644" s="4"/>
      <c r="R644" s="4"/>
      <c r="S644" s="4"/>
      <c r="T644" s="4"/>
    </row>
    <row r="645" spans="2:20" s="1" customFormat="1" ht="12.75" customHeight="1" x14ac:dyDescent="0.15">
      <c r="B645" s="26">
        <v>5</v>
      </c>
      <c r="C645" s="17"/>
      <c r="D645" s="53"/>
      <c r="E645" s="53"/>
      <c r="F645" s="129"/>
      <c r="G645" s="20"/>
      <c r="H645" s="20">
        <v>1</v>
      </c>
      <c r="I645" s="129">
        <f t="shared" si="43"/>
        <v>0</v>
      </c>
      <c r="J645" s="27">
        <f t="shared" si="44"/>
        <v>0</v>
      </c>
      <c r="K645" s="108"/>
      <c r="L645" s="113"/>
      <c r="M645" s="4"/>
      <c r="N645" s="4"/>
      <c r="O645" s="4"/>
      <c r="P645" s="4"/>
      <c r="Q645" s="4"/>
      <c r="R645" s="4"/>
      <c r="S645" s="4"/>
      <c r="T645" s="4"/>
    </row>
    <row r="646" spans="2:20" s="1" customFormat="1" ht="12.75" x14ac:dyDescent="0.15">
      <c r="B646" s="26">
        <v>6</v>
      </c>
      <c r="C646" s="17"/>
      <c r="D646" s="24"/>
      <c r="E646" s="24"/>
      <c r="F646" s="129"/>
      <c r="G646" s="20"/>
      <c r="H646" s="20">
        <v>1</v>
      </c>
      <c r="I646" s="129">
        <f t="shared" si="43"/>
        <v>0</v>
      </c>
      <c r="J646" s="52">
        <f t="shared" si="44"/>
        <v>0</v>
      </c>
      <c r="K646" s="108"/>
      <c r="L646" s="113"/>
      <c r="M646" s="4"/>
      <c r="N646" s="4"/>
      <c r="O646" s="4"/>
      <c r="P646" s="4"/>
      <c r="Q646" s="4"/>
      <c r="R646" s="4"/>
      <c r="S646" s="4"/>
      <c r="T646" s="4"/>
    </row>
    <row r="647" spans="2:20" s="1" customFormat="1" ht="12.75" customHeight="1" x14ac:dyDescent="0.15">
      <c r="B647" s="26">
        <v>7</v>
      </c>
      <c r="C647" s="17"/>
      <c r="D647" s="22"/>
      <c r="E647" s="22"/>
      <c r="F647" s="129"/>
      <c r="G647" s="20"/>
      <c r="H647" s="20">
        <v>1</v>
      </c>
      <c r="I647" s="129">
        <f t="shared" si="43"/>
        <v>0</v>
      </c>
      <c r="J647" s="27">
        <f t="shared" si="44"/>
        <v>0</v>
      </c>
      <c r="K647" s="108"/>
      <c r="L647" s="113"/>
      <c r="M647" s="4"/>
      <c r="N647" s="4"/>
      <c r="O647" s="4"/>
      <c r="P647" s="4"/>
      <c r="Q647" s="4"/>
      <c r="R647" s="4"/>
      <c r="S647" s="4"/>
      <c r="T647" s="4"/>
    </row>
    <row r="648" spans="2:20" s="1" customFormat="1" ht="12.95" customHeight="1" x14ac:dyDescent="0.15">
      <c r="B648" s="26">
        <v>8</v>
      </c>
      <c r="C648" s="17"/>
      <c r="D648" s="18"/>
      <c r="E648" s="24"/>
      <c r="F648" s="129"/>
      <c r="G648" s="20"/>
      <c r="H648" s="20">
        <v>1</v>
      </c>
      <c r="I648" s="129">
        <f t="shared" si="43"/>
        <v>0</v>
      </c>
      <c r="J648" s="52">
        <f t="shared" si="44"/>
        <v>0</v>
      </c>
      <c r="K648" s="108"/>
      <c r="L648" s="113"/>
      <c r="M648" s="4"/>
      <c r="N648" s="4"/>
      <c r="O648" s="4"/>
      <c r="P648" s="4"/>
      <c r="Q648" s="4"/>
      <c r="R648" s="4"/>
      <c r="S648" s="4"/>
      <c r="T648" s="4"/>
    </row>
    <row r="649" spans="2:20" s="1" customFormat="1" ht="12.95" customHeight="1" x14ac:dyDescent="0.15">
      <c r="B649" s="26">
        <v>9</v>
      </c>
      <c r="C649" s="17"/>
      <c r="D649" s="18"/>
      <c r="E649" s="24"/>
      <c r="F649" s="129"/>
      <c r="G649" s="20"/>
      <c r="H649" s="20">
        <v>1</v>
      </c>
      <c r="I649" s="129">
        <f t="shared" si="43"/>
        <v>0</v>
      </c>
      <c r="J649" s="52">
        <f t="shared" si="44"/>
        <v>0</v>
      </c>
      <c r="K649" s="108"/>
      <c r="L649" s="113"/>
      <c r="M649" s="4"/>
      <c r="N649" s="4"/>
      <c r="O649" s="4"/>
      <c r="P649" s="4"/>
      <c r="Q649" s="4"/>
      <c r="R649" s="4"/>
      <c r="S649" s="4"/>
      <c r="T649" s="4"/>
    </row>
    <row r="650" spans="2:20" s="1" customFormat="1" ht="12.95" customHeight="1" x14ac:dyDescent="0.15">
      <c r="B650" s="26">
        <v>10</v>
      </c>
      <c r="C650" s="17"/>
      <c r="D650" s="24"/>
      <c r="E650" s="18"/>
      <c r="F650" s="129"/>
      <c r="G650" s="20"/>
      <c r="H650" s="20">
        <v>1</v>
      </c>
      <c r="I650" s="129">
        <f t="shared" si="43"/>
        <v>0</v>
      </c>
      <c r="J650" s="52">
        <f t="shared" si="44"/>
        <v>0</v>
      </c>
      <c r="K650" s="108"/>
      <c r="L650" s="113"/>
      <c r="M650" s="4"/>
      <c r="N650" s="4"/>
      <c r="O650" s="4"/>
      <c r="P650" s="4"/>
      <c r="Q650" s="4"/>
      <c r="R650" s="4"/>
      <c r="S650" s="4"/>
      <c r="T650" s="4"/>
    </row>
    <row r="651" spans="2:20" s="1" customFormat="1" ht="12.95" customHeight="1" x14ac:dyDescent="0.15">
      <c r="B651" s="26"/>
      <c r="C651" s="17"/>
      <c r="D651" s="24"/>
      <c r="E651" s="18"/>
      <c r="F651" s="129"/>
      <c r="G651" s="20"/>
      <c r="H651" s="20"/>
      <c r="I651" s="129"/>
      <c r="J651" s="52"/>
      <c r="K651" s="108"/>
      <c r="L651" s="113"/>
      <c r="M651" s="4"/>
      <c r="N651" s="4"/>
      <c r="O651" s="4"/>
      <c r="P651" s="4"/>
      <c r="Q651" s="4"/>
      <c r="R651" s="4"/>
      <c r="S651" s="4"/>
      <c r="T651" s="4"/>
    </row>
    <row r="652" spans="2:20" s="1" customFormat="1" ht="12.95" customHeight="1" x14ac:dyDescent="0.15">
      <c r="B652" s="26"/>
      <c r="C652" s="17"/>
      <c r="D652" s="24"/>
      <c r="E652" s="18"/>
      <c r="F652" s="129"/>
      <c r="G652" s="20"/>
      <c r="H652" s="20"/>
      <c r="I652" s="129"/>
      <c r="J652" s="52"/>
      <c r="K652" s="108"/>
      <c r="L652" s="113"/>
      <c r="M652" s="4"/>
      <c r="N652" s="4"/>
      <c r="O652" s="4"/>
      <c r="P652" s="4"/>
      <c r="Q652" s="4"/>
      <c r="R652" s="4"/>
      <c r="S652" s="4"/>
      <c r="T652" s="4"/>
    </row>
    <row r="653" spans="2:20" s="1" customFormat="1" ht="12.95" customHeight="1" x14ac:dyDescent="0.15">
      <c r="B653" s="26"/>
      <c r="C653" s="22" t="s">
        <v>153</v>
      </c>
      <c r="D653" s="24"/>
      <c r="E653" s="18"/>
      <c r="F653" s="129"/>
      <c r="G653" s="20"/>
      <c r="H653" s="20"/>
      <c r="I653" s="129"/>
      <c r="J653" s="52"/>
      <c r="K653" s="108"/>
      <c r="L653" s="113"/>
      <c r="M653" s="4"/>
      <c r="N653" s="4"/>
      <c r="O653" s="4"/>
      <c r="P653" s="4"/>
      <c r="Q653" s="4"/>
      <c r="R653" s="4"/>
      <c r="S653" s="4"/>
      <c r="T653" s="4"/>
    </row>
    <row r="654" spans="2:20" s="1" customFormat="1" ht="12.95" customHeight="1" x14ac:dyDescent="0.15">
      <c r="B654" s="26">
        <v>1</v>
      </c>
      <c r="C654" s="17"/>
      <c r="D654" s="24"/>
      <c r="E654" s="24"/>
      <c r="F654" s="129"/>
      <c r="G654" s="20"/>
      <c r="H654" s="20">
        <v>1</v>
      </c>
      <c r="I654" s="129">
        <f t="shared" si="43"/>
        <v>0</v>
      </c>
      <c r="J654" s="52">
        <f t="shared" si="44"/>
        <v>0</v>
      </c>
      <c r="K654" s="108"/>
      <c r="L654" s="113"/>
      <c r="M654" s="4"/>
      <c r="N654" s="4"/>
      <c r="O654" s="4"/>
      <c r="P654" s="4"/>
      <c r="Q654" s="4"/>
      <c r="R654" s="4"/>
      <c r="S654" s="4"/>
      <c r="T654" s="4"/>
    </row>
    <row r="655" spans="2:20" s="1" customFormat="1" ht="12.95" customHeight="1" x14ac:dyDescent="0.15">
      <c r="B655" s="26">
        <v>2</v>
      </c>
      <c r="C655" s="17"/>
      <c r="D655" s="24"/>
      <c r="E655" s="24"/>
      <c r="F655" s="129"/>
      <c r="G655" s="20"/>
      <c r="H655" s="20">
        <v>1</v>
      </c>
      <c r="I655" s="129">
        <f t="shared" si="43"/>
        <v>0</v>
      </c>
      <c r="J655" s="52">
        <f>(F655*G655*H655)/$C$32</f>
        <v>0</v>
      </c>
      <c r="K655" s="108"/>
      <c r="L655" s="113"/>
      <c r="M655" s="4"/>
      <c r="N655" s="4"/>
      <c r="O655" s="4"/>
      <c r="P655" s="4"/>
      <c r="Q655" s="4"/>
      <c r="R655" s="4"/>
      <c r="S655" s="4"/>
      <c r="T655" s="4"/>
    </row>
    <row r="656" spans="2:20" s="1" customFormat="1" ht="12.95" customHeight="1" x14ac:dyDescent="0.15">
      <c r="B656" s="26">
        <v>3</v>
      </c>
      <c r="C656" s="24"/>
      <c r="D656" s="24"/>
      <c r="E656" s="24"/>
      <c r="F656" s="129"/>
      <c r="G656" s="20"/>
      <c r="H656" s="20">
        <v>1</v>
      </c>
      <c r="I656" s="129">
        <f t="shared" si="43"/>
        <v>0</v>
      </c>
      <c r="J656" s="52">
        <f>(F656*G656*H656)/$C$32</f>
        <v>0</v>
      </c>
      <c r="K656" s="108"/>
      <c r="L656" s="113"/>
      <c r="M656" s="4"/>
      <c r="N656" s="4"/>
      <c r="O656" s="4"/>
      <c r="P656" s="4"/>
      <c r="Q656" s="4"/>
      <c r="R656" s="4"/>
      <c r="S656" s="4"/>
      <c r="T656" s="4"/>
    </row>
    <row r="657" spans="2:20" s="1" customFormat="1" ht="12.95" customHeight="1" x14ac:dyDescent="0.15">
      <c r="B657" s="26">
        <v>4</v>
      </c>
      <c r="C657" s="24"/>
      <c r="D657" s="24"/>
      <c r="E657" s="24"/>
      <c r="F657" s="129"/>
      <c r="G657" s="20"/>
      <c r="H657" s="20">
        <v>1</v>
      </c>
      <c r="I657" s="129">
        <f t="shared" si="43"/>
        <v>0</v>
      </c>
      <c r="J657" s="52">
        <f t="shared" ref="J657:J658" si="45">(F657*G657*H657)/$C$32</f>
        <v>0</v>
      </c>
      <c r="K657" s="108"/>
      <c r="L657" s="113"/>
      <c r="M657" s="4"/>
      <c r="N657" s="4"/>
      <c r="O657" s="4"/>
      <c r="P657" s="4"/>
      <c r="Q657" s="4"/>
      <c r="R657" s="4"/>
      <c r="S657" s="4"/>
      <c r="T657" s="4"/>
    </row>
    <row r="658" spans="2:20" s="1" customFormat="1" ht="12.95" customHeight="1" x14ac:dyDescent="0.15">
      <c r="B658" s="26">
        <v>5</v>
      </c>
      <c r="C658" s="17"/>
      <c r="D658" s="18"/>
      <c r="E658" s="18"/>
      <c r="F658" s="129"/>
      <c r="G658" s="20"/>
      <c r="H658" s="20">
        <v>1</v>
      </c>
      <c r="I658" s="129">
        <f>J658*$C$32</f>
        <v>0</v>
      </c>
      <c r="J658" s="27">
        <f t="shared" si="45"/>
        <v>0</v>
      </c>
      <c r="K658" s="108"/>
      <c r="L658" s="113"/>
      <c r="M658" s="4"/>
      <c r="N658" s="4"/>
      <c r="O658" s="4"/>
      <c r="P658" s="4"/>
      <c r="Q658" s="4"/>
      <c r="R658" s="4"/>
      <c r="S658" s="4"/>
      <c r="T658" s="4"/>
    </row>
    <row r="659" spans="2:20" s="1" customFormat="1" ht="12.95" customHeight="1" x14ac:dyDescent="0.15">
      <c r="B659" s="26">
        <v>6</v>
      </c>
      <c r="C659" s="17"/>
      <c r="D659" s="24"/>
      <c r="E659" s="24"/>
      <c r="F659" s="129"/>
      <c r="G659" s="20"/>
      <c r="H659" s="20">
        <v>1</v>
      </c>
      <c r="I659" s="129">
        <f t="shared" ref="I659" si="46">J659*$C$32</f>
        <v>0</v>
      </c>
      <c r="J659" s="54">
        <f>(F659*G659*H659)/$C$32</f>
        <v>0</v>
      </c>
      <c r="K659" s="108"/>
      <c r="L659" s="113"/>
      <c r="M659" s="4"/>
      <c r="N659" s="4"/>
      <c r="O659" s="4"/>
      <c r="P659" s="4"/>
      <c r="Q659" s="4"/>
      <c r="R659" s="4"/>
      <c r="S659" s="4"/>
      <c r="T659" s="4"/>
    </row>
    <row r="660" spans="2:20" s="1" customFormat="1" ht="12.95" customHeight="1" x14ac:dyDescent="0.15">
      <c r="B660" s="26">
        <v>7</v>
      </c>
      <c r="C660" s="17"/>
      <c r="D660" s="24"/>
      <c r="E660" s="24"/>
      <c r="F660" s="129"/>
      <c r="G660" s="20"/>
      <c r="H660" s="20">
        <v>1</v>
      </c>
      <c r="I660" s="129">
        <f>J660*$C$32</f>
        <v>0</v>
      </c>
      <c r="J660" s="54">
        <f>(F660*G660*H660)/$C$32</f>
        <v>0</v>
      </c>
      <c r="K660" s="108"/>
      <c r="L660" s="113"/>
      <c r="M660" s="4"/>
      <c r="N660" s="4"/>
      <c r="O660" s="4"/>
      <c r="P660" s="4"/>
      <c r="Q660" s="4"/>
      <c r="R660" s="4"/>
      <c r="S660" s="4"/>
      <c r="T660" s="4"/>
    </row>
    <row r="661" spans="2:20" s="1" customFormat="1" ht="14.85" customHeight="1" x14ac:dyDescent="0.15">
      <c r="B661" s="26">
        <v>8</v>
      </c>
      <c r="C661" s="17"/>
      <c r="D661" s="24"/>
      <c r="E661" s="24"/>
      <c r="F661" s="129"/>
      <c r="G661" s="20"/>
      <c r="H661" s="20">
        <v>1</v>
      </c>
      <c r="I661" s="129">
        <f t="shared" ref="I661:I673" si="47">J661*$C$32</f>
        <v>0</v>
      </c>
      <c r="J661" s="52">
        <f t="shared" ref="J661:J673" si="48">(F661*G661*H661)/$C$32</f>
        <v>0</v>
      </c>
      <c r="K661" s="108"/>
      <c r="L661" s="113"/>
      <c r="M661" s="4"/>
      <c r="N661" s="4"/>
      <c r="O661" s="4"/>
      <c r="P661" s="4"/>
      <c r="Q661" s="4"/>
      <c r="R661" s="4"/>
      <c r="S661" s="4"/>
      <c r="T661" s="4"/>
    </row>
    <row r="662" spans="2:20" s="1" customFormat="1" ht="12.95" customHeight="1" x14ac:dyDescent="0.15">
      <c r="B662" s="26">
        <v>9</v>
      </c>
      <c r="C662" s="17"/>
      <c r="D662" s="24"/>
      <c r="E662" s="24"/>
      <c r="F662" s="129"/>
      <c r="G662" s="20"/>
      <c r="H662" s="20">
        <v>1</v>
      </c>
      <c r="I662" s="129">
        <f t="shared" si="47"/>
        <v>0</v>
      </c>
      <c r="J662" s="52">
        <f t="shared" si="48"/>
        <v>0</v>
      </c>
      <c r="K662" s="108"/>
      <c r="L662" s="113"/>
      <c r="M662" s="4"/>
      <c r="N662" s="4"/>
      <c r="O662" s="4"/>
      <c r="P662" s="4"/>
      <c r="Q662" s="4"/>
      <c r="R662" s="4"/>
      <c r="S662" s="4"/>
      <c r="T662" s="4"/>
    </row>
    <row r="663" spans="2:20" s="1" customFormat="1" ht="12.95" customHeight="1" x14ac:dyDescent="0.15">
      <c r="B663" s="26">
        <v>10</v>
      </c>
      <c r="C663" s="17"/>
      <c r="D663" s="24"/>
      <c r="E663" s="24"/>
      <c r="F663" s="129"/>
      <c r="G663" s="20"/>
      <c r="H663" s="20">
        <v>1</v>
      </c>
      <c r="I663" s="129">
        <f t="shared" si="47"/>
        <v>0</v>
      </c>
      <c r="J663" s="52">
        <f t="shared" si="48"/>
        <v>0</v>
      </c>
      <c r="K663" s="108"/>
      <c r="L663" s="113"/>
      <c r="M663" s="4"/>
      <c r="N663" s="4"/>
      <c r="O663" s="4"/>
      <c r="P663" s="4"/>
      <c r="Q663" s="4"/>
      <c r="R663" s="4"/>
      <c r="S663" s="4"/>
      <c r="T663" s="4"/>
    </row>
    <row r="664" spans="2:20" s="1" customFormat="1" ht="12.95" customHeight="1" x14ac:dyDescent="0.15">
      <c r="B664" s="26">
        <v>11</v>
      </c>
      <c r="C664" s="17"/>
      <c r="D664" s="24"/>
      <c r="E664" s="24"/>
      <c r="F664" s="129"/>
      <c r="G664" s="20"/>
      <c r="H664" s="20">
        <v>1</v>
      </c>
      <c r="I664" s="129">
        <f t="shared" si="47"/>
        <v>0</v>
      </c>
      <c r="J664" s="52">
        <f t="shared" si="48"/>
        <v>0</v>
      </c>
      <c r="K664" s="108"/>
      <c r="L664" s="113"/>
      <c r="M664" s="4"/>
      <c r="N664" s="4"/>
      <c r="O664" s="4"/>
      <c r="P664" s="4"/>
      <c r="Q664" s="4"/>
      <c r="R664" s="4"/>
      <c r="S664" s="4"/>
      <c r="T664" s="4"/>
    </row>
    <row r="665" spans="2:20" s="1" customFormat="1" ht="12.95" customHeight="1" x14ac:dyDescent="0.15">
      <c r="B665" s="26">
        <v>12</v>
      </c>
      <c r="C665" s="17"/>
      <c r="D665" s="18"/>
      <c r="E665" s="18"/>
      <c r="F665" s="129"/>
      <c r="G665" s="20"/>
      <c r="H665" s="20">
        <v>1</v>
      </c>
      <c r="I665" s="129">
        <f t="shared" si="47"/>
        <v>0</v>
      </c>
      <c r="J665" s="52">
        <f t="shared" si="48"/>
        <v>0</v>
      </c>
      <c r="K665" s="108"/>
      <c r="L665" s="113"/>
      <c r="M665" s="4"/>
      <c r="N665" s="4"/>
      <c r="O665" s="4"/>
      <c r="P665" s="4"/>
      <c r="Q665" s="4"/>
      <c r="R665" s="4"/>
      <c r="S665" s="4"/>
      <c r="T665" s="4"/>
    </row>
    <row r="666" spans="2:20" s="1" customFormat="1" ht="12.95" customHeight="1" x14ac:dyDescent="0.15">
      <c r="B666" s="26">
        <v>13</v>
      </c>
      <c r="C666" s="17"/>
      <c r="D666" s="18"/>
      <c r="E666" s="18"/>
      <c r="F666" s="129"/>
      <c r="G666" s="20"/>
      <c r="H666" s="20">
        <v>1</v>
      </c>
      <c r="I666" s="129">
        <f t="shared" si="47"/>
        <v>0</v>
      </c>
      <c r="J666" s="52">
        <f t="shared" si="48"/>
        <v>0</v>
      </c>
      <c r="K666" s="108"/>
      <c r="L666" s="113"/>
      <c r="M666" s="4"/>
      <c r="N666" s="4"/>
      <c r="O666" s="4"/>
      <c r="P666" s="4"/>
      <c r="Q666" s="4"/>
      <c r="R666" s="4"/>
      <c r="S666" s="4"/>
      <c r="T666" s="4"/>
    </row>
    <row r="667" spans="2:20" s="1" customFormat="1" ht="12.95" customHeight="1" x14ac:dyDescent="0.15">
      <c r="B667" s="26">
        <v>14</v>
      </c>
      <c r="C667" s="17"/>
      <c r="D667" s="18"/>
      <c r="E667" s="18"/>
      <c r="F667" s="129"/>
      <c r="G667" s="20"/>
      <c r="H667" s="20">
        <v>1</v>
      </c>
      <c r="I667" s="129">
        <f t="shared" si="47"/>
        <v>0</v>
      </c>
      <c r="J667" s="52">
        <f t="shared" si="48"/>
        <v>0</v>
      </c>
      <c r="K667" s="108"/>
      <c r="L667" s="113"/>
      <c r="M667" s="4"/>
      <c r="N667" s="4"/>
      <c r="O667" s="4"/>
      <c r="P667" s="4"/>
      <c r="Q667" s="4"/>
      <c r="R667" s="4"/>
      <c r="S667" s="4"/>
      <c r="T667" s="4"/>
    </row>
    <row r="668" spans="2:20" s="1" customFormat="1" ht="12.95" customHeight="1" x14ac:dyDescent="0.15">
      <c r="B668" s="26">
        <v>15</v>
      </c>
      <c r="C668" s="11"/>
      <c r="D668" s="18"/>
      <c r="E668" s="18"/>
      <c r="F668" s="129"/>
      <c r="G668" s="20"/>
      <c r="H668" s="20">
        <v>1</v>
      </c>
      <c r="I668" s="126">
        <f t="shared" si="47"/>
        <v>0</v>
      </c>
      <c r="J668" s="21">
        <f t="shared" si="48"/>
        <v>0</v>
      </c>
      <c r="K668" s="108"/>
      <c r="L668" s="113"/>
      <c r="M668" s="4"/>
      <c r="N668" s="4"/>
      <c r="O668" s="4"/>
      <c r="P668" s="4"/>
      <c r="Q668" s="4"/>
      <c r="R668" s="4"/>
      <c r="S668" s="4"/>
      <c r="T668" s="4"/>
    </row>
    <row r="669" spans="2:20" s="1" customFormat="1" ht="12.95" customHeight="1" x14ac:dyDescent="0.15">
      <c r="B669" s="26">
        <v>16</v>
      </c>
      <c r="C669" s="23"/>
      <c r="D669" s="49"/>
      <c r="E669" s="49"/>
      <c r="F669" s="126"/>
      <c r="G669" s="50"/>
      <c r="H669" s="20">
        <v>1</v>
      </c>
      <c r="I669" s="126">
        <f t="shared" si="47"/>
        <v>0</v>
      </c>
      <c r="J669" s="21">
        <f t="shared" si="48"/>
        <v>0</v>
      </c>
      <c r="K669" s="108"/>
      <c r="L669" s="113"/>
      <c r="M669" s="4"/>
      <c r="N669" s="4"/>
      <c r="O669" s="4"/>
      <c r="P669" s="4"/>
      <c r="Q669" s="4"/>
      <c r="R669" s="4"/>
      <c r="S669" s="4"/>
      <c r="T669" s="4"/>
    </row>
    <row r="670" spans="2:20" s="1" customFormat="1" ht="12.95" customHeight="1" x14ac:dyDescent="0.15">
      <c r="B670" s="26">
        <v>17</v>
      </c>
      <c r="C670" s="23"/>
      <c r="D670" s="48"/>
      <c r="E670" s="48"/>
      <c r="F670" s="126"/>
      <c r="G670" s="50"/>
      <c r="H670" s="20">
        <v>1</v>
      </c>
      <c r="I670" s="126">
        <f t="shared" si="47"/>
        <v>0</v>
      </c>
      <c r="J670" s="21">
        <f t="shared" si="48"/>
        <v>0</v>
      </c>
      <c r="K670" s="108"/>
      <c r="L670" s="113"/>
      <c r="M670" s="4"/>
      <c r="N670" s="4"/>
      <c r="O670" s="4"/>
      <c r="P670" s="4"/>
      <c r="Q670" s="4"/>
      <c r="R670" s="4"/>
      <c r="S670" s="4"/>
      <c r="T670" s="4"/>
    </row>
    <row r="671" spans="2:20" s="1" customFormat="1" ht="12.95" customHeight="1" x14ac:dyDescent="0.15">
      <c r="B671" s="26">
        <v>18</v>
      </c>
      <c r="C671" s="23"/>
      <c r="D671" s="48"/>
      <c r="E671" s="48"/>
      <c r="F671" s="126"/>
      <c r="G671" s="50"/>
      <c r="H671" s="20">
        <v>1</v>
      </c>
      <c r="I671" s="126">
        <f t="shared" si="47"/>
        <v>0</v>
      </c>
      <c r="J671" s="21">
        <f t="shared" si="48"/>
        <v>0</v>
      </c>
      <c r="K671" s="108"/>
      <c r="L671" s="113"/>
      <c r="M671" s="4"/>
      <c r="N671" s="4"/>
      <c r="O671" s="4"/>
      <c r="P671" s="4"/>
      <c r="Q671" s="4"/>
      <c r="R671" s="4"/>
      <c r="S671" s="4"/>
      <c r="T671" s="4"/>
    </row>
    <row r="672" spans="2:20" s="1" customFormat="1" ht="12.95" customHeight="1" x14ac:dyDescent="0.15">
      <c r="B672" s="26">
        <v>19</v>
      </c>
      <c r="C672" s="23"/>
      <c r="D672" s="48"/>
      <c r="E672" s="48"/>
      <c r="F672" s="126"/>
      <c r="G672" s="50"/>
      <c r="H672" s="20">
        <v>1</v>
      </c>
      <c r="I672" s="126">
        <f t="shared" si="47"/>
        <v>0</v>
      </c>
      <c r="J672" s="21">
        <f t="shared" si="48"/>
        <v>0</v>
      </c>
      <c r="K672" s="108"/>
      <c r="L672" s="113"/>
      <c r="M672" s="4"/>
      <c r="N672" s="4"/>
      <c r="O672" s="4"/>
      <c r="P672" s="4"/>
      <c r="Q672" s="4"/>
      <c r="R672" s="4"/>
      <c r="S672" s="4"/>
      <c r="T672" s="4"/>
    </row>
    <row r="673" spans="2:20" s="1" customFormat="1" ht="12.95" customHeight="1" x14ac:dyDescent="0.15">
      <c r="B673" s="26">
        <v>20</v>
      </c>
      <c r="C673" s="23"/>
      <c r="D673" s="48"/>
      <c r="E673" s="48"/>
      <c r="F673" s="126"/>
      <c r="G673" s="50"/>
      <c r="H673" s="20">
        <v>1</v>
      </c>
      <c r="I673" s="126">
        <f t="shared" si="47"/>
        <v>0</v>
      </c>
      <c r="J673" s="21">
        <f t="shared" si="48"/>
        <v>0</v>
      </c>
      <c r="K673" s="108"/>
      <c r="L673" s="113"/>
      <c r="M673" s="4"/>
      <c r="N673" s="4"/>
      <c r="O673" s="4"/>
      <c r="P673" s="4"/>
      <c r="Q673" s="4"/>
      <c r="R673" s="4"/>
      <c r="S673" s="4"/>
      <c r="T673" s="4"/>
    </row>
    <row r="674" spans="2:20" s="1" customFormat="1" ht="12.95" customHeight="1" x14ac:dyDescent="0.15">
      <c r="B674" s="26"/>
      <c r="C674" s="23"/>
      <c r="D674" s="48"/>
      <c r="E674" s="48"/>
      <c r="F674" s="126"/>
      <c r="G674" s="50"/>
      <c r="H674" s="50"/>
      <c r="I674" s="126"/>
      <c r="J674" s="38"/>
      <c r="K674" s="108"/>
      <c r="L674" s="113"/>
      <c r="M674" s="4"/>
      <c r="N674" s="4"/>
      <c r="O674" s="4"/>
      <c r="P674" s="4"/>
      <c r="Q674" s="4"/>
      <c r="R674" s="4"/>
      <c r="S674" s="4"/>
      <c r="T674" s="4"/>
    </row>
    <row r="675" spans="2:20" s="1" customFormat="1" ht="12.95" customHeight="1" x14ac:dyDescent="0.15">
      <c r="B675" s="26"/>
      <c r="C675" s="23"/>
      <c r="D675" s="48"/>
      <c r="E675" s="48"/>
      <c r="F675" s="126"/>
      <c r="G675" s="50"/>
      <c r="H675" s="50"/>
      <c r="I675" s="126"/>
      <c r="J675" s="38"/>
      <c r="K675" s="108"/>
      <c r="L675" s="113"/>
      <c r="M675" s="4"/>
      <c r="N675" s="4"/>
      <c r="O675" s="4"/>
      <c r="P675" s="4"/>
      <c r="Q675" s="4"/>
      <c r="R675" s="4"/>
      <c r="S675" s="4"/>
      <c r="T675" s="4"/>
    </row>
    <row r="676" spans="2:20" s="1" customFormat="1" ht="12.95" customHeight="1" x14ac:dyDescent="0.15">
      <c r="B676" s="26"/>
      <c r="C676" s="95" t="s">
        <v>132</v>
      </c>
      <c r="D676" s="49"/>
      <c r="E676" s="49"/>
      <c r="F676" s="126"/>
      <c r="G676" s="50"/>
      <c r="H676" s="50"/>
      <c r="I676" s="126"/>
      <c r="J676" s="21"/>
      <c r="K676" s="108"/>
      <c r="L676" s="113"/>
      <c r="M676" s="57"/>
      <c r="N676" s="57"/>
      <c r="O676" s="57"/>
      <c r="P676" s="57"/>
      <c r="Q676" s="58"/>
      <c r="R676" s="57"/>
      <c r="S676" s="4"/>
      <c r="T676" s="57"/>
    </row>
    <row r="677" spans="2:20" s="1" customFormat="1" ht="12.95" customHeight="1" x14ac:dyDescent="0.15">
      <c r="B677" s="26">
        <v>1</v>
      </c>
      <c r="C677" s="60"/>
      <c r="D677" s="49"/>
      <c r="E677" s="49"/>
      <c r="F677" s="126"/>
      <c r="G677" s="50"/>
      <c r="H677" s="50">
        <v>1</v>
      </c>
      <c r="I677" s="126">
        <f>J677*$C$32</f>
        <v>0</v>
      </c>
      <c r="J677" s="21">
        <f t="shared" ref="J677:J696" si="49">(F677*G677*H677)/$C$32</f>
        <v>0</v>
      </c>
      <c r="K677" s="108"/>
      <c r="L677" s="113"/>
      <c r="M677" s="57"/>
      <c r="N677" s="57"/>
      <c r="O677" s="57"/>
      <c r="P677" s="57"/>
      <c r="Q677" s="58"/>
      <c r="R677" s="57"/>
      <c r="S677" s="4"/>
      <c r="T677" s="57"/>
    </row>
    <row r="678" spans="2:20" s="1" customFormat="1" ht="12.95" customHeight="1" x14ac:dyDescent="0.15">
      <c r="B678" s="26">
        <v>2</v>
      </c>
      <c r="C678" s="59"/>
      <c r="D678" s="49"/>
      <c r="E678" s="49"/>
      <c r="F678" s="126"/>
      <c r="G678" s="50"/>
      <c r="H678" s="50">
        <v>1</v>
      </c>
      <c r="I678" s="126">
        <f t="shared" ref="I678:I696" si="50">J678*$C$32</f>
        <v>0</v>
      </c>
      <c r="J678" s="21">
        <f t="shared" si="49"/>
        <v>0</v>
      </c>
      <c r="K678" s="108"/>
      <c r="L678" s="113"/>
      <c r="M678" s="57"/>
      <c r="N678" s="57"/>
      <c r="O678" s="57"/>
      <c r="P678" s="57"/>
      <c r="Q678" s="58"/>
      <c r="R678" s="57"/>
      <c r="S678" s="4"/>
      <c r="T678" s="57"/>
    </row>
    <row r="679" spans="2:20" s="1" customFormat="1" ht="12.95" customHeight="1" x14ac:dyDescent="0.15">
      <c r="B679" s="26">
        <v>3</v>
      </c>
      <c r="C679" s="61"/>
      <c r="D679" s="49"/>
      <c r="E679" s="49"/>
      <c r="F679" s="126"/>
      <c r="G679" s="50"/>
      <c r="H679" s="50">
        <v>1</v>
      </c>
      <c r="I679" s="126">
        <f t="shared" si="50"/>
        <v>0</v>
      </c>
      <c r="J679" s="21">
        <f t="shared" si="49"/>
        <v>0</v>
      </c>
      <c r="K679" s="108"/>
      <c r="L679" s="113"/>
      <c r="M679" s="57"/>
      <c r="N679" s="57"/>
      <c r="O679" s="57"/>
      <c r="P679" s="57"/>
      <c r="Q679" s="58"/>
      <c r="R679" s="57"/>
      <c r="S679" s="4"/>
      <c r="T679" s="57"/>
    </row>
    <row r="680" spans="2:20" s="1" customFormat="1" ht="12.95" customHeight="1" x14ac:dyDescent="0.15">
      <c r="B680" s="16">
        <v>4</v>
      </c>
      <c r="C680" s="11"/>
      <c r="D680" s="18"/>
      <c r="E680" s="18"/>
      <c r="F680" s="129"/>
      <c r="G680" s="20"/>
      <c r="H680" s="20">
        <v>1</v>
      </c>
      <c r="I680" s="126">
        <f t="shared" si="50"/>
        <v>0</v>
      </c>
      <c r="J680" s="21">
        <f t="shared" si="49"/>
        <v>0</v>
      </c>
      <c r="K680" s="80"/>
      <c r="L680" s="82"/>
      <c r="M680" s="10"/>
      <c r="N680" s="10"/>
      <c r="O680" s="10"/>
      <c r="P680" s="10"/>
      <c r="Q680" s="43"/>
      <c r="R680" s="10"/>
      <c r="T680" s="10"/>
    </row>
    <row r="681" spans="2:20" s="1" customFormat="1" ht="12.95" customHeight="1" x14ac:dyDescent="0.15">
      <c r="B681" s="16">
        <v>5</v>
      </c>
      <c r="C681" s="46"/>
      <c r="D681" s="18"/>
      <c r="E681" s="18"/>
      <c r="F681" s="129"/>
      <c r="G681" s="20"/>
      <c r="H681" s="20">
        <v>1</v>
      </c>
      <c r="I681" s="126">
        <f t="shared" si="50"/>
        <v>0</v>
      </c>
      <c r="J681" s="21">
        <f t="shared" si="49"/>
        <v>0</v>
      </c>
      <c r="K681" s="80"/>
      <c r="L681" s="82"/>
      <c r="M681" s="10"/>
      <c r="N681" s="10"/>
      <c r="O681" s="10"/>
      <c r="P681" s="10"/>
      <c r="Q681" s="43"/>
      <c r="R681" s="10"/>
      <c r="T681" s="10"/>
    </row>
    <row r="682" spans="2:20" s="1" customFormat="1" ht="12.95" customHeight="1" x14ac:dyDescent="0.15">
      <c r="B682" s="16">
        <v>6</v>
      </c>
      <c r="C682" s="11"/>
      <c r="D682" s="18"/>
      <c r="E682" s="18"/>
      <c r="F682" s="129"/>
      <c r="G682" s="20"/>
      <c r="H682" s="20">
        <v>1</v>
      </c>
      <c r="I682" s="126">
        <f t="shared" si="50"/>
        <v>0</v>
      </c>
      <c r="J682" s="21">
        <f t="shared" si="49"/>
        <v>0</v>
      </c>
      <c r="K682" s="80"/>
      <c r="L682" s="82"/>
      <c r="M682" s="10"/>
      <c r="N682" s="10"/>
      <c r="O682" s="10"/>
      <c r="P682" s="10"/>
      <c r="Q682" s="43"/>
      <c r="R682" s="10"/>
      <c r="T682" s="10"/>
    </row>
    <row r="683" spans="2:20" s="1" customFormat="1" ht="12.95" customHeight="1" x14ac:dyDescent="0.15">
      <c r="B683" s="16">
        <v>7</v>
      </c>
      <c r="C683" s="11"/>
      <c r="D683" s="18"/>
      <c r="E683" s="18"/>
      <c r="F683" s="129"/>
      <c r="G683" s="20"/>
      <c r="H683" s="20">
        <v>1</v>
      </c>
      <c r="I683" s="126">
        <f t="shared" si="50"/>
        <v>0</v>
      </c>
      <c r="J683" s="21">
        <f t="shared" si="49"/>
        <v>0</v>
      </c>
      <c r="K683" s="80"/>
      <c r="L683" s="82"/>
      <c r="M683" s="10"/>
      <c r="N683" s="10"/>
      <c r="O683" s="10"/>
      <c r="P683" s="10"/>
      <c r="Q683" s="43"/>
      <c r="R683" s="10"/>
      <c r="T683" s="10"/>
    </row>
    <row r="684" spans="2:20" s="1" customFormat="1" ht="12.95" customHeight="1" x14ac:dyDescent="0.15">
      <c r="B684" s="16">
        <v>8</v>
      </c>
      <c r="C684" s="11"/>
      <c r="D684" s="18"/>
      <c r="E684" s="18"/>
      <c r="F684" s="129"/>
      <c r="G684" s="20"/>
      <c r="H684" s="20">
        <v>1</v>
      </c>
      <c r="I684" s="126">
        <f t="shared" si="50"/>
        <v>0</v>
      </c>
      <c r="J684" s="21">
        <f t="shared" si="49"/>
        <v>0</v>
      </c>
      <c r="K684" s="80"/>
      <c r="L684" s="82"/>
      <c r="M684" s="10"/>
      <c r="N684" s="10"/>
      <c r="O684" s="10"/>
      <c r="P684" s="10"/>
      <c r="Q684" s="43"/>
      <c r="R684" s="10"/>
      <c r="T684" s="10"/>
    </row>
    <row r="685" spans="2:20" s="1" customFormat="1" ht="12.95" customHeight="1" x14ac:dyDescent="0.15">
      <c r="B685" s="16">
        <v>9</v>
      </c>
      <c r="C685" s="11"/>
      <c r="D685" s="18"/>
      <c r="E685" s="18"/>
      <c r="F685" s="129"/>
      <c r="G685" s="20"/>
      <c r="H685" s="20">
        <v>1</v>
      </c>
      <c r="I685" s="126">
        <f t="shared" si="50"/>
        <v>0</v>
      </c>
      <c r="J685" s="21">
        <f t="shared" si="49"/>
        <v>0</v>
      </c>
      <c r="K685" s="80"/>
      <c r="L685" s="82"/>
      <c r="M685" s="10"/>
      <c r="N685" s="10"/>
      <c r="O685" s="10"/>
      <c r="P685" s="10"/>
      <c r="Q685" s="43"/>
      <c r="R685" s="10"/>
      <c r="T685" s="10"/>
    </row>
    <row r="686" spans="2:20" s="1" customFormat="1" ht="12.95" customHeight="1" x14ac:dyDescent="0.15">
      <c r="B686" s="16">
        <v>10</v>
      </c>
      <c r="C686" s="11"/>
      <c r="D686" s="18"/>
      <c r="E686" s="18"/>
      <c r="F686" s="129"/>
      <c r="G686" s="20"/>
      <c r="H686" s="20">
        <v>1</v>
      </c>
      <c r="I686" s="126">
        <f t="shared" si="50"/>
        <v>0</v>
      </c>
      <c r="J686" s="21">
        <f t="shared" si="49"/>
        <v>0</v>
      </c>
      <c r="K686" s="80"/>
      <c r="L686" s="82"/>
      <c r="M686" s="10"/>
      <c r="N686" s="10"/>
      <c r="O686" s="10"/>
      <c r="P686" s="10"/>
      <c r="Q686" s="43"/>
      <c r="R686" s="10"/>
      <c r="T686" s="10"/>
    </row>
    <row r="687" spans="2:20" s="1" customFormat="1" ht="12.95" customHeight="1" x14ac:dyDescent="0.15">
      <c r="B687" s="16">
        <v>11</v>
      </c>
      <c r="C687" s="11"/>
      <c r="D687" s="18"/>
      <c r="E687" s="18"/>
      <c r="F687" s="129"/>
      <c r="G687" s="20"/>
      <c r="H687" s="20">
        <v>1</v>
      </c>
      <c r="I687" s="126">
        <f t="shared" si="50"/>
        <v>0</v>
      </c>
      <c r="J687" s="21">
        <f t="shared" si="49"/>
        <v>0</v>
      </c>
      <c r="K687" s="80"/>
      <c r="L687" s="82"/>
      <c r="M687" s="10"/>
      <c r="N687" s="10"/>
      <c r="O687" s="10"/>
      <c r="P687" s="10"/>
      <c r="Q687" s="43"/>
      <c r="R687" s="10"/>
      <c r="T687" s="10"/>
    </row>
    <row r="688" spans="2:20" s="1" customFormat="1" ht="12.95" customHeight="1" x14ac:dyDescent="0.15">
      <c r="B688" s="16">
        <v>12</v>
      </c>
      <c r="C688" s="11"/>
      <c r="D688" s="18"/>
      <c r="E688" s="18"/>
      <c r="F688" s="129"/>
      <c r="G688" s="20"/>
      <c r="H688" s="20">
        <v>1</v>
      </c>
      <c r="I688" s="126">
        <f t="shared" si="50"/>
        <v>0</v>
      </c>
      <c r="J688" s="21">
        <f t="shared" si="49"/>
        <v>0</v>
      </c>
      <c r="K688" s="80"/>
      <c r="L688" s="82"/>
      <c r="M688" s="10"/>
      <c r="N688" s="10"/>
      <c r="O688" s="10"/>
      <c r="P688" s="10"/>
      <c r="Q688" s="43"/>
      <c r="R688" s="10"/>
      <c r="T688" s="10"/>
    </row>
    <row r="689" spans="2:20" s="1" customFormat="1" ht="12.95" customHeight="1" x14ac:dyDescent="0.15">
      <c r="B689" s="16">
        <v>13</v>
      </c>
      <c r="C689" s="11"/>
      <c r="D689" s="18"/>
      <c r="E689" s="18"/>
      <c r="F689" s="129"/>
      <c r="G689" s="20"/>
      <c r="H689" s="20">
        <v>1</v>
      </c>
      <c r="I689" s="126">
        <f t="shared" si="50"/>
        <v>0</v>
      </c>
      <c r="J689" s="21">
        <f t="shared" si="49"/>
        <v>0</v>
      </c>
      <c r="K689" s="80"/>
      <c r="L689" s="82"/>
      <c r="M689" s="10"/>
      <c r="N689" s="10"/>
      <c r="O689" s="10"/>
      <c r="P689" s="10"/>
      <c r="Q689" s="43"/>
      <c r="R689" s="10"/>
      <c r="T689" s="10"/>
    </row>
    <row r="690" spans="2:20" s="1" customFormat="1" ht="12.95" customHeight="1" x14ac:dyDescent="0.15">
      <c r="B690" s="16">
        <v>14</v>
      </c>
      <c r="C690" s="11"/>
      <c r="D690" s="18"/>
      <c r="E690" s="18"/>
      <c r="F690" s="129"/>
      <c r="G690" s="20"/>
      <c r="H690" s="20">
        <v>1</v>
      </c>
      <c r="I690" s="126">
        <f t="shared" si="50"/>
        <v>0</v>
      </c>
      <c r="J690" s="21">
        <f t="shared" si="49"/>
        <v>0</v>
      </c>
      <c r="K690" s="80"/>
      <c r="L690" s="82"/>
      <c r="M690" s="10"/>
      <c r="N690" s="10"/>
      <c r="O690" s="10"/>
      <c r="P690" s="10"/>
      <c r="Q690" s="43"/>
      <c r="R690" s="10"/>
      <c r="T690" s="10"/>
    </row>
    <row r="691" spans="2:20" s="1" customFormat="1" ht="12.95" customHeight="1" x14ac:dyDescent="0.15">
      <c r="B691" s="16">
        <v>15</v>
      </c>
      <c r="C691" s="11"/>
      <c r="D691" s="18"/>
      <c r="E691" s="18"/>
      <c r="F691" s="129"/>
      <c r="G691" s="20"/>
      <c r="H691" s="20">
        <v>1</v>
      </c>
      <c r="I691" s="126">
        <f t="shared" si="50"/>
        <v>0</v>
      </c>
      <c r="J691" s="21">
        <f t="shared" si="49"/>
        <v>0</v>
      </c>
      <c r="K691" s="80"/>
      <c r="L691" s="82"/>
      <c r="M691" s="10"/>
      <c r="N691" s="10"/>
      <c r="O691" s="10"/>
      <c r="P691" s="10"/>
      <c r="Q691" s="43"/>
      <c r="R691" s="10"/>
      <c r="T691" s="10"/>
    </row>
    <row r="692" spans="2:20" s="1" customFormat="1" ht="12.95" customHeight="1" x14ac:dyDescent="0.15">
      <c r="B692" s="16">
        <v>16</v>
      </c>
      <c r="C692" s="11"/>
      <c r="D692" s="18"/>
      <c r="E692" s="18"/>
      <c r="F692" s="129"/>
      <c r="G692" s="20"/>
      <c r="H692" s="20">
        <v>1</v>
      </c>
      <c r="I692" s="126">
        <f t="shared" si="50"/>
        <v>0</v>
      </c>
      <c r="J692" s="21">
        <f t="shared" si="49"/>
        <v>0</v>
      </c>
      <c r="K692" s="80"/>
      <c r="L692" s="82"/>
      <c r="M692" s="10"/>
      <c r="N692" s="10"/>
      <c r="O692" s="10"/>
      <c r="P692" s="10"/>
      <c r="Q692" s="43"/>
      <c r="R692" s="10"/>
      <c r="T692" s="10"/>
    </row>
    <row r="693" spans="2:20" s="1" customFormat="1" ht="12.95" customHeight="1" x14ac:dyDescent="0.15">
      <c r="B693" s="16">
        <v>17</v>
      </c>
      <c r="C693" s="11"/>
      <c r="D693" s="18"/>
      <c r="E693" s="18"/>
      <c r="F693" s="129"/>
      <c r="G693" s="20"/>
      <c r="H693" s="20">
        <v>1</v>
      </c>
      <c r="I693" s="126">
        <f t="shared" si="50"/>
        <v>0</v>
      </c>
      <c r="J693" s="21">
        <f t="shared" si="49"/>
        <v>0</v>
      </c>
      <c r="K693" s="80"/>
      <c r="L693" s="82"/>
      <c r="M693" s="10"/>
      <c r="N693" s="10"/>
      <c r="O693" s="10"/>
      <c r="P693" s="10"/>
      <c r="Q693" s="43"/>
      <c r="R693" s="10"/>
      <c r="T693" s="10"/>
    </row>
    <row r="694" spans="2:20" s="1" customFormat="1" ht="12.95" customHeight="1" x14ac:dyDescent="0.15">
      <c r="B694" s="16">
        <v>18</v>
      </c>
      <c r="C694" s="11"/>
      <c r="D694" s="18"/>
      <c r="E694" s="18"/>
      <c r="F694" s="129"/>
      <c r="G694" s="20"/>
      <c r="H694" s="20">
        <v>1</v>
      </c>
      <c r="I694" s="126">
        <f t="shared" si="50"/>
        <v>0</v>
      </c>
      <c r="J694" s="21">
        <f t="shared" si="49"/>
        <v>0</v>
      </c>
      <c r="K694" s="111"/>
      <c r="L694" s="119"/>
      <c r="M694" s="10"/>
      <c r="N694" s="10"/>
      <c r="O694" s="10"/>
      <c r="P694" s="10"/>
      <c r="Q694" s="43"/>
      <c r="R694" s="10"/>
      <c r="T694" s="10"/>
    </row>
    <row r="695" spans="2:20" s="1" customFormat="1" ht="12.95" customHeight="1" x14ac:dyDescent="0.15">
      <c r="B695" s="16">
        <v>19</v>
      </c>
      <c r="C695" s="16"/>
      <c r="D695" s="18"/>
      <c r="E695" s="18"/>
      <c r="F695" s="129"/>
      <c r="G695" s="20"/>
      <c r="H695" s="20">
        <v>1</v>
      </c>
      <c r="I695" s="126">
        <f t="shared" si="50"/>
        <v>0</v>
      </c>
      <c r="J695" s="259">
        <f t="shared" si="49"/>
        <v>0</v>
      </c>
      <c r="K695" s="82"/>
      <c r="L695" s="82"/>
      <c r="M695" s="10"/>
      <c r="N695" s="10"/>
      <c r="O695" s="10"/>
      <c r="P695" s="10"/>
      <c r="Q695" s="43"/>
      <c r="R695" s="10"/>
      <c r="T695" s="10"/>
    </row>
    <row r="696" spans="2:20" s="1" customFormat="1" ht="12.95" customHeight="1" x14ac:dyDescent="0.15">
      <c r="B696" s="16">
        <v>20</v>
      </c>
      <c r="C696" s="11"/>
      <c r="D696" s="18"/>
      <c r="E696" s="18"/>
      <c r="F696" s="129"/>
      <c r="G696" s="20"/>
      <c r="H696" s="20">
        <v>1</v>
      </c>
      <c r="I696" s="126">
        <f t="shared" si="50"/>
        <v>0</v>
      </c>
      <c r="J696" s="260">
        <f t="shared" si="49"/>
        <v>0</v>
      </c>
      <c r="K696" s="82"/>
      <c r="L696" s="82"/>
      <c r="M696" s="10"/>
      <c r="N696" s="10"/>
      <c r="O696" s="10"/>
      <c r="P696" s="10"/>
      <c r="Q696" s="43"/>
      <c r="R696" s="10"/>
      <c r="T696" s="10"/>
    </row>
    <row r="697" spans="2:20" s="1" customFormat="1" ht="12.95" customHeight="1" x14ac:dyDescent="0.15">
      <c r="B697" s="16"/>
      <c r="C697" s="17"/>
      <c r="D697" s="62"/>
      <c r="E697" s="63"/>
      <c r="F697" s="129"/>
      <c r="G697" s="20"/>
      <c r="H697" s="20"/>
      <c r="I697" s="254"/>
      <c r="J697" s="261"/>
      <c r="K697" s="82"/>
      <c r="L697" s="82"/>
    </row>
    <row r="698" spans="2:20" s="1" customFormat="1" ht="13.15" customHeight="1" x14ac:dyDescent="0.15">
      <c r="B698" s="83"/>
      <c r="C698" s="98"/>
      <c r="D698" s="99"/>
      <c r="E698" s="98"/>
      <c r="F698" s="127">
        <f>SUM(F639:F697)</f>
        <v>0</v>
      </c>
      <c r="G698" s="100"/>
      <c r="H698" s="101"/>
      <c r="I698" s="258">
        <f>SUM(I639:I697)</f>
        <v>0</v>
      </c>
      <c r="J698" s="106">
        <f>SUM(J641:J677)</f>
        <v>0</v>
      </c>
    </row>
    <row r="699" spans="2:20" s="1" customFormat="1" ht="13.15" customHeight="1" x14ac:dyDescent="0.15">
      <c r="B699" s="82"/>
      <c r="C699" s="102"/>
      <c r="D699" s="103"/>
      <c r="E699" s="102" t="s">
        <v>147</v>
      </c>
      <c r="F699" s="128">
        <f>100/115*F698</f>
        <v>0</v>
      </c>
      <c r="G699" s="104"/>
      <c r="H699" s="105" t="s">
        <v>147</v>
      </c>
      <c r="I699" s="256">
        <f>100/115*I698</f>
        <v>0</v>
      </c>
      <c r="J699" s="106">
        <f>SUM(J642:J678)</f>
        <v>0</v>
      </c>
    </row>
    <row r="700" spans="2:20" s="1" customFormat="1" ht="13.15" customHeight="1" x14ac:dyDescent="0.15">
      <c r="I700" s="135"/>
    </row>
    <row r="701" spans="2:20" s="1" customFormat="1" ht="13.15" customHeight="1" x14ac:dyDescent="0.15">
      <c r="I701" s="135"/>
    </row>
    <row r="702" spans="2:20" s="1" customFormat="1" ht="13.15" customHeight="1" x14ac:dyDescent="0.15">
      <c r="I702" s="135"/>
    </row>
    <row r="703" spans="2:20" s="1" customFormat="1" ht="13.15" customHeight="1" x14ac:dyDescent="0.15">
      <c r="I703" s="135"/>
    </row>
    <row r="704" spans="2:20" s="247" customFormat="1" ht="32.25" x14ac:dyDescent="0.4">
      <c r="B704" s="248"/>
      <c r="C704" s="380" t="s">
        <v>112</v>
      </c>
      <c r="D704" s="380"/>
      <c r="E704" s="428" t="s">
        <v>164</v>
      </c>
      <c r="F704" s="428"/>
      <c r="G704" s="428"/>
      <c r="H704" s="428"/>
      <c r="I704" s="428"/>
      <c r="J704" s="382">
        <v>2026</v>
      </c>
      <c r="K704" s="382"/>
      <c r="L704" s="382"/>
    </row>
    <row r="705" spans="2:13" s="1" customFormat="1" ht="39.6" customHeight="1" x14ac:dyDescent="0.15">
      <c r="B705" s="82"/>
      <c r="C705" s="102" t="s">
        <v>114</v>
      </c>
      <c r="D705" s="388" t="s">
        <v>115</v>
      </c>
      <c r="E705" s="388"/>
      <c r="F705" s="102" t="s">
        <v>116</v>
      </c>
      <c r="G705" s="102" t="s">
        <v>117</v>
      </c>
      <c r="H705" s="102" t="s">
        <v>118</v>
      </c>
      <c r="I705" s="141" t="s">
        <v>119</v>
      </c>
      <c r="J705" s="102" t="s">
        <v>120</v>
      </c>
      <c r="K705" s="82"/>
      <c r="L705" s="82"/>
    </row>
    <row r="706" spans="2:13" s="1" customFormat="1" ht="13.15" customHeight="1" x14ac:dyDescent="0.15">
      <c r="B706" s="82"/>
      <c r="C706" s="66">
        <f>C636</f>
        <v>250</v>
      </c>
      <c r="D706" s="389">
        <v>20</v>
      </c>
      <c r="E706" s="389"/>
      <c r="F706" s="13">
        <f>F636</f>
        <v>0.85</v>
      </c>
      <c r="G706" s="14">
        <f>G636</f>
        <v>8</v>
      </c>
      <c r="H706" s="142">
        <f>D706*G706*F706</f>
        <v>136</v>
      </c>
      <c r="I706" s="66">
        <f>I768</f>
        <v>0</v>
      </c>
      <c r="J706" s="143">
        <f>H706-J768</f>
        <v>136</v>
      </c>
      <c r="K706" s="82"/>
      <c r="L706" s="82"/>
    </row>
    <row r="707" spans="2:13" s="1" customFormat="1" ht="66" customHeight="1" x14ac:dyDescent="0.15">
      <c r="B707" s="84"/>
      <c r="C707" s="136" t="s">
        <v>121</v>
      </c>
      <c r="D707" s="420" t="s">
        <v>122</v>
      </c>
      <c r="E707" s="421"/>
      <c r="F707" s="137" t="s">
        <v>123</v>
      </c>
      <c r="G707" s="138" t="s">
        <v>124</v>
      </c>
      <c r="H707" s="139" t="s">
        <v>125</v>
      </c>
      <c r="I707" s="140" t="s">
        <v>126</v>
      </c>
      <c r="J707" s="138" t="s">
        <v>127</v>
      </c>
      <c r="K707" s="122" t="s">
        <v>128</v>
      </c>
      <c r="L707" s="123" t="s">
        <v>129</v>
      </c>
    </row>
    <row r="708" spans="2:13" s="1" customFormat="1" ht="12.95" customHeight="1" x14ac:dyDescent="0.15">
      <c r="B708" s="16"/>
      <c r="C708" s="17"/>
      <c r="D708" s="422"/>
      <c r="E708" s="423"/>
      <c r="F708" s="36"/>
      <c r="G708" s="20"/>
      <c r="H708" s="20"/>
      <c r="I708" s="126"/>
      <c r="J708" s="21"/>
      <c r="K708" s="80"/>
      <c r="L708" s="82"/>
    </row>
    <row r="709" spans="2:13" s="1" customFormat="1" ht="12.95" customHeight="1" x14ac:dyDescent="0.15">
      <c r="B709" s="16"/>
      <c r="C709" s="37" t="s">
        <v>130</v>
      </c>
      <c r="D709" s="24"/>
      <c r="E709" s="24"/>
      <c r="F709" s="129"/>
      <c r="G709" s="20"/>
      <c r="H709" s="20"/>
      <c r="I709" s="126"/>
      <c r="J709" s="38"/>
      <c r="K709" s="80"/>
      <c r="L709" s="82"/>
    </row>
    <row r="710" spans="2:13" s="1" customFormat="1" ht="12.75" customHeight="1" x14ac:dyDescent="0.15">
      <c r="B710" s="16"/>
      <c r="C710" s="72" t="s">
        <v>149</v>
      </c>
      <c r="D710" s="24"/>
      <c r="E710" s="24"/>
      <c r="F710" s="129"/>
      <c r="G710" s="20"/>
      <c r="H710" s="20"/>
      <c r="I710" s="126"/>
      <c r="J710" s="38"/>
      <c r="K710" s="80"/>
      <c r="L710" s="82"/>
    </row>
    <row r="711" spans="2:13" s="1" customFormat="1" ht="16.5" x14ac:dyDescent="0.15">
      <c r="B711" s="16">
        <v>1</v>
      </c>
      <c r="C711" s="23"/>
      <c r="D711" s="48"/>
      <c r="E711" s="48"/>
      <c r="F711" s="126"/>
      <c r="G711" s="50"/>
      <c r="H711" s="20">
        <v>1</v>
      </c>
      <c r="I711" s="126">
        <f t="shared" ref="I711:I733" si="51">J711*$C$32</f>
        <v>0</v>
      </c>
      <c r="J711" s="38">
        <f t="shared" ref="J711:J727" si="52">(F711*G711*H711)/$C$32</f>
        <v>0</v>
      </c>
      <c r="K711" s="80"/>
      <c r="L711" s="82"/>
      <c r="M711" s="133"/>
    </row>
    <row r="712" spans="2:13" s="1" customFormat="1" ht="12.75" customHeight="1" x14ac:dyDescent="0.15">
      <c r="B712" s="16">
        <v>2</v>
      </c>
      <c r="C712" s="23"/>
      <c r="D712" s="97"/>
      <c r="E712" s="97"/>
      <c r="F712" s="126"/>
      <c r="G712" s="50"/>
      <c r="H712" s="20">
        <v>1</v>
      </c>
      <c r="I712" s="126">
        <f t="shared" si="51"/>
        <v>0</v>
      </c>
      <c r="J712" s="38">
        <f t="shared" si="52"/>
        <v>0</v>
      </c>
      <c r="K712" s="80"/>
      <c r="L712" s="82"/>
      <c r="M712" s="134"/>
    </row>
    <row r="713" spans="2:13" s="1" customFormat="1" ht="12.75" customHeight="1" x14ac:dyDescent="0.15">
      <c r="B713" s="16">
        <v>3</v>
      </c>
      <c r="C713" s="23"/>
      <c r="D713" s="48"/>
      <c r="E713" s="48"/>
      <c r="F713" s="126"/>
      <c r="G713" s="50"/>
      <c r="H713" s="20">
        <v>1</v>
      </c>
      <c r="I713" s="126">
        <f t="shared" si="51"/>
        <v>0</v>
      </c>
      <c r="J713" s="38">
        <f t="shared" si="52"/>
        <v>0</v>
      </c>
      <c r="K713" s="80"/>
      <c r="L713" s="82"/>
    </row>
    <row r="714" spans="2:13" s="1" customFormat="1" ht="12.75" x14ac:dyDescent="0.15">
      <c r="B714" s="16">
        <v>4</v>
      </c>
      <c r="C714" s="26"/>
      <c r="D714" s="49"/>
      <c r="E714" s="49"/>
      <c r="F714" s="126"/>
      <c r="G714" s="50"/>
      <c r="H714" s="20">
        <v>1</v>
      </c>
      <c r="I714" s="126">
        <f t="shared" si="51"/>
        <v>0</v>
      </c>
      <c r="J714" s="38">
        <f t="shared" si="52"/>
        <v>0</v>
      </c>
      <c r="K714" s="80"/>
      <c r="L714" s="82"/>
    </row>
    <row r="715" spans="2:13" s="1" customFormat="1" ht="12.75" customHeight="1" x14ac:dyDescent="0.15">
      <c r="B715" s="16">
        <v>5</v>
      </c>
      <c r="C715" s="23"/>
      <c r="D715" s="48"/>
      <c r="E715" s="48"/>
      <c r="F715" s="126"/>
      <c r="G715" s="50"/>
      <c r="H715" s="20">
        <v>1</v>
      </c>
      <c r="I715" s="126">
        <f t="shared" si="51"/>
        <v>0</v>
      </c>
      <c r="J715" s="38">
        <f t="shared" si="52"/>
        <v>0</v>
      </c>
      <c r="K715" s="80"/>
      <c r="L715" s="82"/>
    </row>
    <row r="716" spans="2:13" s="1" customFormat="1" ht="12.95" customHeight="1" x14ac:dyDescent="0.15">
      <c r="B716" s="16">
        <v>6</v>
      </c>
      <c r="C716" s="23"/>
      <c r="D716" s="48"/>
      <c r="E716" s="48"/>
      <c r="F716" s="126"/>
      <c r="G716" s="50"/>
      <c r="H716" s="20">
        <v>1</v>
      </c>
      <c r="I716" s="126">
        <f t="shared" si="51"/>
        <v>0</v>
      </c>
      <c r="J716" s="38">
        <f t="shared" si="52"/>
        <v>0</v>
      </c>
      <c r="K716" s="80"/>
      <c r="L716" s="82"/>
    </row>
    <row r="717" spans="2:13" s="1" customFormat="1" ht="12.95" customHeight="1" x14ac:dyDescent="0.15">
      <c r="B717" s="16">
        <v>7</v>
      </c>
      <c r="C717" s="23"/>
      <c r="D717" s="48"/>
      <c r="E717" s="48"/>
      <c r="F717" s="126"/>
      <c r="G717" s="50"/>
      <c r="H717" s="20">
        <v>1</v>
      </c>
      <c r="I717" s="126">
        <f t="shared" si="51"/>
        <v>0</v>
      </c>
      <c r="J717" s="38">
        <f t="shared" si="52"/>
        <v>0</v>
      </c>
      <c r="K717" s="80"/>
      <c r="L717" s="82"/>
    </row>
    <row r="718" spans="2:13" s="1" customFormat="1" ht="12.95" customHeight="1" x14ac:dyDescent="0.15">
      <c r="B718" s="16">
        <v>8</v>
      </c>
      <c r="C718" s="23"/>
      <c r="D718" s="48"/>
      <c r="E718" s="48"/>
      <c r="F718" s="126"/>
      <c r="G718" s="50"/>
      <c r="H718" s="20">
        <v>1</v>
      </c>
      <c r="I718" s="126">
        <f t="shared" si="51"/>
        <v>0</v>
      </c>
      <c r="J718" s="38">
        <f t="shared" si="52"/>
        <v>0</v>
      </c>
      <c r="K718" s="80"/>
      <c r="L718" s="82"/>
    </row>
    <row r="719" spans="2:13" s="1" customFormat="1" ht="12.95" customHeight="1" x14ac:dyDescent="0.15">
      <c r="B719" s="16">
        <v>9</v>
      </c>
      <c r="C719" s="23"/>
      <c r="D719" s="48"/>
      <c r="E719" s="48"/>
      <c r="F719" s="126"/>
      <c r="G719" s="50"/>
      <c r="H719" s="20">
        <v>1</v>
      </c>
      <c r="I719" s="126">
        <f t="shared" si="51"/>
        <v>0</v>
      </c>
      <c r="J719" s="38">
        <f t="shared" si="52"/>
        <v>0</v>
      </c>
      <c r="K719" s="80"/>
      <c r="L719" s="82"/>
    </row>
    <row r="720" spans="2:13" s="1" customFormat="1" ht="12.95" customHeight="1" x14ac:dyDescent="0.15">
      <c r="B720" s="16">
        <v>10</v>
      </c>
      <c r="C720" s="23"/>
      <c r="D720" s="49"/>
      <c r="E720" s="48"/>
      <c r="F720" s="126"/>
      <c r="G720" s="50"/>
      <c r="H720" s="20">
        <v>1</v>
      </c>
      <c r="I720" s="126">
        <f t="shared" si="51"/>
        <v>0</v>
      </c>
      <c r="J720" s="38">
        <f t="shared" si="52"/>
        <v>0</v>
      </c>
      <c r="K720" s="80"/>
      <c r="L720" s="82"/>
    </row>
    <row r="721" spans="2:20" s="1" customFormat="1" ht="12.95" customHeight="1" x14ac:dyDescent="0.15">
      <c r="B721" s="16"/>
      <c r="C721" s="23"/>
      <c r="D721" s="49"/>
      <c r="E721" s="48"/>
      <c r="F721" s="126"/>
      <c r="G721" s="50"/>
      <c r="H721" s="20"/>
      <c r="I721" s="126"/>
      <c r="J721" s="38"/>
      <c r="K721" s="80"/>
      <c r="L721" s="82"/>
    </row>
    <row r="722" spans="2:20" s="1" customFormat="1" ht="12.95" customHeight="1" x14ac:dyDescent="0.15">
      <c r="B722" s="16"/>
      <c r="C722" s="23"/>
      <c r="D722" s="48"/>
      <c r="E722" s="49"/>
      <c r="F722" s="126"/>
      <c r="G722" s="50"/>
      <c r="H722" s="20"/>
      <c r="I722" s="126"/>
      <c r="J722" s="38"/>
      <c r="K722" s="80"/>
      <c r="L722" s="82"/>
    </row>
    <row r="723" spans="2:20" s="1" customFormat="1" ht="12.95" customHeight="1" x14ac:dyDescent="0.15">
      <c r="B723" s="16"/>
      <c r="C723" s="22" t="s">
        <v>156</v>
      </c>
      <c r="D723" s="24"/>
      <c r="E723" s="18"/>
      <c r="F723" s="129"/>
      <c r="G723" s="20"/>
      <c r="H723" s="20"/>
      <c r="I723" s="126"/>
      <c r="J723" s="38"/>
      <c r="K723" s="80"/>
      <c r="L723" s="82"/>
    </row>
    <row r="724" spans="2:20" s="1" customFormat="1" ht="12.95" customHeight="1" x14ac:dyDescent="0.15">
      <c r="B724" s="16">
        <v>1</v>
      </c>
      <c r="C724" s="17"/>
      <c r="D724" s="24"/>
      <c r="E724" s="18"/>
      <c r="F724" s="129"/>
      <c r="G724" s="20"/>
      <c r="H724" s="20">
        <v>1</v>
      </c>
      <c r="I724" s="126">
        <f t="shared" si="51"/>
        <v>0</v>
      </c>
      <c r="J724" s="38">
        <f t="shared" si="52"/>
        <v>0</v>
      </c>
      <c r="K724" s="80"/>
      <c r="L724" s="82"/>
    </row>
    <row r="725" spans="2:20" s="1" customFormat="1" ht="12.95" customHeight="1" x14ac:dyDescent="0.15">
      <c r="B725" s="16">
        <v>2</v>
      </c>
      <c r="C725" s="17"/>
      <c r="D725" s="24"/>
      <c r="E725" s="18"/>
      <c r="F725" s="129"/>
      <c r="G725" s="20"/>
      <c r="H725" s="20">
        <v>1</v>
      </c>
      <c r="I725" s="126">
        <f t="shared" si="51"/>
        <v>0</v>
      </c>
      <c r="J725" s="38">
        <f t="shared" si="52"/>
        <v>0</v>
      </c>
      <c r="K725" s="80"/>
      <c r="L725" s="82"/>
    </row>
    <row r="726" spans="2:20" s="1" customFormat="1" ht="12.95" customHeight="1" x14ac:dyDescent="0.15">
      <c r="B726" s="16">
        <v>3</v>
      </c>
      <c r="C726" s="17"/>
      <c r="D726" s="24"/>
      <c r="E726" s="18"/>
      <c r="F726" s="129"/>
      <c r="G726" s="20"/>
      <c r="H726" s="20">
        <v>1</v>
      </c>
      <c r="I726" s="126">
        <f t="shared" si="51"/>
        <v>0</v>
      </c>
      <c r="J726" s="38">
        <f t="shared" si="52"/>
        <v>0</v>
      </c>
      <c r="K726" s="80"/>
      <c r="L726" s="82"/>
    </row>
    <row r="727" spans="2:20" s="1" customFormat="1" ht="12.95" customHeight="1" x14ac:dyDescent="0.15">
      <c r="B727" s="16">
        <v>4</v>
      </c>
      <c r="C727" s="17"/>
      <c r="D727" s="24"/>
      <c r="E727" s="24"/>
      <c r="F727" s="129"/>
      <c r="G727" s="20"/>
      <c r="H727" s="20">
        <v>1</v>
      </c>
      <c r="I727" s="126">
        <f t="shared" si="51"/>
        <v>0</v>
      </c>
      <c r="J727" s="38">
        <f t="shared" si="52"/>
        <v>0</v>
      </c>
      <c r="K727" s="80"/>
      <c r="L727" s="82"/>
    </row>
    <row r="728" spans="2:20" s="1" customFormat="1" ht="12.95" customHeight="1" x14ac:dyDescent="0.15">
      <c r="B728" s="16">
        <v>5</v>
      </c>
      <c r="C728" s="17"/>
      <c r="D728" s="24"/>
      <c r="E728" s="24"/>
      <c r="F728" s="129"/>
      <c r="G728" s="20"/>
      <c r="H728" s="20">
        <v>1</v>
      </c>
      <c r="I728" s="126">
        <f t="shared" si="51"/>
        <v>0</v>
      </c>
      <c r="J728" s="38">
        <f>(F728*G728*H728)/$C$32</f>
        <v>0</v>
      </c>
      <c r="K728" s="80"/>
      <c r="L728" s="82"/>
    </row>
    <row r="729" spans="2:20" s="1" customFormat="1" ht="12.95" customHeight="1" x14ac:dyDescent="0.15">
      <c r="B729" s="16">
        <v>6</v>
      </c>
      <c r="C729" s="17"/>
      <c r="D729" s="24"/>
      <c r="E729" s="24"/>
      <c r="F729" s="129"/>
      <c r="G729" s="20"/>
      <c r="H729" s="20">
        <v>1</v>
      </c>
      <c r="I729" s="126">
        <f t="shared" si="51"/>
        <v>0</v>
      </c>
      <c r="J729" s="38">
        <f>(F729*G729*H729)/$C$32</f>
        <v>0</v>
      </c>
      <c r="K729" s="80"/>
      <c r="L729" s="82"/>
    </row>
    <row r="730" spans="2:20" s="1" customFormat="1" ht="12.95" customHeight="1" x14ac:dyDescent="0.15">
      <c r="B730" s="16">
        <v>7</v>
      </c>
      <c r="C730" s="17"/>
      <c r="D730" s="24"/>
      <c r="E730" s="24"/>
      <c r="F730" s="129"/>
      <c r="G730" s="20"/>
      <c r="H730" s="20">
        <v>1</v>
      </c>
      <c r="I730" s="126">
        <f t="shared" si="51"/>
        <v>0</v>
      </c>
      <c r="J730" s="21">
        <f t="shared" ref="J730:J766" si="53">(F730*G730*H730)/$C$32</f>
        <v>0</v>
      </c>
      <c r="K730" s="80"/>
      <c r="L730" s="82"/>
    </row>
    <row r="731" spans="2:20" s="1" customFormat="1" ht="12.95" customHeight="1" x14ac:dyDescent="0.15">
      <c r="B731" s="16">
        <v>8</v>
      </c>
      <c r="C731" s="17"/>
      <c r="D731" s="24"/>
      <c r="E731" s="24"/>
      <c r="F731" s="129"/>
      <c r="G731" s="20"/>
      <c r="H731" s="20">
        <v>1</v>
      </c>
      <c r="I731" s="126">
        <f t="shared" si="51"/>
        <v>0</v>
      </c>
      <c r="J731" s="38">
        <f t="shared" si="53"/>
        <v>0</v>
      </c>
      <c r="K731" s="80"/>
      <c r="L731" s="82"/>
    </row>
    <row r="732" spans="2:20" s="1" customFormat="1" ht="12.95" customHeight="1" x14ac:dyDescent="0.15">
      <c r="B732" s="16">
        <v>9</v>
      </c>
      <c r="C732" s="17"/>
      <c r="D732" s="24"/>
      <c r="E732" s="24"/>
      <c r="F732" s="129"/>
      <c r="G732" s="20"/>
      <c r="H732" s="20">
        <v>1</v>
      </c>
      <c r="I732" s="126">
        <f t="shared" si="51"/>
        <v>0</v>
      </c>
      <c r="J732" s="38">
        <f t="shared" si="53"/>
        <v>0</v>
      </c>
      <c r="K732" s="80"/>
      <c r="L732" s="82"/>
    </row>
    <row r="733" spans="2:20" s="1" customFormat="1" ht="12.95" customHeight="1" x14ac:dyDescent="0.15">
      <c r="B733" s="16">
        <v>10</v>
      </c>
      <c r="C733" s="44"/>
      <c r="D733" s="18"/>
      <c r="E733" s="18"/>
      <c r="F733" s="129"/>
      <c r="G733" s="20"/>
      <c r="H733" s="20">
        <v>1</v>
      </c>
      <c r="I733" s="126">
        <f t="shared" si="51"/>
        <v>0</v>
      </c>
      <c r="J733" s="21">
        <f t="shared" si="53"/>
        <v>0</v>
      </c>
      <c r="K733" s="80"/>
      <c r="L733" s="82"/>
      <c r="M733" s="10"/>
      <c r="N733" s="10"/>
      <c r="O733" s="10"/>
      <c r="P733" s="10"/>
      <c r="Q733" s="43"/>
      <c r="R733" s="10"/>
      <c r="T733" s="10"/>
    </row>
    <row r="734" spans="2:20" s="1" customFormat="1" ht="12.95" customHeight="1" x14ac:dyDescent="0.15">
      <c r="B734" s="16">
        <v>11</v>
      </c>
      <c r="C734" s="45"/>
      <c r="D734" s="18"/>
      <c r="E734" s="18"/>
      <c r="F734" s="130"/>
      <c r="G734" s="20"/>
      <c r="H734" s="20">
        <v>1</v>
      </c>
      <c r="I734" s="126">
        <f>J734*$C$32</f>
        <v>0</v>
      </c>
      <c r="J734" s="21">
        <f t="shared" si="53"/>
        <v>0</v>
      </c>
      <c r="K734" s="80"/>
      <c r="L734" s="82"/>
      <c r="M734" s="10"/>
      <c r="N734" s="10"/>
      <c r="O734" s="10"/>
      <c r="P734" s="10"/>
      <c r="Q734" s="43"/>
      <c r="R734" s="10"/>
      <c r="T734" s="10"/>
    </row>
    <row r="735" spans="2:20" s="1" customFormat="1" ht="12.95" customHeight="1" x14ac:dyDescent="0.15">
      <c r="B735" s="16">
        <v>12</v>
      </c>
      <c r="C735" s="44"/>
      <c r="D735" s="18"/>
      <c r="E735" s="18"/>
      <c r="F735" s="129"/>
      <c r="G735" s="20"/>
      <c r="H735" s="20">
        <v>1</v>
      </c>
      <c r="I735" s="126">
        <f t="shared" ref="I735:I766" si="54">J735*$C$32</f>
        <v>0</v>
      </c>
      <c r="J735" s="21">
        <f t="shared" si="53"/>
        <v>0</v>
      </c>
      <c r="K735" s="80"/>
      <c r="L735" s="82"/>
      <c r="M735" s="10"/>
      <c r="N735" s="10"/>
      <c r="O735" s="10"/>
      <c r="P735" s="10"/>
      <c r="Q735" s="43"/>
      <c r="R735" s="10"/>
      <c r="T735" s="10"/>
    </row>
    <row r="736" spans="2:20" s="1" customFormat="1" ht="12.95" customHeight="1" x14ac:dyDescent="0.15">
      <c r="B736" s="16">
        <v>13</v>
      </c>
      <c r="C736" s="11"/>
      <c r="D736" s="18"/>
      <c r="E736" s="18"/>
      <c r="F736" s="129"/>
      <c r="G736" s="20"/>
      <c r="H736" s="20">
        <v>1</v>
      </c>
      <c r="I736" s="126">
        <f t="shared" si="54"/>
        <v>0</v>
      </c>
      <c r="J736" s="21">
        <f t="shared" si="53"/>
        <v>0</v>
      </c>
      <c r="K736" s="80"/>
      <c r="L736" s="82"/>
      <c r="M736" s="10"/>
      <c r="N736" s="10"/>
      <c r="O736" s="10"/>
      <c r="P736" s="10"/>
      <c r="Q736" s="43"/>
      <c r="R736" s="10"/>
      <c r="T736" s="10"/>
    </row>
    <row r="737" spans="2:20" s="1" customFormat="1" ht="12.95" customHeight="1" x14ac:dyDescent="0.15">
      <c r="B737" s="16">
        <v>14</v>
      </c>
      <c r="C737" s="11"/>
      <c r="D737" s="18"/>
      <c r="E737" s="18"/>
      <c r="F737" s="129"/>
      <c r="G737" s="20"/>
      <c r="H737" s="20">
        <v>1</v>
      </c>
      <c r="I737" s="126">
        <f t="shared" si="54"/>
        <v>0</v>
      </c>
      <c r="J737" s="21">
        <f t="shared" si="53"/>
        <v>0</v>
      </c>
      <c r="K737" s="80"/>
      <c r="L737" s="82"/>
      <c r="M737" s="10"/>
      <c r="N737" s="10"/>
      <c r="O737" s="10"/>
      <c r="P737" s="10"/>
      <c r="Q737" s="43"/>
      <c r="R737" s="10"/>
      <c r="T737" s="10"/>
    </row>
    <row r="738" spans="2:20" s="1" customFormat="1" ht="12.95" customHeight="1" x14ac:dyDescent="0.15">
      <c r="B738" s="16">
        <v>15</v>
      </c>
      <c r="C738" s="11"/>
      <c r="D738" s="18"/>
      <c r="E738" s="18"/>
      <c r="F738" s="129"/>
      <c r="G738" s="20"/>
      <c r="H738" s="20">
        <v>1</v>
      </c>
      <c r="I738" s="126">
        <f t="shared" si="54"/>
        <v>0</v>
      </c>
      <c r="J738" s="21">
        <f t="shared" si="53"/>
        <v>0</v>
      </c>
      <c r="K738" s="80"/>
      <c r="L738" s="82"/>
      <c r="M738" s="10"/>
      <c r="N738" s="10"/>
      <c r="O738" s="10"/>
      <c r="P738" s="10"/>
      <c r="Q738" s="43"/>
      <c r="R738" s="10"/>
      <c r="T738" s="10"/>
    </row>
    <row r="739" spans="2:20" s="1" customFormat="1" ht="12.95" customHeight="1" x14ac:dyDescent="0.15">
      <c r="B739" s="16">
        <v>16</v>
      </c>
      <c r="C739" s="11"/>
      <c r="D739" s="18"/>
      <c r="E739" s="18"/>
      <c r="F739" s="129"/>
      <c r="G739" s="20"/>
      <c r="H739" s="20">
        <v>1</v>
      </c>
      <c r="I739" s="126">
        <f t="shared" si="54"/>
        <v>0</v>
      </c>
      <c r="J739" s="21">
        <f t="shared" si="53"/>
        <v>0</v>
      </c>
      <c r="K739" s="80"/>
      <c r="L739" s="82"/>
      <c r="M739" s="10"/>
      <c r="N739" s="10"/>
      <c r="O739" s="10"/>
      <c r="P739" s="10"/>
      <c r="Q739" s="43"/>
      <c r="R739" s="10"/>
      <c r="T739" s="10"/>
    </row>
    <row r="740" spans="2:20" s="1" customFormat="1" ht="12.95" customHeight="1" x14ac:dyDescent="0.15">
      <c r="B740" s="16">
        <v>17</v>
      </c>
      <c r="C740" s="11"/>
      <c r="D740" s="18"/>
      <c r="E740" s="18"/>
      <c r="F740" s="129"/>
      <c r="G740" s="20"/>
      <c r="H740" s="20">
        <v>1</v>
      </c>
      <c r="I740" s="126">
        <f t="shared" si="54"/>
        <v>0</v>
      </c>
      <c r="J740" s="21">
        <f t="shared" si="53"/>
        <v>0</v>
      </c>
      <c r="K740" s="80"/>
      <c r="L740" s="82"/>
      <c r="M740" s="10"/>
      <c r="N740" s="10"/>
      <c r="O740" s="10"/>
      <c r="P740" s="10"/>
      <c r="Q740" s="43"/>
      <c r="R740" s="10"/>
      <c r="T740" s="10"/>
    </row>
    <row r="741" spans="2:20" s="1" customFormat="1" ht="12.95" customHeight="1" x14ac:dyDescent="0.15">
      <c r="B741" s="16">
        <v>18</v>
      </c>
      <c r="C741" s="11"/>
      <c r="D741" s="18"/>
      <c r="E741" s="18"/>
      <c r="F741" s="129"/>
      <c r="G741" s="20"/>
      <c r="H741" s="20">
        <v>1</v>
      </c>
      <c r="I741" s="126">
        <f t="shared" si="54"/>
        <v>0</v>
      </c>
      <c r="J741" s="21">
        <f t="shared" si="53"/>
        <v>0</v>
      </c>
      <c r="K741" s="80"/>
      <c r="L741" s="82"/>
      <c r="M741" s="10"/>
      <c r="N741" s="10"/>
      <c r="O741" s="10"/>
      <c r="P741" s="10"/>
      <c r="Q741" s="43"/>
      <c r="R741" s="10"/>
      <c r="T741" s="10"/>
    </row>
    <row r="742" spans="2:20" s="1" customFormat="1" ht="12.95" customHeight="1" x14ac:dyDescent="0.15">
      <c r="B742" s="16">
        <v>19</v>
      </c>
      <c r="C742" s="11"/>
      <c r="D742" s="18"/>
      <c r="E742" s="18"/>
      <c r="F742" s="129"/>
      <c r="G742" s="20"/>
      <c r="H742" s="20">
        <v>1</v>
      </c>
      <c r="I742" s="126">
        <f t="shared" si="54"/>
        <v>0</v>
      </c>
      <c r="J742" s="21">
        <f t="shared" si="53"/>
        <v>0</v>
      </c>
      <c r="K742" s="80"/>
      <c r="L742" s="82"/>
      <c r="M742" s="10"/>
      <c r="N742" s="10"/>
      <c r="O742" s="10"/>
      <c r="P742" s="10"/>
      <c r="Q742" s="43"/>
      <c r="R742" s="10"/>
      <c r="T742" s="10"/>
    </row>
    <row r="743" spans="2:20" s="1" customFormat="1" ht="12.95" customHeight="1" x14ac:dyDescent="0.15">
      <c r="B743" s="16">
        <v>20</v>
      </c>
      <c r="C743" s="11"/>
      <c r="D743" s="18"/>
      <c r="E743" s="18"/>
      <c r="F743" s="129"/>
      <c r="G743" s="20"/>
      <c r="H743" s="20">
        <v>1</v>
      </c>
      <c r="I743" s="126">
        <f t="shared" si="54"/>
        <v>0</v>
      </c>
      <c r="J743" s="21">
        <f t="shared" si="53"/>
        <v>0</v>
      </c>
      <c r="K743" s="80"/>
      <c r="L743" s="82"/>
      <c r="M743" s="10"/>
      <c r="N743" s="10"/>
      <c r="O743" s="10"/>
      <c r="P743" s="10"/>
      <c r="Q743" s="43"/>
      <c r="R743" s="10"/>
      <c r="T743" s="10"/>
    </row>
    <row r="744" spans="2:20" s="1" customFormat="1" ht="12.95" customHeight="1" x14ac:dyDescent="0.15">
      <c r="B744" s="16"/>
      <c r="C744" s="11"/>
      <c r="D744" s="18"/>
      <c r="E744" s="18"/>
      <c r="F744" s="129"/>
      <c r="G744" s="20"/>
      <c r="H744" s="20"/>
      <c r="I744" s="126"/>
      <c r="J744" s="21"/>
      <c r="K744" s="80"/>
      <c r="L744" s="82"/>
      <c r="M744" s="10"/>
      <c r="N744" s="10"/>
      <c r="O744" s="10"/>
      <c r="P744" s="10"/>
      <c r="Q744" s="43"/>
      <c r="R744" s="10"/>
      <c r="T744" s="10"/>
    </row>
    <row r="745" spans="2:20" s="1" customFormat="1" ht="12.95" customHeight="1" x14ac:dyDescent="0.15">
      <c r="B745" s="16"/>
      <c r="C745" s="11"/>
      <c r="D745" s="18"/>
      <c r="E745" s="18"/>
      <c r="F745" s="129"/>
      <c r="G745" s="20"/>
      <c r="H745" s="20"/>
      <c r="I745" s="126"/>
      <c r="J745" s="21"/>
      <c r="K745" s="80"/>
      <c r="L745" s="82"/>
      <c r="M745" s="10"/>
      <c r="N745" s="10"/>
      <c r="O745" s="10"/>
      <c r="P745" s="10"/>
      <c r="Q745" s="43"/>
      <c r="R745" s="10"/>
      <c r="T745" s="10"/>
    </row>
    <row r="746" spans="2:20" s="1" customFormat="1" ht="12.95" customHeight="1" x14ac:dyDescent="0.15">
      <c r="B746" s="16"/>
      <c r="C746" s="96" t="s">
        <v>132</v>
      </c>
      <c r="D746" s="18"/>
      <c r="E746" s="18"/>
      <c r="F746" s="129"/>
      <c r="G746" s="20"/>
      <c r="H746" s="20"/>
      <c r="I746" s="126"/>
      <c r="J746" s="21"/>
      <c r="K746" s="80"/>
      <c r="L746" s="82"/>
      <c r="M746" s="10"/>
      <c r="N746" s="10"/>
      <c r="O746" s="10"/>
      <c r="P746" s="10"/>
      <c r="Q746" s="43"/>
      <c r="R746" s="10"/>
      <c r="T746" s="10"/>
    </row>
    <row r="747" spans="2:20" s="1" customFormat="1" ht="12.95" customHeight="1" x14ac:dyDescent="0.15">
      <c r="B747" s="16">
        <v>1</v>
      </c>
      <c r="C747" s="11"/>
      <c r="D747" s="18"/>
      <c r="E747" s="18"/>
      <c r="F747" s="129"/>
      <c r="G747" s="20"/>
      <c r="H747" s="20">
        <v>1</v>
      </c>
      <c r="I747" s="126">
        <f t="shared" si="54"/>
        <v>0</v>
      </c>
      <c r="J747" s="21">
        <f t="shared" si="53"/>
        <v>0</v>
      </c>
      <c r="K747" s="80"/>
      <c r="L747" s="82"/>
      <c r="M747" s="10"/>
      <c r="N747" s="10"/>
      <c r="O747" s="10"/>
      <c r="P747" s="10"/>
      <c r="Q747" s="43"/>
      <c r="R747" s="10"/>
      <c r="T747" s="10"/>
    </row>
    <row r="748" spans="2:20" s="1" customFormat="1" ht="12.95" customHeight="1" x14ac:dyDescent="0.15">
      <c r="B748" s="16">
        <v>2</v>
      </c>
      <c r="C748" s="11"/>
      <c r="D748" s="18"/>
      <c r="E748" s="18"/>
      <c r="F748" s="129"/>
      <c r="G748" s="20"/>
      <c r="H748" s="20">
        <v>1</v>
      </c>
      <c r="I748" s="126">
        <f t="shared" si="54"/>
        <v>0</v>
      </c>
      <c r="J748" s="21">
        <f t="shared" si="53"/>
        <v>0</v>
      </c>
      <c r="K748" s="80"/>
      <c r="L748" s="82"/>
      <c r="M748" s="10"/>
      <c r="N748" s="10"/>
      <c r="O748" s="10"/>
      <c r="P748" s="10"/>
      <c r="Q748" s="43"/>
      <c r="R748" s="10"/>
      <c r="T748" s="10"/>
    </row>
    <row r="749" spans="2:20" s="1" customFormat="1" ht="12.95" customHeight="1" x14ac:dyDescent="0.15">
      <c r="B749" s="16">
        <v>3</v>
      </c>
      <c r="C749" s="11"/>
      <c r="D749" s="18"/>
      <c r="E749" s="18"/>
      <c r="F749" s="129"/>
      <c r="G749" s="20"/>
      <c r="H749" s="20">
        <v>1</v>
      </c>
      <c r="I749" s="126">
        <f t="shared" si="54"/>
        <v>0</v>
      </c>
      <c r="J749" s="21">
        <f t="shared" si="53"/>
        <v>0</v>
      </c>
      <c r="K749" s="80"/>
      <c r="L749" s="82"/>
      <c r="M749" s="10"/>
      <c r="N749" s="10"/>
      <c r="O749" s="10"/>
      <c r="P749" s="10"/>
      <c r="Q749" s="43"/>
      <c r="R749" s="10"/>
      <c r="T749" s="10"/>
    </row>
    <row r="750" spans="2:20" s="1" customFormat="1" ht="12.95" customHeight="1" x14ac:dyDescent="0.15">
      <c r="B750" s="16">
        <v>4</v>
      </c>
      <c r="C750" s="11"/>
      <c r="D750" s="18"/>
      <c r="E750" s="18"/>
      <c r="F750" s="129"/>
      <c r="G750" s="20"/>
      <c r="H750" s="20">
        <v>1</v>
      </c>
      <c r="I750" s="126">
        <f t="shared" si="54"/>
        <v>0</v>
      </c>
      <c r="J750" s="21">
        <f t="shared" si="53"/>
        <v>0</v>
      </c>
      <c r="K750" s="80"/>
      <c r="L750" s="82"/>
      <c r="M750" s="10"/>
      <c r="N750" s="10"/>
      <c r="O750" s="10"/>
      <c r="P750" s="10"/>
      <c r="Q750" s="43"/>
      <c r="R750" s="10"/>
      <c r="T750" s="10"/>
    </row>
    <row r="751" spans="2:20" s="1" customFormat="1" ht="12.95" customHeight="1" x14ac:dyDescent="0.15">
      <c r="B751" s="16">
        <v>5</v>
      </c>
      <c r="C751" s="11"/>
      <c r="D751" s="18"/>
      <c r="E751" s="18"/>
      <c r="F751" s="129"/>
      <c r="G751" s="20"/>
      <c r="H751" s="20">
        <v>1</v>
      </c>
      <c r="I751" s="126">
        <f t="shared" si="54"/>
        <v>0</v>
      </c>
      <c r="J751" s="21">
        <f t="shared" si="53"/>
        <v>0</v>
      </c>
      <c r="K751" s="80"/>
      <c r="L751" s="82"/>
      <c r="M751" s="10"/>
      <c r="N751" s="10"/>
      <c r="O751" s="10"/>
      <c r="P751" s="10"/>
      <c r="Q751" s="43"/>
      <c r="R751" s="10"/>
      <c r="T751" s="10"/>
    </row>
    <row r="752" spans="2:20" s="1" customFormat="1" ht="12.95" customHeight="1" x14ac:dyDescent="0.15">
      <c r="B752" s="16">
        <v>6</v>
      </c>
      <c r="C752" s="11"/>
      <c r="D752" s="18"/>
      <c r="E752" s="18"/>
      <c r="F752" s="129"/>
      <c r="G752" s="20"/>
      <c r="H752" s="20">
        <v>1</v>
      </c>
      <c r="I752" s="126">
        <f t="shared" si="54"/>
        <v>0</v>
      </c>
      <c r="J752" s="21">
        <f t="shared" si="53"/>
        <v>0</v>
      </c>
      <c r="K752" s="80"/>
      <c r="L752" s="82"/>
      <c r="M752" s="10"/>
      <c r="N752" s="10"/>
      <c r="O752" s="10"/>
      <c r="P752" s="10"/>
      <c r="Q752" s="43"/>
      <c r="R752" s="10"/>
      <c r="T752" s="10"/>
    </row>
    <row r="753" spans="2:20" s="1" customFormat="1" ht="12.95" customHeight="1" x14ac:dyDescent="0.15">
      <c r="B753" s="16">
        <v>7</v>
      </c>
      <c r="C753" s="11"/>
      <c r="D753" s="18"/>
      <c r="E753" s="18"/>
      <c r="F753" s="129"/>
      <c r="G753" s="20"/>
      <c r="H753" s="20">
        <v>1</v>
      </c>
      <c r="I753" s="126">
        <f t="shared" si="54"/>
        <v>0</v>
      </c>
      <c r="J753" s="21">
        <f t="shared" si="53"/>
        <v>0</v>
      </c>
      <c r="K753" s="80"/>
      <c r="L753" s="82"/>
      <c r="M753" s="10"/>
      <c r="N753" s="10"/>
      <c r="O753" s="10"/>
      <c r="P753" s="10"/>
      <c r="Q753" s="43"/>
      <c r="R753" s="10"/>
      <c r="T753" s="10"/>
    </row>
    <row r="754" spans="2:20" s="1" customFormat="1" ht="12.95" customHeight="1" x14ac:dyDescent="0.15">
      <c r="B754" s="16">
        <v>8</v>
      </c>
      <c r="C754" s="11"/>
      <c r="D754" s="18"/>
      <c r="E754" s="18"/>
      <c r="F754" s="129"/>
      <c r="G754" s="20"/>
      <c r="H754" s="20">
        <v>1</v>
      </c>
      <c r="I754" s="126">
        <f t="shared" si="54"/>
        <v>0</v>
      </c>
      <c r="J754" s="21">
        <f t="shared" si="53"/>
        <v>0</v>
      </c>
      <c r="K754" s="80"/>
      <c r="L754" s="82"/>
      <c r="M754" s="10"/>
      <c r="N754" s="10"/>
      <c r="O754" s="10"/>
      <c r="P754" s="10"/>
      <c r="Q754" s="43"/>
      <c r="R754" s="10"/>
      <c r="T754" s="10"/>
    </row>
    <row r="755" spans="2:20" s="1" customFormat="1" ht="12.95" customHeight="1" x14ac:dyDescent="0.15">
      <c r="B755" s="16">
        <v>9</v>
      </c>
      <c r="C755" s="11"/>
      <c r="D755" s="18"/>
      <c r="E755" s="18"/>
      <c r="F755" s="129"/>
      <c r="G755" s="20"/>
      <c r="H755" s="20">
        <v>1</v>
      </c>
      <c r="I755" s="126">
        <f t="shared" si="54"/>
        <v>0</v>
      </c>
      <c r="J755" s="21">
        <f t="shared" si="53"/>
        <v>0</v>
      </c>
      <c r="K755" s="80"/>
      <c r="L755" s="82"/>
      <c r="M755" s="10"/>
      <c r="N755" s="10"/>
      <c r="O755" s="10"/>
      <c r="P755" s="10"/>
      <c r="Q755" s="43"/>
      <c r="R755" s="10"/>
      <c r="T755" s="10"/>
    </row>
    <row r="756" spans="2:20" s="1" customFormat="1" ht="12.95" customHeight="1" x14ac:dyDescent="0.15">
      <c r="B756" s="16">
        <v>10</v>
      </c>
      <c r="C756" s="11"/>
      <c r="D756" s="18"/>
      <c r="E756" s="18"/>
      <c r="F756" s="129"/>
      <c r="G756" s="20"/>
      <c r="H756" s="20">
        <v>1</v>
      </c>
      <c r="I756" s="126">
        <f t="shared" si="54"/>
        <v>0</v>
      </c>
      <c r="J756" s="21">
        <f t="shared" si="53"/>
        <v>0</v>
      </c>
      <c r="K756" s="80"/>
      <c r="L756" s="82"/>
      <c r="M756" s="10"/>
      <c r="N756" s="10"/>
      <c r="O756" s="10"/>
      <c r="P756" s="10"/>
      <c r="Q756" s="43"/>
      <c r="R756" s="10"/>
      <c r="T756" s="10"/>
    </row>
    <row r="757" spans="2:20" s="1" customFormat="1" ht="12.95" customHeight="1" x14ac:dyDescent="0.15">
      <c r="B757" s="16">
        <v>11</v>
      </c>
      <c r="C757" s="12" t="s">
        <v>165</v>
      </c>
      <c r="D757" s="18"/>
      <c r="E757" s="18"/>
      <c r="F757" s="129"/>
      <c r="G757" s="20"/>
      <c r="H757" s="20">
        <v>1</v>
      </c>
      <c r="I757" s="126">
        <f t="shared" si="54"/>
        <v>0</v>
      </c>
      <c r="J757" s="21">
        <f t="shared" si="53"/>
        <v>0</v>
      </c>
      <c r="K757" s="80"/>
      <c r="L757" s="82"/>
      <c r="M757" s="10"/>
      <c r="N757" s="10"/>
      <c r="O757" s="10"/>
      <c r="P757" s="10"/>
      <c r="Q757" s="43"/>
      <c r="R757" s="10"/>
      <c r="T757" s="10"/>
    </row>
    <row r="758" spans="2:20" s="1" customFormat="1" ht="12.95" customHeight="1" x14ac:dyDescent="0.15">
      <c r="B758" s="16">
        <v>12</v>
      </c>
      <c r="C758" s="12"/>
      <c r="D758" s="18"/>
      <c r="E758" s="18"/>
      <c r="F758" s="129"/>
      <c r="G758" s="20"/>
      <c r="H758" s="20">
        <v>1</v>
      </c>
      <c r="I758" s="126">
        <f t="shared" si="54"/>
        <v>0</v>
      </c>
      <c r="J758" s="21">
        <f t="shared" si="53"/>
        <v>0</v>
      </c>
      <c r="K758" s="80"/>
      <c r="L758" s="82"/>
      <c r="M758" s="10"/>
      <c r="N758" s="10"/>
      <c r="O758" s="10"/>
      <c r="P758" s="10"/>
      <c r="Q758" s="43"/>
      <c r="R758" s="10"/>
      <c r="T758" s="10"/>
    </row>
    <row r="759" spans="2:20" s="1" customFormat="1" ht="12.95" customHeight="1" x14ac:dyDescent="0.15">
      <c r="B759" s="16">
        <v>13</v>
      </c>
      <c r="C759" s="12"/>
      <c r="D759" s="18"/>
      <c r="E759" s="18"/>
      <c r="F759" s="129"/>
      <c r="G759" s="20"/>
      <c r="H759" s="20">
        <v>1</v>
      </c>
      <c r="I759" s="126">
        <f t="shared" si="54"/>
        <v>0</v>
      </c>
      <c r="J759" s="21">
        <f t="shared" si="53"/>
        <v>0</v>
      </c>
      <c r="K759" s="80"/>
      <c r="L759" s="82"/>
      <c r="M759" s="10"/>
      <c r="N759" s="10"/>
      <c r="O759" s="10"/>
      <c r="P759" s="10"/>
      <c r="Q759" s="43"/>
      <c r="R759" s="10"/>
      <c r="T759" s="10"/>
    </row>
    <row r="760" spans="2:20" s="1" customFormat="1" ht="12.95" customHeight="1" x14ac:dyDescent="0.15">
      <c r="B760" s="16">
        <v>14</v>
      </c>
      <c r="C760" s="12"/>
      <c r="D760" s="18"/>
      <c r="E760" s="18"/>
      <c r="F760" s="129"/>
      <c r="G760" s="20"/>
      <c r="H760" s="20">
        <v>1</v>
      </c>
      <c r="I760" s="126">
        <f t="shared" si="54"/>
        <v>0</v>
      </c>
      <c r="J760" s="21">
        <f t="shared" si="53"/>
        <v>0</v>
      </c>
      <c r="K760" s="80"/>
      <c r="L760" s="82"/>
      <c r="M760" s="10"/>
      <c r="N760" s="10"/>
      <c r="O760" s="10"/>
      <c r="P760" s="10"/>
      <c r="Q760" s="43"/>
      <c r="R760" s="10"/>
      <c r="T760" s="10"/>
    </row>
    <row r="761" spans="2:20" s="1" customFormat="1" ht="12.95" customHeight="1" x14ac:dyDescent="0.15">
      <c r="B761" s="16">
        <v>15</v>
      </c>
      <c r="C761" s="12"/>
      <c r="D761" s="18"/>
      <c r="E761" s="18"/>
      <c r="F761" s="129"/>
      <c r="G761" s="20"/>
      <c r="H761" s="20">
        <v>1</v>
      </c>
      <c r="I761" s="126">
        <f t="shared" si="54"/>
        <v>0</v>
      </c>
      <c r="J761" s="21">
        <f t="shared" si="53"/>
        <v>0</v>
      </c>
      <c r="K761" s="80"/>
      <c r="L761" s="82"/>
      <c r="M761" s="10"/>
      <c r="N761" s="10"/>
      <c r="O761" s="10"/>
      <c r="P761" s="10"/>
      <c r="Q761" s="43"/>
      <c r="R761" s="10"/>
      <c r="T761" s="10"/>
    </row>
    <row r="762" spans="2:20" s="1" customFormat="1" ht="12.95" customHeight="1" x14ac:dyDescent="0.15">
      <c r="B762" s="16">
        <v>16</v>
      </c>
      <c r="C762" s="12"/>
      <c r="D762" s="18"/>
      <c r="E762" s="18"/>
      <c r="F762" s="129"/>
      <c r="G762" s="20"/>
      <c r="H762" s="20">
        <v>1</v>
      </c>
      <c r="I762" s="126">
        <f t="shared" si="54"/>
        <v>0</v>
      </c>
      <c r="J762" s="21">
        <f t="shared" si="53"/>
        <v>0</v>
      </c>
      <c r="K762" s="80"/>
      <c r="L762" s="82"/>
      <c r="M762" s="10"/>
      <c r="N762" s="10"/>
      <c r="O762" s="10"/>
      <c r="P762" s="10"/>
      <c r="Q762" s="43"/>
      <c r="R762" s="10"/>
      <c r="T762" s="10"/>
    </row>
    <row r="763" spans="2:20" s="1" customFormat="1" ht="12.95" customHeight="1" x14ac:dyDescent="0.15">
      <c r="B763" s="16">
        <v>17</v>
      </c>
      <c r="C763" s="12"/>
      <c r="D763" s="18"/>
      <c r="E763" s="18"/>
      <c r="F763" s="129"/>
      <c r="G763" s="20"/>
      <c r="H763" s="20">
        <v>1</v>
      </c>
      <c r="I763" s="126">
        <f t="shared" si="54"/>
        <v>0</v>
      </c>
      <c r="J763" s="21">
        <f t="shared" si="53"/>
        <v>0</v>
      </c>
      <c r="K763" s="80"/>
      <c r="L763" s="82"/>
      <c r="M763" s="10"/>
      <c r="N763" s="10"/>
      <c r="O763" s="10"/>
      <c r="P763" s="10"/>
      <c r="Q763" s="43"/>
      <c r="R763" s="10"/>
      <c r="T763" s="10"/>
    </row>
    <row r="764" spans="2:20" s="1" customFormat="1" ht="12.95" customHeight="1" x14ac:dyDescent="0.15">
      <c r="B764" s="16">
        <v>18</v>
      </c>
      <c r="C764" s="12"/>
      <c r="D764" s="18"/>
      <c r="E764" s="18"/>
      <c r="F764" s="129"/>
      <c r="G764" s="20"/>
      <c r="H764" s="20">
        <v>1</v>
      </c>
      <c r="I764" s="126">
        <f t="shared" si="54"/>
        <v>0</v>
      </c>
      <c r="J764" s="78">
        <f t="shared" si="53"/>
        <v>0</v>
      </c>
      <c r="K764" s="111"/>
      <c r="L764" s="119"/>
      <c r="M764" s="10"/>
      <c r="N764" s="10"/>
      <c r="O764" s="10"/>
      <c r="P764" s="10"/>
      <c r="Q764" s="43"/>
      <c r="R764" s="10"/>
      <c r="T764" s="10"/>
    </row>
    <row r="765" spans="2:20" s="1" customFormat="1" ht="12.95" customHeight="1" x14ac:dyDescent="0.15">
      <c r="B765" s="16">
        <v>19</v>
      </c>
      <c r="C765" s="12"/>
      <c r="D765" s="18"/>
      <c r="E765" s="18"/>
      <c r="F765" s="129"/>
      <c r="G765" s="20"/>
      <c r="H765" s="20">
        <v>1</v>
      </c>
      <c r="I765" s="254">
        <f t="shared" si="54"/>
        <v>0</v>
      </c>
      <c r="J765" s="94">
        <f t="shared" si="53"/>
        <v>0</v>
      </c>
      <c r="K765" s="82"/>
      <c r="L765" s="82"/>
      <c r="M765" s="10"/>
      <c r="N765" s="10"/>
      <c r="O765" s="10"/>
      <c r="P765" s="10"/>
      <c r="Q765" s="43"/>
      <c r="R765" s="10"/>
      <c r="T765" s="10"/>
    </row>
    <row r="766" spans="2:20" s="1" customFormat="1" ht="12.95" customHeight="1" x14ac:dyDescent="0.15">
      <c r="B766" s="16">
        <v>20</v>
      </c>
      <c r="C766" s="12"/>
      <c r="D766" s="18"/>
      <c r="E766" s="18"/>
      <c r="F766" s="129"/>
      <c r="G766" s="20"/>
      <c r="H766" s="20">
        <v>1</v>
      </c>
      <c r="I766" s="254">
        <f t="shared" si="54"/>
        <v>0</v>
      </c>
      <c r="J766" s="94">
        <f t="shared" si="53"/>
        <v>0</v>
      </c>
      <c r="K766" s="82"/>
      <c r="L766" s="82"/>
      <c r="M766" s="10"/>
      <c r="N766" s="10"/>
      <c r="O766" s="10"/>
      <c r="P766" s="10"/>
      <c r="Q766" s="43"/>
      <c r="R766" s="10"/>
      <c r="T766" s="10"/>
    </row>
    <row r="767" spans="2:20" s="1" customFormat="1" ht="12.95" customHeight="1" x14ac:dyDescent="0.15">
      <c r="B767" s="83"/>
      <c r="C767" s="74"/>
      <c r="D767" s="75"/>
      <c r="E767" s="75"/>
      <c r="F767" s="132"/>
      <c r="G767" s="77"/>
      <c r="H767" s="77"/>
      <c r="I767" s="255"/>
      <c r="J767" s="94"/>
      <c r="K767" s="82"/>
      <c r="L767" s="82"/>
      <c r="M767" s="10"/>
      <c r="N767" s="10"/>
      <c r="O767" s="10"/>
      <c r="P767" s="10"/>
      <c r="Q767" s="43"/>
      <c r="R767" s="10"/>
      <c r="T767" s="10"/>
    </row>
    <row r="768" spans="2:20" s="1" customFormat="1" ht="12.75" x14ac:dyDescent="0.15">
      <c r="B768" s="82"/>
      <c r="C768" s="102"/>
      <c r="D768" s="103"/>
      <c r="E768" s="102"/>
      <c r="F768" s="128">
        <f>SUM(F708:F767)</f>
        <v>0</v>
      </c>
      <c r="G768" s="104"/>
      <c r="H768" s="105"/>
      <c r="I768" s="128">
        <f>SUM(I708:I767)</f>
        <v>0</v>
      </c>
      <c r="J768" s="257">
        <f>SUM(J708:J767)</f>
        <v>0</v>
      </c>
    </row>
    <row r="769" spans="2:12" s="1" customFormat="1" ht="12.75" x14ac:dyDescent="0.15">
      <c r="B769" s="82"/>
      <c r="C769" s="102"/>
      <c r="D769" s="103"/>
      <c r="E769" s="102" t="s">
        <v>147</v>
      </c>
      <c r="F769" s="128">
        <f>100/115*F768</f>
        <v>0</v>
      </c>
      <c r="G769" s="104"/>
      <c r="H769" s="105" t="s">
        <v>147</v>
      </c>
      <c r="I769" s="128">
        <f>100/115*I768</f>
        <v>0</v>
      </c>
      <c r="J769" s="106"/>
    </row>
    <row r="770" spans="2:12" s="1" customFormat="1" ht="12.75" x14ac:dyDescent="0.15"/>
    <row r="771" spans="2:12" s="1" customFormat="1" ht="12.75" x14ac:dyDescent="0.15"/>
    <row r="772" spans="2:12" s="1" customFormat="1" ht="12.75" x14ac:dyDescent="0.15"/>
    <row r="773" spans="2:12" s="1" customFormat="1" ht="12.75" x14ac:dyDescent="0.15"/>
    <row r="774" spans="2:12" s="247" customFormat="1" ht="32.25" x14ac:dyDescent="0.4">
      <c r="B774" s="251"/>
      <c r="C774" s="424" t="s">
        <v>166</v>
      </c>
      <c r="D774" s="424"/>
      <c r="E774" s="425" t="s">
        <v>167</v>
      </c>
      <c r="F774" s="426"/>
      <c r="G774" s="426"/>
      <c r="H774" s="426"/>
      <c r="I774" s="427"/>
      <c r="J774" s="415">
        <v>2026</v>
      </c>
      <c r="K774" s="416"/>
      <c r="L774" s="417"/>
    </row>
    <row r="775" spans="2:12" s="1" customFormat="1" ht="22.5" x14ac:dyDescent="0.15">
      <c r="B775" s="16"/>
      <c r="C775" s="28" t="s">
        <v>114</v>
      </c>
      <c r="D775" s="418" t="s">
        <v>115</v>
      </c>
      <c r="E775" s="418"/>
      <c r="F775" s="28" t="s">
        <v>116</v>
      </c>
      <c r="G775" s="28" t="s">
        <v>117</v>
      </c>
      <c r="H775" s="28" t="s">
        <v>118</v>
      </c>
      <c r="I775" s="28" t="s">
        <v>119</v>
      </c>
      <c r="J775" s="64" t="s">
        <v>120</v>
      </c>
      <c r="K775" s="82"/>
      <c r="L775" s="82"/>
    </row>
    <row r="776" spans="2:12" s="1" customFormat="1" ht="12.75" x14ac:dyDescent="0.15">
      <c r="B776" s="16"/>
      <c r="C776" s="124">
        <f>C706</f>
        <v>250</v>
      </c>
      <c r="D776" s="419">
        <v>20</v>
      </c>
      <c r="E776" s="419"/>
      <c r="F776" s="29">
        <f>F706</f>
        <v>0.85</v>
      </c>
      <c r="G776" s="30">
        <f>G706</f>
        <v>8</v>
      </c>
      <c r="H776" s="31">
        <f>D776*G776*F776</f>
        <v>136</v>
      </c>
      <c r="I776" s="124">
        <f>I838</f>
        <v>0</v>
      </c>
      <c r="J776" s="121">
        <f>H776-J838</f>
        <v>136</v>
      </c>
      <c r="K776" s="82"/>
      <c r="L776" s="82"/>
    </row>
    <row r="777" spans="2:12" s="1" customFormat="1" ht="33.75" x14ac:dyDescent="0.15">
      <c r="B777" s="16"/>
      <c r="C777" s="22" t="s">
        <v>121</v>
      </c>
      <c r="D777" s="413" t="s">
        <v>122</v>
      </c>
      <c r="E777" s="413"/>
      <c r="F777" s="33" t="s">
        <v>123</v>
      </c>
      <c r="G777" s="34" t="s">
        <v>124</v>
      </c>
      <c r="H777" s="35" t="s">
        <v>125</v>
      </c>
      <c r="I777" s="125" t="s">
        <v>126</v>
      </c>
      <c r="J777" s="34" t="s">
        <v>127</v>
      </c>
      <c r="K777" s="122" t="s">
        <v>128</v>
      </c>
      <c r="L777" s="123" t="s">
        <v>168</v>
      </c>
    </row>
    <row r="778" spans="2:12" s="1" customFormat="1" ht="12.75" x14ac:dyDescent="0.15">
      <c r="B778" s="16"/>
      <c r="C778" s="22"/>
      <c r="D778" s="32"/>
      <c r="E778" s="32"/>
      <c r="F778" s="33"/>
      <c r="G778" s="34"/>
      <c r="H778" s="35"/>
      <c r="I778" s="125"/>
      <c r="J778" s="34"/>
      <c r="K778" s="110"/>
      <c r="L778" s="117"/>
    </row>
    <row r="779" spans="2:12" s="1" customFormat="1" ht="12.75" x14ac:dyDescent="0.15">
      <c r="B779" s="16"/>
      <c r="C779" s="22" t="s">
        <v>130</v>
      </c>
      <c r="D779" s="32"/>
      <c r="E779" s="32"/>
      <c r="F779" s="33"/>
      <c r="G779" s="34"/>
      <c r="H779" s="35"/>
      <c r="I779" s="125"/>
      <c r="J779" s="34"/>
      <c r="K779" s="110"/>
      <c r="L779" s="117"/>
    </row>
    <row r="780" spans="2:12" s="1" customFormat="1" ht="12.75" customHeight="1" x14ac:dyDescent="0.15">
      <c r="B780" s="16"/>
      <c r="C780" s="37" t="s">
        <v>149</v>
      </c>
      <c r="D780" s="24"/>
      <c r="E780" s="24"/>
      <c r="F780" s="19"/>
      <c r="G780" s="20"/>
      <c r="H780" s="20"/>
      <c r="I780" s="126"/>
      <c r="J780" s="38"/>
      <c r="K780" s="80"/>
      <c r="L780" s="82"/>
    </row>
    <row r="781" spans="2:12" s="1" customFormat="1" ht="12.75" x14ac:dyDescent="0.15">
      <c r="B781" s="16">
        <v>1</v>
      </c>
      <c r="C781" s="23"/>
      <c r="D781" s="24"/>
      <c r="E781" s="24"/>
      <c r="F781" s="129"/>
      <c r="G781" s="20"/>
      <c r="H781" s="20">
        <v>1</v>
      </c>
      <c r="I781" s="126">
        <f t="shared" ref="I781:I790" si="55">J781*$C$32</f>
        <v>0</v>
      </c>
      <c r="J781" s="38">
        <f t="shared" ref="J781:J790" si="56">(F781*G781*H781)/$C$32</f>
        <v>0</v>
      </c>
      <c r="K781" s="80"/>
      <c r="L781" s="82"/>
    </row>
    <row r="782" spans="2:12" s="1" customFormat="1" ht="12.75" customHeight="1" x14ac:dyDescent="0.15">
      <c r="B782" s="16">
        <v>2</v>
      </c>
      <c r="C782" s="23"/>
      <c r="D782" s="24"/>
      <c r="E782" s="24"/>
      <c r="F782" s="126"/>
      <c r="G782" s="20"/>
      <c r="H782" s="20">
        <v>1</v>
      </c>
      <c r="I782" s="126">
        <f t="shared" si="55"/>
        <v>0</v>
      </c>
      <c r="J782" s="38">
        <f t="shared" si="56"/>
        <v>0</v>
      </c>
      <c r="K782" s="80"/>
      <c r="L782" s="82"/>
    </row>
    <row r="783" spans="2:12" s="1" customFormat="1" ht="12.75" customHeight="1" x14ac:dyDescent="0.15">
      <c r="B783" s="16">
        <v>3</v>
      </c>
      <c r="C783" s="23"/>
      <c r="D783" s="25"/>
      <c r="E783" s="25"/>
      <c r="F783" s="129"/>
      <c r="G783" s="20"/>
      <c r="H783" s="20">
        <v>1</v>
      </c>
      <c r="I783" s="126">
        <f t="shared" si="55"/>
        <v>0</v>
      </c>
      <c r="J783" s="38">
        <f t="shared" si="56"/>
        <v>0</v>
      </c>
      <c r="K783" s="80"/>
      <c r="L783" s="82"/>
    </row>
    <row r="784" spans="2:12" s="1" customFormat="1" ht="12.95" customHeight="1" x14ac:dyDescent="0.15">
      <c r="B784" s="16">
        <v>4</v>
      </c>
      <c r="C784" s="23"/>
      <c r="D784" s="24"/>
      <c r="E784" s="24"/>
      <c r="F784" s="129"/>
      <c r="G784" s="20"/>
      <c r="H784" s="20">
        <v>1</v>
      </c>
      <c r="I784" s="126">
        <f t="shared" si="55"/>
        <v>0</v>
      </c>
      <c r="J784" s="38">
        <f t="shared" si="56"/>
        <v>0</v>
      </c>
      <c r="K784" s="80"/>
      <c r="L784" s="82"/>
    </row>
    <row r="785" spans="2:12" s="1" customFormat="1" ht="14.1" customHeight="1" x14ac:dyDescent="0.15">
      <c r="B785" s="16">
        <v>5</v>
      </c>
      <c r="C785" s="16"/>
      <c r="D785" s="18"/>
      <c r="E785" s="18"/>
      <c r="F785" s="129"/>
      <c r="G785" s="20"/>
      <c r="H785" s="20">
        <v>1</v>
      </c>
      <c r="I785" s="126">
        <f t="shared" si="55"/>
        <v>0</v>
      </c>
      <c r="J785" s="38">
        <f t="shared" si="56"/>
        <v>0</v>
      </c>
      <c r="K785" s="80"/>
      <c r="L785" s="82"/>
    </row>
    <row r="786" spans="2:12" s="1" customFormat="1" ht="12.95" customHeight="1" x14ac:dyDescent="0.15">
      <c r="B786" s="16">
        <v>6</v>
      </c>
      <c r="C786" s="17"/>
      <c r="D786" s="24"/>
      <c r="E786" s="24"/>
      <c r="F786" s="129"/>
      <c r="G786" s="20"/>
      <c r="H786" s="20">
        <v>1</v>
      </c>
      <c r="I786" s="126">
        <f t="shared" si="55"/>
        <v>0</v>
      </c>
      <c r="J786" s="38">
        <f t="shared" si="56"/>
        <v>0</v>
      </c>
      <c r="K786" s="80"/>
      <c r="L786" s="82"/>
    </row>
    <row r="787" spans="2:12" s="1" customFormat="1" ht="12.95" customHeight="1" x14ac:dyDescent="0.15">
      <c r="B787" s="16">
        <v>7</v>
      </c>
      <c r="C787" s="17"/>
      <c r="D787" s="24"/>
      <c r="E787" s="24"/>
      <c r="F787" s="129"/>
      <c r="G787" s="20"/>
      <c r="H787" s="20">
        <v>1</v>
      </c>
      <c r="I787" s="126">
        <f t="shared" si="55"/>
        <v>0</v>
      </c>
      <c r="J787" s="38">
        <f t="shared" si="56"/>
        <v>0</v>
      </c>
      <c r="K787" s="80"/>
      <c r="L787" s="82"/>
    </row>
    <row r="788" spans="2:12" s="1" customFormat="1" ht="12.95" customHeight="1" x14ac:dyDescent="0.15">
      <c r="B788" s="16">
        <v>8</v>
      </c>
      <c r="C788" s="17"/>
      <c r="D788" s="24"/>
      <c r="E788" s="24"/>
      <c r="F788" s="129"/>
      <c r="G788" s="20"/>
      <c r="H788" s="20">
        <v>1</v>
      </c>
      <c r="I788" s="126">
        <f t="shared" si="55"/>
        <v>0</v>
      </c>
      <c r="J788" s="38">
        <f t="shared" si="56"/>
        <v>0</v>
      </c>
      <c r="K788" s="80"/>
      <c r="L788" s="82"/>
    </row>
    <row r="789" spans="2:12" s="1" customFormat="1" ht="12.95" customHeight="1" x14ac:dyDescent="0.15">
      <c r="B789" s="16">
        <v>9</v>
      </c>
      <c r="C789" s="17"/>
      <c r="D789" s="24"/>
      <c r="E789" s="24"/>
      <c r="F789" s="129"/>
      <c r="G789" s="20"/>
      <c r="H789" s="20">
        <v>1</v>
      </c>
      <c r="I789" s="126">
        <f t="shared" si="55"/>
        <v>0</v>
      </c>
      <c r="J789" s="38">
        <f t="shared" si="56"/>
        <v>0</v>
      </c>
      <c r="K789" s="80"/>
      <c r="L789" s="82"/>
    </row>
    <row r="790" spans="2:12" s="1" customFormat="1" ht="12.95" customHeight="1" x14ac:dyDescent="0.15">
      <c r="B790" s="16">
        <v>10</v>
      </c>
      <c r="C790" s="17"/>
      <c r="D790" s="24"/>
      <c r="E790" s="24"/>
      <c r="F790" s="129"/>
      <c r="G790" s="20"/>
      <c r="H790" s="20">
        <v>1</v>
      </c>
      <c r="I790" s="126">
        <f t="shared" si="55"/>
        <v>0</v>
      </c>
      <c r="J790" s="38">
        <f t="shared" si="56"/>
        <v>0</v>
      </c>
      <c r="K790" s="80"/>
      <c r="L790" s="82"/>
    </row>
    <row r="791" spans="2:12" s="1" customFormat="1" ht="12.95" customHeight="1" x14ac:dyDescent="0.15">
      <c r="B791" s="16"/>
      <c r="C791" s="17"/>
      <c r="D791" s="18"/>
      <c r="E791" s="24"/>
      <c r="F791" s="129"/>
      <c r="G791" s="20"/>
      <c r="H791" s="20"/>
      <c r="I791" s="126"/>
      <c r="J791" s="38"/>
      <c r="K791" s="80"/>
      <c r="L791" s="82"/>
    </row>
    <row r="792" spans="2:12" s="1" customFormat="1" ht="12.95" customHeight="1" x14ac:dyDescent="0.15">
      <c r="B792" s="16"/>
      <c r="C792" s="17"/>
      <c r="D792" s="18"/>
      <c r="E792" s="24"/>
      <c r="F792" s="129"/>
      <c r="G792" s="20"/>
      <c r="H792" s="20"/>
      <c r="I792" s="126"/>
      <c r="J792" s="38"/>
      <c r="K792" s="80"/>
      <c r="L792" s="82"/>
    </row>
    <row r="793" spans="2:12" s="1" customFormat="1" ht="12.95" customHeight="1" x14ac:dyDescent="0.15">
      <c r="B793" s="16"/>
      <c r="C793" s="22" t="s">
        <v>153</v>
      </c>
      <c r="D793" s="24"/>
      <c r="E793" s="18"/>
      <c r="F793" s="129"/>
      <c r="G793" s="20"/>
      <c r="H793" s="20"/>
      <c r="I793" s="126"/>
      <c r="J793" s="38"/>
      <c r="K793" s="80"/>
      <c r="L793" s="82"/>
    </row>
    <row r="794" spans="2:12" s="1" customFormat="1" ht="12.95" customHeight="1" x14ac:dyDescent="0.15">
      <c r="B794" s="16">
        <v>1</v>
      </c>
      <c r="C794" s="17"/>
      <c r="D794" s="24"/>
      <c r="E794" s="18"/>
      <c r="F794" s="129"/>
      <c r="G794" s="20"/>
      <c r="H794" s="20">
        <v>1</v>
      </c>
      <c r="I794" s="126">
        <f t="shared" ref="I794:I813" si="57">J794*$C$32</f>
        <v>0</v>
      </c>
      <c r="J794" s="38">
        <f t="shared" ref="J794:J813" si="58">(F794*G794*H794)/$C$32</f>
        <v>0</v>
      </c>
      <c r="K794" s="80"/>
      <c r="L794" s="82"/>
    </row>
    <row r="795" spans="2:12" s="1" customFormat="1" ht="12.95" customHeight="1" x14ac:dyDescent="0.15">
      <c r="B795" s="16">
        <v>2</v>
      </c>
      <c r="C795" s="17"/>
      <c r="D795" s="24"/>
      <c r="E795" s="18"/>
      <c r="F795" s="129"/>
      <c r="G795" s="20"/>
      <c r="H795" s="20">
        <v>1</v>
      </c>
      <c r="I795" s="126">
        <f t="shared" si="57"/>
        <v>0</v>
      </c>
      <c r="J795" s="38">
        <f t="shared" si="58"/>
        <v>0</v>
      </c>
      <c r="K795" s="80"/>
      <c r="L795" s="82"/>
    </row>
    <row r="796" spans="2:12" s="1" customFormat="1" ht="12.95" customHeight="1" x14ac:dyDescent="0.15">
      <c r="B796" s="16">
        <v>3</v>
      </c>
      <c r="C796" s="17"/>
      <c r="D796" s="24"/>
      <c r="E796" s="18"/>
      <c r="F796" s="129"/>
      <c r="G796" s="20"/>
      <c r="H796" s="20">
        <v>1</v>
      </c>
      <c r="I796" s="126">
        <f t="shared" si="57"/>
        <v>0</v>
      </c>
      <c r="J796" s="38">
        <f t="shared" si="58"/>
        <v>0</v>
      </c>
      <c r="K796" s="80"/>
      <c r="L796" s="82"/>
    </row>
    <row r="797" spans="2:12" s="1" customFormat="1" ht="12.95" customHeight="1" x14ac:dyDescent="0.15">
      <c r="B797" s="16">
        <v>4</v>
      </c>
      <c r="C797" s="17"/>
      <c r="D797" s="24"/>
      <c r="E797" s="18"/>
      <c r="F797" s="129"/>
      <c r="G797" s="20"/>
      <c r="H797" s="20">
        <v>1</v>
      </c>
      <c r="I797" s="126">
        <f t="shared" si="57"/>
        <v>0</v>
      </c>
      <c r="J797" s="38">
        <f t="shared" si="58"/>
        <v>0</v>
      </c>
      <c r="K797" s="80"/>
      <c r="L797" s="82"/>
    </row>
    <row r="798" spans="2:12" s="1" customFormat="1" ht="12.95" customHeight="1" x14ac:dyDescent="0.15">
      <c r="B798" s="16">
        <v>5</v>
      </c>
      <c r="C798" s="17"/>
      <c r="D798" s="24"/>
      <c r="E798" s="18"/>
      <c r="F798" s="129"/>
      <c r="G798" s="20"/>
      <c r="H798" s="20">
        <v>1</v>
      </c>
      <c r="I798" s="126">
        <f t="shared" si="57"/>
        <v>0</v>
      </c>
      <c r="J798" s="38">
        <f t="shared" si="58"/>
        <v>0</v>
      </c>
      <c r="K798" s="80"/>
      <c r="L798" s="82"/>
    </row>
    <row r="799" spans="2:12" s="1" customFormat="1" ht="12.95" customHeight="1" x14ac:dyDescent="0.15">
      <c r="B799" s="16">
        <v>6</v>
      </c>
      <c r="C799" s="17"/>
      <c r="D799" s="24"/>
      <c r="E799" s="18"/>
      <c r="F799" s="129"/>
      <c r="G799" s="20"/>
      <c r="H799" s="20">
        <v>1</v>
      </c>
      <c r="I799" s="126">
        <f t="shared" si="57"/>
        <v>0</v>
      </c>
      <c r="J799" s="38">
        <f t="shared" si="58"/>
        <v>0</v>
      </c>
      <c r="K799" s="80"/>
      <c r="L799" s="82"/>
    </row>
    <row r="800" spans="2:12" s="1" customFormat="1" ht="12.95" customHeight="1" x14ac:dyDescent="0.15">
      <c r="B800" s="16">
        <v>7</v>
      </c>
      <c r="C800" s="17"/>
      <c r="D800" s="24"/>
      <c r="E800" s="18"/>
      <c r="F800" s="129"/>
      <c r="G800" s="20"/>
      <c r="H800" s="20">
        <v>1</v>
      </c>
      <c r="I800" s="126">
        <f t="shared" si="57"/>
        <v>0</v>
      </c>
      <c r="J800" s="38">
        <f t="shared" si="58"/>
        <v>0</v>
      </c>
      <c r="K800" s="80"/>
      <c r="L800" s="82"/>
    </row>
    <row r="801" spans="2:12" s="1" customFormat="1" ht="12.95" customHeight="1" x14ac:dyDescent="0.15">
      <c r="B801" s="16">
        <v>8</v>
      </c>
      <c r="C801" s="17"/>
      <c r="D801" s="24"/>
      <c r="E801" s="18"/>
      <c r="F801" s="129"/>
      <c r="G801" s="20"/>
      <c r="H801" s="20">
        <v>1</v>
      </c>
      <c r="I801" s="126">
        <f t="shared" si="57"/>
        <v>0</v>
      </c>
      <c r="J801" s="21">
        <f t="shared" si="58"/>
        <v>0</v>
      </c>
      <c r="K801" s="80"/>
      <c r="L801" s="82"/>
    </row>
    <row r="802" spans="2:12" s="1" customFormat="1" ht="12.95" customHeight="1" x14ac:dyDescent="0.15">
      <c r="B802" s="16">
        <v>9</v>
      </c>
      <c r="C802" s="17"/>
      <c r="D802" s="24"/>
      <c r="E802" s="18"/>
      <c r="F802" s="129"/>
      <c r="G802" s="20"/>
      <c r="H802" s="20">
        <v>1</v>
      </c>
      <c r="I802" s="126">
        <f t="shared" si="57"/>
        <v>0</v>
      </c>
      <c r="J802" s="38">
        <f t="shared" si="58"/>
        <v>0</v>
      </c>
      <c r="K802" s="80"/>
      <c r="L802" s="82"/>
    </row>
    <row r="803" spans="2:12" s="1" customFormat="1" ht="12.95" customHeight="1" x14ac:dyDescent="0.15">
      <c r="B803" s="16">
        <v>10</v>
      </c>
      <c r="C803" s="17"/>
      <c r="D803" s="24"/>
      <c r="E803" s="18"/>
      <c r="F803" s="129"/>
      <c r="G803" s="20"/>
      <c r="H803" s="20">
        <v>1</v>
      </c>
      <c r="I803" s="126">
        <f t="shared" si="57"/>
        <v>0</v>
      </c>
      <c r="J803" s="38">
        <f t="shared" si="58"/>
        <v>0</v>
      </c>
      <c r="K803" s="80"/>
      <c r="L803" s="82"/>
    </row>
    <row r="804" spans="2:12" s="1" customFormat="1" ht="12.95" customHeight="1" x14ac:dyDescent="0.15">
      <c r="B804" s="16">
        <v>11</v>
      </c>
      <c r="C804" s="17"/>
      <c r="D804" s="24"/>
      <c r="E804" s="18"/>
      <c r="F804" s="129"/>
      <c r="G804" s="20"/>
      <c r="H804" s="20">
        <v>1</v>
      </c>
      <c r="I804" s="126">
        <f t="shared" si="57"/>
        <v>0</v>
      </c>
      <c r="J804" s="38">
        <f t="shared" si="58"/>
        <v>0</v>
      </c>
      <c r="K804" s="80"/>
      <c r="L804" s="82"/>
    </row>
    <row r="805" spans="2:12" s="1" customFormat="1" ht="12.95" customHeight="1" x14ac:dyDescent="0.15">
      <c r="B805" s="16">
        <v>12</v>
      </c>
      <c r="C805" s="17"/>
      <c r="D805" s="24"/>
      <c r="E805" s="18"/>
      <c r="F805" s="129"/>
      <c r="G805" s="20"/>
      <c r="H805" s="20">
        <v>1</v>
      </c>
      <c r="I805" s="126">
        <f t="shared" si="57"/>
        <v>0</v>
      </c>
      <c r="J805" s="38">
        <f t="shared" si="58"/>
        <v>0</v>
      </c>
      <c r="K805" s="80"/>
      <c r="L805" s="82"/>
    </row>
    <row r="806" spans="2:12" s="1" customFormat="1" ht="12.95" customHeight="1" x14ac:dyDescent="0.15">
      <c r="B806" s="16">
        <v>13</v>
      </c>
      <c r="C806" s="17"/>
      <c r="D806" s="24"/>
      <c r="E806" s="24"/>
      <c r="F806" s="129"/>
      <c r="G806" s="20"/>
      <c r="H806" s="20">
        <v>1</v>
      </c>
      <c r="I806" s="126">
        <f t="shared" si="57"/>
        <v>0</v>
      </c>
      <c r="J806" s="38">
        <f t="shared" si="58"/>
        <v>0</v>
      </c>
      <c r="K806" s="80"/>
      <c r="L806" s="82"/>
    </row>
    <row r="807" spans="2:12" s="1" customFormat="1" ht="12.95" customHeight="1" x14ac:dyDescent="0.15">
      <c r="B807" s="16">
        <v>14</v>
      </c>
      <c r="C807" s="17"/>
      <c r="D807" s="24"/>
      <c r="E807" s="24"/>
      <c r="F807" s="129"/>
      <c r="G807" s="20"/>
      <c r="H807" s="20">
        <v>1</v>
      </c>
      <c r="I807" s="126">
        <f t="shared" si="57"/>
        <v>0</v>
      </c>
      <c r="J807" s="38">
        <f t="shared" si="58"/>
        <v>0</v>
      </c>
      <c r="K807" s="80"/>
      <c r="L807" s="82"/>
    </row>
    <row r="808" spans="2:12" s="1" customFormat="1" ht="12.95" customHeight="1" x14ac:dyDescent="0.15">
      <c r="B808" s="16">
        <v>15</v>
      </c>
      <c r="C808" s="17"/>
      <c r="D808" s="24"/>
      <c r="E808" s="24"/>
      <c r="F808" s="129"/>
      <c r="G808" s="20"/>
      <c r="H808" s="20">
        <v>1</v>
      </c>
      <c r="I808" s="126">
        <f t="shared" si="57"/>
        <v>0</v>
      </c>
      <c r="J808" s="38">
        <f t="shared" si="58"/>
        <v>0</v>
      </c>
      <c r="K808" s="80"/>
      <c r="L808" s="82"/>
    </row>
    <row r="809" spans="2:12" s="1" customFormat="1" ht="12.95" customHeight="1" x14ac:dyDescent="0.15">
      <c r="B809" s="16">
        <v>16</v>
      </c>
      <c r="C809" s="17"/>
      <c r="D809" s="24"/>
      <c r="E809" s="24"/>
      <c r="F809" s="129"/>
      <c r="G809" s="20"/>
      <c r="H809" s="20">
        <v>1</v>
      </c>
      <c r="I809" s="126">
        <f t="shared" si="57"/>
        <v>0</v>
      </c>
      <c r="J809" s="38">
        <f t="shared" si="58"/>
        <v>0</v>
      </c>
      <c r="K809" s="80"/>
      <c r="L809" s="82"/>
    </row>
    <row r="810" spans="2:12" s="1" customFormat="1" ht="12.95" customHeight="1" x14ac:dyDescent="0.15">
      <c r="B810" s="16">
        <v>17</v>
      </c>
      <c r="C810" s="17"/>
      <c r="D810" s="24"/>
      <c r="E810" s="24"/>
      <c r="F810" s="129"/>
      <c r="G810" s="20"/>
      <c r="H810" s="20">
        <v>1</v>
      </c>
      <c r="I810" s="126">
        <f t="shared" si="57"/>
        <v>0</v>
      </c>
      <c r="J810" s="38">
        <f t="shared" si="58"/>
        <v>0</v>
      </c>
      <c r="K810" s="80"/>
      <c r="L810" s="82"/>
    </row>
    <row r="811" spans="2:12" s="1" customFormat="1" ht="12.95" customHeight="1" x14ac:dyDescent="0.15">
      <c r="B811" s="16">
        <v>18</v>
      </c>
      <c r="C811" s="17"/>
      <c r="D811" s="24"/>
      <c r="E811" s="24"/>
      <c r="F811" s="129"/>
      <c r="G811" s="20"/>
      <c r="H811" s="20">
        <v>1</v>
      </c>
      <c r="I811" s="126">
        <f t="shared" si="57"/>
        <v>0</v>
      </c>
      <c r="J811" s="38">
        <f t="shared" si="58"/>
        <v>0</v>
      </c>
      <c r="K811" s="80"/>
      <c r="L811" s="82"/>
    </row>
    <row r="812" spans="2:12" s="1" customFormat="1" ht="12.95" customHeight="1" x14ac:dyDescent="0.15">
      <c r="B812" s="16">
        <v>19</v>
      </c>
      <c r="C812" s="17"/>
      <c r="D812" s="24"/>
      <c r="E812" s="24"/>
      <c r="F812" s="129"/>
      <c r="G812" s="20"/>
      <c r="H812" s="20">
        <v>1</v>
      </c>
      <c r="I812" s="126">
        <f t="shared" si="57"/>
        <v>0</v>
      </c>
      <c r="J812" s="38">
        <f t="shared" si="58"/>
        <v>0</v>
      </c>
      <c r="K812" s="80"/>
      <c r="L812" s="82"/>
    </row>
    <row r="813" spans="2:12" s="1" customFormat="1" ht="12.95" customHeight="1" x14ac:dyDescent="0.15">
      <c r="B813" s="16">
        <v>20</v>
      </c>
      <c r="C813" s="17"/>
      <c r="D813" s="24"/>
      <c r="E813" s="24"/>
      <c r="F813" s="129"/>
      <c r="G813" s="20"/>
      <c r="H813" s="20">
        <v>1</v>
      </c>
      <c r="I813" s="126">
        <f t="shared" si="57"/>
        <v>0</v>
      </c>
      <c r="J813" s="38">
        <f t="shared" si="58"/>
        <v>0</v>
      </c>
      <c r="K813" s="80"/>
      <c r="L813" s="82"/>
    </row>
    <row r="814" spans="2:12" s="1" customFormat="1" ht="12.95" customHeight="1" x14ac:dyDescent="0.15">
      <c r="B814" s="16"/>
      <c r="C814" s="17"/>
      <c r="D814" s="24"/>
      <c r="E814" s="24"/>
      <c r="F814" s="129"/>
      <c r="G814" s="20"/>
      <c r="H814" s="20"/>
      <c r="I814" s="126"/>
      <c r="J814" s="38"/>
      <c r="K814" s="80"/>
      <c r="L814" s="82"/>
    </row>
    <row r="815" spans="2:12" s="1" customFormat="1" ht="12.95" customHeight="1" x14ac:dyDescent="0.15">
      <c r="B815" s="16"/>
      <c r="C815" s="17"/>
      <c r="D815" s="24"/>
      <c r="E815" s="24"/>
      <c r="F815" s="129"/>
      <c r="G815" s="20"/>
      <c r="H815" s="20"/>
      <c r="I815" s="126"/>
      <c r="J815" s="38"/>
      <c r="K815" s="80"/>
      <c r="L815" s="82"/>
    </row>
    <row r="816" spans="2:12" s="1" customFormat="1" ht="12.95" customHeight="1" x14ac:dyDescent="0.15">
      <c r="B816" s="16"/>
      <c r="C816" s="22" t="s">
        <v>132</v>
      </c>
      <c r="D816" s="24"/>
      <c r="E816" s="24"/>
      <c r="F816" s="129"/>
      <c r="G816" s="20"/>
      <c r="H816" s="20"/>
      <c r="I816" s="126"/>
      <c r="J816" s="38"/>
      <c r="K816" s="80"/>
      <c r="L816" s="82"/>
    </row>
    <row r="817" spans="2:20" s="1" customFormat="1" ht="12.95" customHeight="1" x14ac:dyDescent="0.15">
      <c r="B817" s="16">
        <v>1</v>
      </c>
      <c r="C817" s="17"/>
      <c r="D817" s="24"/>
      <c r="E817" s="24"/>
      <c r="F817" s="129"/>
      <c r="G817" s="20"/>
      <c r="H817" s="20">
        <v>1</v>
      </c>
      <c r="I817" s="126">
        <f t="shared" ref="I817:I829" si="59">J817*$C$32</f>
        <v>0</v>
      </c>
      <c r="J817" s="38">
        <f t="shared" ref="J817:J829" si="60">(F817*G817*H817)/$C$32</f>
        <v>0</v>
      </c>
      <c r="K817" s="80"/>
      <c r="L817" s="82"/>
    </row>
    <row r="818" spans="2:20" s="1" customFormat="1" ht="12.95" customHeight="1" x14ac:dyDescent="0.15">
      <c r="B818" s="16">
        <v>2</v>
      </c>
      <c r="C818" s="17"/>
      <c r="D818" s="24"/>
      <c r="E818" s="24"/>
      <c r="F818" s="129"/>
      <c r="G818" s="20"/>
      <c r="H818" s="20">
        <v>1</v>
      </c>
      <c r="I818" s="126">
        <f t="shared" si="59"/>
        <v>0</v>
      </c>
      <c r="J818" s="38">
        <f t="shared" si="60"/>
        <v>0</v>
      </c>
      <c r="K818" s="80"/>
      <c r="L818" s="82"/>
    </row>
    <row r="819" spans="2:20" s="1" customFormat="1" ht="12.95" customHeight="1" x14ac:dyDescent="0.15">
      <c r="B819" s="16">
        <v>3</v>
      </c>
      <c r="C819" s="17"/>
      <c r="D819" s="24"/>
      <c r="E819" s="24"/>
      <c r="F819" s="129"/>
      <c r="G819" s="20"/>
      <c r="H819" s="20">
        <v>1</v>
      </c>
      <c r="I819" s="126">
        <f t="shared" si="59"/>
        <v>0</v>
      </c>
      <c r="J819" s="38">
        <f t="shared" si="60"/>
        <v>0</v>
      </c>
      <c r="K819" s="80"/>
      <c r="L819" s="82"/>
    </row>
    <row r="820" spans="2:20" s="1" customFormat="1" ht="12.95" customHeight="1" x14ac:dyDescent="0.15">
      <c r="B820" s="16">
        <v>4</v>
      </c>
      <c r="C820" s="17"/>
      <c r="D820" s="24"/>
      <c r="E820" s="24"/>
      <c r="F820" s="129"/>
      <c r="G820" s="20"/>
      <c r="H820" s="20">
        <v>1</v>
      </c>
      <c r="I820" s="126">
        <f t="shared" si="59"/>
        <v>0</v>
      </c>
      <c r="J820" s="38">
        <f t="shared" si="60"/>
        <v>0</v>
      </c>
      <c r="K820" s="80"/>
      <c r="L820" s="82"/>
    </row>
    <row r="821" spans="2:20" s="1" customFormat="1" ht="12.95" customHeight="1" x14ac:dyDescent="0.15">
      <c r="B821" s="16">
        <v>5</v>
      </c>
      <c r="C821" s="17"/>
      <c r="D821" s="24"/>
      <c r="E821" s="24"/>
      <c r="F821" s="129"/>
      <c r="G821" s="20"/>
      <c r="H821" s="20">
        <v>1</v>
      </c>
      <c r="I821" s="126">
        <f t="shared" si="59"/>
        <v>0</v>
      </c>
      <c r="J821" s="38">
        <f t="shared" si="60"/>
        <v>0</v>
      </c>
      <c r="K821" s="80"/>
      <c r="L821" s="82"/>
    </row>
    <row r="822" spans="2:20" s="1" customFormat="1" ht="12.95" customHeight="1" x14ac:dyDescent="0.15">
      <c r="B822" s="16">
        <v>6</v>
      </c>
      <c r="C822" s="17"/>
      <c r="D822" s="24"/>
      <c r="E822" s="24"/>
      <c r="F822" s="129"/>
      <c r="G822" s="20"/>
      <c r="H822" s="20">
        <v>1</v>
      </c>
      <c r="I822" s="126">
        <f t="shared" si="59"/>
        <v>0</v>
      </c>
      <c r="J822" s="38">
        <f t="shared" si="60"/>
        <v>0</v>
      </c>
      <c r="K822" s="80"/>
      <c r="L822" s="82"/>
    </row>
    <row r="823" spans="2:20" s="1" customFormat="1" ht="12.95" customHeight="1" x14ac:dyDescent="0.15">
      <c r="B823" s="16">
        <v>7</v>
      </c>
      <c r="C823" s="17"/>
      <c r="D823" s="24"/>
      <c r="E823" s="24"/>
      <c r="F823" s="129"/>
      <c r="G823" s="20"/>
      <c r="H823" s="20">
        <v>1</v>
      </c>
      <c r="I823" s="126">
        <f t="shared" si="59"/>
        <v>0</v>
      </c>
      <c r="J823" s="38">
        <f t="shared" si="60"/>
        <v>0</v>
      </c>
      <c r="K823" s="80"/>
      <c r="L823" s="82"/>
    </row>
    <row r="824" spans="2:20" s="1" customFormat="1" ht="12.95" customHeight="1" x14ac:dyDescent="0.15">
      <c r="B824" s="16">
        <v>8</v>
      </c>
      <c r="C824" s="17"/>
      <c r="D824" s="24"/>
      <c r="E824" s="24"/>
      <c r="F824" s="129"/>
      <c r="G824" s="20"/>
      <c r="H824" s="20">
        <v>1</v>
      </c>
      <c r="I824" s="126">
        <f t="shared" si="59"/>
        <v>0</v>
      </c>
      <c r="J824" s="38">
        <f t="shared" si="60"/>
        <v>0</v>
      </c>
      <c r="K824" s="80"/>
      <c r="L824" s="82"/>
    </row>
    <row r="825" spans="2:20" s="1" customFormat="1" ht="12.95" customHeight="1" x14ac:dyDescent="0.15">
      <c r="B825" s="16">
        <v>9</v>
      </c>
      <c r="C825" s="17"/>
      <c r="D825" s="24"/>
      <c r="E825" s="24"/>
      <c r="F825" s="129"/>
      <c r="G825" s="20"/>
      <c r="H825" s="20">
        <v>1</v>
      </c>
      <c r="I825" s="126">
        <f t="shared" si="59"/>
        <v>0</v>
      </c>
      <c r="J825" s="38">
        <f t="shared" si="60"/>
        <v>0</v>
      </c>
      <c r="K825" s="80"/>
      <c r="L825" s="82"/>
    </row>
    <row r="826" spans="2:20" s="1" customFormat="1" ht="12.95" customHeight="1" x14ac:dyDescent="0.15">
      <c r="B826" s="16">
        <v>10</v>
      </c>
      <c r="C826" s="17"/>
      <c r="D826" s="24"/>
      <c r="E826" s="24"/>
      <c r="F826" s="129"/>
      <c r="G826" s="20"/>
      <c r="H826" s="20">
        <v>1</v>
      </c>
      <c r="I826" s="126">
        <f t="shared" si="59"/>
        <v>0</v>
      </c>
      <c r="J826" s="38">
        <f t="shared" si="60"/>
        <v>0</v>
      </c>
      <c r="K826" s="80"/>
      <c r="L826" s="82"/>
    </row>
    <row r="827" spans="2:20" s="1" customFormat="1" ht="12.95" customHeight="1" x14ac:dyDescent="0.15">
      <c r="B827" s="16">
        <v>11</v>
      </c>
      <c r="C827" s="44"/>
      <c r="D827" s="18"/>
      <c r="E827" s="18"/>
      <c r="F827" s="129"/>
      <c r="G827" s="20"/>
      <c r="H827" s="20">
        <v>1</v>
      </c>
      <c r="I827" s="126">
        <f t="shared" si="59"/>
        <v>0</v>
      </c>
      <c r="J827" s="21">
        <f t="shared" si="60"/>
        <v>0</v>
      </c>
      <c r="K827" s="80"/>
      <c r="L827" s="82"/>
      <c r="M827" s="10"/>
      <c r="N827" s="10"/>
      <c r="O827" s="10"/>
      <c r="P827" s="10"/>
      <c r="Q827" s="43"/>
      <c r="R827" s="10"/>
      <c r="T827" s="10" t="s">
        <v>169</v>
      </c>
    </row>
    <row r="828" spans="2:20" s="1" customFormat="1" ht="12.95" customHeight="1" x14ac:dyDescent="0.15">
      <c r="B828" s="16">
        <v>12</v>
      </c>
      <c r="C828" s="45"/>
      <c r="D828" s="18"/>
      <c r="E828" s="18"/>
      <c r="F828" s="130"/>
      <c r="G828" s="20"/>
      <c r="H828" s="20">
        <v>1</v>
      </c>
      <c r="I828" s="126">
        <f t="shared" si="59"/>
        <v>0</v>
      </c>
      <c r="J828" s="21">
        <f t="shared" si="60"/>
        <v>0</v>
      </c>
      <c r="K828" s="80"/>
      <c r="L828" s="82"/>
      <c r="M828" s="10"/>
      <c r="N828" s="10"/>
      <c r="O828" s="10"/>
      <c r="P828" s="10"/>
      <c r="Q828" s="43"/>
      <c r="R828" s="10"/>
      <c r="T828" s="10" t="s">
        <v>170</v>
      </c>
    </row>
    <row r="829" spans="2:20" s="1" customFormat="1" ht="12.95" customHeight="1" x14ac:dyDescent="0.15">
      <c r="B829" s="16">
        <v>13</v>
      </c>
      <c r="C829" s="44"/>
      <c r="D829" s="18"/>
      <c r="E829" s="18"/>
      <c r="F829" s="129"/>
      <c r="G829" s="20"/>
      <c r="H829" s="20">
        <v>1</v>
      </c>
      <c r="I829" s="126">
        <f t="shared" si="59"/>
        <v>0</v>
      </c>
      <c r="J829" s="21">
        <f t="shared" si="60"/>
        <v>0</v>
      </c>
      <c r="K829" s="80"/>
      <c r="L829" s="82"/>
      <c r="M829" s="10"/>
      <c r="N829" s="10"/>
      <c r="O829" s="10"/>
      <c r="P829" s="10"/>
      <c r="Q829" s="43"/>
      <c r="R829" s="10"/>
      <c r="T829" s="10" t="s">
        <v>171</v>
      </c>
    </row>
    <row r="830" spans="2:20" s="1" customFormat="1" ht="12.95" customHeight="1" x14ac:dyDescent="0.15">
      <c r="B830" s="16">
        <v>14</v>
      </c>
      <c r="C830" s="44"/>
      <c r="D830" s="18"/>
      <c r="E830" s="18"/>
      <c r="F830" s="129"/>
      <c r="G830" s="20"/>
      <c r="H830" s="20">
        <v>1</v>
      </c>
      <c r="I830" s="126">
        <f t="shared" ref="I830:I836" si="61">J830*$C$32</f>
        <v>0</v>
      </c>
      <c r="J830" s="21">
        <f t="shared" ref="J830:J836" si="62">(F830*G830*H830)/$C$32</f>
        <v>0</v>
      </c>
      <c r="K830" s="80"/>
      <c r="L830" s="82"/>
      <c r="M830" s="10"/>
      <c r="N830" s="10"/>
      <c r="O830" s="10"/>
      <c r="P830" s="10"/>
      <c r="Q830" s="43"/>
      <c r="R830" s="10"/>
      <c r="T830" s="10"/>
    </row>
    <row r="831" spans="2:20" s="1" customFormat="1" ht="12.95" customHeight="1" x14ac:dyDescent="0.15">
      <c r="B831" s="16">
        <v>15</v>
      </c>
      <c r="C831" s="44"/>
      <c r="D831" s="18"/>
      <c r="E831" s="18"/>
      <c r="F831" s="129"/>
      <c r="G831" s="20"/>
      <c r="H831" s="20">
        <v>1</v>
      </c>
      <c r="I831" s="126">
        <f t="shared" si="61"/>
        <v>0</v>
      </c>
      <c r="J831" s="21">
        <f t="shared" si="62"/>
        <v>0</v>
      </c>
      <c r="K831" s="80"/>
      <c r="L831" s="82"/>
      <c r="M831" s="10"/>
      <c r="N831" s="10"/>
      <c r="O831" s="10"/>
      <c r="P831" s="10"/>
      <c r="Q831" s="43"/>
      <c r="R831" s="10"/>
      <c r="T831" s="10"/>
    </row>
    <row r="832" spans="2:20" s="1" customFormat="1" ht="12.95" customHeight="1" x14ac:dyDescent="0.15">
      <c r="B832" s="16">
        <v>16</v>
      </c>
      <c r="C832" s="44"/>
      <c r="D832" s="18"/>
      <c r="E832" s="18"/>
      <c r="F832" s="129"/>
      <c r="G832" s="20"/>
      <c r="H832" s="20">
        <v>1</v>
      </c>
      <c r="I832" s="126">
        <f t="shared" si="61"/>
        <v>0</v>
      </c>
      <c r="J832" s="21">
        <f t="shared" si="62"/>
        <v>0</v>
      </c>
      <c r="K832" s="80"/>
      <c r="L832" s="82"/>
      <c r="M832" s="10"/>
      <c r="N832" s="10"/>
      <c r="O832" s="10"/>
      <c r="P832" s="10"/>
      <c r="Q832" s="43"/>
      <c r="R832" s="10"/>
      <c r="T832" s="10"/>
    </row>
    <row r="833" spans="2:20" s="1" customFormat="1" ht="12.95" customHeight="1" x14ac:dyDescent="0.15">
      <c r="B833" s="16">
        <v>17</v>
      </c>
      <c r="C833" s="44"/>
      <c r="D833" s="18"/>
      <c r="E833" s="18"/>
      <c r="F833" s="129"/>
      <c r="G833" s="20"/>
      <c r="H833" s="20">
        <v>1</v>
      </c>
      <c r="I833" s="126">
        <f t="shared" si="61"/>
        <v>0</v>
      </c>
      <c r="J833" s="21">
        <f t="shared" si="62"/>
        <v>0</v>
      </c>
      <c r="K833" s="80"/>
      <c r="L833" s="82"/>
      <c r="M833" s="10"/>
      <c r="N833" s="10"/>
      <c r="O833" s="10"/>
      <c r="P833" s="10"/>
      <c r="Q833" s="43"/>
      <c r="R833" s="10"/>
      <c r="T833" s="10"/>
    </row>
    <row r="834" spans="2:20" s="1" customFormat="1" ht="12.95" customHeight="1" x14ac:dyDescent="0.15">
      <c r="B834" s="16">
        <v>18</v>
      </c>
      <c r="C834" s="44"/>
      <c r="D834" s="18"/>
      <c r="E834" s="18"/>
      <c r="F834" s="129"/>
      <c r="G834" s="20"/>
      <c r="H834" s="20">
        <v>1</v>
      </c>
      <c r="I834" s="126">
        <f t="shared" si="61"/>
        <v>0</v>
      </c>
      <c r="J834" s="78">
        <f t="shared" si="62"/>
        <v>0</v>
      </c>
      <c r="K834" s="111"/>
      <c r="L834" s="119"/>
      <c r="M834" s="10"/>
      <c r="N834" s="10"/>
      <c r="O834" s="10"/>
      <c r="P834" s="10"/>
      <c r="Q834" s="43"/>
      <c r="R834" s="10"/>
      <c r="T834" s="10"/>
    </row>
    <row r="835" spans="2:20" s="1" customFormat="1" ht="12.95" customHeight="1" x14ac:dyDescent="0.15">
      <c r="B835" s="16">
        <v>19</v>
      </c>
      <c r="C835" s="44"/>
      <c r="D835" s="18"/>
      <c r="E835" s="18"/>
      <c r="F835" s="129"/>
      <c r="G835" s="20"/>
      <c r="H835" s="20">
        <v>1</v>
      </c>
      <c r="I835" s="254">
        <f t="shared" si="61"/>
        <v>0</v>
      </c>
      <c r="J835" s="94">
        <f t="shared" si="62"/>
        <v>0</v>
      </c>
      <c r="K835" s="82"/>
      <c r="L835" s="82"/>
      <c r="M835" s="10"/>
      <c r="N835" s="10"/>
      <c r="O835" s="10"/>
      <c r="P835" s="10"/>
      <c r="Q835" s="43"/>
      <c r="R835" s="10"/>
      <c r="T835" s="10"/>
    </row>
    <row r="836" spans="2:20" s="1" customFormat="1" ht="12.95" customHeight="1" x14ac:dyDescent="0.15">
      <c r="B836" s="16">
        <v>20</v>
      </c>
      <c r="C836" s="44"/>
      <c r="D836" s="18"/>
      <c r="E836" s="18"/>
      <c r="F836" s="129"/>
      <c r="G836" s="20"/>
      <c r="H836" s="20">
        <v>1</v>
      </c>
      <c r="I836" s="254">
        <f t="shared" si="61"/>
        <v>0</v>
      </c>
      <c r="J836" s="94">
        <f t="shared" si="62"/>
        <v>0</v>
      </c>
      <c r="K836" s="82"/>
      <c r="L836" s="82"/>
      <c r="M836" s="10"/>
      <c r="N836" s="10"/>
      <c r="O836" s="10"/>
      <c r="P836" s="10"/>
      <c r="Q836" s="43"/>
      <c r="R836" s="10"/>
      <c r="T836" s="10"/>
    </row>
    <row r="837" spans="2:20" s="1" customFormat="1" ht="12.95" customHeight="1" x14ac:dyDescent="0.15">
      <c r="B837" s="16"/>
      <c r="C837" s="11"/>
      <c r="D837" s="18"/>
      <c r="E837" s="18"/>
      <c r="F837" s="129"/>
      <c r="G837" s="20"/>
      <c r="H837" s="20"/>
      <c r="I837" s="255"/>
      <c r="J837" s="94"/>
      <c r="K837" s="82"/>
      <c r="L837" s="82"/>
      <c r="M837" s="10"/>
      <c r="N837" s="10"/>
      <c r="O837" s="10"/>
      <c r="P837" s="10"/>
      <c r="Q837" s="43"/>
      <c r="R837" s="10"/>
      <c r="T837" s="10"/>
    </row>
    <row r="838" spans="2:20" s="1" customFormat="1" ht="12.75" x14ac:dyDescent="0.15">
      <c r="B838" s="83"/>
      <c r="C838" s="98"/>
      <c r="D838" s="99"/>
      <c r="E838" s="98"/>
      <c r="F838" s="127">
        <f>SUM(F779:F837)</f>
        <v>0</v>
      </c>
      <c r="G838" s="100"/>
      <c r="H838" s="252"/>
      <c r="I838" s="256">
        <f>SUM(I780:I837)</f>
        <v>0</v>
      </c>
      <c r="J838" s="257">
        <f>SUM(J780:J837)</f>
        <v>0</v>
      </c>
    </row>
    <row r="839" spans="2:20" s="1" customFormat="1" ht="12.75" x14ac:dyDescent="0.15">
      <c r="B839" s="82"/>
      <c r="C839" s="102"/>
      <c r="D839" s="103"/>
      <c r="E839" s="102" t="s">
        <v>147</v>
      </c>
      <c r="F839" s="128">
        <f>100/115*F838</f>
        <v>0</v>
      </c>
      <c r="G839" s="104"/>
      <c r="H839" s="253" t="s">
        <v>147</v>
      </c>
      <c r="I839" s="128">
        <f>100/115*I838</f>
        <v>0</v>
      </c>
      <c r="J839" s="106"/>
    </row>
    <row r="840" spans="2:20" s="1" customFormat="1" ht="12.75" x14ac:dyDescent="0.15"/>
    <row r="841" spans="2:20" s="1" customFormat="1" ht="12.75" x14ac:dyDescent="0.15"/>
    <row r="842" spans="2:20" s="1" customFormat="1" ht="12.75" x14ac:dyDescent="0.15"/>
    <row r="843" spans="2:20" s="1" customFormat="1" ht="12.75" x14ac:dyDescent="0.15"/>
    <row r="844" spans="2:20" s="1" customFormat="1" ht="12.75" x14ac:dyDescent="0.15"/>
    <row r="845" spans="2:20" s="1" customFormat="1" ht="12.75" x14ac:dyDescent="0.15"/>
    <row r="846" spans="2:20" s="1" customFormat="1" ht="12.75" x14ac:dyDescent="0.15"/>
    <row r="847" spans="2:20" s="1" customFormat="1" ht="12.75" x14ac:dyDescent="0.15"/>
    <row r="848" spans="2:20" s="1" customFormat="1" ht="12.75" x14ac:dyDescent="0.15"/>
    <row r="849" s="1" customFormat="1" ht="12.75" x14ac:dyDescent="0.15"/>
    <row r="850" s="1" customFormat="1" ht="12.75" x14ac:dyDescent="0.15"/>
    <row r="851" s="1" customFormat="1" ht="12.75" x14ac:dyDescent="0.15"/>
    <row r="852" s="1" customFormat="1" ht="12.75" x14ac:dyDescent="0.15"/>
    <row r="853" s="1" customFormat="1" ht="12.75" x14ac:dyDescent="0.15"/>
    <row r="854" s="1" customFormat="1" ht="12.75" x14ac:dyDescent="0.15"/>
    <row r="855" s="1" customFormat="1" ht="12.75" x14ac:dyDescent="0.15"/>
    <row r="856" s="1" customFormat="1" ht="12.75" x14ac:dyDescent="0.15"/>
    <row r="857" s="1" customFormat="1" ht="12.75" x14ac:dyDescent="0.15"/>
    <row r="858" s="1" customFormat="1" ht="12.75" x14ac:dyDescent="0.15"/>
    <row r="859" s="1" customFormat="1" ht="12.75" x14ac:dyDescent="0.15"/>
    <row r="860" s="1" customFormat="1" ht="12.75" x14ac:dyDescent="0.15"/>
    <row r="861" s="1" customFormat="1" ht="12.75" x14ac:dyDescent="0.15"/>
    <row r="862" s="1" customFormat="1" ht="12.75" x14ac:dyDescent="0.15"/>
    <row r="863" s="1" customFormat="1" ht="12.75" x14ac:dyDescent="0.15"/>
    <row r="864" s="1" customFormat="1" ht="12.75" x14ac:dyDescent="0.15"/>
    <row r="865" s="1" customFormat="1" ht="12.75" x14ac:dyDescent="0.15"/>
    <row r="866" s="1" customFormat="1" ht="12.75" x14ac:dyDescent="0.15"/>
    <row r="867" s="1" customFormat="1" ht="12.75" x14ac:dyDescent="0.15"/>
    <row r="868" s="1" customFormat="1" ht="12.75" x14ac:dyDescent="0.15"/>
    <row r="869" s="1" customFormat="1" ht="12.75" x14ac:dyDescent="0.15"/>
    <row r="870" s="1" customFormat="1" ht="12.75" x14ac:dyDescent="0.15"/>
    <row r="871" s="1" customFormat="1" ht="12.75" x14ac:dyDescent="0.15"/>
    <row r="872" s="1" customFormat="1" ht="12.75" x14ac:dyDescent="0.15"/>
    <row r="873" s="1" customFormat="1" ht="12.75" x14ac:dyDescent="0.15"/>
    <row r="874" s="1" customFormat="1" ht="12.75" x14ac:dyDescent="0.15"/>
    <row r="875" s="1" customFormat="1" ht="12.75" x14ac:dyDescent="0.15"/>
    <row r="876" s="1" customFormat="1" ht="12.75" x14ac:dyDescent="0.15"/>
    <row r="877" s="1" customFormat="1" ht="12.75" x14ac:dyDescent="0.15"/>
    <row r="878" s="1" customFormat="1" ht="12.75" x14ac:dyDescent="0.15"/>
    <row r="879" s="1" customFormat="1" ht="12.75" x14ac:dyDescent="0.15"/>
    <row r="880" s="1" customFormat="1" ht="12.75" x14ac:dyDescent="0.15"/>
    <row r="881" s="1" customFormat="1" ht="12.75" x14ac:dyDescent="0.15"/>
    <row r="882" s="1" customFormat="1" ht="12.75" x14ac:dyDescent="0.15"/>
    <row r="883" s="1" customFormat="1" ht="12.75" x14ac:dyDescent="0.15"/>
    <row r="884" s="1" customFormat="1" ht="12.75" x14ac:dyDescent="0.15"/>
    <row r="885" s="1" customFormat="1" ht="12.75" x14ac:dyDescent="0.15"/>
    <row r="886" s="1" customFormat="1" ht="12.75" x14ac:dyDescent="0.15"/>
    <row r="887" s="1" customFormat="1" ht="12.75" x14ac:dyDescent="0.15"/>
    <row r="888" s="1" customFormat="1" ht="12.75" x14ac:dyDescent="0.15"/>
    <row r="889" s="1" customFormat="1" ht="12.75" x14ac:dyDescent="0.15"/>
    <row r="890" s="1" customFormat="1" ht="12.75" x14ac:dyDescent="0.15"/>
    <row r="891" s="1" customFormat="1" ht="12.75" x14ac:dyDescent="0.15"/>
    <row r="892" s="1" customFormat="1" ht="12.75" x14ac:dyDescent="0.15"/>
    <row r="893" s="1" customFormat="1" ht="12.75" x14ac:dyDescent="0.15"/>
    <row r="894" s="1" customFormat="1" ht="12.75" x14ac:dyDescent="0.15"/>
    <row r="895" s="1" customFormat="1" ht="12.75" x14ac:dyDescent="0.15"/>
    <row r="896" s="1" customFormat="1" ht="12.75" x14ac:dyDescent="0.15"/>
    <row r="897" spans="12:12" s="1" customFormat="1" ht="12.75" x14ac:dyDescent="0.15"/>
    <row r="898" spans="12:12" s="1" customFormat="1" ht="12.75" x14ac:dyDescent="0.15"/>
    <row r="899" spans="12:12" s="1" customFormat="1" ht="12.75" x14ac:dyDescent="0.15"/>
    <row r="900" spans="12:12" s="1" customFormat="1" ht="12.75" x14ac:dyDescent="0.15"/>
    <row r="901" spans="12:12" s="1" customFormat="1" ht="12.75" x14ac:dyDescent="0.15"/>
    <row r="902" spans="12:12" x14ac:dyDescent="0.2">
      <c r="L902"/>
    </row>
    <row r="903" spans="12:12" x14ac:dyDescent="0.2">
      <c r="L903"/>
    </row>
    <row r="904" spans="12:12" x14ac:dyDescent="0.2">
      <c r="L904"/>
    </row>
    <row r="905" spans="12:12" x14ac:dyDescent="0.2">
      <c r="L905"/>
    </row>
    <row r="906" spans="12:12" x14ac:dyDescent="0.2">
      <c r="L906"/>
    </row>
    <row r="907" spans="12:12" x14ac:dyDescent="0.2">
      <c r="L907"/>
    </row>
    <row r="908" spans="12:12" x14ac:dyDescent="0.2">
      <c r="L908"/>
    </row>
    <row r="909" spans="12:12" x14ac:dyDescent="0.2">
      <c r="L909"/>
    </row>
    <row r="910" spans="12:12" x14ac:dyDescent="0.2">
      <c r="L910"/>
    </row>
    <row r="911" spans="12:12" x14ac:dyDescent="0.2">
      <c r="L911"/>
    </row>
    <row r="912" spans="12:12" x14ac:dyDescent="0.2">
      <c r="L912"/>
    </row>
    <row r="913" spans="12:12" x14ac:dyDescent="0.2">
      <c r="L913"/>
    </row>
    <row r="914" spans="12:12" x14ac:dyDescent="0.2">
      <c r="L914"/>
    </row>
    <row r="915" spans="12:12" x14ac:dyDescent="0.2">
      <c r="L915"/>
    </row>
    <row r="916" spans="12:12" x14ac:dyDescent="0.2">
      <c r="L916"/>
    </row>
    <row r="917" spans="12:12" x14ac:dyDescent="0.2">
      <c r="L917"/>
    </row>
    <row r="918" spans="12:12" x14ac:dyDescent="0.2">
      <c r="L918"/>
    </row>
    <row r="919" spans="12:12" x14ac:dyDescent="0.2">
      <c r="L919"/>
    </row>
    <row r="920" spans="12:12" x14ac:dyDescent="0.2">
      <c r="L920"/>
    </row>
    <row r="921" spans="12:12" x14ac:dyDescent="0.2">
      <c r="L921"/>
    </row>
    <row r="922" spans="12:12" x14ac:dyDescent="0.2">
      <c r="L922"/>
    </row>
    <row r="923" spans="12:12" x14ac:dyDescent="0.2">
      <c r="L923"/>
    </row>
    <row r="924" spans="12:12" x14ac:dyDescent="0.2">
      <c r="L924"/>
    </row>
    <row r="925" spans="12:12" x14ac:dyDescent="0.2">
      <c r="L925"/>
    </row>
    <row r="926" spans="12:12" x14ac:dyDescent="0.2">
      <c r="L926"/>
    </row>
    <row r="927" spans="12:12" x14ac:dyDescent="0.2">
      <c r="L927"/>
    </row>
    <row r="928" spans="12:12" x14ac:dyDescent="0.2">
      <c r="L928"/>
    </row>
    <row r="929" spans="12:12" x14ac:dyDescent="0.2">
      <c r="L929"/>
    </row>
    <row r="930" spans="12:12" x14ac:dyDescent="0.2">
      <c r="L930"/>
    </row>
    <row r="931" spans="12:12" x14ac:dyDescent="0.2">
      <c r="L931"/>
    </row>
    <row r="932" spans="12:12" x14ac:dyDescent="0.2">
      <c r="L932"/>
    </row>
    <row r="933" spans="12:12" x14ac:dyDescent="0.2">
      <c r="L933"/>
    </row>
    <row r="934" spans="12:12" x14ac:dyDescent="0.2">
      <c r="L934"/>
    </row>
    <row r="935" spans="12:12" x14ac:dyDescent="0.2">
      <c r="L935"/>
    </row>
    <row r="936" spans="12:12" x14ac:dyDescent="0.2">
      <c r="L936"/>
    </row>
    <row r="937" spans="12:12" x14ac:dyDescent="0.2">
      <c r="L937"/>
    </row>
    <row r="938" spans="12:12" x14ac:dyDescent="0.2">
      <c r="L938"/>
    </row>
    <row r="939" spans="12:12" x14ac:dyDescent="0.2">
      <c r="L939"/>
    </row>
    <row r="940" spans="12:12" x14ac:dyDescent="0.2">
      <c r="L940"/>
    </row>
    <row r="941" spans="12:12" x14ac:dyDescent="0.2">
      <c r="L941"/>
    </row>
    <row r="942" spans="12:12" x14ac:dyDescent="0.2">
      <c r="L942"/>
    </row>
    <row r="943" spans="12:12" x14ac:dyDescent="0.2">
      <c r="L943"/>
    </row>
    <row r="944" spans="12:12" x14ac:dyDescent="0.2">
      <c r="L944"/>
    </row>
    <row r="945" spans="12:12" x14ac:dyDescent="0.2">
      <c r="L945"/>
    </row>
    <row r="946" spans="12:12" x14ac:dyDescent="0.2">
      <c r="L946"/>
    </row>
    <row r="947" spans="12:12" x14ac:dyDescent="0.2">
      <c r="L947"/>
    </row>
    <row r="948" spans="12:12" x14ac:dyDescent="0.2">
      <c r="L948"/>
    </row>
    <row r="949" spans="12:12" x14ac:dyDescent="0.2">
      <c r="L949"/>
    </row>
    <row r="950" spans="12:12" x14ac:dyDescent="0.2">
      <c r="L950"/>
    </row>
    <row r="951" spans="12:12" x14ac:dyDescent="0.2">
      <c r="L951"/>
    </row>
    <row r="952" spans="12:12" x14ac:dyDescent="0.2">
      <c r="L952"/>
    </row>
    <row r="953" spans="12:12" x14ac:dyDescent="0.2">
      <c r="L953"/>
    </row>
    <row r="954" spans="12:12" x14ac:dyDescent="0.2">
      <c r="L954"/>
    </row>
    <row r="955" spans="12:12" x14ac:dyDescent="0.2">
      <c r="L955"/>
    </row>
    <row r="956" spans="12:12" x14ac:dyDescent="0.2">
      <c r="L956"/>
    </row>
    <row r="957" spans="12:12" x14ac:dyDescent="0.2">
      <c r="L957"/>
    </row>
    <row r="958" spans="12:12" x14ac:dyDescent="0.2">
      <c r="L958"/>
    </row>
    <row r="959" spans="12:12" x14ac:dyDescent="0.2">
      <c r="L959"/>
    </row>
    <row r="960" spans="12:12" x14ac:dyDescent="0.2">
      <c r="L960"/>
    </row>
    <row r="961" spans="12:12" x14ac:dyDescent="0.2">
      <c r="L961"/>
    </row>
    <row r="962" spans="12:12" x14ac:dyDescent="0.2">
      <c r="L962"/>
    </row>
    <row r="963" spans="12:12" x14ac:dyDescent="0.2">
      <c r="L963"/>
    </row>
    <row r="964" spans="12:12" x14ac:dyDescent="0.2">
      <c r="L964"/>
    </row>
    <row r="965" spans="12:12" x14ac:dyDescent="0.2">
      <c r="L965"/>
    </row>
    <row r="966" spans="12:12" x14ac:dyDescent="0.2">
      <c r="L966"/>
    </row>
    <row r="967" spans="12:12" x14ac:dyDescent="0.2">
      <c r="L967"/>
    </row>
    <row r="968" spans="12:12" x14ac:dyDescent="0.2">
      <c r="L968"/>
    </row>
    <row r="969" spans="12:12" x14ac:dyDescent="0.2">
      <c r="L969"/>
    </row>
    <row r="970" spans="12:12" x14ac:dyDescent="0.2">
      <c r="L970"/>
    </row>
    <row r="971" spans="12:12" x14ac:dyDescent="0.2">
      <c r="L971"/>
    </row>
    <row r="972" spans="12:12" x14ac:dyDescent="0.2">
      <c r="L972"/>
    </row>
    <row r="973" spans="12:12" x14ac:dyDescent="0.2">
      <c r="L973"/>
    </row>
    <row r="974" spans="12:12" x14ac:dyDescent="0.2">
      <c r="L974"/>
    </row>
    <row r="975" spans="12:12" x14ac:dyDescent="0.2">
      <c r="L975"/>
    </row>
    <row r="976" spans="12:12" x14ac:dyDescent="0.2">
      <c r="L976"/>
    </row>
    <row r="977" spans="12:12" x14ac:dyDescent="0.2">
      <c r="L977"/>
    </row>
    <row r="978" spans="12:12" x14ac:dyDescent="0.2">
      <c r="L978"/>
    </row>
    <row r="979" spans="12:12" x14ac:dyDescent="0.2">
      <c r="L979"/>
    </row>
    <row r="980" spans="12:12" x14ac:dyDescent="0.2">
      <c r="L980"/>
    </row>
    <row r="981" spans="12:12" x14ac:dyDescent="0.2">
      <c r="L981"/>
    </row>
    <row r="982" spans="12:12" x14ac:dyDescent="0.2">
      <c r="L982"/>
    </row>
    <row r="983" spans="12:12" x14ac:dyDescent="0.2">
      <c r="L983"/>
    </row>
    <row r="984" spans="12:12" x14ac:dyDescent="0.2">
      <c r="L984"/>
    </row>
    <row r="985" spans="12:12" x14ac:dyDescent="0.2">
      <c r="L985"/>
    </row>
    <row r="986" spans="12:12" x14ac:dyDescent="0.2">
      <c r="L986"/>
    </row>
    <row r="987" spans="12:12" x14ac:dyDescent="0.2">
      <c r="L987"/>
    </row>
    <row r="988" spans="12:12" x14ac:dyDescent="0.2">
      <c r="L988"/>
    </row>
    <row r="989" spans="12:12" x14ac:dyDescent="0.2">
      <c r="L989"/>
    </row>
    <row r="990" spans="12:12" x14ac:dyDescent="0.2">
      <c r="L990"/>
    </row>
    <row r="991" spans="12:12" x14ac:dyDescent="0.2">
      <c r="L991"/>
    </row>
    <row r="992" spans="12:12" x14ac:dyDescent="0.2">
      <c r="L992"/>
    </row>
    <row r="993" spans="12:12" x14ac:dyDescent="0.2">
      <c r="L993"/>
    </row>
    <row r="994" spans="12:12" x14ac:dyDescent="0.2">
      <c r="L994"/>
    </row>
    <row r="995" spans="12:12" x14ac:dyDescent="0.2">
      <c r="L995"/>
    </row>
    <row r="996" spans="12:12" x14ac:dyDescent="0.2">
      <c r="L996"/>
    </row>
    <row r="997" spans="12:12" x14ac:dyDescent="0.2">
      <c r="L997"/>
    </row>
    <row r="998" spans="12:12" x14ac:dyDescent="0.2">
      <c r="L998"/>
    </row>
    <row r="999" spans="12:12" x14ac:dyDescent="0.2">
      <c r="L999"/>
    </row>
    <row r="1000" spans="12:12" x14ac:dyDescent="0.2">
      <c r="L1000"/>
    </row>
    <row r="1001" spans="12:12" x14ac:dyDescent="0.2">
      <c r="L1001"/>
    </row>
    <row r="1002" spans="12:12" x14ac:dyDescent="0.2">
      <c r="L1002"/>
    </row>
    <row r="1003" spans="12:12" x14ac:dyDescent="0.2">
      <c r="L1003"/>
    </row>
    <row r="1004" spans="12:12" x14ac:dyDescent="0.2">
      <c r="L1004"/>
    </row>
    <row r="1005" spans="12:12" x14ac:dyDescent="0.2">
      <c r="L1005"/>
    </row>
    <row r="1006" spans="12:12" x14ac:dyDescent="0.2">
      <c r="L1006"/>
    </row>
    <row r="1007" spans="12:12" x14ac:dyDescent="0.2">
      <c r="L1007"/>
    </row>
    <row r="1008" spans="12:12" x14ac:dyDescent="0.2">
      <c r="L1008"/>
    </row>
    <row r="1009" spans="12:12" x14ac:dyDescent="0.2">
      <c r="L1009"/>
    </row>
    <row r="1010" spans="12:12" x14ac:dyDescent="0.2">
      <c r="L1010"/>
    </row>
    <row r="1011" spans="12:12" x14ac:dyDescent="0.2">
      <c r="L1011"/>
    </row>
    <row r="1012" spans="12:12" x14ac:dyDescent="0.2">
      <c r="L1012"/>
    </row>
    <row r="1013" spans="12:12" x14ac:dyDescent="0.2">
      <c r="L1013"/>
    </row>
    <row r="1014" spans="12:12" x14ac:dyDescent="0.2">
      <c r="L1014"/>
    </row>
    <row r="1015" spans="12:12" x14ac:dyDescent="0.2">
      <c r="L1015"/>
    </row>
    <row r="1016" spans="12:12" x14ac:dyDescent="0.2">
      <c r="L1016"/>
    </row>
    <row r="1017" spans="12:12" x14ac:dyDescent="0.2">
      <c r="L1017"/>
    </row>
    <row r="1018" spans="12:12" x14ac:dyDescent="0.2">
      <c r="L1018"/>
    </row>
    <row r="1019" spans="12:12" x14ac:dyDescent="0.2">
      <c r="L1019"/>
    </row>
    <row r="1020" spans="12:12" x14ac:dyDescent="0.2">
      <c r="L1020"/>
    </row>
    <row r="1021" spans="12:12" x14ac:dyDescent="0.2">
      <c r="L1021"/>
    </row>
    <row r="1022" spans="12:12" x14ac:dyDescent="0.2">
      <c r="L1022"/>
    </row>
    <row r="1023" spans="12:12" x14ac:dyDescent="0.2">
      <c r="L1023"/>
    </row>
    <row r="1024" spans="12:12" x14ac:dyDescent="0.2">
      <c r="L1024"/>
    </row>
    <row r="1025" spans="12:12" x14ac:dyDescent="0.2">
      <c r="L1025"/>
    </row>
    <row r="1026" spans="12:12" x14ac:dyDescent="0.2">
      <c r="L1026"/>
    </row>
    <row r="1027" spans="12:12" x14ac:dyDescent="0.2">
      <c r="L1027"/>
    </row>
    <row r="1028" spans="12:12" x14ac:dyDescent="0.2">
      <c r="L1028"/>
    </row>
    <row r="1029" spans="12:12" x14ac:dyDescent="0.2">
      <c r="L1029"/>
    </row>
    <row r="1030" spans="12:12" x14ac:dyDescent="0.2">
      <c r="L1030"/>
    </row>
    <row r="1031" spans="12:12" x14ac:dyDescent="0.2">
      <c r="L1031"/>
    </row>
    <row r="1032" spans="12:12" x14ac:dyDescent="0.2">
      <c r="L1032"/>
    </row>
    <row r="1033" spans="12:12" x14ac:dyDescent="0.2">
      <c r="L1033"/>
    </row>
    <row r="1034" spans="12:12" x14ac:dyDescent="0.2">
      <c r="L1034"/>
    </row>
    <row r="1035" spans="12:12" x14ac:dyDescent="0.2">
      <c r="L1035"/>
    </row>
    <row r="1036" spans="12:12" x14ac:dyDescent="0.2">
      <c r="L1036"/>
    </row>
    <row r="1037" spans="12:12" x14ac:dyDescent="0.2">
      <c r="L1037"/>
    </row>
    <row r="1038" spans="12:12" x14ac:dyDescent="0.2">
      <c r="L1038"/>
    </row>
    <row r="1039" spans="12:12" x14ac:dyDescent="0.2">
      <c r="L1039"/>
    </row>
    <row r="1040" spans="12:12" x14ac:dyDescent="0.2">
      <c r="L1040"/>
    </row>
    <row r="1041" spans="12:12" x14ac:dyDescent="0.2">
      <c r="L1041"/>
    </row>
    <row r="1042" spans="12:12" x14ac:dyDescent="0.2">
      <c r="L1042"/>
    </row>
    <row r="1043" spans="12:12" x14ac:dyDescent="0.2">
      <c r="L1043"/>
    </row>
    <row r="1044" spans="12:12" x14ac:dyDescent="0.2">
      <c r="L1044"/>
    </row>
    <row r="1045" spans="12:12" x14ac:dyDescent="0.2">
      <c r="L1045"/>
    </row>
    <row r="1046" spans="12:12" x14ac:dyDescent="0.2">
      <c r="L1046"/>
    </row>
    <row r="1047" spans="12:12" x14ac:dyDescent="0.2">
      <c r="L1047"/>
    </row>
    <row r="1048" spans="12:12" x14ac:dyDescent="0.2">
      <c r="L1048"/>
    </row>
    <row r="1049" spans="12:12" x14ac:dyDescent="0.2">
      <c r="L1049"/>
    </row>
    <row r="1050" spans="12:12" x14ac:dyDescent="0.2">
      <c r="L1050"/>
    </row>
    <row r="1051" spans="12:12" x14ac:dyDescent="0.2">
      <c r="L1051"/>
    </row>
    <row r="1052" spans="12:12" x14ac:dyDescent="0.2">
      <c r="L1052"/>
    </row>
    <row r="1053" spans="12:12" x14ac:dyDescent="0.2">
      <c r="L1053"/>
    </row>
    <row r="1054" spans="12:12" x14ac:dyDescent="0.2">
      <c r="L1054"/>
    </row>
    <row r="1055" spans="12:12" x14ac:dyDescent="0.2">
      <c r="L1055"/>
    </row>
    <row r="1056" spans="12:12" x14ac:dyDescent="0.2">
      <c r="L1056"/>
    </row>
    <row r="1057" spans="12:12" x14ac:dyDescent="0.2">
      <c r="L1057"/>
    </row>
    <row r="1058" spans="12:12" x14ac:dyDescent="0.2">
      <c r="L1058"/>
    </row>
    <row r="1059" spans="12:12" x14ac:dyDescent="0.2">
      <c r="L1059"/>
    </row>
    <row r="1060" spans="12:12" x14ac:dyDescent="0.2">
      <c r="L1060"/>
    </row>
    <row r="1061" spans="12:12" x14ac:dyDescent="0.2">
      <c r="L1061"/>
    </row>
    <row r="1062" spans="12:12" x14ac:dyDescent="0.2">
      <c r="L1062"/>
    </row>
    <row r="1063" spans="12:12" x14ac:dyDescent="0.2">
      <c r="L1063"/>
    </row>
    <row r="1064" spans="12:12" x14ac:dyDescent="0.2">
      <c r="L1064"/>
    </row>
    <row r="1065" spans="12:12" x14ac:dyDescent="0.2">
      <c r="L1065"/>
    </row>
    <row r="1066" spans="12:12" x14ac:dyDescent="0.2">
      <c r="L1066"/>
    </row>
    <row r="1067" spans="12:12" x14ac:dyDescent="0.2">
      <c r="L1067"/>
    </row>
    <row r="1068" spans="12:12" x14ac:dyDescent="0.2">
      <c r="L1068"/>
    </row>
    <row r="1069" spans="12:12" x14ac:dyDescent="0.2">
      <c r="L1069"/>
    </row>
    <row r="1070" spans="12:12" x14ac:dyDescent="0.2">
      <c r="L1070"/>
    </row>
    <row r="1071" spans="12:12" x14ac:dyDescent="0.2">
      <c r="L1071"/>
    </row>
    <row r="1072" spans="12:12" x14ac:dyDescent="0.2">
      <c r="L1072"/>
    </row>
    <row r="1073" spans="12:12" x14ac:dyDescent="0.2">
      <c r="L1073"/>
    </row>
    <row r="1074" spans="12:12" x14ac:dyDescent="0.2">
      <c r="L1074"/>
    </row>
    <row r="1075" spans="12:12" x14ac:dyDescent="0.2">
      <c r="L1075"/>
    </row>
    <row r="1076" spans="12:12" x14ac:dyDescent="0.2">
      <c r="L1076"/>
    </row>
    <row r="1077" spans="12:12" x14ac:dyDescent="0.2">
      <c r="L1077"/>
    </row>
    <row r="1078" spans="12:12" x14ac:dyDescent="0.2">
      <c r="L1078"/>
    </row>
    <row r="1079" spans="12:12" x14ac:dyDescent="0.2">
      <c r="L1079"/>
    </row>
    <row r="1080" spans="12:12" x14ac:dyDescent="0.2">
      <c r="L1080"/>
    </row>
    <row r="1081" spans="12:12" x14ac:dyDescent="0.2">
      <c r="L1081"/>
    </row>
    <row r="1082" spans="12:12" x14ac:dyDescent="0.2">
      <c r="L1082"/>
    </row>
    <row r="1083" spans="12:12" x14ac:dyDescent="0.2">
      <c r="L1083"/>
    </row>
    <row r="1084" spans="12:12" x14ac:dyDescent="0.2">
      <c r="L1084"/>
    </row>
    <row r="1085" spans="12:12" x14ac:dyDescent="0.2">
      <c r="L1085"/>
    </row>
    <row r="1086" spans="12:12" x14ac:dyDescent="0.2">
      <c r="L1086"/>
    </row>
    <row r="1087" spans="12:12" x14ac:dyDescent="0.2">
      <c r="L1087"/>
    </row>
    <row r="1088" spans="12:12" x14ac:dyDescent="0.2">
      <c r="L1088"/>
    </row>
    <row r="1089" spans="12:12" x14ac:dyDescent="0.2">
      <c r="L1089"/>
    </row>
    <row r="1090" spans="12:12" x14ac:dyDescent="0.2">
      <c r="L1090"/>
    </row>
    <row r="1091" spans="12:12" x14ac:dyDescent="0.2">
      <c r="L1091"/>
    </row>
    <row r="1092" spans="12:12" x14ac:dyDescent="0.2">
      <c r="L1092"/>
    </row>
    <row r="1093" spans="12:12" x14ac:dyDescent="0.2">
      <c r="L1093"/>
    </row>
    <row r="1094" spans="12:12" x14ac:dyDescent="0.2">
      <c r="L1094"/>
    </row>
    <row r="1095" spans="12:12" x14ac:dyDescent="0.2">
      <c r="L1095"/>
    </row>
    <row r="1096" spans="12:12" x14ac:dyDescent="0.2">
      <c r="L1096"/>
    </row>
    <row r="1097" spans="12:12" x14ac:dyDescent="0.2">
      <c r="L1097"/>
    </row>
    <row r="1098" spans="12:12" x14ac:dyDescent="0.2">
      <c r="L1098"/>
    </row>
    <row r="1099" spans="12:12" x14ac:dyDescent="0.2">
      <c r="L1099"/>
    </row>
    <row r="1100" spans="12:12" x14ac:dyDescent="0.2">
      <c r="L1100"/>
    </row>
    <row r="1101" spans="12:12" x14ac:dyDescent="0.2">
      <c r="L1101"/>
    </row>
    <row r="1102" spans="12:12" x14ac:dyDescent="0.2">
      <c r="L1102"/>
    </row>
    <row r="1103" spans="12:12" x14ac:dyDescent="0.2">
      <c r="L1103"/>
    </row>
    <row r="1104" spans="12:12" x14ac:dyDescent="0.2">
      <c r="L1104"/>
    </row>
    <row r="1105" spans="12:12" x14ac:dyDescent="0.2">
      <c r="L1105"/>
    </row>
    <row r="1106" spans="12:12" x14ac:dyDescent="0.2">
      <c r="L1106"/>
    </row>
    <row r="1107" spans="12:12" x14ac:dyDescent="0.2">
      <c r="L1107"/>
    </row>
    <row r="1108" spans="12:12" x14ac:dyDescent="0.2">
      <c r="L1108"/>
    </row>
    <row r="1109" spans="12:12" x14ac:dyDescent="0.2">
      <c r="L1109"/>
    </row>
    <row r="1110" spans="12:12" x14ac:dyDescent="0.2">
      <c r="L1110"/>
    </row>
    <row r="1111" spans="12:12" x14ac:dyDescent="0.2">
      <c r="L1111"/>
    </row>
    <row r="1112" spans="12:12" x14ac:dyDescent="0.2">
      <c r="L1112"/>
    </row>
    <row r="1113" spans="12:12" x14ac:dyDescent="0.2">
      <c r="L1113"/>
    </row>
    <row r="1114" spans="12:12" x14ac:dyDescent="0.2">
      <c r="L1114"/>
    </row>
    <row r="1115" spans="12:12" x14ac:dyDescent="0.2">
      <c r="L1115"/>
    </row>
    <row r="1116" spans="12:12" x14ac:dyDescent="0.2">
      <c r="L1116"/>
    </row>
    <row r="1117" spans="12:12" x14ac:dyDescent="0.2">
      <c r="L1117"/>
    </row>
    <row r="1118" spans="12:12" x14ac:dyDescent="0.2">
      <c r="L1118"/>
    </row>
    <row r="1119" spans="12:12" x14ac:dyDescent="0.2">
      <c r="L1119"/>
    </row>
    <row r="1120" spans="12:12" x14ac:dyDescent="0.2">
      <c r="L1120"/>
    </row>
    <row r="1121" spans="12:12" x14ac:dyDescent="0.2">
      <c r="L1121"/>
    </row>
    <row r="1122" spans="12:12" x14ac:dyDescent="0.2">
      <c r="L1122"/>
    </row>
    <row r="1123" spans="12:12" x14ac:dyDescent="0.2">
      <c r="L1123"/>
    </row>
    <row r="1124" spans="12:12" x14ac:dyDescent="0.2">
      <c r="L1124"/>
    </row>
    <row r="1125" spans="12:12" x14ac:dyDescent="0.2">
      <c r="L1125"/>
    </row>
    <row r="1126" spans="12:12" x14ac:dyDescent="0.2">
      <c r="L1126"/>
    </row>
    <row r="1127" spans="12:12" x14ac:dyDescent="0.2">
      <c r="L1127"/>
    </row>
    <row r="1128" spans="12:12" x14ac:dyDescent="0.2">
      <c r="L1128"/>
    </row>
    <row r="1129" spans="12:12" x14ac:dyDescent="0.2">
      <c r="L1129"/>
    </row>
    <row r="1130" spans="12:12" x14ac:dyDescent="0.2">
      <c r="L1130"/>
    </row>
    <row r="1131" spans="12:12" x14ac:dyDescent="0.2">
      <c r="L1131"/>
    </row>
    <row r="1132" spans="12:12" x14ac:dyDescent="0.2">
      <c r="L1132"/>
    </row>
    <row r="1133" spans="12:12" x14ac:dyDescent="0.2">
      <c r="L1133"/>
    </row>
    <row r="1134" spans="12:12" x14ac:dyDescent="0.2">
      <c r="L1134"/>
    </row>
    <row r="1135" spans="12:12" x14ac:dyDescent="0.2">
      <c r="L1135"/>
    </row>
    <row r="1136" spans="12:12" x14ac:dyDescent="0.2">
      <c r="L1136"/>
    </row>
    <row r="1137" spans="12:12" x14ac:dyDescent="0.2">
      <c r="L1137"/>
    </row>
    <row r="1138" spans="12:12" x14ac:dyDescent="0.2">
      <c r="L1138"/>
    </row>
    <row r="1139" spans="12:12" x14ac:dyDescent="0.2">
      <c r="L1139"/>
    </row>
    <row r="1140" spans="12:12" x14ac:dyDescent="0.2">
      <c r="L1140"/>
    </row>
    <row r="1141" spans="12:12" x14ac:dyDescent="0.2">
      <c r="L1141"/>
    </row>
    <row r="1142" spans="12:12" x14ac:dyDescent="0.2">
      <c r="L1142"/>
    </row>
    <row r="1143" spans="12:12" x14ac:dyDescent="0.2">
      <c r="L1143"/>
    </row>
    <row r="1144" spans="12:12" x14ac:dyDescent="0.2">
      <c r="L1144"/>
    </row>
    <row r="1145" spans="12:12" x14ac:dyDescent="0.2">
      <c r="L1145"/>
    </row>
    <row r="1146" spans="12:12" x14ac:dyDescent="0.2">
      <c r="L1146"/>
    </row>
    <row r="1147" spans="12:12" x14ac:dyDescent="0.2">
      <c r="L1147"/>
    </row>
    <row r="1148" spans="12:12" x14ac:dyDescent="0.2">
      <c r="L1148"/>
    </row>
    <row r="1149" spans="12:12" x14ac:dyDescent="0.2">
      <c r="L1149"/>
    </row>
    <row r="1150" spans="12:12" x14ac:dyDescent="0.2">
      <c r="L1150"/>
    </row>
    <row r="1151" spans="12:12" x14ac:dyDescent="0.2">
      <c r="L1151"/>
    </row>
    <row r="1152" spans="12:12" x14ac:dyDescent="0.2">
      <c r="L1152"/>
    </row>
    <row r="1153" spans="12:12" x14ac:dyDescent="0.2">
      <c r="L1153"/>
    </row>
    <row r="1154" spans="12:12" x14ac:dyDescent="0.2">
      <c r="L1154"/>
    </row>
    <row r="1155" spans="12:12" x14ac:dyDescent="0.2">
      <c r="L1155"/>
    </row>
    <row r="1156" spans="12:12" x14ac:dyDescent="0.2">
      <c r="L1156"/>
    </row>
    <row r="1157" spans="12:12" x14ac:dyDescent="0.2">
      <c r="L1157"/>
    </row>
    <row r="1158" spans="12:12" x14ac:dyDescent="0.2">
      <c r="L1158"/>
    </row>
    <row r="1159" spans="12:12" x14ac:dyDescent="0.2">
      <c r="L1159"/>
    </row>
    <row r="1160" spans="12:12" x14ac:dyDescent="0.2">
      <c r="L1160"/>
    </row>
    <row r="1161" spans="12:12" x14ac:dyDescent="0.2">
      <c r="L1161"/>
    </row>
    <row r="1162" spans="12:12" x14ac:dyDescent="0.2">
      <c r="L1162"/>
    </row>
    <row r="1163" spans="12:12" x14ac:dyDescent="0.2">
      <c r="L1163"/>
    </row>
    <row r="1164" spans="12:12" x14ac:dyDescent="0.2">
      <c r="L1164"/>
    </row>
    <row r="1165" spans="12:12" x14ac:dyDescent="0.2">
      <c r="L1165"/>
    </row>
    <row r="1166" spans="12:12" x14ac:dyDescent="0.2">
      <c r="L1166"/>
    </row>
    <row r="1167" spans="12:12" x14ac:dyDescent="0.2">
      <c r="L1167"/>
    </row>
    <row r="1168" spans="12:12" x14ac:dyDescent="0.2">
      <c r="L1168"/>
    </row>
    <row r="1169" spans="12:12" x14ac:dyDescent="0.2">
      <c r="L1169"/>
    </row>
    <row r="1170" spans="12:12" x14ac:dyDescent="0.2">
      <c r="L1170"/>
    </row>
    <row r="1171" spans="12:12" x14ac:dyDescent="0.2">
      <c r="L1171"/>
    </row>
    <row r="1172" spans="12:12" x14ac:dyDescent="0.2">
      <c r="L1172"/>
    </row>
    <row r="1173" spans="12:12" x14ac:dyDescent="0.2">
      <c r="L1173"/>
    </row>
    <row r="1174" spans="12:12" x14ac:dyDescent="0.2">
      <c r="L1174"/>
    </row>
    <row r="1175" spans="12:12" x14ac:dyDescent="0.2">
      <c r="L1175"/>
    </row>
    <row r="1176" spans="12:12" x14ac:dyDescent="0.2">
      <c r="L1176"/>
    </row>
    <row r="1177" spans="12:12" x14ac:dyDescent="0.2">
      <c r="L1177"/>
    </row>
    <row r="1178" spans="12:12" x14ac:dyDescent="0.2">
      <c r="L1178"/>
    </row>
    <row r="1179" spans="12:12" x14ac:dyDescent="0.2">
      <c r="L1179"/>
    </row>
    <row r="1180" spans="12:12" x14ac:dyDescent="0.2">
      <c r="L1180"/>
    </row>
    <row r="1181" spans="12:12" x14ac:dyDescent="0.2">
      <c r="L1181"/>
    </row>
    <row r="1182" spans="12:12" x14ac:dyDescent="0.2">
      <c r="L1182"/>
    </row>
    <row r="1183" spans="12:12" x14ac:dyDescent="0.2">
      <c r="L1183"/>
    </row>
    <row r="1184" spans="12:12" x14ac:dyDescent="0.2">
      <c r="L1184"/>
    </row>
    <row r="1185" spans="12:12" x14ac:dyDescent="0.2">
      <c r="L1185"/>
    </row>
    <row r="1186" spans="12:12" x14ac:dyDescent="0.2">
      <c r="L1186"/>
    </row>
    <row r="1187" spans="12:12" x14ac:dyDescent="0.2">
      <c r="L1187"/>
    </row>
    <row r="1188" spans="12:12" x14ac:dyDescent="0.2">
      <c r="L1188"/>
    </row>
    <row r="1189" spans="12:12" x14ac:dyDescent="0.2">
      <c r="L1189"/>
    </row>
    <row r="1190" spans="12:12" x14ac:dyDescent="0.2">
      <c r="L1190"/>
    </row>
    <row r="1191" spans="12:12" x14ac:dyDescent="0.2">
      <c r="L1191"/>
    </row>
    <row r="1192" spans="12:12" x14ac:dyDescent="0.2">
      <c r="L1192"/>
    </row>
    <row r="1193" spans="12:12" x14ac:dyDescent="0.2">
      <c r="L1193"/>
    </row>
    <row r="1194" spans="12:12" x14ac:dyDescent="0.2">
      <c r="L1194"/>
    </row>
    <row r="1195" spans="12:12" x14ac:dyDescent="0.2">
      <c r="L1195"/>
    </row>
    <row r="1196" spans="12:12" x14ac:dyDescent="0.2">
      <c r="L1196"/>
    </row>
    <row r="1197" spans="12:12" x14ac:dyDescent="0.2">
      <c r="L1197"/>
    </row>
    <row r="1198" spans="12:12" x14ac:dyDescent="0.2">
      <c r="L1198"/>
    </row>
    <row r="1199" spans="12:12" x14ac:dyDescent="0.2">
      <c r="L1199"/>
    </row>
    <row r="1200" spans="12:12" x14ac:dyDescent="0.2">
      <c r="L1200"/>
    </row>
    <row r="1201" spans="12:12" x14ac:dyDescent="0.2">
      <c r="L1201"/>
    </row>
    <row r="1202" spans="12:12" x14ac:dyDescent="0.2">
      <c r="L1202"/>
    </row>
    <row r="1203" spans="12:12" x14ac:dyDescent="0.2">
      <c r="L1203"/>
    </row>
    <row r="1204" spans="12:12" x14ac:dyDescent="0.2">
      <c r="L1204"/>
    </row>
    <row r="1205" spans="12:12" x14ac:dyDescent="0.2">
      <c r="L1205"/>
    </row>
    <row r="1206" spans="12:12" x14ac:dyDescent="0.2">
      <c r="L1206"/>
    </row>
    <row r="1207" spans="12:12" x14ac:dyDescent="0.2">
      <c r="L1207"/>
    </row>
    <row r="1208" spans="12:12" x14ac:dyDescent="0.2">
      <c r="L1208"/>
    </row>
    <row r="1209" spans="12:12" x14ac:dyDescent="0.2">
      <c r="L1209"/>
    </row>
    <row r="1210" spans="12:12" x14ac:dyDescent="0.2">
      <c r="L1210"/>
    </row>
    <row r="1211" spans="12:12" x14ac:dyDescent="0.2">
      <c r="L1211"/>
    </row>
    <row r="1212" spans="12:12" x14ac:dyDescent="0.2">
      <c r="L1212"/>
    </row>
    <row r="1213" spans="12:12" x14ac:dyDescent="0.2">
      <c r="L1213"/>
    </row>
    <row r="1214" spans="12:12" x14ac:dyDescent="0.2">
      <c r="L1214"/>
    </row>
    <row r="1215" spans="12:12" x14ac:dyDescent="0.2">
      <c r="L1215"/>
    </row>
    <row r="1216" spans="12:12" x14ac:dyDescent="0.2">
      <c r="L1216"/>
    </row>
    <row r="1217" spans="12:12" x14ac:dyDescent="0.2">
      <c r="L1217"/>
    </row>
    <row r="1218" spans="12:12" x14ac:dyDescent="0.2">
      <c r="L1218"/>
    </row>
    <row r="1219" spans="12:12" x14ac:dyDescent="0.2">
      <c r="L1219"/>
    </row>
    <row r="1220" spans="12:12" x14ac:dyDescent="0.2">
      <c r="L1220"/>
    </row>
    <row r="1221" spans="12:12" x14ac:dyDescent="0.2">
      <c r="L1221"/>
    </row>
    <row r="1222" spans="12:12" x14ac:dyDescent="0.2">
      <c r="L1222"/>
    </row>
    <row r="1223" spans="12:12" x14ac:dyDescent="0.2">
      <c r="L1223"/>
    </row>
    <row r="1224" spans="12:12" x14ac:dyDescent="0.2">
      <c r="L1224"/>
    </row>
    <row r="1225" spans="12:12" x14ac:dyDescent="0.2">
      <c r="L1225"/>
    </row>
    <row r="1226" spans="12:12" x14ac:dyDescent="0.2">
      <c r="L1226"/>
    </row>
    <row r="1227" spans="12:12" x14ac:dyDescent="0.2">
      <c r="L1227"/>
    </row>
    <row r="1228" spans="12:12" x14ac:dyDescent="0.2">
      <c r="L1228"/>
    </row>
    <row r="1229" spans="12:12" x14ac:dyDescent="0.2">
      <c r="L1229"/>
    </row>
    <row r="1230" spans="12:12" x14ac:dyDescent="0.2">
      <c r="L1230"/>
    </row>
    <row r="1231" spans="12:12" x14ac:dyDescent="0.2">
      <c r="L1231"/>
    </row>
    <row r="1232" spans="12:12" x14ac:dyDescent="0.2">
      <c r="L1232"/>
    </row>
    <row r="1233" spans="12:12" x14ac:dyDescent="0.2">
      <c r="L1233"/>
    </row>
    <row r="1234" spans="12:12" x14ac:dyDescent="0.2">
      <c r="L1234"/>
    </row>
    <row r="1235" spans="12:12" x14ac:dyDescent="0.2">
      <c r="L1235"/>
    </row>
    <row r="1236" spans="12:12" x14ac:dyDescent="0.2">
      <c r="L1236"/>
    </row>
    <row r="1237" spans="12:12" x14ac:dyDescent="0.2">
      <c r="L1237"/>
    </row>
    <row r="1238" spans="12:12" x14ac:dyDescent="0.2">
      <c r="L1238"/>
    </row>
    <row r="1239" spans="12:12" x14ac:dyDescent="0.2">
      <c r="L1239"/>
    </row>
    <row r="1240" spans="12:12" x14ac:dyDescent="0.2">
      <c r="L1240"/>
    </row>
    <row r="1241" spans="12:12" x14ac:dyDescent="0.2">
      <c r="L1241"/>
    </row>
    <row r="1242" spans="12:12" x14ac:dyDescent="0.2">
      <c r="L1242"/>
    </row>
    <row r="1243" spans="12:12" x14ac:dyDescent="0.2">
      <c r="L1243"/>
    </row>
    <row r="1244" spans="12:12" x14ac:dyDescent="0.2">
      <c r="L1244"/>
    </row>
    <row r="1245" spans="12:12" x14ac:dyDescent="0.2">
      <c r="L1245"/>
    </row>
    <row r="1246" spans="12:12" x14ac:dyDescent="0.2">
      <c r="L1246"/>
    </row>
    <row r="1247" spans="12:12" x14ac:dyDescent="0.2">
      <c r="L1247"/>
    </row>
    <row r="1248" spans="12:12" x14ac:dyDescent="0.2">
      <c r="L1248"/>
    </row>
    <row r="1249" spans="12:12" x14ac:dyDescent="0.2">
      <c r="L1249"/>
    </row>
    <row r="1250" spans="12:12" x14ac:dyDescent="0.2">
      <c r="L1250"/>
    </row>
    <row r="1251" spans="12:12" x14ac:dyDescent="0.2">
      <c r="L1251"/>
    </row>
    <row r="1252" spans="12:12" x14ac:dyDescent="0.2">
      <c r="L1252"/>
    </row>
    <row r="1253" spans="12:12" x14ac:dyDescent="0.2">
      <c r="L1253"/>
    </row>
    <row r="1254" spans="12:12" x14ac:dyDescent="0.2">
      <c r="L1254"/>
    </row>
    <row r="1255" spans="12:12" x14ac:dyDescent="0.2">
      <c r="L1255"/>
    </row>
    <row r="1256" spans="12:12" x14ac:dyDescent="0.2">
      <c r="L1256"/>
    </row>
    <row r="1257" spans="12:12" x14ac:dyDescent="0.2">
      <c r="L1257"/>
    </row>
    <row r="1258" spans="12:12" x14ac:dyDescent="0.2">
      <c r="L1258"/>
    </row>
    <row r="1259" spans="12:12" x14ac:dyDescent="0.2">
      <c r="L1259"/>
    </row>
    <row r="1260" spans="12:12" x14ac:dyDescent="0.2">
      <c r="L1260"/>
    </row>
    <row r="1261" spans="12:12" x14ac:dyDescent="0.2">
      <c r="L1261"/>
    </row>
    <row r="1262" spans="12:12" x14ac:dyDescent="0.2">
      <c r="L1262"/>
    </row>
    <row r="1263" spans="12:12" x14ac:dyDescent="0.2">
      <c r="L1263"/>
    </row>
    <row r="1264" spans="12:12" x14ac:dyDescent="0.2">
      <c r="L1264"/>
    </row>
    <row r="1265" spans="12:12" x14ac:dyDescent="0.2">
      <c r="L1265"/>
    </row>
    <row r="1266" spans="12:12" x14ac:dyDescent="0.2">
      <c r="L1266"/>
    </row>
    <row r="1267" spans="12:12" x14ac:dyDescent="0.2">
      <c r="L1267"/>
    </row>
    <row r="1268" spans="12:12" x14ac:dyDescent="0.2">
      <c r="L1268"/>
    </row>
    <row r="1269" spans="12:12" x14ac:dyDescent="0.2">
      <c r="L1269"/>
    </row>
    <row r="1270" spans="12:12" x14ac:dyDescent="0.2">
      <c r="L1270"/>
    </row>
    <row r="1271" spans="12:12" x14ac:dyDescent="0.2">
      <c r="L1271"/>
    </row>
    <row r="1272" spans="12:12" x14ac:dyDescent="0.2">
      <c r="L1272"/>
    </row>
    <row r="1273" spans="12:12" x14ac:dyDescent="0.2">
      <c r="L1273"/>
    </row>
    <row r="1274" spans="12:12" x14ac:dyDescent="0.2">
      <c r="L1274"/>
    </row>
    <row r="1275" spans="12:12" x14ac:dyDescent="0.2">
      <c r="L1275"/>
    </row>
    <row r="1276" spans="12:12" x14ac:dyDescent="0.2">
      <c r="L1276"/>
    </row>
    <row r="1277" spans="12:12" x14ac:dyDescent="0.2">
      <c r="L1277"/>
    </row>
    <row r="1278" spans="12:12" x14ac:dyDescent="0.2">
      <c r="L1278"/>
    </row>
    <row r="1279" spans="12:12" x14ac:dyDescent="0.2">
      <c r="L1279"/>
    </row>
    <row r="1280" spans="12:12" x14ac:dyDescent="0.2">
      <c r="L1280"/>
    </row>
    <row r="1281" spans="12:12" x14ac:dyDescent="0.2">
      <c r="L1281"/>
    </row>
    <row r="1282" spans="12:12" x14ac:dyDescent="0.2">
      <c r="L1282"/>
    </row>
    <row r="1283" spans="12:12" x14ac:dyDescent="0.2">
      <c r="L1283"/>
    </row>
    <row r="1284" spans="12:12" x14ac:dyDescent="0.2">
      <c r="L1284"/>
    </row>
    <row r="1285" spans="12:12" x14ac:dyDescent="0.2">
      <c r="L1285"/>
    </row>
    <row r="1286" spans="12:12" x14ac:dyDescent="0.2">
      <c r="L1286"/>
    </row>
    <row r="1287" spans="12:12" x14ac:dyDescent="0.2">
      <c r="L1287"/>
    </row>
    <row r="1288" spans="12:12" x14ac:dyDescent="0.2">
      <c r="L1288"/>
    </row>
    <row r="1289" spans="12:12" x14ac:dyDescent="0.2">
      <c r="L1289"/>
    </row>
    <row r="1290" spans="12:12" x14ac:dyDescent="0.2">
      <c r="L1290"/>
    </row>
    <row r="1291" spans="12:12" x14ac:dyDescent="0.2">
      <c r="L1291"/>
    </row>
    <row r="1292" spans="12:12" x14ac:dyDescent="0.2">
      <c r="L1292"/>
    </row>
    <row r="1293" spans="12:12" x14ac:dyDescent="0.2">
      <c r="L1293"/>
    </row>
    <row r="1294" spans="12:12" x14ac:dyDescent="0.2">
      <c r="L1294"/>
    </row>
    <row r="1295" spans="12:12" x14ac:dyDescent="0.2">
      <c r="L1295"/>
    </row>
    <row r="1296" spans="12:12" x14ac:dyDescent="0.2">
      <c r="L1296"/>
    </row>
    <row r="1297" spans="12:12" x14ac:dyDescent="0.2">
      <c r="L1297"/>
    </row>
    <row r="1298" spans="12:12" x14ac:dyDescent="0.2">
      <c r="L1298"/>
    </row>
    <row r="1299" spans="12:12" x14ac:dyDescent="0.2">
      <c r="L1299"/>
    </row>
    <row r="1300" spans="12:12" x14ac:dyDescent="0.2">
      <c r="L1300"/>
    </row>
    <row r="1301" spans="12:12" x14ac:dyDescent="0.2">
      <c r="L1301"/>
    </row>
    <row r="1302" spans="12:12" x14ac:dyDescent="0.2">
      <c r="L1302"/>
    </row>
    <row r="1303" spans="12:12" x14ac:dyDescent="0.2">
      <c r="L1303"/>
    </row>
    <row r="1304" spans="12:12" x14ac:dyDescent="0.2">
      <c r="L1304"/>
    </row>
    <row r="1305" spans="12:12" x14ac:dyDescent="0.2">
      <c r="L1305"/>
    </row>
    <row r="1306" spans="12:12" x14ac:dyDescent="0.2">
      <c r="L1306"/>
    </row>
    <row r="1307" spans="12:12" x14ac:dyDescent="0.2">
      <c r="L1307"/>
    </row>
    <row r="1308" spans="12:12" x14ac:dyDescent="0.2">
      <c r="L1308"/>
    </row>
    <row r="1309" spans="12:12" x14ac:dyDescent="0.2">
      <c r="L1309"/>
    </row>
    <row r="1310" spans="12:12" x14ac:dyDescent="0.2">
      <c r="L1310"/>
    </row>
    <row r="1311" spans="12:12" x14ac:dyDescent="0.2">
      <c r="L1311"/>
    </row>
    <row r="1312" spans="12:12" x14ac:dyDescent="0.2">
      <c r="L1312"/>
    </row>
    <row r="1313" spans="12:12" x14ac:dyDescent="0.2">
      <c r="L1313"/>
    </row>
    <row r="1314" spans="12:12" x14ac:dyDescent="0.2">
      <c r="L1314"/>
    </row>
    <row r="1315" spans="12:12" x14ac:dyDescent="0.2">
      <c r="L1315"/>
    </row>
    <row r="1316" spans="12:12" x14ac:dyDescent="0.2">
      <c r="L1316"/>
    </row>
    <row r="1317" spans="12:12" x14ac:dyDescent="0.2">
      <c r="L1317"/>
    </row>
    <row r="1318" spans="12:12" x14ac:dyDescent="0.2">
      <c r="L1318"/>
    </row>
    <row r="1319" spans="12:12" x14ac:dyDescent="0.2">
      <c r="L1319"/>
    </row>
    <row r="1320" spans="12:12" x14ac:dyDescent="0.2">
      <c r="L1320"/>
    </row>
    <row r="1321" spans="12:12" x14ac:dyDescent="0.2">
      <c r="L1321"/>
    </row>
    <row r="1322" spans="12:12" x14ac:dyDescent="0.2">
      <c r="L1322"/>
    </row>
    <row r="1323" spans="12:12" x14ac:dyDescent="0.2">
      <c r="L1323"/>
    </row>
    <row r="1324" spans="12:12" x14ac:dyDescent="0.2">
      <c r="L1324"/>
    </row>
    <row r="1325" spans="12:12" x14ac:dyDescent="0.2">
      <c r="L1325"/>
    </row>
    <row r="1326" spans="12:12" x14ac:dyDescent="0.2">
      <c r="L1326"/>
    </row>
    <row r="1327" spans="12:12" x14ac:dyDescent="0.2">
      <c r="L1327"/>
    </row>
    <row r="1328" spans="12:12" x14ac:dyDescent="0.2">
      <c r="L1328"/>
    </row>
    <row r="1329" spans="12:12" x14ac:dyDescent="0.2">
      <c r="L1329"/>
    </row>
    <row r="1330" spans="12:12" x14ac:dyDescent="0.2">
      <c r="L1330"/>
    </row>
    <row r="1331" spans="12:12" x14ac:dyDescent="0.2">
      <c r="L1331"/>
    </row>
    <row r="1332" spans="12:12" x14ac:dyDescent="0.2">
      <c r="L1332"/>
    </row>
    <row r="1333" spans="12:12" x14ac:dyDescent="0.2">
      <c r="L1333"/>
    </row>
    <row r="1334" spans="12:12" x14ac:dyDescent="0.2">
      <c r="L1334"/>
    </row>
    <row r="1335" spans="12:12" x14ac:dyDescent="0.2">
      <c r="L1335"/>
    </row>
    <row r="1336" spans="12:12" x14ac:dyDescent="0.2">
      <c r="L1336"/>
    </row>
    <row r="1337" spans="12:12" x14ac:dyDescent="0.2">
      <c r="L1337"/>
    </row>
    <row r="1338" spans="12:12" x14ac:dyDescent="0.2">
      <c r="L1338"/>
    </row>
    <row r="1339" spans="12:12" x14ac:dyDescent="0.2">
      <c r="L1339"/>
    </row>
    <row r="1340" spans="12:12" x14ac:dyDescent="0.2">
      <c r="L1340"/>
    </row>
    <row r="1341" spans="12:12" x14ac:dyDescent="0.2">
      <c r="L1341"/>
    </row>
    <row r="1342" spans="12:12" x14ac:dyDescent="0.2">
      <c r="L1342"/>
    </row>
    <row r="1343" spans="12:12" x14ac:dyDescent="0.2">
      <c r="L1343"/>
    </row>
    <row r="1344" spans="12:12" x14ac:dyDescent="0.2">
      <c r="L1344"/>
    </row>
    <row r="1345" spans="12:12" x14ac:dyDescent="0.2">
      <c r="L1345"/>
    </row>
    <row r="1346" spans="12:12" x14ac:dyDescent="0.2">
      <c r="L1346"/>
    </row>
    <row r="1347" spans="12:12" x14ac:dyDescent="0.2">
      <c r="L1347"/>
    </row>
    <row r="1348" spans="12:12" x14ac:dyDescent="0.2">
      <c r="L1348"/>
    </row>
    <row r="1349" spans="12:12" x14ac:dyDescent="0.2">
      <c r="L1349"/>
    </row>
    <row r="1350" spans="12:12" x14ac:dyDescent="0.2">
      <c r="L1350"/>
    </row>
    <row r="1351" spans="12:12" x14ac:dyDescent="0.2">
      <c r="L1351"/>
    </row>
    <row r="1352" spans="12:12" x14ac:dyDescent="0.2">
      <c r="L1352"/>
    </row>
    <row r="1353" spans="12:12" x14ac:dyDescent="0.2">
      <c r="L1353"/>
    </row>
    <row r="1354" spans="12:12" x14ac:dyDescent="0.2">
      <c r="L1354"/>
    </row>
    <row r="1355" spans="12:12" x14ac:dyDescent="0.2">
      <c r="L1355"/>
    </row>
    <row r="1356" spans="12:12" x14ac:dyDescent="0.2">
      <c r="L1356"/>
    </row>
    <row r="1357" spans="12:12" x14ac:dyDescent="0.2">
      <c r="L1357"/>
    </row>
    <row r="1358" spans="12:12" x14ac:dyDescent="0.2">
      <c r="L1358"/>
    </row>
    <row r="1359" spans="12:12" x14ac:dyDescent="0.2">
      <c r="L1359"/>
    </row>
    <row r="1360" spans="12:12" x14ac:dyDescent="0.2">
      <c r="L1360"/>
    </row>
    <row r="1361" spans="12:12" x14ac:dyDescent="0.2">
      <c r="L1361"/>
    </row>
    <row r="1362" spans="12:12" x14ac:dyDescent="0.2">
      <c r="L1362"/>
    </row>
    <row r="1363" spans="12:12" x14ac:dyDescent="0.2">
      <c r="L1363"/>
    </row>
    <row r="1364" spans="12:12" x14ac:dyDescent="0.2">
      <c r="L1364"/>
    </row>
    <row r="1365" spans="12:12" x14ac:dyDescent="0.2">
      <c r="L1365"/>
    </row>
    <row r="1366" spans="12:12" x14ac:dyDescent="0.2">
      <c r="L1366"/>
    </row>
    <row r="1367" spans="12:12" x14ac:dyDescent="0.2">
      <c r="L1367"/>
    </row>
    <row r="1368" spans="12:12" x14ac:dyDescent="0.2">
      <c r="L1368"/>
    </row>
    <row r="1369" spans="12:12" x14ac:dyDescent="0.2">
      <c r="L1369"/>
    </row>
    <row r="1370" spans="12:12" x14ac:dyDescent="0.2">
      <c r="L1370"/>
    </row>
    <row r="1371" spans="12:12" x14ac:dyDescent="0.2">
      <c r="L1371"/>
    </row>
    <row r="1372" spans="12:12" x14ac:dyDescent="0.2">
      <c r="L1372"/>
    </row>
    <row r="1373" spans="12:12" x14ac:dyDescent="0.2">
      <c r="L1373"/>
    </row>
    <row r="1374" spans="12:12" x14ac:dyDescent="0.2">
      <c r="L1374"/>
    </row>
    <row r="1375" spans="12:12" x14ac:dyDescent="0.2">
      <c r="L1375"/>
    </row>
    <row r="1376" spans="12:12" x14ac:dyDescent="0.2">
      <c r="L1376"/>
    </row>
    <row r="1377" spans="12:12" x14ac:dyDescent="0.2">
      <c r="L1377"/>
    </row>
    <row r="1378" spans="12:12" x14ac:dyDescent="0.2">
      <c r="L1378"/>
    </row>
    <row r="1379" spans="12:12" x14ac:dyDescent="0.2">
      <c r="L1379"/>
    </row>
    <row r="1380" spans="12:12" x14ac:dyDescent="0.2">
      <c r="L1380"/>
    </row>
    <row r="1381" spans="12:12" x14ac:dyDescent="0.2">
      <c r="L1381"/>
    </row>
    <row r="1382" spans="12:12" x14ac:dyDescent="0.2">
      <c r="L1382"/>
    </row>
    <row r="1383" spans="12:12" x14ac:dyDescent="0.2">
      <c r="L1383"/>
    </row>
    <row r="1384" spans="12:12" x14ac:dyDescent="0.2">
      <c r="L1384"/>
    </row>
    <row r="1385" spans="12:12" x14ac:dyDescent="0.2">
      <c r="L1385"/>
    </row>
    <row r="1386" spans="12:12" x14ac:dyDescent="0.2">
      <c r="L1386"/>
    </row>
    <row r="1387" spans="12:12" x14ac:dyDescent="0.2">
      <c r="L1387"/>
    </row>
    <row r="1388" spans="12:12" x14ac:dyDescent="0.2">
      <c r="L1388"/>
    </row>
    <row r="1389" spans="12:12" x14ac:dyDescent="0.2">
      <c r="L1389"/>
    </row>
    <row r="1390" spans="12:12" x14ac:dyDescent="0.2">
      <c r="L1390"/>
    </row>
    <row r="1391" spans="12:12" x14ac:dyDescent="0.2">
      <c r="L1391"/>
    </row>
    <row r="1392" spans="12:12" x14ac:dyDescent="0.2">
      <c r="L1392"/>
    </row>
    <row r="1393" spans="12:12" x14ac:dyDescent="0.2">
      <c r="L1393"/>
    </row>
    <row r="1394" spans="12:12" x14ac:dyDescent="0.2">
      <c r="L1394"/>
    </row>
    <row r="1395" spans="12:12" x14ac:dyDescent="0.2">
      <c r="L1395"/>
    </row>
    <row r="1396" spans="12:12" x14ac:dyDescent="0.2">
      <c r="L1396"/>
    </row>
    <row r="1397" spans="12:12" x14ac:dyDescent="0.2">
      <c r="L1397"/>
    </row>
    <row r="1398" spans="12:12" x14ac:dyDescent="0.2">
      <c r="L1398"/>
    </row>
    <row r="1399" spans="12:12" x14ac:dyDescent="0.2">
      <c r="L1399"/>
    </row>
    <row r="1400" spans="12:12" x14ac:dyDescent="0.2">
      <c r="L1400"/>
    </row>
    <row r="1401" spans="12:12" x14ac:dyDescent="0.2">
      <c r="L1401"/>
    </row>
    <row r="1402" spans="12:12" x14ac:dyDescent="0.2">
      <c r="L1402"/>
    </row>
    <row r="1403" spans="12:12" x14ac:dyDescent="0.2">
      <c r="L1403"/>
    </row>
    <row r="1404" spans="12:12" x14ac:dyDescent="0.2">
      <c r="L1404"/>
    </row>
    <row r="1405" spans="12:12" x14ac:dyDescent="0.2">
      <c r="L1405"/>
    </row>
    <row r="1406" spans="12:12" x14ac:dyDescent="0.2">
      <c r="L1406"/>
    </row>
    <row r="1407" spans="12:12" x14ac:dyDescent="0.2">
      <c r="L1407"/>
    </row>
    <row r="1408" spans="12:12" x14ac:dyDescent="0.2">
      <c r="L1408"/>
    </row>
    <row r="1409" spans="12:12" x14ac:dyDescent="0.2">
      <c r="L1409"/>
    </row>
    <row r="1410" spans="12:12" x14ac:dyDescent="0.2">
      <c r="L1410"/>
    </row>
    <row r="1411" spans="12:12" x14ac:dyDescent="0.2">
      <c r="L1411"/>
    </row>
    <row r="1412" spans="12:12" x14ac:dyDescent="0.2">
      <c r="L1412"/>
    </row>
    <row r="1413" spans="12:12" x14ac:dyDescent="0.2">
      <c r="L1413"/>
    </row>
    <row r="1414" spans="12:12" x14ac:dyDescent="0.2">
      <c r="L1414"/>
    </row>
    <row r="1415" spans="12:12" x14ac:dyDescent="0.2">
      <c r="L1415"/>
    </row>
    <row r="1416" spans="12:12" x14ac:dyDescent="0.2">
      <c r="L1416"/>
    </row>
    <row r="1417" spans="12:12" x14ac:dyDescent="0.2">
      <c r="L1417"/>
    </row>
    <row r="1418" spans="12:12" x14ac:dyDescent="0.2">
      <c r="L1418"/>
    </row>
    <row r="1419" spans="12:12" x14ac:dyDescent="0.2">
      <c r="L1419"/>
    </row>
    <row r="1420" spans="12:12" x14ac:dyDescent="0.2">
      <c r="L1420"/>
    </row>
    <row r="1421" spans="12:12" x14ac:dyDescent="0.2">
      <c r="L1421"/>
    </row>
    <row r="1422" spans="12:12" x14ac:dyDescent="0.2">
      <c r="L1422"/>
    </row>
    <row r="1423" spans="12:12" x14ac:dyDescent="0.2">
      <c r="L1423"/>
    </row>
    <row r="1424" spans="12:12" x14ac:dyDescent="0.2">
      <c r="L1424"/>
    </row>
    <row r="1425" spans="12:12" x14ac:dyDescent="0.2">
      <c r="L1425"/>
    </row>
    <row r="1426" spans="12:12" x14ac:dyDescent="0.2">
      <c r="L1426"/>
    </row>
    <row r="1427" spans="12:12" x14ac:dyDescent="0.2">
      <c r="L1427"/>
    </row>
    <row r="1428" spans="12:12" x14ac:dyDescent="0.2">
      <c r="L1428"/>
    </row>
    <row r="1429" spans="12:12" x14ac:dyDescent="0.2">
      <c r="L1429"/>
    </row>
    <row r="1430" spans="12:12" x14ac:dyDescent="0.2">
      <c r="L1430"/>
    </row>
    <row r="1431" spans="12:12" x14ac:dyDescent="0.2">
      <c r="L1431"/>
    </row>
    <row r="1432" spans="12:12" x14ac:dyDescent="0.2">
      <c r="L1432"/>
    </row>
    <row r="1433" spans="12:12" x14ac:dyDescent="0.2">
      <c r="L1433"/>
    </row>
    <row r="1434" spans="12:12" x14ac:dyDescent="0.2">
      <c r="L1434"/>
    </row>
    <row r="1435" spans="12:12" x14ac:dyDescent="0.2">
      <c r="L1435"/>
    </row>
    <row r="1436" spans="12:12" x14ac:dyDescent="0.2">
      <c r="L1436"/>
    </row>
    <row r="1437" spans="12:12" x14ac:dyDescent="0.2">
      <c r="L1437"/>
    </row>
    <row r="1438" spans="12:12" x14ac:dyDescent="0.2">
      <c r="L1438"/>
    </row>
    <row r="1439" spans="12:12" x14ac:dyDescent="0.2">
      <c r="L1439"/>
    </row>
    <row r="1440" spans="12:12" x14ac:dyDescent="0.2">
      <c r="L1440"/>
    </row>
    <row r="1441" spans="12:12" x14ac:dyDescent="0.2">
      <c r="L1441"/>
    </row>
    <row r="1442" spans="12:12" x14ac:dyDescent="0.2">
      <c r="L1442"/>
    </row>
    <row r="1443" spans="12:12" x14ac:dyDescent="0.2">
      <c r="L1443"/>
    </row>
    <row r="1444" spans="12:12" x14ac:dyDescent="0.2">
      <c r="L1444"/>
    </row>
    <row r="1445" spans="12:12" x14ac:dyDescent="0.2">
      <c r="L1445"/>
    </row>
    <row r="1446" spans="12:12" x14ac:dyDescent="0.2">
      <c r="L1446"/>
    </row>
    <row r="1447" spans="12:12" x14ac:dyDescent="0.2">
      <c r="L1447"/>
    </row>
    <row r="1448" spans="12:12" x14ac:dyDescent="0.2">
      <c r="L1448"/>
    </row>
    <row r="1449" spans="12:12" x14ac:dyDescent="0.2">
      <c r="L1449"/>
    </row>
    <row r="1450" spans="12:12" x14ac:dyDescent="0.2">
      <c r="L1450"/>
    </row>
    <row r="1451" spans="12:12" x14ac:dyDescent="0.2">
      <c r="L1451"/>
    </row>
    <row r="1452" spans="12:12" x14ac:dyDescent="0.2">
      <c r="L1452"/>
    </row>
    <row r="1453" spans="12:12" x14ac:dyDescent="0.2">
      <c r="L1453"/>
    </row>
    <row r="1454" spans="12:12" x14ac:dyDescent="0.2">
      <c r="L1454"/>
    </row>
    <row r="1455" spans="12:12" x14ac:dyDescent="0.2">
      <c r="L1455"/>
    </row>
    <row r="1456" spans="12:12" x14ac:dyDescent="0.2">
      <c r="L1456"/>
    </row>
    <row r="1457" spans="12:12" x14ac:dyDescent="0.2">
      <c r="L1457"/>
    </row>
    <row r="1458" spans="12:12" x14ac:dyDescent="0.2">
      <c r="L1458"/>
    </row>
    <row r="1459" spans="12:12" x14ac:dyDescent="0.2">
      <c r="L1459"/>
    </row>
    <row r="1460" spans="12:12" x14ac:dyDescent="0.2">
      <c r="L1460"/>
    </row>
    <row r="1461" spans="12:12" x14ac:dyDescent="0.2">
      <c r="L1461"/>
    </row>
    <row r="1462" spans="12:12" x14ac:dyDescent="0.2">
      <c r="L1462"/>
    </row>
    <row r="1463" spans="12:12" x14ac:dyDescent="0.2">
      <c r="L1463"/>
    </row>
    <row r="1464" spans="12:12" x14ac:dyDescent="0.2">
      <c r="L1464"/>
    </row>
    <row r="1465" spans="12:12" x14ac:dyDescent="0.2">
      <c r="L1465"/>
    </row>
    <row r="1466" spans="12:12" x14ac:dyDescent="0.2">
      <c r="L1466"/>
    </row>
    <row r="1467" spans="12:12" x14ac:dyDescent="0.2">
      <c r="L1467"/>
    </row>
    <row r="1468" spans="12:12" x14ac:dyDescent="0.2">
      <c r="L1468"/>
    </row>
    <row r="1469" spans="12:12" x14ac:dyDescent="0.2">
      <c r="L1469"/>
    </row>
    <row r="1470" spans="12:12" x14ac:dyDescent="0.2">
      <c r="L1470"/>
    </row>
    <row r="1471" spans="12:12" x14ac:dyDescent="0.2">
      <c r="L1471"/>
    </row>
    <row r="1472" spans="12:12" x14ac:dyDescent="0.2">
      <c r="L1472"/>
    </row>
    <row r="1473" spans="12:12" x14ac:dyDescent="0.2">
      <c r="L1473"/>
    </row>
    <row r="1474" spans="12:12" x14ac:dyDescent="0.2">
      <c r="L1474"/>
    </row>
    <row r="1475" spans="12:12" x14ac:dyDescent="0.2">
      <c r="L1475"/>
    </row>
    <row r="1476" spans="12:12" x14ac:dyDescent="0.2">
      <c r="L1476"/>
    </row>
    <row r="1477" spans="12:12" x14ac:dyDescent="0.2">
      <c r="L1477"/>
    </row>
    <row r="1478" spans="12:12" x14ac:dyDescent="0.2">
      <c r="L1478"/>
    </row>
    <row r="1479" spans="12:12" x14ac:dyDescent="0.2">
      <c r="L1479"/>
    </row>
    <row r="1480" spans="12:12" x14ac:dyDescent="0.2">
      <c r="L1480"/>
    </row>
    <row r="1481" spans="12:12" x14ac:dyDescent="0.2">
      <c r="L1481"/>
    </row>
    <row r="1482" spans="12:12" x14ac:dyDescent="0.2">
      <c r="L1482"/>
    </row>
    <row r="1483" spans="12:12" x14ac:dyDescent="0.2">
      <c r="L1483"/>
    </row>
    <row r="1484" spans="12:12" x14ac:dyDescent="0.2">
      <c r="L1484"/>
    </row>
    <row r="1485" spans="12:12" x14ac:dyDescent="0.2">
      <c r="L1485"/>
    </row>
    <row r="1486" spans="12:12" x14ac:dyDescent="0.2">
      <c r="L1486"/>
    </row>
    <row r="1487" spans="12:12" x14ac:dyDescent="0.2">
      <c r="L1487"/>
    </row>
    <row r="1488" spans="12:12" x14ac:dyDescent="0.2">
      <c r="L1488"/>
    </row>
    <row r="1489" spans="12:12" x14ac:dyDescent="0.2">
      <c r="L1489"/>
    </row>
    <row r="1490" spans="12:12" x14ac:dyDescent="0.2">
      <c r="L1490"/>
    </row>
    <row r="1491" spans="12:12" x14ac:dyDescent="0.2">
      <c r="L1491"/>
    </row>
    <row r="1492" spans="12:12" x14ac:dyDescent="0.2">
      <c r="L1492"/>
    </row>
    <row r="1493" spans="12:12" x14ac:dyDescent="0.2">
      <c r="L1493"/>
    </row>
    <row r="1494" spans="12:12" x14ac:dyDescent="0.2">
      <c r="L1494"/>
    </row>
    <row r="1495" spans="12:12" x14ac:dyDescent="0.2">
      <c r="L1495"/>
    </row>
  </sheetData>
  <mergeCells count="143">
    <mergeCell ref="J774:L774"/>
    <mergeCell ref="D775:E775"/>
    <mergeCell ref="D776:E776"/>
    <mergeCell ref="D777:E777"/>
    <mergeCell ref="D705:E705"/>
    <mergeCell ref="D706:E706"/>
    <mergeCell ref="D707:E707"/>
    <mergeCell ref="D708:E708"/>
    <mergeCell ref="C774:D774"/>
    <mergeCell ref="E774:I774"/>
    <mergeCell ref="D635:E635"/>
    <mergeCell ref="D636:E636"/>
    <mergeCell ref="D637:E637"/>
    <mergeCell ref="C704:D704"/>
    <mergeCell ref="E704:I704"/>
    <mergeCell ref="J704:L704"/>
    <mergeCell ref="J564:L564"/>
    <mergeCell ref="D565:E565"/>
    <mergeCell ref="D566:E566"/>
    <mergeCell ref="D567:E567"/>
    <mergeCell ref="C634:D634"/>
    <mergeCell ref="E634:I634"/>
    <mergeCell ref="J634:L634"/>
    <mergeCell ref="D495:E495"/>
    <mergeCell ref="D496:E496"/>
    <mergeCell ref="D497:E497"/>
    <mergeCell ref="C499:E499"/>
    <mergeCell ref="C564:D564"/>
    <mergeCell ref="E564:I564"/>
    <mergeCell ref="D427:E427"/>
    <mergeCell ref="D428:E428"/>
    <mergeCell ref="C429:E429"/>
    <mergeCell ref="C494:D494"/>
    <mergeCell ref="E494:I494"/>
    <mergeCell ref="J494:L494"/>
    <mergeCell ref="C390:E390"/>
    <mergeCell ref="C424:D424"/>
    <mergeCell ref="E424:I424"/>
    <mergeCell ref="J424:L424"/>
    <mergeCell ref="D425:E425"/>
    <mergeCell ref="D426:E426"/>
    <mergeCell ref="J354:L354"/>
    <mergeCell ref="D355:E355"/>
    <mergeCell ref="D356:E356"/>
    <mergeCell ref="D357:E357"/>
    <mergeCell ref="D358:E358"/>
    <mergeCell ref="C359:E359"/>
    <mergeCell ref="D286:E286"/>
    <mergeCell ref="D287:E287"/>
    <mergeCell ref="D288:E288"/>
    <mergeCell ref="D307:E307"/>
    <mergeCell ref="C354:D354"/>
    <mergeCell ref="E354:I354"/>
    <mergeCell ref="D218:E218"/>
    <mergeCell ref="C219:E219"/>
    <mergeCell ref="C284:D284"/>
    <mergeCell ref="E284:I284"/>
    <mergeCell ref="J284:L284"/>
    <mergeCell ref="D285:E285"/>
    <mergeCell ref="C214:D214"/>
    <mergeCell ref="E214:I214"/>
    <mergeCell ref="J214:L214"/>
    <mergeCell ref="D215:E215"/>
    <mergeCell ref="D216:E216"/>
    <mergeCell ref="D217:E217"/>
    <mergeCell ref="C188:E188"/>
    <mergeCell ref="D191:E191"/>
    <mergeCell ref="C192:E192"/>
    <mergeCell ref="D193:E193"/>
    <mergeCell ref="D194:E194"/>
    <mergeCell ref="D195:E195"/>
    <mergeCell ref="D152:E152"/>
    <mergeCell ref="D153:E153"/>
    <mergeCell ref="D163:E163"/>
    <mergeCell ref="D164:E164"/>
    <mergeCell ref="D186:E186"/>
    <mergeCell ref="D187:E187"/>
    <mergeCell ref="J145:L145"/>
    <mergeCell ref="D146:E146"/>
    <mergeCell ref="D147:E147"/>
    <mergeCell ref="D148:E148"/>
    <mergeCell ref="D149:E149"/>
    <mergeCell ref="C150:E150"/>
    <mergeCell ref="D81:E81"/>
    <mergeCell ref="C82:E82"/>
    <mergeCell ref="D121:E121"/>
    <mergeCell ref="D122:E122"/>
    <mergeCell ref="C145:D145"/>
    <mergeCell ref="E145:I145"/>
    <mergeCell ref="C77:D77"/>
    <mergeCell ref="E77:I77"/>
    <mergeCell ref="J77:L77"/>
    <mergeCell ref="D78:E78"/>
    <mergeCell ref="D79:E79"/>
    <mergeCell ref="D80:E80"/>
    <mergeCell ref="D31:E31"/>
    <mergeCell ref="D32:E32"/>
    <mergeCell ref="D33:E33"/>
    <mergeCell ref="D34:E34"/>
    <mergeCell ref="C35:E35"/>
    <mergeCell ref="B22:C22"/>
    <mergeCell ref="B23:C23"/>
    <mergeCell ref="B24:C24"/>
    <mergeCell ref="B25:F25"/>
    <mergeCell ref="G25:L25"/>
    <mergeCell ref="C30:D30"/>
    <mergeCell ref="E30:I30"/>
    <mergeCell ref="J30:L30"/>
    <mergeCell ref="C18:D18"/>
    <mergeCell ref="E18:F18"/>
    <mergeCell ref="G18:J18"/>
    <mergeCell ref="K18:L18"/>
    <mergeCell ref="B20:L20"/>
    <mergeCell ref="B21:C21"/>
    <mergeCell ref="C16:D16"/>
    <mergeCell ref="E16:F16"/>
    <mergeCell ref="G16:J16"/>
    <mergeCell ref="K16:L16"/>
    <mergeCell ref="C17:D17"/>
    <mergeCell ref="E17:F17"/>
    <mergeCell ref="G17:J17"/>
    <mergeCell ref="K17:L17"/>
    <mergeCell ref="B14:C14"/>
    <mergeCell ref="D14:F14"/>
    <mergeCell ref="G14:I14"/>
    <mergeCell ref="J14:L14"/>
    <mergeCell ref="C15:D15"/>
    <mergeCell ref="E15:F15"/>
    <mergeCell ref="G15:J15"/>
    <mergeCell ref="K15:L15"/>
    <mergeCell ref="B8:L8"/>
    <mergeCell ref="C9:L9"/>
    <mergeCell ref="C10:L10"/>
    <mergeCell ref="B11:F11"/>
    <mergeCell ref="G11:L11"/>
    <mergeCell ref="B12:F12"/>
    <mergeCell ref="G12:L12"/>
    <mergeCell ref="B3:E3"/>
    <mergeCell ref="F3:L7"/>
    <mergeCell ref="B4:E4"/>
    <mergeCell ref="B5:E5"/>
    <mergeCell ref="B6:E6"/>
    <mergeCell ref="B7:E7"/>
  </mergeCells>
  <dataValidations count="13">
    <dataValidation allowBlank="1" showInputMessage="1" showErrorMessage="1" promptTitle="Input The Team Name" prompt="Some Firms have team names for fun and identification. If you have a team name please enter it here." sqref="E13" xr:uid="{6982370D-5155-461E-8FDB-09BCB9ECA88B}"/>
    <dataValidation allowBlank="1" showInputMessage="1" showErrorMessage="1" promptTitle="Name" prompt="Please enter the team members name._x000a_" sqref="D14" xr:uid="{B1E7813B-39BF-4BB9-BC34-0F3C209EF7FF}"/>
    <dataValidation allowBlank="1" showInputMessage="1" showErrorMessage="1" promptTitle="Charge Out Rate" prompt="Please enter the charge out rate for this team member, per your capacity plan." sqref="C32 C79 C147 C216 C286 C356 C426 C496 C566 C636 C706 C776" xr:uid="{FF7CF733-3B75-4985-89C4-9A3906CB1198}"/>
    <dataValidation allowBlank="1" showInputMessage="1" showErrorMessage="1" promptTitle="Working Days In Month" prompt="Please enter the working days for this month, taking into account any annual leave, public holidays or training days away from working days." sqref="D32:E32 D79:E79 D147:E147 D216:E216 D286:E286 D356:E356 D426:E426 D496:E496 D566:E566 D636:E636 D706:E706 D776:E776" xr:uid="{2D0B6D2E-71C3-4CA3-839F-CE1E8C5AA7DB}"/>
    <dataValidation allowBlank="1" showInputMessage="1" showErrorMessage="1" promptTitle="Productivity %" prompt="Please enter this team members productivity %." sqref="F32 F79 F147 F216 F286 F356 F426 F496 F566 F636 F706 F776" xr:uid="{CE921F0A-58FB-4A7A-AB01-F17DC1662C41}"/>
    <dataValidation allowBlank="1" showInputMessage="1" showErrorMessage="1" promptTitle="Hours Per Day" prompt="Please enter the hours per day this team member works" sqref="G32 G79 G147 G216 G286 G356 G426 G496 G566 G636 G706 G776" xr:uid="{A9B1D7E1-280E-4E16-92D0-2F474908131D}"/>
    <dataValidation allowBlank="1" showInputMessage="1" showErrorMessage="1" promptTitle="Month" prompt="Enter the first month of your financial year" sqref="E30 E77 E145 E214 E284 E354 E424 E494 E564 E634 E704 E774" xr:uid="{4F13E911-D0A2-45D3-A3FF-CE8BB988DD64}"/>
    <dataValidation allowBlank="1" showInputMessage="1" showErrorMessage="1" promptTitle="Entity Group or Client Name" prompt="Enter the Entity Group name or the Client Name or Job name." sqref="C65 C193:C207 C191 C296:C300 C171 C34 C149 C218 C288 C358 C428 C697 C708 C81 C436:C452 C526:C535 C234:C251 C627 C103 C715:C729 C128:C131 C133:C137 C258 C596:C599 C229 C262:C277 C462:C477 C366:C380 C578:C587 C540:C557 C347 C508:C517 C506 C576 C665:C669 C648:C656 C646 C84:C95 C105:C119 C152:C163 C173:C187 C253:C256 C786:C805 C37:C63" xr:uid="{958097D9-53CC-44E1-A932-5E4D7AC8F456}"/>
    <dataValidation allowBlank="1" showInputMessage="1" showErrorMessage="1" promptTitle="Job Price or Fees Charged" prompt="Enter the job price or Fees charged to the client." sqref="F123:F125 F829:F837 F506 F306 F457:F477 F385:F417 F358:F383 F428:F455 F508:F535 F498:F504 F570:F574 F576 F627 F646 F641:F644 F34:F36 F780:F827 F81:F121 F149:F207 F218:F277 F288:F304 F308:F347 F539:F557 F578:F622 F648:F697 F708:F733 F735:F767 F49:F69" xr:uid="{B81B35A2-C815-444F-8335-5431219491CD}"/>
    <dataValidation allowBlank="1" showInputMessage="1" showErrorMessage="1" promptTitle="Team Member Completion %" prompt="This will be 100% if the team member can complete all the job without help. 80% if most of it. This will depend on the job complexity, the team member's ability and experience, whether or not they have done it before and the quality of the bookkeeping. " sqref="H521 G358:G417 H591 G627 H660 G780:G837 G81:G138 G149:G207 G218:G277 G288:G347 G428:G487 G498:G557 G570:G622 G641:G697 G708:G767 G34:G69" xr:uid="{9A4CECBC-7894-46F5-8AB9-97A78C827043}"/>
    <dataValidation allowBlank="1" showInputMessage="1" showErrorMessage="1" promptTitle="Pricing or Efficiency Override" prompt="Some jobs are priced high &amp; others the bookkeeping maybe done by your firm and be well prepared. So to complete them based on a charge out rate would allow far too many hours. To reduce hours drop below100%. Training on the job,would increase above 100%." sqref="H522:H557 H288:H347 H498:H520 H570:H590 H641:H659 H780:H837 H81:H138 H149:H207 H218:H277 H358:H417 H428:H487 H592:H627 H661:H697 H708:H767 H34:H69" xr:uid="{2B4795C4-7ED9-47A5-A5E6-713342B467AE}"/>
    <dataValidation allowBlank="1" showInputMessage="1" showErrorMessage="1" promptTitle="Notes" prompt="Make any notes about this job. For example if training is needed for the Team Member or the level of quality of the bookkeeping." sqref="D193:E207 D191:E191 D827:E837 D34:E34 D149:E149 D218:E218 D358:E358 D428:E428 D708:E729 D81:E81 D498:E498 D519:E519 D222:E251 D430:E452 D288:E300 D360:E380 D596:E599 D607:E622 D733:E767 D526:E557 D391:E417 D508:E517 D500:E504 D506:E506 D627:E627 D570:E574 D589:E589 D578:E587 D576:E576 D665:E669 D641:E644 D658:E658 D648:E656 D646:E646 D84:E121 D152:E187 D253:E277 D304:E347 D462:E487 D676:E697 D780:E805 D37:E69" xr:uid="{70A73EA5-28D1-43D2-8E8E-F4A45631B5A5}"/>
    <dataValidation allowBlank="1" showInputMessage="1" showErrorMessage="1" promptTitle="Annual Fees Budget" prompt="Enter the team members annual fees budget. Get this from your Capacity Planner (Wize Step 7.)" sqref="E16" xr:uid="{93D3E21B-994B-4575-9028-53AA44A24F96}"/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89E6-3C1E-42C3-A5CF-835F37E4EB1D}">
  <sheetPr>
    <tabColor rgb="FF9999FF"/>
  </sheetPr>
  <dimension ref="A1:T1496"/>
  <sheetViews>
    <sheetView topLeftCell="A33" workbookViewId="0">
      <selection activeCell="C48" sqref="C48"/>
    </sheetView>
  </sheetViews>
  <sheetFormatPr defaultRowHeight="15" x14ac:dyDescent="0.2"/>
  <cols>
    <col min="2" max="2" width="3.765625" bestFit="1" customWidth="1"/>
    <col min="3" max="3" width="19.234375" customWidth="1"/>
    <col min="4" max="4" width="11.97265625" customWidth="1"/>
    <col min="5" max="5" width="13.1796875" customWidth="1"/>
    <col min="6" max="6" width="17.62109375" bestFit="1" customWidth="1"/>
    <col min="7" max="7" width="12.375" customWidth="1"/>
    <col min="8" max="8" width="13.5859375" customWidth="1"/>
    <col min="9" max="9" width="15.87109375" customWidth="1"/>
    <col min="10" max="10" width="11.97265625" customWidth="1"/>
    <col min="11" max="11" width="14.125" customWidth="1"/>
    <col min="12" max="12" width="19.50390625" style="118" customWidth="1"/>
  </cols>
  <sheetData>
    <row r="1" spans="2:12" x14ac:dyDescent="0.2">
      <c r="L1"/>
    </row>
    <row r="2" spans="2:12" s="1" customFormat="1" ht="12.75" x14ac:dyDescent="0.15"/>
    <row r="3" spans="2:12" s="1" customFormat="1" ht="22.5" customHeight="1" x14ac:dyDescent="0.15">
      <c r="B3" s="347"/>
      <c r="C3" s="347"/>
      <c r="D3" s="347"/>
      <c r="E3" s="347"/>
      <c r="F3" s="348" t="s">
        <v>79</v>
      </c>
      <c r="G3" s="349"/>
      <c r="H3" s="349"/>
      <c r="I3" s="349"/>
      <c r="J3" s="349"/>
      <c r="K3" s="349"/>
      <c r="L3" s="350"/>
    </row>
    <row r="4" spans="2:12" s="1" customFormat="1" ht="13.35" customHeight="1" x14ac:dyDescent="0.15">
      <c r="B4" s="357"/>
      <c r="C4" s="358"/>
      <c r="D4" s="358"/>
      <c r="E4" s="359"/>
      <c r="F4" s="351"/>
      <c r="G4" s="352"/>
      <c r="H4" s="352"/>
      <c r="I4" s="352"/>
      <c r="J4" s="352"/>
      <c r="K4" s="352"/>
      <c r="L4" s="353"/>
    </row>
    <row r="5" spans="2:12" s="1" customFormat="1" ht="13.35" customHeight="1" x14ac:dyDescent="0.15">
      <c r="B5" s="357"/>
      <c r="C5" s="358"/>
      <c r="D5" s="358"/>
      <c r="E5" s="359"/>
      <c r="F5" s="351"/>
      <c r="G5" s="352"/>
      <c r="H5" s="352"/>
      <c r="I5" s="352"/>
      <c r="J5" s="352"/>
      <c r="K5" s="352"/>
      <c r="L5" s="353"/>
    </row>
    <row r="6" spans="2:12" s="1" customFormat="1" ht="13.35" customHeight="1" x14ac:dyDescent="0.15">
      <c r="B6" s="357"/>
      <c r="C6" s="358"/>
      <c r="D6" s="358"/>
      <c r="E6" s="359"/>
      <c r="F6" s="351"/>
      <c r="G6" s="352"/>
      <c r="H6" s="352"/>
      <c r="I6" s="352"/>
      <c r="J6" s="352"/>
      <c r="K6" s="352"/>
      <c r="L6" s="353"/>
    </row>
    <row r="7" spans="2:12" s="1" customFormat="1" ht="27.75" customHeight="1" x14ac:dyDescent="0.15">
      <c r="B7" s="360"/>
      <c r="C7" s="361"/>
      <c r="D7" s="361"/>
      <c r="E7" s="362"/>
      <c r="F7" s="354"/>
      <c r="G7" s="355"/>
      <c r="H7" s="355"/>
      <c r="I7" s="355"/>
      <c r="J7" s="355"/>
      <c r="K7" s="355"/>
      <c r="L7" s="356"/>
    </row>
    <row r="8" spans="2:12" s="1" customFormat="1" ht="25.5" x14ac:dyDescent="0.15">
      <c r="B8" s="331" t="s">
        <v>80</v>
      </c>
      <c r="C8" s="332"/>
      <c r="D8" s="332"/>
      <c r="E8" s="332"/>
      <c r="F8" s="332"/>
      <c r="G8" s="332"/>
      <c r="H8" s="332"/>
      <c r="I8" s="332"/>
      <c r="J8" s="332"/>
      <c r="K8" s="332"/>
      <c r="L8" s="333"/>
    </row>
    <row r="9" spans="2:12" s="1" customFormat="1" ht="25.5" x14ac:dyDescent="0.15">
      <c r="B9" s="3"/>
      <c r="C9" s="334"/>
      <c r="D9" s="334"/>
      <c r="E9" s="334"/>
      <c r="F9" s="334"/>
      <c r="G9" s="334"/>
      <c r="H9" s="334"/>
      <c r="I9" s="334"/>
      <c r="J9" s="334"/>
      <c r="K9" s="334"/>
      <c r="L9" s="335"/>
    </row>
    <row r="10" spans="2:12" s="4" customFormat="1" ht="25.5" x14ac:dyDescent="0.15">
      <c r="B10" s="3"/>
      <c r="C10" s="336" t="s">
        <v>81</v>
      </c>
      <c r="D10" s="336"/>
      <c r="E10" s="336"/>
      <c r="F10" s="336"/>
      <c r="G10" s="336"/>
      <c r="H10" s="336"/>
      <c r="I10" s="336"/>
      <c r="J10" s="336"/>
      <c r="K10" s="337"/>
      <c r="L10" s="338"/>
    </row>
    <row r="11" spans="2:12" s="5" customFormat="1" ht="16.350000000000001" customHeight="1" x14ac:dyDescent="0.2">
      <c r="B11" s="339" t="s">
        <v>82</v>
      </c>
      <c r="C11" s="340"/>
      <c r="D11" s="340"/>
      <c r="E11" s="340"/>
      <c r="F11" s="341"/>
      <c r="G11" s="342" t="s">
        <v>271</v>
      </c>
      <c r="H11" s="343"/>
      <c r="I11" s="343"/>
      <c r="J11" s="343"/>
      <c r="K11" s="343"/>
      <c r="L11" s="344"/>
    </row>
    <row r="12" spans="2:12" s="5" customFormat="1" ht="16.350000000000001" customHeight="1" x14ac:dyDescent="0.2">
      <c r="B12" s="345" t="s">
        <v>84</v>
      </c>
      <c r="C12" s="345"/>
      <c r="D12" s="345"/>
      <c r="E12" s="345"/>
      <c r="F12" s="345"/>
      <c r="G12" s="346" t="s">
        <v>272</v>
      </c>
      <c r="H12" s="346"/>
      <c r="I12" s="346"/>
      <c r="J12" s="346"/>
      <c r="K12" s="346"/>
      <c r="L12" s="346"/>
    </row>
    <row r="13" spans="2:12" s="5" customFormat="1" ht="16.350000000000001" customHeight="1" x14ac:dyDescent="0.2">
      <c r="B13" s="240"/>
      <c r="C13" s="237"/>
      <c r="D13" s="237"/>
      <c r="E13" s="238"/>
      <c r="F13" s="238"/>
      <c r="G13" s="238"/>
      <c r="H13" s="238"/>
      <c r="I13" s="238"/>
      <c r="J13" s="238"/>
      <c r="L13" s="241"/>
    </row>
    <row r="14" spans="2:12" s="5" customFormat="1" ht="15.4" customHeight="1" x14ac:dyDescent="0.2">
      <c r="B14" s="373" t="s">
        <v>86</v>
      </c>
      <c r="C14" s="373"/>
      <c r="D14" s="374" t="s">
        <v>273</v>
      </c>
      <c r="E14" s="374"/>
      <c r="F14" s="374"/>
      <c r="G14" s="373" t="s">
        <v>88</v>
      </c>
      <c r="H14" s="373"/>
      <c r="I14" s="373"/>
      <c r="J14" s="374" t="s">
        <v>274</v>
      </c>
      <c r="K14" s="374"/>
      <c r="L14" s="374"/>
    </row>
    <row r="15" spans="2:12" s="1" customFormat="1" ht="14.25" customHeight="1" x14ac:dyDescent="0.15">
      <c r="B15" s="236"/>
      <c r="C15" s="375" t="s">
        <v>90</v>
      </c>
      <c r="D15" s="375"/>
      <c r="E15" s="376" t="s">
        <v>91</v>
      </c>
      <c r="F15" s="376"/>
      <c r="G15" s="377" t="s">
        <v>90</v>
      </c>
      <c r="H15" s="377"/>
      <c r="I15" s="377"/>
      <c r="J15" s="377"/>
      <c r="K15" s="378" t="s">
        <v>92</v>
      </c>
      <c r="L15" s="378"/>
    </row>
    <row r="16" spans="2:12" s="1" customFormat="1" ht="13.5" customHeight="1" x14ac:dyDescent="0.15">
      <c r="B16" s="82"/>
      <c r="C16" s="363" t="s">
        <v>93</v>
      </c>
      <c r="D16" s="364"/>
      <c r="E16" s="365">
        <f>50512*12</f>
        <v>606144</v>
      </c>
      <c r="F16" s="366"/>
      <c r="G16" s="363" t="s">
        <v>94</v>
      </c>
      <c r="H16" s="367"/>
      <c r="I16" s="367"/>
      <c r="J16" s="364"/>
      <c r="K16" s="368">
        <f>E16/C32</f>
        <v>2424.576</v>
      </c>
      <c r="L16" s="369"/>
    </row>
    <row r="17" spans="2:12" s="1" customFormat="1" ht="13.5" customHeight="1" x14ac:dyDescent="0.15">
      <c r="B17" s="82"/>
      <c r="C17" s="370" t="s">
        <v>95</v>
      </c>
      <c r="D17" s="370"/>
      <c r="E17" s="371">
        <f>+I71+I140+I209+I279+I349+I419+I489+I559+I629+I699+I769+I839</f>
        <v>17076.654782608697</v>
      </c>
      <c r="F17" s="371"/>
      <c r="G17" s="370" t="s">
        <v>96</v>
      </c>
      <c r="H17" s="370"/>
      <c r="I17" s="370"/>
      <c r="J17" s="370"/>
      <c r="K17" s="372">
        <f>+J71+J140+J209+J279+J349+J419+J489+J559+J629+J699+J769+J839</f>
        <v>68.306619130434797</v>
      </c>
      <c r="L17" s="372"/>
    </row>
    <row r="18" spans="2:12" s="1" customFormat="1" ht="12.75" customHeight="1" x14ac:dyDescent="0.15">
      <c r="B18" s="82"/>
      <c r="C18" s="370" t="s">
        <v>97</v>
      </c>
      <c r="D18" s="370"/>
      <c r="E18" s="383">
        <f>E17-E16</f>
        <v>-589067.34521739127</v>
      </c>
      <c r="F18" s="383"/>
      <c r="G18" s="370" t="s">
        <v>97</v>
      </c>
      <c r="H18" s="370"/>
      <c r="I18" s="370"/>
      <c r="J18" s="370"/>
      <c r="K18" s="384">
        <f>K17-K16</f>
        <v>-2356.2693808695653</v>
      </c>
      <c r="L18" s="384"/>
    </row>
    <row r="19" spans="2:12" s="1" customFormat="1" ht="12.75" x14ac:dyDescent="0.15">
      <c r="B19" s="244"/>
      <c r="C19" s="225"/>
      <c r="D19" s="243"/>
      <c r="G19" s="225"/>
      <c r="H19" s="225"/>
      <c r="I19" s="225"/>
      <c r="J19" s="228"/>
      <c r="L19" s="246"/>
    </row>
    <row r="20" spans="2:12" s="1" customFormat="1" ht="14.25" customHeight="1" x14ac:dyDescent="0.15">
      <c r="B20" s="385" t="s">
        <v>98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</row>
    <row r="21" spans="2:12" s="1" customFormat="1" ht="12.75" x14ac:dyDescent="0.15">
      <c r="B21" s="386"/>
      <c r="C21" s="387"/>
      <c r="D21" s="245" t="s">
        <v>99</v>
      </c>
      <c r="E21" s="6">
        <f>J32</f>
        <v>57.693380869565203</v>
      </c>
      <c r="F21" s="234" t="s">
        <v>100</v>
      </c>
      <c r="G21" s="6">
        <f>+J217</f>
        <v>114</v>
      </c>
      <c r="H21" s="234" t="s">
        <v>101</v>
      </c>
      <c r="I21" s="6">
        <f>+J427</f>
        <v>126</v>
      </c>
      <c r="J21" s="234" t="s">
        <v>102</v>
      </c>
      <c r="K21" s="6">
        <f>+J637</f>
        <v>138</v>
      </c>
      <c r="L21" s="82"/>
    </row>
    <row r="22" spans="2:12" s="1" customFormat="1" ht="12.75" x14ac:dyDescent="0.15">
      <c r="B22" s="386"/>
      <c r="C22" s="387"/>
      <c r="D22" s="235" t="s">
        <v>103</v>
      </c>
      <c r="E22" s="6">
        <f>+J80</f>
        <v>120</v>
      </c>
      <c r="F22" s="234" t="s">
        <v>104</v>
      </c>
      <c r="G22" s="6">
        <f>+J287</f>
        <v>132</v>
      </c>
      <c r="H22" s="234" t="s">
        <v>105</v>
      </c>
      <c r="I22" s="6">
        <f>J497</f>
        <v>126</v>
      </c>
      <c r="J22" s="234" t="s">
        <v>106</v>
      </c>
      <c r="K22" s="6">
        <f>+J707</f>
        <v>120</v>
      </c>
      <c r="L22" s="82"/>
    </row>
    <row r="23" spans="2:12" s="1" customFormat="1" ht="12.75" x14ac:dyDescent="0.15">
      <c r="B23" s="386"/>
      <c r="C23" s="387"/>
      <c r="D23" s="235" t="s">
        <v>107</v>
      </c>
      <c r="E23" s="6">
        <f>+J148</f>
        <v>126</v>
      </c>
      <c r="F23" s="234" t="s">
        <v>108</v>
      </c>
      <c r="G23" s="6">
        <f>+J357</f>
        <v>120</v>
      </c>
      <c r="H23" s="234" t="s">
        <v>109</v>
      </c>
      <c r="I23" s="6">
        <f>+J567</f>
        <v>126</v>
      </c>
      <c r="J23" s="234" t="s">
        <v>110</v>
      </c>
      <c r="K23" s="6">
        <f>+J777</f>
        <v>120</v>
      </c>
      <c r="L23" s="82"/>
    </row>
    <row r="24" spans="2:12" s="1" customFormat="1" ht="12.75" x14ac:dyDescent="0.15">
      <c r="B24" s="386"/>
      <c r="C24" s="387"/>
      <c r="D24" s="235"/>
      <c r="E24" s="6"/>
      <c r="F24" s="234"/>
      <c r="G24" s="6"/>
      <c r="H24" s="234"/>
      <c r="I24" s="6"/>
      <c r="J24" s="234"/>
      <c r="K24" s="6"/>
      <c r="L24" s="82"/>
    </row>
    <row r="25" spans="2:12" s="1" customFormat="1" ht="13.5" customHeight="1" x14ac:dyDescent="0.15">
      <c r="B25" s="385" t="s">
        <v>111</v>
      </c>
      <c r="C25" s="385"/>
      <c r="D25" s="385"/>
      <c r="E25" s="385"/>
      <c r="F25" s="385"/>
      <c r="G25" s="379">
        <f>SUM(E21:E23)+SUM(G21:G23)+SUM(I21:I23)+SUM(K21:K23)</f>
        <v>1425.6933808695653</v>
      </c>
      <c r="H25" s="379"/>
      <c r="I25" s="379"/>
      <c r="J25" s="379"/>
      <c r="K25" s="379"/>
      <c r="L25" s="379"/>
    </row>
    <row r="26" spans="2:12" s="1" customFormat="1" ht="13.5" customHeight="1" x14ac:dyDescent="0.15">
      <c r="C26" s="225"/>
      <c r="D26" s="226"/>
      <c r="G26" s="227"/>
      <c r="H26" s="227"/>
      <c r="I26" s="227"/>
      <c r="J26" s="228"/>
    </row>
    <row r="27" spans="2:12" s="1" customFormat="1" ht="13.5" customHeight="1" x14ac:dyDescent="0.15">
      <c r="C27" s="225"/>
      <c r="D27" s="226"/>
      <c r="G27" s="227"/>
      <c r="H27" s="227"/>
      <c r="I27" s="227"/>
      <c r="J27" s="228"/>
    </row>
    <row r="28" spans="2:12" s="1" customFormat="1" ht="13.5" customHeight="1" x14ac:dyDescent="0.15">
      <c r="C28" s="225"/>
      <c r="D28" s="226"/>
      <c r="G28" s="227"/>
      <c r="H28" s="227"/>
      <c r="I28" s="227"/>
      <c r="J28" s="228"/>
    </row>
    <row r="29" spans="2:12" s="1" customFormat="1" ht="13.5" customHeight="1" x14ac:dyDescent="0.15">
      <c r="C29" s="225"/>
      <c r="D29" s="226"/>
      <c r="G29" s="227"/>
      <c r="H29" s="227"/>
      <c r="I29" s="227"/>
      <c r="J29" s="228"/>
    </row>
    <row r="30" spans="2:12" s="247" customFormat="1" ht="32.25" x14ac:dyDescent="0.4">
      <c r="B30" s="248"/>
      <c r="C30" s="380" t="s">
        <v>112</v>
      </c>
      <c r="D30" s="380"/>
      <c r="E30" s="381" t="s">
        <v>113</v>
      </c>
      <c r="F30" s="381"/>
      <c r="G30" s="381"/>
      <c r="H30" s="381"/>
      <c r="I30" s="381"/>
      <c r="J30" s="382">
        <v>2026</v>
      </c>
      <c r="K30" s="382"/>
      <c r="L30" s="382"/>
    </row>
    <row r="31" spans="2:12" s="1" customFormat="1" ht="22.5" x14ac:dyDescent="0.15">
      <c r="B31" s="82"/>
      <c r="C31" s="102" t="s">
        <v>114</v>
      </c>
      <c r="D31" s="388" t="s">
        <v>115</v>
      </c>
      <c r="E31" s="388"/>
      <c r="F31" s="102" t="s">
        <v>116</v>
      </c>
      <c r="G31" s="102" t="s">
        <v>117</v>
      </c>
      <c r="H31" s="102" t="s">
        <v>118</v>
      </c>
      <c r="I31" s="102" t="s">
        <v>119</v>
      </c>
      <c r="J31" s="102" t="s">
        <v>120</v>
      </c>
      <c r="K31" s="82"/>
      <c r="L31" s="82"/>
    </row>
    <row r="32" spans="2:12" s="1" customFormat="1" ht="12.75" x14ac:dyDescent="0.15">
      <c r="B32" s="82"/>
      <c r="C32" s="229">
        <v>250</v>
      </c>
      <c r="D32" s="389">
        <v>21</v>
      </c>
      <c r="E32" s="389"/>
      <c r="F32" s="7">
        <v>0.75</v>
      </c>
      <c r="G32" s="8">
        <v>8</v>
      </c>
      <c r="H32" s="142">
        <f>D32*G32*F32</f>
        <v>126</v>
      </c>
      <c r="I32" s="66">
        <f>I71</f>
        <v>17076.654782608697</v>
      </c>
      <c r="J32" s="143">
        <f>H32-J71</f>
        <v>57.693380869565203</v>
      </c>
      <c r="K32" s="82"/>
      <c r="L32" s="82"/>
    </row>
    <row r="33" spans="1:12" s="1" customFormat="1" ht="33.75" x14ac:dyDescent="0.15">
      <c r="B33" s="120"/>
      <c r="C33" s="230" t="s">
        <v>121</v>
      </c>
      <c r="D33" s="390" t="s">
        <v>122</v>
      </c>
      <c r="E33" s="390"/>
      <c r="F33" s="231" t="s">
        <v>123</v>
      </c>
      <c r="G33" s="232" t="s">
        <v>124</v>
      </c>
      <c r="H33" s="233" t="s">
        <v>125</v>
      </c>
      <c r="I33" s="233" t="s">
        <v>126</v>
      </c>
      <c r="J33" s="232" t="s">
        <v>127</v>
      </c>
      <c r="K33" s="123" t="s">
        <v>128</v>
      </c>
      <c r="L33" s="114" t="s">
        <v>129</v>
      </c>
    </row>
    <row r="34" spans="1:12" s="1" customFormat="1" ht="12.75" x14ac:dyDescent="0.15">
      <c r="B34" s="82"/>
      <c r="C34" s="89"/>
      <c r="D34" s="391"/>
      <c r="E34" s="391"/>
      <c r="F34" s="184"/>
      <c r="G34" s="92"/>
      <c r="H34" s="92"/>
      <c r="I34" s="93"/>
      <c r="J34" s="94"/>
      <c r="K34" s="82"/>
      <c r="L34" s="82"/>
    </row>
    <row r="35" spans="1:12" s="1" customFormat="1" ht="12.75" x14ac:dyDescent="0.15">
      <c r="B35" s="82"/>
      <c r="C35" s="392" t="s">
        <v>130</v>
      </c>
      <c r="D35" s="392"/>
      <c r="E35" s="392"/>
      <c r="F35" s="184"/>
      <c r="G35" s="92"/>
      <c r="H35" s="92"/>
      <c r="I35" s="93"/>
      <c r="J35" s="94"/>
      <c r="K35" s="82"/>
      <c r="L35" s="82"/>
    </row>
    <row r="36" spans="1:12" s="1" customFormat="1" ht="12.75" x14ac:dyDescent="0.15">
      <c r="B36" s="82"/>
      <c r="C36" s="167" t="s">
        <v>131</v>
      </c>
      <c r="D36" s="167"/>
      <c r="E36" s="167"/>
      <c r="F36" s="184"/>
      <c r="G36" s="92"/>
      <c r="H36" s="92"/>
      <c r="I36" s="93"/>
      <c r="J36" s="94"/>
      <c r="K36" s="82"/>
      <c r="L36" s="82"/>
    </row>
    <row r="37" spans="1:12" s="1" customFormat="1" ht="12.75" customHeight="1" x14ac:dyDescent="0.15">
      <c r="B37" s="82">
        <v>1</v>
      </c>
      <c r="C37" s="203" t="s">
        <v>47</v>
      </c>
      <c r="D37" s="90"/>
      <c r="E37" s="90"/>
      <c r="F37" s="65">
        <f>'Work Component  Split'!F40</f>
        <v>1572.1</v>
      </c>
      <c r="G37" s="92">
        <f>'Work Component  Split'!I40</f>
        <v>0.50000138280837325</v>
      </c>
      <c r="H37" s="92">
        <v>1</v>
      </c>
      <c r="I37" s="218">
        <f>J37*$C$32</f>
        <v>786.05217391304359</v>
      </c>
      <c r="J37" s="271">
        <f>(F37*G37*H37)/$C$32</f>
        <v>3.1442086956521744</v>
      </c>
      <c r="K37" s="82"/>
      <c r="L37" s="82"/>
    </row>
    <row r="38" spans="1:12" s="1" customFormat="1" ht="12.75" customHeight="1" x14ac:dyDescent="0.15">
      <c r="B38" s="82">
        <v>2</v>
      </c>
      <c r="C38" s="203" t="s">
        <v>48</v>
      </c>
      <c r="D38" s="90"/>
      <c r="E38" s="90"/>
      <c r="F38" s="65">
        <f>'Work Component  Split'!F41</f>
        <v>2596.5100000000002</v>
      </c>
      <c r="G38" s="92">
        <f>'Work Component  Split'!I41</f>
        <v>0.49999958137787964</v>
      </c>
      <c r="H38" s="92">
        <v>1</v>
      </c>
      <c r="I38" s="218">
        <f t="shared" ref="I38:I49" si="0">J38*$C$32</f>
        <v>1298.2539130434784</v>
      </c>
      <c r="J38" s="271">
        <f t="shared" ref="J38:J49" si="1">(F38*G38*H38)/$C$32</f>
        <v>5.1930156521739139</v>
      </c>
      <c r="K38" s="82"/>
      <c r="L38" s="82"/>
    </row>
    <row r="39" spans="1:12" s="1" customFormat="1" ht="12.75" customHeight="1" x14ac:dyDescent="0.15">
      <c r="B39" s="82">
        <v>3</v>
      </c>
      <c r="C39" s="203" t="s">
        <v>49</v>
      </c>
      <c r="D39" s="90"/>
      <c r="E39" s="90"/>
      <c r="F39" s="65">
        <f>'Work Component  Split'!F42</f>
        <v>2028.52</v>
      </c>
      <c r="G39" s="92">
        <f>'Work Component  Split'!I42</f>
        <v>0.50000042866977779</v>
      </c>
      <c r="H39" s="92">
        <v>1</v>
      </c>
      <c r="I39" s="218">
        <f t="shared" si="0"/>
        <v>1014.2608695652176</v>
      </c>
      <c r="J39" s="271">
        <f t="shared" si="1"/>
        <v>4.0570434782608702</v>
      </c>
      <c r="K39" s="82"/>
      <c r="L39" s="82"/>
    </row>
    <row r="40" spans="1:12" s="1" customFormat="1" ht="12.75" customHeight="1" x14ac:dyDescent="0.15">
      <c r="B40" s="82">
        <v>4</v>
      </c>
      <c r="C40" s="203" t="s">
        <v>50</v>
      </c>
      <c r="D40" s="90"/>
      <c r="E40" s="90"/>
      <c r="F40" s="65">
        <f>'Work Component  Split'!F43</f>
        <v>2943</v>
      </c>
      <c r="G40" s="92">
        <f>'Work Component  Split'!I43</f>
        <v>0.5</v>
      </c>
      <c r="H40" s="92">
        <v>1</v>
      </c>
      <c r="I40" s="218">
        <f t="shared" si="0"/>
        <v>1471.5</v>
      </c>
      <c r="J40" s="271">
        <f t="shared" si="1"/>
        <v>5.8860000000000001</v>
      </c>
      <c r="K40" s="82"/>
      <c r="L40" s="82"/>
    </row>
    <row r="41" spans="1:12" s="1" customFormat="1" ht="12.75" customHeight="1" x14ac:dyDescent="0.15">
      <c r="B41" s="82">
        <v>5</v>
      </c>
      <c r="C41" s="203" t="s">
        <v>51</v>
      </c>
      <c r="D41" s="90"/>
      <c r="E41" s="90"/>
      <c r="F41" s="65">
        <f>'Work Component  Split'!F44</f>
        <v>2272.6999999999998</v>
      </c>
      <c r="G41" s="92">
        <f>'Work Component  Split'!I44</f>
        <v>0.40495790297309664</v>
      </c>
      <c r="H41" s="92">
        <v>1</v>
      </c>
      <c r="I41" s="218">
        <f t="shared" si="0"/>
        <v>920.34782608695662</v>
      </c>
      <c r="J41" s="271">
        <f t="shared" si="1"/>
        <v>3.6813913043478266</v>
      </c>
      <c r="K41" s="82"/>
      <c r="L41" s="82"/>
    </row>
    <row r="42" spans="1:12" s="1" customFormat="1" ht="12.75" customHeight="1" x14ac:dyDescent="0.15">
      <c r="B42" s="82">
        <v>6</v>
      </c>
      <c r="C42" s="203" t="s">
        <v>52</v>
      </c>
      <c r="D42" s="90"/>
      <c r="E42" s="90"/>
      <c r="F42" s="65">
        <f>'Work Component  Split'!F45</f>
        <v>2916</v>
      </c>
      <c r="G42" s="92">
        <f>'Work Component  Split'!I45</f>
        <v>0.50000000000000011</v>
      </c>
      <c r="H42" s="92">
        <v>1</v>
      </c>
      <c r="I42" s="218">
        <f t="shared" si="0"/>
        <v>1458.0000000000002</v>
      </c>
      <c r="J42" s="271">
        <f t="shared" si="1"/>
        <v>5.8320000000000007</v>
      </c>
      <c r="K42" s="82"/>
      <c r="L42" s="82"/>
    </row>
    <row r="43" spans="1:12" s="1" customFormat="1" ht="12.75" customHeight="1" x14ac:dyDescent="0.15">
      <c r="A43" s="310" t="s">
        <v>275</v>
      </c>
      <c r="B43" s="82">
        <v>7</v>
      </c>
      <c r="C43" s="203" t="s">
        <v>53</v>
      </c>
      <c r="D43" s="90"/>
      <c r="E43" s="90"/>
      <c r="F43" s="65">
        <f>'Work Component  Split'!F46</f>
        <v>3888</v>
      </c>
      <c r="G43" s="92">
        <f>'Work Component  Split'!I46</f>
        <v>0.5</v>
      </c>
      <c r="H43" s="92">
        <v>1</v>
      </c>
      <c r="I43" s="218">
        <f t="shared" si="0"/>
        <v>1944</v>
      </c>
      <c r="J43" s="271">
        <f t="shared" si="1"/>
        <v>7.7759999999999998</v>
      </c>
      <c r="K43" s="82"/>
      <c r="L43" s="82"/>
    </row>
    <row r="44" spans="1:12" s="1" customFormat="1" ht="12.75" customHeight="1" x14ac:dyDescent="0.15">
      <c r="A44" s="310" t="s">
        <v>276</v>
      </c>
      <c r="B44" s="82">
        <v>8</v>
      </c>
      <c r="C44" s="203" t="s">
        <v>54</v>
      </c>
      <c r="D44" s="90"/>
      <c r="E44" s="90"/>
      <c r="F44" s="65">
        <f>'Work Component  Split'!F47</f>
        <v>2916</v>
      </c>
      <c r="G44" s="92">
        <f>'Work Component  Split'!I47</f>
        <v>0.50000000000000011</v>
      </c>
      <c r="H44" s="92">
        <v>1</v>
      </c>
      <c r="I44" s="218">
        <f t="shared" si="0"/>
        <v>1458.0000000000002</v>
      </c>
      <c r="J44" s="271">
        <f t="shared" si="1"/>
        <v>5.8320000000000007</v>
      </c>
      <c r="K44" s="82"/>
      <c r="L44" s="82"/>
    </row>
    <row r="45" spans="1:12" s="1" customFormat="1" ht="12.75" customHeight="1" x14ac:dyDescent="0.15">
      <c r="B45" s="82">
        <v>9</v>
      </c>
      <c r="C45" s="203" t="s">
        <v>55</v>
      </c>
      <c r="D45" s="90"/>
      <c r="E45" s="90"/>
      <c r="F45" s="65">
        <f>'Work Component  Split'!F48</f>
        <v>4180</v>
      </c>
      <c r="G45" s="92">
        <f>'Work Component  Split'!I48</f>
        <v>0.45215311004784692</v>
      </c>
      <c r="H45" s="92">
        <v>1</v>
      </c>
      <c r="I45" s="218">
        <f t="shared" si="0"/>
        <v>1890.0000000000002</v>
      </c>
      <c r="J45" s="271">
        <f t="shared" si="1"/>
        <v>7.5600000000000005</v>
      </c>
      <c r="K45" s="82"/>
      <c r="L45" s="82"/>
    </row>
    <row r="46" spans="1:12" s="1" customFormat="1" ht="12.75" customHeight="1" x14ac:dyDescent="0.15">
      <c r="B46" s="82">
        <v>10</v>
      </c>
      <c r="C46" s="203" t="s">
        <v>56</v>
      </c>
      <c r="D46" s="90"/>
      <c r="E46" s="90"/>
      <c r="F46" s="65">
        <f>'Work Component  Split'!F49</f>
        <v>1890</v>
      </c>
      <c r="G46" s="92">
        <f>'Work Component  Split'!I49</f>
        <v>0.50000000000000011</v>
      </c>
      <c r="H46" s="92">
        <v>1</v>
      </c>
      <c r="I46" s="218">
        <f t="shared" si="0"/>
        <v>945.00000000000023</v>
      </c>
      <c r="J46" s="271">
        <f t="shared" si="1"/>
        <v>3.7800000000000007</v>
      </c>
      <c r="K46" s="82"/>
      <c r="L46" s="82"/>
    </row>
    <row r="47" spans="1:12" s="1" customFormat="1" ht="12.75" customHeight="1" x14ac:dyDescent="0.15">
      <c r="B47" s="82">
        <v>11</v>
      </c>
      <c r="C47" s="203" t="s">
        <v>57</v>
      </c>
      <c r="D47" s="90"/>
      <c r="E47" s="90"/>
      <c r="F47" s="65">
        <f>'Work Component  Split'!F50</f>
        <v>2430</v>
      </c>
      <c r="G47" s="92">
        <f>'Work Component  Split'!I50</f>
        <v>0.5</v>
      </c>
      <c r="H47" s="92">
        <v>1</v>
      </c>
      <c r="I47" s="218">
        <f t="shared" si="0"/>
        <v>1215</v>
      </c>
      <c r="J47" s="271">
        <f t="shared" si="1"/>
        <v>4.8600000000000003</v>
      </c>
      <c r="K47" s="82"/>
      <c r="L47" s="82"/>
    </row>
    <row r="48" spans="1:12" s="1" customFormat="1" ht="12.75" customHeight="1" x14ac:dyDescent="0.15">
      <c r="B48" s="82">
        <v>12</v>
      </c>
      <c r="C48" s="203" t="s">
        <v>58</v>
      </c>
      <c r="D48" s="90"/>
      <c r="E48" s="90"/>
      <c r="F48" s="65">
        <f>'Work Component  Split'!F51</f>
        <v>5352.48</v>
      </c>
      <c r="G48" s="92">
        <f>'Work Component  Split'!I51</f>
        <v>0.50000000000000011</v>
      </c>
      <c r="H48" s="92">
        <v>1</v>
      </c>
      <c r="I48" s="218">
        <f t="shared" si="0"/>
        <v>2676.2400000000002</v>
      </c>
      <c r="J48" s="271">
        <f t="shared" si="1"/>
        <v>10.704960000000002</v>
      </c>
      <c r="K48" s="82"/>
      <c r="L48" s="82"/>
    </row>
    <row r="49" spans="2:12" s="1" customFormat="1" ht="12.75" customHeight="1" x14ac:dyDescent="0.15">
      <c r="B49" s="82">
        <v>13</v>
      </c>
      <c r="C49" s="203" t="s">
        <v>59</v>
      </c>
      <c r="D49" s="90"/>
      <c r="E49" s="90"/>
      <c r="F49" s="65">
        <f>'Work Component  Split'!F52</f>
        <v>2303.5043479999999</v>
      </c>
      <c r="G49" s="92">
        <v>0</v>
      </c>
      <c r="H49" s="92">
        <v>1</v>
      </c>
      <c r="I49" s="218">
        <f t="shared" si="0"/>
        <v>0</v>
      </c>
      <c r="J49" s="271">
        <f t="shared" si="1"/>
        <v>0</v>
      </c>
      <c r="K49" s="82"/>
      <c r="L49" s="82"/>
    </row>
    <row r="50" spans="2:12" s="1" customFormat="1" ht="14.25" x14ac:dyDescent="0.15">
      <c r="B50" s="82"/>
      <c r="C50" s="89"/>
      <c r="D50" s="391"/>
      <c r="E50" s="391"/>
      <c r="F50" s="223"/>
      <c r="G50" s="92"/>
      <c r="H50" s="92"/>
      <c r="I50" s="168"/>
      <c r="J50" s="271"/>
      <c r="K50" s="82"/>
      <c r="L50" s="115"/>
    </row>
    <row r="51" spans="2:12" s="1" customFormat="1" ht="14.25" x14ac:dyDescent="0.15">
      <c r="B51" s="82"/>
      <c r="C51" s="89"/>
      <c r="D51" s="90"/>
      <c r="E51" s="90"/>
      <c r="F51" s="223"/>
      <c r="G51" s="92"/>
      <c r="H51" s="92"/>
      <c r="I51" s="168"/>
      <c r="J51" s="271"/>
      <c r="K51" s="82"/>
      <c r="L51" s="115"/>
    </row>
    <row r="52" spans="2:12" s="1" customFormat="1" ht="14.25" x14ac:dyDescent="0.15">
      <c r="B52" s="82"/>
      <c r="C52" s="167" t="s">
        <v>150</v>
      </c>
      <c r="D52" s="90"/>
      <c r="E52" s="90"/>
      <c r="F52" s="223"/>
      <c r="G52" s="92"/>
      <c r="H52" s="92"/>
      <c r="I52" s="168"/>
      <c r="J52" s="271"/>
      <c r="K52" s="82"/>
      <c r="L52" s="115"/>
    </row>
    <row r="53" spans="2:12" s="1" customFormat="1" ht="14.25" x14ac:dyDescent="0.15">
      <c r="B53" s="82">
        <v>1</v>
      </c>
      <c r="C53" s="89"/>
      <c r="D53" s="90"/>
      <c r="E53" s="90"/>
      <c r="F53" s="223"/>
      <c r="G53" s="92"/>
      <c r="H53" s="92">
        <v>1</v>
      </c>
      <c r="I53" s="168">
        <f t="shared" ref="I53:I69" si="2">J53*$C$32</f>
        <v>0</v>
      </c>
      <c r="J53" s="271">
        <f t="shared" ref="J53:J69" si="3">(F53*G53*H53)/$C$32</f>
        <v>0</v>
      </c>
      <c r="K53" s="82"/>
      <c r="L53" s="115"/>
    </row>
    <row r="54" spans="2:12" s="1" customFormat="1" ht="14.25" x14ac:dyDescent="0.15">
      <c r="B54" s="82">
        <v>2</v>
      </c>
      <c r="C54" s="89"/>
      <c r="D54" s="90"/>
      <c r="E54" s="90"/>
      <c r="F54" s="223"/>
      <c r="G54" s="92"/>
      <c r="H54" s="92">
        <v>1</v>
      </c>
      <c r="I54" s="168">
        <f t="shared" si="2"/>
        <v>0</v>
      </c>
      <c r="J54" s="271">
        <f t="shared" si="3"/>
        <v>0</v>
      </c>
      <c r="K54" s="82"/>
      <c r="L54" s="115"/>
    </row>
    <row r="55" spans="2:12" s="1" customFormat="1" ht="14.25" x14ac:dyDescent="0.15">
      <c r="B55" s="82">
        <v>4</v>
      </c>
      <c r="C55" s="89"/>
      <c r="D55" s="90"/>
      <c r="E55" s="90"/>
      <c r="F55" s="223"/>
      <c r="G55" s="92"/>
      <c r="H55" s="92">
        <v>1</v>
      </c>
      <c r="I55" s="168">
        <f t="shared" si="2"/>
        <v>0</v>
      </c>
      <c r="J55" s="271">
        <f t="shared" si="3"/>
        <v>0</v>
      </c>
      <c r="K55" s="82"/>
      <c r="L55" s="115"/>
    </row>
    <row r="56" spans="2:12" s="1" customFormat="1" ht="14.25" x14ac:dyDescent="0.15">
      <c r="B56" s="82">
        <v>5</v>
      </c>
      <c r="C56" s="89"/>
      <c r="D56" s="90"/>
      <c r="E56" s="90"/>
      <c r="F56" s="223"/>
      <c r="G56" s="92"/>
      <c r="H56" s="92">
        <v>1</v>
      </c>
      <c r="I56" s="168">
        <f t="shared" si="2"/>
        <v>0</v>
      </c>
      <c r="J56" s="271">
        <f t="shared" si="3"/>
        <v>0</v>
      </c>
      <c r="K56" s="82"/>
      <c r="L56" s="115"/>
    </row>
    <row r="57" spans="2:12" s="1" customFormat="1" ht="14.25" x14ac:dyDescent="0.15">
      <c r="B57" s="82">
        <v>6</v>
      </c>
      <c r="C57" s="89"/>
      <c r="D57" s="90"/>
      <c r="E57" s="90"/>
      <c r="F57" s="223"/>
      <c r="G57" s="92"/>
      <c r="H57" s="92">
        <v>1</v>
      </c>
      <c r="I57" s="168">
        <f t="shared" si="2"/>
        <v>0</v>
      </c>
      <c r="J57" s="271">
        <f t="shared" si="3"/>
        <v>0</v>
      </c>
      <c r="K57" s="82"/>
      <c r="L57" s="115"/>
    </row>
    <row r="58" spans="2:12" s="1" customFormat="1" ht="14.25" x14ac:dyDescent="0.15">
      <c r="B58" s="82">
        <v>7</v>
      </c>
      <c r="C58" s="89"/>
      <c r="D58" s="90"/>
      <c r="E58" s="90"/>
      <c r="F58" s="223"/>
      <c r="G58" s="92"/>
      <c r="H58" s="92">
        <v>1</v>
      </c>
      <c r="I58" s="168">
        <f t="shared" si="2"/>
        <v>0</v>
      </c>
      <c r="J58" s="271">
        <f t="shared" si="3"/>
        <v>0</v>
      </c>
      <c r="K58" s="82"/>
      <c r="L58" s="115"/>
    </row>
    <row r="59" spans="2:12" s="1" customFormat="1" ht="14.25" x14ac:dyDescent="0.15">
      <c r="B59" s="82">
        <v>8</v>
      </c>
      <c r="C59" s="89"/>
      <c r="D59" s="90"/>
      <c r="E59" s="90"/>
      <c r="F59" s="223"/>
      <c r="G59" s="92"/>
      <c r="H59" s="92">
        <v>1</v>
      </c>
      <c r="I59" s="168">
        <f t="shared" si="2"/>
        <v>0</v>
      </c>
      <c r="J59" s="271">
        <f t="shared" si="3"/>
        <v>0</v>
      </c>
      <c r="K59" s="82"/>
      <c r="L59" s="115"/>
    </row>
    <row r="60" spans="2:12" s="1" customFormat="1" ht="14.25" x14ac:dyDescent="0.15">
      <c r="B60" s="82">
        <v>9</v>
      </c>
      <c r="C60" s="89"/>
      <c r="D60" s="90"/>
      <c r="E60" s="90"/>
      <c r="F60" s="223"/>
      <c r="G60" s="92"/>
      <c r="H60" s="92">
        <v>1</v>
      </c>
      <c r="I60" s="168">
        <f t="shared" si="2"/>
        <v>0</v>
      </c>
      <c r="J60" s="271">
        <f t="shared" si="3"/>
        <v>0</v>
      </c>
      <c r="K60" s="82"/>
      <c r="L60" s="115"/>
    </row>
    <row r="61" spans="2:12" s="1" customFormat="1" ht="14.25" x14ac:dyDescent="0.15">
      <c r="B61" s="82">
        <v>10</v>
      </c>
      <c r="C61" s="89"/>
      <c r="D61" s="90"/>
      <c r="E61" s="90"/>
      <c r="F61" s="223"/>
      <c r="G61" s="92"/>
      <c r="H61" s="92">
        <v>1</v>
      </c>
      <c r="I61" s="168">
        <f t="shared" si="2"/>
        <v>0</v>
      </c>
      <c r="J61" s="271">
        <f t="shared" si="3"/>
        <v>0</v>
      </c>
      <c r="K61" s="82"/>
      <c r="L61" s="115"/>
    </row>
    <row r="62" spans="2:12" s="1" customFormat="1" ht="14.25" x14ac:dyDescent="0.15">
      <c r="B62" s="82">
        <v>11</v>
      </c>
      <c r="C62" s="89"/>
      <c r="D62" s="90"/>
      <c r="E62" s="90"/>
      <c r="F62" s="223"/>
      <c r="G62" s="92"/>
      <c r="H62" s="92">
        <v>1</v>
      </c>
      <c r="I62" s="168">
        <f t="shared" si="2"/>
        <v>0</v>
      </c>
      <c r="J62" s="271">
        <f t="shared" si="3"/>
        <v>0</v>
      </c>
      <c r="K62" s="82"/>
      <c r="L62" s="115"/>
    </row>
    <row r="63" spans="2:12" s="1" customFormat="1" ht="14.25" x14ac:dyDescent="0.15">
      <c r="B63" s="82">
        <v>12</v>
      </c>
      <c r="C63" s="89"/>
      <c r="D63" s="169"/>
      <c r="E63" s="169"/>
      <c r="F63" s="223"/>
      <c r="G63" s="214"/>
      <c r="H63" s="92">
        <v>1</v>
      </c>
      <c r="I63" s="218">
        <f t="shared" si="2"/>
        <v>0</v>
      </c>
      <c r="J63" s="271">
        <f t="shared" si="3"/>
        <v>0</v>
      </c>
      <c r="K63" s="82"/>
      <c r="L63" s="82"/>
    </row>
    <row r="64" spans="2:12" s="1" customFormat="1" ht="14.25" x14ac:dyDescent="0.15">
      <c r="B64" s="82">
        <v>13</v>
      </c>
      <c r="C64" s="89"/>
      <c r="D64" s="90"/>
      <c r="E64" s="90"/>
      <c r="F64" s="223"/>
      <c r="G64" s="214"/>
      <c r="H64" s="92">
        <v>1</v>
      </c>
      <c r="I64" s="218">
        <f t="shared" si="2"/>
        <v>0</v>
      </c>
      <c r="J64" s="271">
        <f t="shared" si="3"/>
        <v>0</v>
      </c>
      <c r="K64" s="82"/>
      <c r="L64" s="115"/>
    </row>
    <row r="65" spans="2:12" s="1" customFormat="1" ht="14.25" x14ac:dyDescent="0.15">
      <c r="B65" s="82">
        <v>14</v>
      </c>
      <c r="C65" s="203"/>
      <c r="D65" s="90"/>
      <c r="E65" s="90"/>
      <c r="F65" s="223"/>
      <c r="G65" s="214"/>
      <c r="H65" s="92">
        <v>1</v>
      </c>
      <c r="I65" s="218">
        <f t="shared" si="2"/>
        <v>0</v>
      </c>
      <c r="J65" s="271">
        <f t="shared" si="3"/>
        <v>0</v>
      </c>
      <c r="K65" s="82"/>
      <c r="L65" s="115"/>
    </row>
    <row r="66" spans="2:12" s="1" customFormat="1" ht="14.25" x14ac:dyDescent="0.15">
      <c r="B66" s="82">
        <v>16</v>
      </c>
      <c r="C66" s="203"/>
      <c r="D66" s="90"/>
      <c r="E66" s="90"/>
      <c r="F66" s="223"/>
      <c r="G66" s="214"/>
      <c r="H66" s="92">
        <v>1</v>
      </c>
      <c r="I66" s="218">
        <f t="shared" si="2"/>
        <v>0</v>
      </c>
      <c r="J66" s="271">
        <f t="shared" si="3"/>
        <v>0</v>
      </c>
      <c r="K66" s="82"/>
      <c r="L66" s="115"/>
    </row>
    <row r="67" spans="2:12" s="1" customFormat="1" ht="14.25" x14ac:dyDescent="0.15">
      <c r="B67" s="82">
        <v>17</v>
      </c>
      <c r="C67" s="203"/>
      <c r="D67" s="90"/>
      <c r="E67" s="90"/>
      <c r="F67" s="223"/>
      <c r="G67" s="214"/>
      <c r="H67" s="92">
        <v>1</v>
      </c>
      <c r="I67" s="218">
        <f t="shared" si="2"/>
        <v>0</v>
      </c>
      <c r="J67" s="271">
        <f t="shared" si="3"/>
        <v>0</v>
      </c>
      <c r="K67" s="82"/>
      <c r="L67" s="115"/>
    </row>
    <row r="68" spans="2:12" s="1" customFormat="1" ht="14.25" x14ac:dyDescent="0.15">
      <c r="B68" s="82">
        <v>19</v>
      </c>
      <c r="C68" s="203"/>
      <c r="D68" s="90"/>
      <c r="E68" s="90"/>
      <c r="F68" s="223"/>
      <c r="G68" s="214"/>
      <c r="H68" s="92">
        <v>1</v>
      </c>
      <c r="I68" s="218">
        <f t="shared" si="2"/>
        <v>0</v>
      </c>
      <c r="J68" s="271">
        <f t="shared" si="3"/>
        <v>0</v>
      </c>
      <c r="K68" s="82"/>
      <c r="L68" s="115"/>
    </row>
    <row r="69" spans="2:12" s="1" customFormat="1" ht="14.25" x14ac:dyDescent="0.15">
      <c r="B69" s="82">
        <v>20</v>
      </c>
      <c r="C69" s="203"/>
      <c r="D69" s="90"/>
      <c r="E69" s="90"/>
      <c r="F69" s="223"/>
      <c r="G69" s="214"/>
      <c r="H69" s="92">
        <v>1</v>
      </c>
      <c r="I69" s="218">
        <f t="shared" si="2"/>
        <v>0</v>
      </c>
      <c r="J69" s="271">
        <f t="shared" si="3"/>
        <v>0</v>
      </c>
      <c r="K69" s="82"/>
      <c r="L69" s="115"/>
    </row>
    <row r="70" spans="2:12" s="1" customFormat="1" ht="14.25" x14ac:dyDescent="0.15">
      <c r="B70" s="82"/>
      <c r="C70" s="203"/>
      <c r="D70" s="90"/>
      <c r="E70" s="90"/>
      <c r="F70" s="223"/>
      <c r="G70" s="92"/>
      <c r="H70" s="92"/>
      <c r="I70" s="168"/>
      <c r="J70" s="271"/>
      <c r="K70" s="82"/>
      <c r="L70" s="115"/>
    </row>
    <row r="71" spans="2:12" s="1" customFormat="1" ht="14.25" x14ac:dyDescent="0.15">
      <c r="B71" s="82"/>
      <c r="C71" s="102"/>
      <c r="D71" s="103"/>
      <c r="E71" s="102"/>
      <c r="F71" s="224">
        <f>SUM(F37:F70)</f>
        <v>37288.814348</v>
      </c>
      <c r="G71" s="104"/>
      <c r="H71" s="105"/>
      <c r="I71" s="128">
        <f>SUM(I35:I70)</f>
        <v>17076.654782608697</v>
      </c>
      <c r="J71" s="106">
        <f>SUM(J34:J70)</f>
        <v>68.306619130434797</v>
      </c>
      <c r="K71" s="82"/>
      <c r="L71" s="115"/>
    </row>
    <row r="72" spans="2:12" s="1" customFormat="1" ht="14.25" x14ac:dyDescent="0.15">
      <c r="B72" s="82"/>
      <c r="C72" s="102"/>
      <c r="D72" s="103"/>
      <c r="E72" s="102" t="s">
        <v>147</v>
      </c>
      <c r="F72" s="224">
        <f>100/115*F71</f>
        <v>32425.055954782609</v>
      </c>
      <c r="G72" s="104"/>
      <c r="H72" s="105" t="s">
        <v>147</v>
      </c>
      <c r="I72" s="128">
        <f>100/115*I71</f>
        <v>14849.265028355388</v>
      </c>
      <c r="J72" s="257"/>
      <c r="L72" s="222"/>
    </row>
    <row r="73" spans="2:12" s="1" customFormat="1" ht="14.25" x14ac:dyDescent="0.15">
      <c r="B73" s="82"/>
      <c r="C73" s="102"/>
      <c r="D73" s="103"/>
      <c r="E73" s="102"/>
      <c r="F73" s="224"/>
      <c r="G73" s="104"/>
      <c r="H73" s="105"/>
      <c r="I73" s="128"/>
      <c r="J73" s="106"/>
      <c r="L73" s="222"/>
    </row>
    <row r="74" spans="2:12" s="1" customFormat="1" ht="14.25" x14ac:dyDescent="0.15">
      <c r="L74" s="222"/>
    </row>
    <row r="75" spans="2:12" s="1" customFormat="1" ht="14.25" x14ac:dyDescent="0.15">
      <c r="L75" s="222"/>
    </row>
    <row r="76" spans="2:12" s="1" customFormat="1" ht="14.25" x14ac:dyDescent="0.15">
      <c r="L76" s="222"/>
    </row>
    <row r="77" spans="2:12" s="1" customFormat="1" ht="14.25" x14ac:dyDescent="0.15">
      <c r="L77" s="222"/>
    </row>
    <row r="78" spans="2:12" s="247" customFormat="1" ht="32.25" x14ac:dyDescent="0.4">
      <c r="B78" s="248"/>
      <c r="C78" s="380" t="s">
        <v>112</v>
      </c>
      <c r="D78" s="380"/>
      <c r="E78" s="381" t="s">
        <v>148</v>
      </c>
      <c r="F78" s="381"/>
      <c r="G78" s="381"/>
      <c r="H78" s="381"/>
      <c r="I78" s="381"/>
      <c r="J78" s="382">
        <v>2026</v>
      </c>
      <c r="K78" s="382"/>
      <c r="L78" s="382"/>
    </row>
    <row r="79" spans="2:12" s="1" customFormat="1" ht="22.5" x14ac:dyDescent="0.15">
      <c r="B79" s="82"/>
      <c r="C79" s="102" t="s">
        <v>114</v>
      </c>
      <c r="D79" s="388" t="s">
        <v>115</v>
      </c>
      <c r="E79" s="388"/>
      <c r="F79" s="102" t="s">
        <v>116</v>
      </c>
      <c r="G79" s="102" t="s">
        <v>117</v>
      </c>
      <c r="H79" s="102" t="s">
        <v>118</v>
      </c>
      <c r="I79" s="102" t="s">
        <v>119</v>
      </c>
      <c r="J79" s="102" t="s">
        <v>120</v>
      </c>
      <c r="K79" s="82"/>
      <c r="L79" s="82"/>
    </row>
    <row r="80" spans="2:12" s="1" customFormat="1" ht="12.75" x14ac:dyDescent="0.15">
      <c r="B80" s="82"/>
      <c r="C80" s="66">
        <f>C32</f>
        <v>250</v>
      </c>
      <c r="D80" s="389">
        <v>20</v>
      </c>
      <c r="E80" s="389"/>
      <c r="F80" s="13">
        <f>F32</f>
        <v>0.75</v>
      </c>
      <c r="G80" s="14">
        <f>G32</f>
        <v>8</v>
      </c>
      <c r="H80" s="142">
        <f>D80*G80*F80</f>
        <v>120</v>
      </c>
      <c r="I80" s="66">
        <f>I140</f>
        <v>0</v>
      </c>
      <c r="J80" s="143">
        <f>H80-J140</f>
        <v>120</v>
      </c>
      <c r="K80" s="82"/>
      <c r="L80" s="82"/>
    </row>
    <row r="81" spans="2:12" s="1" customFormat="1" ht="33.75" x14ac:dyDescent="0.15">
      <c r="B81" s="82"/>
      <c r="C81" s="167" t="s">
        <v>121</v>
      </c>
      <c r="D81" s="395" t="s">
        <v>122</v>
      </c>
      <c r="E81" s="395"/>
      <c r="F81" s="177" t="s">
        <v>123</v>
      </c>
      <c r="G81" s="178" t="s">
        <v>124</v>
      </c>
      <c r="H81" s="179" t="s">
        <v>125</v>
      </c>
      <c r="I81" s="180" t="s">
        <v>126</v>
      </c>
      <c r="J81" s="178" t="s">
        <v>127</v>
      </c>
      <c r="K81" s="114" t="s">
        <v>128</v>
      </c>
      <c r="L81" s="114" t="s">
        <v>129</v>
      </c>
    </row>
    <row r="82" spans="2:12" s="1" customFormat="1" ht="12.75" x14ac:dyDescent="0.15">
      <c r="B82" s="82"/>
      <c r="C82" s="89"/>
      <c r="D82" s="391"/>
      <c r="E82" s="391"/>
      <c r="F82" s="184"/>
      <c r="G82" s="92"/>
      <c r="H82" s="92"/>
      <c r="I82" s="168"/>
      <c r="J82" s="185"/>
      <c r="K82" s="82"/>
      <c r="L82" s="82"/>
    </row>
    <row r="83" spans="2:12" s="1" customFormat="1" ht="12.75" x14ac:dyDescent="0.15">
      <c r="B83" s="82"/>
      <c r="C83" s="392" t="s">
        <v>130</v>
      </c>
      <c r="D83" s="392"/>
      <c r="E83" s="392"/>
      <c r="F83" s="184"/>
      <c r="G83" s="92"/>
      <c r="H83" s="92"/>
      <c r="I83" s="168"/>
      <c r="J83" s="185"/>
      <c r="K83" s="82"/>
      <c r="L83" s="82"/>
    </row>
    <row r="84" spans="2:12" s="1" customFormat="1" ht="12.75" x14ac:dyDescent="0.15">
      <c r="B84" s="82"/>
      <c r="C84" s="167" t="s">
        <v>149</v>
      </c>
      <c r="D84" s="167"/>
      <c r="E84" s="167"/>
      <c r="F84" s="168"/>
      <c r="G84" s="92"/>
      <c r="H84" s="92"/>
      <c r="I84" s="168"/>
      <c r="J84" s="185"/>
      <c r="K84" s="82"/>
      <c r="L84" s="82"/>
    </row>
    <row r="85" spans="2:12" s="1" customFormat="1" ht="12.75" customHeight="1" x14ac:dyDescent="0.15">
      <c r="B85" s="82">
        <v>1</v>
      </c>
      <c r="C85" s="203"/>
      <c r="D85" s="90"/>
      <c r="E85" s="90"/>
      <c r="F85" s="168"/>
      <c r="G85" s="92"/>
      <c r="H85" s="92">
        <v>1</v>
      </c>
      <c r="I85" s="218">
        <f>J85*$C$32</f>
        <v>0</v>
      </c>
      <c r="J85" s="94">
        <f t="shared" ref="J85:J94" si="4">(F85*G85*H85)/$C$32</f>
        <v>0</v>
      </c>
      <c r="K85" s="82"/>
      <c r="L85" s="82"/>
    </row>
    <row r="86" spans="2:12" s="1" customFormat="1" ht="12.75" customHeight="1" x14ac:dyDescent="0.15">
      <c r="B86" s="82">
        <v>2</v>
      </c>
      <c r="C86" s="203"/>
      <c r="D86" s="90"/>
      <c r="E86" s="90"/>
      <c r="F86" s="168"/>
      <c r="G86" s="92"/>
      <c r="H86" s="92">
        <v>1</v>
      </c>
      <c r="I86" s="218">
        <f>J86*$C$32</f>
        <v>0</v>
      </c>
      <c r="J86" s="94">
        <f t="shared" si="4"/>
        <v>0</v>
      </c>
      <c r="K86" s="82"/>
      <c r="L86" s="82"/>
    </row>
    <row r="87" spans="2:12" s="1" customFormat="1" ht="12.75" customHeight="1" x14ac:dyDescent="0.15">
      <c r="B87" s="82">
        <v>3</v>
      </c>
      <c r="C87" s="203"/>
      <c r="D87" s="90"/>
      <c r="E87" s="90"/>
      <c r="F87" s="168"/>
      <c r="G87" s="92"/>
      <c r="H87" s="92">
        <v>1</v>
      </c>
      <c r="I87" s="218">
        <f t="shared" ref="I87:I94" si="5">J87*$C$32</f>
        <v>0</v>
      </c>
      <c r="J87" s="94">
        <f t="shared" si="4"/>
        <v>0</v>
      </c>
      <c r="K87" s="82"/>
      <c r="L87" s="82"/>
    </row>
    <row r="88" spans="2:12" s="1" customFormat="1" ht="12.75" customHeight="1" x14ac:dyDescent="0.15">
      <c r="B88" s="82">
        <v>4</v>
      </c>
      <c r="C88" s="203"/>
      <c r="D88" s="90"/>
      <c r="E88" s="90"/>
      <c r="F88" s="168"/>
      <c r="G88" s="92"/>
      <c r="H88" s="92">
        <v>1</v>
      </c>
      <c r="I88" s="218">
        <f t="shared" si="5"/>
        <v>0</v>
      </c>
      <c r="J88" s="94">
        <f t="shared" si="4"/>
        <v>0</v>
      </c>
      <c r="K88" s="82"/>
      <c r="L88" s="82"/>
    </row>
    <row r="89" spans="2:12" s="1" customFormat="1" ht="12.75" customHeight="1" x14ac:dyDescent="0.15">
      <c r="B89" s="82">
        <v>5</v>
      </c>
      <c r="C89" s="203"/>
      <c r="D89" s="90"/>
      <c r="E89" s="90"/>
      <c r="F89" s="168"/>
      <c r="G89" s="92"/>
      <c r="H89" s="92">
        <v>1</v>
      </c>
      <c r="I89" s="218">
        <f t="shared" si="5"/>
        <v>0</v>
      </c>
      <c r="J89" s="94">
        <f t="shared" si="4"/>
        <v>0</v>
      </c>
      <c r="K89" s="82"/>
      <c r="L89" s="82"/>
    </row>
    <row r="90" spans="2:12" s="1" customFormat="1" ht="12.75" customHeight="1" x14ac:dyDescent="0.15">
      <c r="B90" s="82">
        <v>6</v>
      </c>
      <c r="C90" s="203"/>
      <c r="D90" s="90"/>
      <c r="E90" s="90"/>
      <c r="F90" s="168"/>
      <c r="G90" s="92"/>
      <c r="H90" s="92">
        <v>1</v>
      </c>
      <c r="I90" s="218">
        <f t="shared" si="5"/>
        <v>0</v>
      </c>
      <c r="J90" s="94">
        <f t="shared" si="4"/>
        <v>0</v>
      </c>
      <c r="K90" s="82"/>
      <c r="L90" s="82"/>
    </row>
    <row r="91" spans="2:12" s="1" customFormat="1" ht="12.75" customHeight="1" x14ac:dyDescent="0.15">
      <c r="B91" s="82">
        <v>7</v>
      </c>
      <c r="C91" s="203"/>
      <c r="D91" s="90"/>
      <c r="E91" s="90"/>
      <c r="F91" s="168"/>
      <c r="G91" s="92"/>
      <c r="H91" s="92">
        <v>1</v>
      </c>
      <c r="I91" s="218">
        <f t="shared" si="5"/>
        <v>0</v>
      </c>
      <c r="J91" s="94">
        <f t="shared" si="4"/>
        <v>0</v>
      </c>
      <c r="K91" s="82"/>
      <c r="L91" s="82"/>
    </row>
    <row r="92" spans="2:12" s="1" customFormat="1" ht="12.75" customHeight="1" x14ac:dyDescent="0.15">
      <c r="B92" s="82">
        <v>8</v>
      </c>
      <c r="C92" s="203"/>
      <c r="D92" s="90"/>
      <c r="E92" s="90"/>
      <c r="F92" s="168"/>
      <c r="G92" s="92"/>
      <c r="H92" s="92">
        <v>1</v>
      </c>
      <c r="I92" s="218">
        <f t="shared" si="5"/>
        <v>0</v>
      </c>
      <c r="J92" s="94">
        <f t="shared" si="4"/>
        <v>0</v>
      </c>
      <c r="K92" s="82"/>
      <c r="L92" s="82"/>
    </row>
    <row r="93" spans="2:12" s="1" customFormat="1" ht="12.75" customHeight="1" x14ac:dyDescent="0.15">
      <c r="B93" s="82">
        <v>9</v>
      </c>
      <c r="C93" s="203"/>
      <c r="D93" s="90"/>
      <c r="E93" s="90"/>
      <c r="F93" s="168"/>
      <c r="G93" s="92"/>
      <c r="H93" s="92">
        <v>1</v>
      </c>
      <c r="I93" s="218">
        <f t="shared" si="5"/>
        <v>0</v>
      </c>
      <c r="J93" s="94">
        <f t="shared" si="4"/>
        <v>0</v>
      </c>
      <c r="K93" s="82"/>
      <c r="L93" s="82"/>
    </row>
    <row r="94" spans="2:12" s="1" customFormat="1" ht="12.75" customHeight="1" x14ac:dyDescent="0.15">
      <c r="B94" s="82">
        <v>10</v>
      </c>
      <c r="C94" s="203"/>
      <c r="D94" s="90"/>
      <c r="E94" s="90"/>
      <c r="F94" s="168"/>
      <c r="G94" s="92"/>
      <c r="H94" s="92">
        <v>1</v>
      </c>
      <c r="I94" s="218">
        <f t="shared" si="5"/>
        <v>0</v>
      </c>
      <c r="J94" s="94">
        <f t="shared" si="4"/>
        <v>0</v>
      </c>
      <c r="K94" s="82"/>
      <c r="L94" s="82"/>
    </row>
    <row r="95" spans="2:12" s="1" customFormat="1" ht="12.75" customHeight="1" x14ac:dyDescent="0.15">
      <c r="B95" s="82"/>
      <c r="C95" s="203"/>
      <c r="D95" s="90"/>
      <c r="E95" s="90"/>
      <c r="F95" s="168"/>
      <c r="G95" s="92"/>
      <c r="H95" s="92"/>
      <c r="I95" s="218"/>
      <c r="J95" s="94"/>
      <c r="K95" s="82"/>
      <c r="L95" s="82"/>
    </row>
    <row r="96" spans="2:12" s="1" customFormat="1" ht="12.75" customHeight="1" x14ac:dyDescent="0.15">
      <c r="B96" s="82"/>
      <c r="C96" s="203"/>
      <c r="D96" s="90"/>
      <c r="E96" s="90"/>
      <c r="F96" s="168"/>
      <c r="G96" s="92"/>
      <c r="H96" s="92"/>
      <c r="I96" s="218"/>
      <c r="J96" s="94"/>
      <c r="K96" s="82"/>
      <c r="L96" s="82"/>
    </row>
    <row r="97" spans="2:12" s="1" customFormat="1" ht="12.75" customHeight="1" x14ac:dyDescent="0.15">
      <c r="B97" s="82"/>
      <c r="C97" s="187" t="s">
        <v>153</v>
      </c>
      <c r="D97" s="90"/>
      <c r="E97" s="90"/>
      <c r="F97" s="168"/>
      <c r="G97" s="92"/>
      <c r="H97" s="92"/>
      <c r="I97" s="218"/>
      <c r="J97" s="94"/>
      <c r="K97" s="82"/>
      <c r="L97" s="82"/>
    </row>
    <row r="98" spans="2:12" s="1" customFormat="1" ht="12.75" x14ac:dyDescent="0.15">
      <c r="B98" s="82">
        <v>1</v>
      </c>
      <c r="C98" s="188"/>
      <c r="D98" s="204"/>
      <c r="E98" s="204"/>
      <c r="F98" s="218"/>
      <c r="G98" s="212"/>
      <c r="H98" s="92">
        <v>1</v>
      </c>
      <c r="I98" s="218">
        <f t="shared" ref="I98:I116" si="6">J98*$C$32</f>
        <v>0</v>
      </c>
      <c r="J98" s="94">
        <f t="shared" ref="J98:J116" si="7">(F98*G98*H98)/$C$32</f>
        <v>0</v>
      </c>
      <c r="K98" s="82"/>
      <c r="L98" s="82"/>
    </row>
    <row r="99" spans="2:12" s="1" customFormat="1" ht="12.75" x14ac:dyDescent="0.15">
      <c r="B99" s="82">
        <v>2</v>
      </c>
      <c r="C99" s="188"/>
      <c r="D99" s="204"/>
      <c r="E99" s="204"/>
      <c r="F99" s="218"/>
      <c r="G99" s="212"/>
      <c r="H99" s="92">
        <v>1</v>
      </c>
      <c r="I99" s="218">
        <f t="shared" si="6"/>
        <v>0</v>
      </c>
      <c r="J99" s="213">
        <f t="shared" si="7"/>
        <v>0</v>
      </c>
      <c r="K99" s="82"/>
      <c r="L99" s="82"/>
    </row>
    <row r="100" spans="2:12" s="1" customFormat="1" ht="12.75" x14ac:dyDescent="0.15">
      <c r="B100" s="82">
        <v>3</v>
      </c>
      <c r="C100" s="189"/>
      <c r="D100" s="204"/>
      <c r="E100" s="204"/>
      <c r="F100" s="218"/>
      <c r="G100" s="212"/>
      <c r="H100" s="92">
        <v>1</v>
      </c>
      <c r="I100" s="218">
        <f t="shared" si="6"/>
        <v>0</v>
      </c>
      <c r="J100" s="94">
        <f t="shared" si="7"/>
        <v>0</v>
      </c>
      <c r="K100" s="82"/>
      <c r="L100" s="82"/>
    </row>
    <row r="101" spans="2:12" s="1" customFormat="1" ht="12.75" x14ac:dyDescent="0.15">
      <c r="B101" s="82">
        <v>4</v>
      </c>
      <c r="C101" s="188"/>
      <c r="D101" s="205"/>
      <c r="E101" s="205"/>
      <c r="F101" s="218"/>
      <c r="G101" s="212"/>
      <c r="H101" s="92">
        <v>1</v>
      </c>
      <c r="I101" s="218">
        <f t="shared" si="6"/>
        <v>0</v>
      </c>
      <c r="J101" s="94">
        <f t="shared" si="7"/>
        <v>0</v>
      </c>
      <c r="K101" s="82"/>
      <c r="L101" s="82"/>
    </row>
    <row r="102" spans="2:12" s="1" customFormat="1" ht="12.75" x14ac:dyDescent="0.15">
      <c r="B102" s="82">
        <v>5</v>
      </c>
      <c r="C102" s="188"/>
      <c r="D102" s="204"/>
      <c r="E102" s="204"/>
      <c r="F102" s="218"/>
      <c r="G102" s="212"/>
      <c r="H102" s="92">
        <v>1</v>
      </c>
      <c r="I102" s="218">
        <f t="shared" si="6"/>
        <v>0</v>
      </c>
      <c r="J102" s="94">
        <f t="shared" si="7"/>
        <v>0</v>
      </c>
      <c r="K102" s="82"/>
      <c r="L102" s="82"/>
    </row>
    <row r="103" spans="2:12" s="1" customFormat="1" ht="12.75" x14ac:dyDescent="0.15">
      <c r="B103" s="82">
        <v>6</v>
      </c>
      <c r="C103" s="188"/>
      <c r="D103" s="204"/>
      <c r="E103" s="204"/>
      <c r="F103" s="218"/>
      <c r="G103" s="212"/>
      <c r="H103" s="92">
        <v>1</v>
      </c>
      <c r="I103" s="218">
        <f t="shared" si="6"/>
        <v>0</v>
      </c>
      <c r="J103" s="94">
        <f t="shared" si="7"/>
        <v>0</v>
      </c>
      <c r="K103" s="82"/>
      <c r="L103" s="82"/>
    </row>
    <row r="104" spans="2:12" s="1" customFormat="1" ht="12.75" x14ac:dyDescent="0.15">
      <c r="B104" s="82">
        <v>7</v>
      </c>
      <c r="C104" s="188"/>
      <c r="D104" s="206"/>
      <c r="E104" s="206"/>
      <c r="F104" s="218"/>
      <c r="G104" s="212"/>
      <c r="H104" s="92">
        <v>1</v>
      </c>
      <c r="I104" s="218">
        <f t="shared" si="6"/>
        <v>0</v>
      </c>
      <c r="J104" s="94">
        <f t="shared" si="7"/>
        <v>0</v>
      </c>
      <c r="K104" s="82"/>
      <c r="L104" s="82"/>
    </row>
    <row r="105" spans="2:12" s="1" customFormat="1" ht="12.75" x14ac:dyDescent="0.15">
      <c r="B105" s="82">
        <v>8</v>
      </c>
      <c r="C105" s="113"/>
      <c r="D105" s="206"/>
      <c r="E105" s="206"/>
      <c r="F105" s="218"/>
      <c r="G105" s="212"/>
      <c r="H105" s="92">
        <v>1</v>
      </c>
      <c r="I105" s="218">
        <f t="shared" si="6"/>
        <v>0</v>
      </c>
      <c r="J105" s="94">
        <f t="shared" si="7"/>
        <v>0</v>
      </c>
      <c r="K105" s="82"/>
      <c r="L105" s="82"/>
    </row>
    <row r="106" spans="2:12" s="1" customFormat="1" ht="12.75" x14ac:dyDescent="0.15">
      <c r="B106" s="82">
        <v>9</v>
      </c>
      <c r="C106" s="188"/>
      <c r="D106" s="204"/>
      <c r="E106" s="204"/>
      <c r="F106" s="218"/>
      <c r="G106" s="212"/>
      <c r="H106" s="92">
        <v>1</v>
      </c>
      <c r="I106" s="218">
        <f t="shared" si="6"/>
        <v>0</v>
      </c>
      <c r="J106" s="94">
        <f t="shared" si="7"/>
        <v>0</v>
      </c>
      <c r="K106" s="82"/>
      <c r="L106" s="82"/>
    </row>
    <row r="107" spans="2:12" s="1" customFormat="1" ht="12.75" x14ac:dyDescent="0.15">
      <c r="B107" s="82">
        <v>10</v>
      </c>
      <c r="C107" s="188"/>
      <c r="D107" s="204"/>
      <c r="E107" s="204"/>
      <c r="F107" s="218"/>
      <c r="G107" s="212"/>
      <c r="H107" s="92">
        <v>1</v>
      </c>
      <c r="I107" s="218">
        <f t="shared" si="6"/>
        <v>0</v>
      </c>
      <c r="J107" s="94">
        <f t="shared" si="7"/>
        <v>0</v>
      </c>
      <c r="K107" s="82"/>
      <c r="L107" s="82"/>
    </row>
    <row r="108" spans="2:12" s="1" customFormat="1" ht="12.75" x14ac:dyDescent="0.15">
      <c r="B108" s="82">
        <v>11</v>
      </c>
      <c r="C108" s="188"/>
      <c r="D108" s="204"/>
      <c r="E108" s="204"/>
      <c r="F108" s="218"/>
      <c r="G108" s="212"/>
      <c r="H108" s="92">
        <v>1</v>
      </c>
      <c r="I108" s="218">
        <f t="shared" si="6"/>
        <v>0</v>
      </c>
      <c r="J108" s="94">
        <f t="shared" si="7"/>
        <v>0</v>
      </c>
      <c r="K108" s="82"/>
      <c r="L108" s="82"/>
    </row>
    <row r="109" spans="2:12" s="1" customFormat="1" ht="12.75" x14ac:dyDescent="0.15">
      <c r="B109" s="82">
        <v>12</v>
      </c>
      <c r="C109" s="188"/>
      <c r="D109" s="204"/>
      <c r="E109" s="204"/>
      <c r="F109" s="218"/>
      <c r="G109" s="212"/>
      <c r="H109" s="92">
        <v>1</v>
      </c>
      <c r="I109" s="218">
        <f t="shared" si="6"/>
        <v>0</v>
      </c>
      <c r="J109" s="94">
        <f t="shared" si="7"/>
        <v>0</v>
      </c>
      <c r="K109" s="82"/>
      <c r="L109" s="82"/>
    </row>
    <row r="110" spans="2:12" s="1" customFormat="1" ht="14.25" x14ac:dyDescent="0.15">
      <c r="B110" s="82">
        <v>13</v>
      </c>
      <c r="C110" s="188"/>
      <c r="D110" s="204"/>
      <c r="E110" s="204"/>
      <c r="F110" s="218"/>
      <c r="G110" s="212"/>
      <c r="H110" s="92">
        <v>1</v>
      </c>
      <c r="I110" s="218">
        <f t="shared" si="6"/>
        <v>0</v>
      </c>
      <c r="J110" s="94">
        <f t="shared" si="7"/>
        <v>0</v>
      </c>
      <c r="K110" s="82"/>
      <c r="L110" s="115"/>
    </row>
    <row r="111" spans="2:12" s="1" customFormat="1" ht="14.25" x14ac:dyDescent="0.15">
      <c r="B111" s="82">
        <v>14</v>
      </c>
      <c r="C111" s="189"/>
      <c r="D111" s="204"/>
      <c r="E111" s="206"/>
      <c r="F111" s="218"/>
      <c r="G111" s="212"/>
      <c r="H111" s="92">
        <v>1</v>
      </c>
      <c r="I111" s="218">
        <f t="shared" si="6"/>
        <v>0</v>
      </c>
      <c r="J111" s="94">
        <f t="shared" si="7"/>
        <v>0</v>
      </c>
      <c r="K111" s="82"/>
      <c r="L111" s="115"/>
    </row>
    <row r="112" spans="2:12" s="1" customFormat="1" ht="14.25" x14ac:dyDescent="0.15">
      <c r="B112" s="82">
        <v>15</v>
      </c>
      <c r="C112" s="189"/>
      <c r="D112" s="206"/>
      <c r="E112" s="206"/>
      <c r="F112" s="218"/>
      <c r="G112" s="212"/>
      <c r="H112" s="92">
        <v>1</v>
      </c>
      <c r="I112" s="218">
        <f t="shared" si="6"/>
        <v>0</v>
      </c>
      <c r="J112" s="94">
        <f t="shared" si="7"/>
        <v>0</v>
      </c>
      <c r="K112" s="82"/>
      <c r="L112" s="115"/>
    </row>
    <row r="113" spans="2:12" s="1" customFormat="1" ht="14.25" x14ac:dyDescent="0.15">
      <c r="B113" s="82">
        <v>16</v>
      </c>
      <c r="C113" s="189"/>
      <c r="D113" s="206"/>
      <c r="E113" s="206"/>
      <c r="F113" s="221"/>
      <c r="G113" s="212"/>
      <c r="H113" s="92">
        <v>1</v>
      </c>
      <c r="I113" s="218">
        <f t="shared" si="6"/>
        <v>0</v>
      </c>
      <c r="J113" s="94">
        <f t="shared" si="7"/>
        <v>0</v>
      </c>
      <c r="K113" s="82"/>
      <c r="L113" s="115"/>
    </row>
    <row r="114" spans="2:12" s="1" customFormat="1" ht="14.25" x14ac:dyDescent="0.15">
      <c r="B114" s="82">
        <v>17</v>
      </c>
      <c r="C114" s="189"/>
      <c r="D114" s="206"/>
      <c r="E114" s="206"/>
      <c r="F114" s="218"/>
      <c r="G114" s="212"/>
      <c r="H114" s="92">
        <v>1</v>
      </c>
      <c r="I114" s="218">
        <f t="shared" si="6"/>
        <v>0</v>
      </c>
      <c r="J114" s="94">
        <f t="shared" si="7"/>
        <v>0</v>
      </c>
      <c r="K114" s="82"/>
      <c r="L114" s="115"/>
    </row>
    <row r="115" spans="2:12" s="1" customFormat="1" ht="14.25" x14ac:dyDescent="0.15">
      <c r="B115" s="82">
        <v>18</v>
      </c>
      <c r="C115" s="189"/>
      <c r="D115" s="206"/>
      <c r="E115" s="206"/>
      <c r="F115" s="218"/>
      <c r="G115" s="212"/>
      <c r="H115" s="92">
        <v>1</v>
      </c>
      <c r="I115" s="218">
        <f t="shared" si="6"/>
        <v>0</v>
      </c>
      <c r="J115" s="94">
        <f t="shared" si="7"/>
        <v>0</v>
      </c>
      <c r="K115" s="82"/>
      <c r="L115" s="115"/>
    </row>
    <row r="116" spans="2:12" s="1" customFormat="1" ht="14.25" x14ac:dyDescent="0.15">
      <c r="B116" s="82">
        <v>19</v>
      </c>
      <c r="C116" s="189"/>
      <c r="D116" s="206"/>
      <c r="E116" s="206"/>
      <c r="F116" s="218"/>
      <c r="G116" s="212"/>
      <c r="H116" s="92">
        <v>1</v>
      </c>
      <c r="I116" s="168">
        <f t="shared" si="6"/>
        <v>0</v>
      </c>
      <c r="J116" s="94">
        <f t="shared" si="7"/>
        <v>0</v>
      </c>
      <c r="K116" s="82"/>
      <c r="L116" s="115"/>
    </row>
    <row r="117" spans="2:12" s="1" customFormat="1" ht="14.25" x14ac:dyDescent="0.15">
      <c r="B117" s="82">
        <v>20</v>
      </c>
      <c r="C117" s="189"/>
      <c r="D117" s="206"/>
      <c r="E117" s="206"/>
      <c r="F117" s="218"/>
      <c r="G117" s="212"/>
      <c r="H117" s="92">
        <v>1</v>
      </c>
      <c r="I117" s="168">
        <f>J117*$C$32</f>
        <v>0</v>
      </c>
      <c r="J117" s="94">
        <f>(F117*G117*H117)/$C$32</f>
        <v>0</v>
      </c>
      <c r="K117" s="82"/>
      <c r="L117" s="115"/>
    </row>
    <row r="118" spans="2:12" s="1" customFormat="1" ht="14.25" x14ac:dyDescent="0.15">
      <c r="B118" s="82"/>
      <c r="C118" s="188"/>
      <c r="D118" s="206"/>
      <c r="E118" s="206"/>
      <c r="F118" s="218"/>
      <c r="G118" s="212"/>
      <c r="H118" s="92"/>
      <c r="I118" s="168"/>
      <c r="J118" s="94"/>
      <c r="K118" s="82"/>
      <c r="L118" s="115"/>
    </row>
    <row r="119" spans="2:12" s="1" customFormat="1" ht="14.25" x14ac:dyDescent="0.15">
      <c r="B119" s="82"/>
      <c r="C119" s="188"/>
      <c r="D119" s="206"/>
      <c r="E119" s="206"/>
      <c r="F119" s="218"/>
      <c r="G119" s="212"/>
      <c r="H119" s="92"/>
      <c r="I119" s="168"/>
      <c r="J119" s="94"/>
      <c r="K119" s="82"/>
      <c r="L119" s="115"/>
    </row>
    <row r="120" spans="2:12" s="1" customFormat="1" ht="14.25" x14ac:dyDescent="0.15">
      <c r="B120" s="82"/>
      <c r="C120" s="167" t="s">
        <v>150</v>
      </c>
      <c r="D120" s="90"/>
      <c r="E120" s="90"/>
      <c r="F120" s="168"/>
      <c r="G120" s="92"/>
      <c r="H120" s="92"/>
      <c r="I120" s="168"/>
      <c r="J120" s="94"/>
      <c r="K120" s="82"/>
      <c r="L120" s="115"/>
    </row>
    <row r="121" spans="2:12" s="1" customFormat="1" ht="14.25" x14ac:dyDescent="0.15">
      <c r="B121" s="82">
        <v>1</v>
      </c>
      <c r="C121" s="189"/>
      <c r="D121" s="206"/>
      <c r="E121" s="206"/>
      <c r="F121" s="168"/>
      <c r="G121" s="214"/>
      <c r="H121" s="92">
        <v>1</v>
      </c>
      <c r="I121" s="218">
        <f t="shared" ref="I121:I129" si="8">J121*$C$32</f>
        <v>0</v>
      </c>
      <c r="J121" s="94">
        <f>(F121*G121*H121)/$C$32</f>
        <v>0</v>
      </c>
      <c r="K121" s="82"/>
      <c r="L121" s="115"/>
    </row>
    <row r="122" spans="2:12" s="1" customFormat="1" ht="12.75" x14ac:dyDescent="0.15">
      <c r="B122" s="82">
        <v>2</v>
      </c>
      <c r="C122" s="189"/>
      <c r="D122" s="393"/>
      <c r="E122" s="393"/>
      <c r="F122" s="168"/>
      <c r="G122" s="92"/>
      <c r="H122" s="92">
        <v>1</v>
      </c>
      <c r="I122" s="168">
        <f t="shared" si="8"/>
        <v>0</v>
      </c>
      <c r="J122" s="185">
        <f t="shared" ref="J122:J129" si="9">(F122*G122*H122)/$C$32</f>
        <v>0</v>
      </c>
      <c r="K122" s="82"/>
      <c r="L122" s="82"/>
    </row>
    <row r="123" spans="2:12" s="1" customFormat="1" ht="12.75" x14ac:dyDescent="0.15">
      <c r="B123" s="82">
        <v>3</v>
      </c>
      <c r="C123" s="189"/>
      <c r="D123" s="394"/>
      <c r="E123" s="394"/>
      <c r="F123" s="168"/>
      <c r="G123" s="92"/>
      <c r="H123" s="92">
        <v>1</v>
      </c>
      <c r="I123" s="168">
        <f t="shared" si="8"/>
        <v>0</v>
      </c>
      <c r="J123" s="185">
        <f t="shared" si="9"/>
        <v>0</v>
      </c>
      <c r="K123" s="82"/>
      <c r="L123" s="82"/>
    </row>
    <row r="124" spans="2:12" s="1" customFormat="1" ht="12.75" x14ac:dyDescent="0.15">
      <c r="B124" s="82">
        <v>4</v>
      </c>
      <c r="C124" s="189"/>
      <c r="D124" s="206"/>
      <c r="E124" s="206"/>
      <c r="F124" s="168"/>
      <c r="G124" s="92"/>
      <c r="H124" s="92">
        <v>1</v>
      </c>
      <c r="I124" s="168">
        <f t="shared" si="8"/>
        <v>0</v>
      </c>
      <c r="J124" s="185">
        <f t="shared" si="9"/>
        <v>0</v>
      </c>
      <c r="K124" s="82"/>
      <c r="L124" s="82"/>
    </row>
    <row r="125" spans="2:12" s="1" customFormat="1" ht="12.75" x14ac:dyDescent="0.15">
      <c r="B125" s="82">
        <v>5</v>
      </c>
      <c r="C125" s="189"/>
      <c r="D125" s="206"/>
      <c r="E125" s="206"/>
      <c r="F125" s="168"/>
      <c r="G125" s="92"/>
      <c r="H125" s="92">
        <v>1</v>
      </c>
      <c r="I125" s="168">
        <f t="shared" si="8"/>
        <v>0</v>
      </c>
      <c r="J125" s="185">
        <f t="shared" si="9"/>
        <v>0</v>
      </c>
      <c r="K125" s="82"/>
      <c r="L125" s="82"/>
    </row>
    <row r="126" spans="2:12" s="1" customFormat="1" ht="12.75" x14ac:dyDescent="0.15">
      <c r="B126" s="82">
        <v>7</v>
      </c>
      <c r="C126" s="189"/>
      <c r="D126" s="206"/>
      <c r="E126" s="206"/>
      <c r="F126" s="168"/>
      <c r="G126" s="92"/>
      <c r="H126" s="92">
        <v>1</v>
      </c>
      <c r="I126" s="168">
        <f t="shared" si="8"/>
        <v>0</v>
      </c>
      <c r="J126" s="185">
        <f t="shared" si="9"/>
        <v>0</v>
      </c>
      <c r="K126" s="82"/>
      <c r="L126" s="82"/>
    </row>
    <row r="127" spans="2:12" s="1" customFormat="1" ht="12.75" x14ac:dyDescent="0.15">
      <c r="B127" s="82">
        <v>8</v>
      </c>
      <c r="C127" s="189"/>
      <c r="D127" s="206"/>
      <c r="E127" s="206"/>
      <c r="F127" s="168"/>
      <c r="G127" s="92"/>
      <c r="H127" s="92">
        <v>1</v>
      </c>
      <c r="I127" s="168">
        <f t="shared" si="8"/>
        <v>0</v>
      </c>
      <c r="J127" s="185">
        <f t="shared" si="9"/>
        <v>0</v>
      </c>
      <c r="K127" s="82"/>
      <c r="L127" s="82"/>
    </row>
    <row r="128" spans="2:12" s="1" customFormat="1" ht="12.75" x14ac:dyDescent="0.15">
      <c r="B128" s="82">
        <v>9</v>
      </c>
      <c r="C128" s="189"/>
      <c r="D128" s="206"/>
      <c r="E128" s="206"/>
      <c r="F128" s="168"/>
      <c r="G128" s="92"/>
      <c r="H128" s="92">
        <v>1</v>
      </c>
      <c r="I128" s="168">
        <f t="shared" si="8"/>
        <v>0</v>
      </c>
      <c r="J128" s="185">
        <f t="shared" si="9"/>
        <v>0</v>
      </c>
      <c r="K128" s="82"/>
      <c r="L128" s="82"/>
    </row>
    <row r="129" spans="2:12" s="1" customFormat="1" ht="12.75" x14ac:dyDescent="0.15">
      <c r="B129" s="82">
        <v>10</v>
      </c>
      <c r="C129" s="189"/>
      <c r="D129" s="206"/>
      <c r="E129" s="206"/>
      <c r="F129" s="168"/>
      <c r="G129" s="92"/>
      <c r="H129" s="92">
        <v>1</v>
      </c>
      <c r="I129" s="168">
        <f t="shared" si="8"/>
        <v>0</v>
      </c>
      <c r="J129" s="185">
        <f t="shared" si="9"/>
        <v>0</v>
      </c>
      <c r="K129" s="82"/>
      <c r="L129" s="82"/>
    </row>
    <row r="130" spans="2:12" s="1" customFormat="1" ht="12.75" x14ac:dyDescent="0.15">
      <c r="B130" s="82">
        <v>11</v>
      </c>
      <c r="C130" s="189"/>
      <c r="D130" s="206"/>
      <c r="E130" s="206"/>
      <c r="F130" s="168"/>
      <c r="G130" s="92"/>
      <c r="H130" s="92">
        <v>1</v>
      </c>
      <c r="I130" s="168"/>
      <c r="J130" s="185"/>
      <c r="K130" s="82"/>
      <c r="L130" s="82"/>
    </row>
    <row r="131" spans="2:12" s="1" customFormat="1" ht="12.75" x14ac:dyDescent="0.15">
      <c r="B131" s="82">
        <v>12</v>
      </c>
      <c r="C131" s="189"/>
      <c r="D131" s="206"/>
      <c r="E131" s="206"/>
      <c r="F131" s="168"/>
      <c r="G131" s="92"/>
      <c r="H131" s="92">
        <v>1</v>
      </c>
      <c r="I131" s="168"/>
      <c r="J131" s="185"/>
      <c r="K131" s="82"/>
      <c r="L131" s="82"/>
    </row>
    <row r="132" spans="2:12" s="1" customFormat="1" ht="12.75" x14ac:dyDescent="0.15">
      <c r="B132" s="82">
        <v>14</v>
      </c>
      <c r="C132" s="189"/>
      <c r="D132" s="206"/>
      <c r="E132" s="206"/>
      <c r="F132" s="168"/>
      <c r="G132" s="92"/>
      <c r="H132" s="92">
        <v>1</v>
      </c>
      <c r="I132" s="168">
        <f t="shared" ref="I132:I138" si="10">J132*$C$32</f>
        <v>0</v>
      </c>
      <c r="J132" s="185">
        <f t="shared" ref="J132:J133" si="11">(F132*G132*H132)/$C$32</f>
        <v>0</v>
      </c>
      <c r="K132" s="82"/>
      <c r="L132" s="82"/>
    </row>
    <row r="133" spans="2:12" s="1" customFormat="1" ht="12.75" x14ac:dyDescent="0.15">
      <c r="B133" s="82">
        <v>15</v>
      </c>
      <c r="C133" s="189"/>
      <c r="D133" s="206"/>
      <c r="E133" s="206"/>
      <c r="F133" s="168"/>
      <c r="G133" s="92"/>
      <c r="H133" s="92">
        <v>1</v>
      </c>
      <c r="I133" s="168">
        <f t="shared" si="10"/>
        <v>0</v>
      </c>
      <c r="J133" s="185">
        <f t="shared" si="11"/>
        <v>0</v>
      </c>
      <c r="K133" s="82"/>
      <c r="L133" s="82"/>
    </row>
    <row r="134" spans="2:12" s="1" customFormat="1" ht="12.75" x14ac:dyDescent="0.15">
      <c r="B134" s="82">
        <v>16</v>
      </c>
      <c r="C134" s="189"/>
      <c r="D134" s="206"/>
      <c r="E134" s="206"/>
      <c r="F134" s="168"/>
      <c r="G134" s="92"/>
      <c r="H134" s="92">
        <v>1</v>
      </c>
      <c r="I134" s="168">
        <f t="shared" si="10"/>
        <v>0</v>
      </c>
      <c r="J134" s="185">
        <f>(F134*G134*H134)/$C$32</f>
        <v>0</v>
      </c>
      <c r="K134" s="82"/>
      <c r="L134" s="82"/>
    </row>
    <row r="135" spans="2:12" s="1" customFormat="1" ht="12.75" x14ac:dyDescent="0.15">
      <c r="B135" s="82">
        <v>17</v>
      </c>
      <c r="C135" s="189"/>
      <c r="D135" s="206"/>
      <c r="E135" s="206"/>
      <c r="F135" s="168"/>
      <c r="G135" s="92"/>
      <c r="H135" s="92">
        <v>1</v>
      </c>
      <c r="I135" s="168">
        <f t="shared" si="10"/>
        <v>0</v>
      </c>
      <c r="J135" s="185">
        <f>(F135*G135*H135)/$C$32</f>
        <v>0</v>
      </c>
      <c r="K135" s="82"/>
      <c r="L135" s="82"/>
    </row>
    <row r="136" spans="2:12" s="1" customFormat="1" ht="12.75" x14ac:dyDescent="0.15">
      <c r="B136" s="82">
        <v>18</v>
      </c>
      <c r="C136" s="189"/>
      <c r="D136" s="206"/>
      <c r="E136" s="206"/>
      <c r="F136" s="168"/>
      <c r="G136" s="92"/>
      <c r="H136" s="92">
        <v>1</v>
      </c>
      <c r="I136" s="168">
        <f t="shared" si="10"/>
        <v>0</v>
      </c>
      <c r="J136" s="185">
        <f>(F136*G136*H136)/$C$32</f>
        <v>0</v>
      </c>
      <c r="K136" s="242"/>
      <c r="L136" s="82"/>
    </row>
    <row r="137" spans="2:12" s="1" customFormat="1" ht="12.75" x14ac:dyDescent="0.15">
      <c r="B137" s="82">
        <v>19</v>
      </c>
      <c r="C137" s="189"/>
      <c r="D137" s="206"/>
      <c r="E137" s="206"/>
      <c r="F137" s="168"/>
      <c r="G137" s="92"/>
      <c r="H137" s="92">
        <v>1</v>
      </c>
      <c r="I137" s="168">
        <f t="shared" si="10"/>
        <v>0</v>
      </c>
      <c r="J137" s="185">
        <f>(F137*G137*H137)/$C$32</f>
        <v>0</v>
      </c>
      <c r="K137" s="215"/>
      <c r="L137" s="82"/>
    </row>
    <row r="138" spans="2:12" s="1" customFormat="1" ht="12.75" x14ac:dyDescent="0.15">
      <c r="B138" s="82">
        <v>20</v>
      </c>
      <c r="C138" s="189"/>
      <c r="D138" s="206"/>
      <c r="E138" s="206"/>
      <c r="F138" s="168"/>
      <c r="G138" s="92"/>
      <c r="H138" s="92">
        <v>1</v>
      </c>
      <c r="I138" s="168">
        <f t="shared" si="10"/>
        <v>0</v>
      </c>
      <c r="J138" s="185">
        <f>(F138*G138*H138)/$C$32</f>
        <v>0</v>
      </c>
      <c r="K138" s="82"/>
      <c r="L138" s="82"/>
    </row>
    <row r="139" spans="2:12" s="1" customFormat="1" ht="12.75" x14ac:dyDescent="0.15">
      <c r="B139" s="82"/>
      <c r="C139" s="189"/>
      <c r="D139" s="206"/>
      <c r="E139" s="206"/>
      <c r="F139" s="168"/>
      <c r="G139" s="92"/>
      <c r="H139" s="92"/>
      <c r="I139" s="168"/>
      <c r="J139" s="185"/>
      <c r="K139" s="82"/>
      <c r="L139" s="82"/>
    </row>
    <row r="140" spans="2:12" s="1" customFormat="1" ht="12.75" x14ac:dyDescent="0.15">
      <c r="B140" s="82"/>
      <c r="C140" s="102"/>
      <c r="D140" s="103"/>
      <c r="E140" s="102"/>
      <c r="F140" s="128">
        <f>SUM(F83:F139)</f>
        <v>0</v>
      </c>
      <c r="G140" s="104"/>
      <c r="H140" s="105"/>
      <c r="I140" s="128">
        <f>SUM(I85:I139)</f>
        <v>0</v>
      </c>
      <c r="J140" s="257">
        <f>SUM(J82:J139)</f>
        <v>0</v>
      </c>
    </row>
    <row r="141" spans="2:12" s="1" customFormat="1" ht="12.75" x14ac:dyDescent="0.15">
      <c r="B141" s="82"/>
      <c r="C141" s="102"/>
      <c r="D141" s="103"/>
      <c r="E141" s="102" t="s">
        <v>147</v>
      </c>
      <c r="F141" s="128">
        <f>100/115*F140</f>
        <v>0</v>
      </c>
      <c r="G141" s="104"/>
      <c r="H141" s="105" t="s">
        <v>147</v>
      </c>
      <c r="I141" s="128">
        <f>100/115*I140</f>
        <v>0</v>
      </c>
      <c r="J141" s="106"/>
    </row>
    <row r="142" spans="2:12" s="1" customFormat="1" ht="12.75" x14ac:dyDescent="0.15"/>
    <row r="143" spans="2:12" s="1" customFormat="1" ht="12.75" x14ac:dyDescent="0.15"/>
    <row r="144" spans="2:12" s="1" customFormat="1" ht="12.75" x14ac:dyDescent="0.15"/>
    <row r="145" spans="2:12" s="1" customFormat="1" ht="12.75" x14ac:dyDescent="0.15"/>
    <row r="146" spans="2:12" s="247" customFormat="1" ht="32.25" x14ac:dyDescent="0.4">
      <c r="B146" s="248"/>
      <c r="C146" s="380" t="s">
        <v>112</v>
      </c>
      <c r="D146" s="380"/>
      <c r="E146" s="428" t="s">
        <v>151</v>
      </c>
      <c r="F146" s="428"/>
      <c r="G146" s="428"/>
      <c r="H146" s="428"/>
      <c r="I146" s="428"/>
      <c r="J146" s="382">
        <v>2026</v>
      </c>
      <c r="K146" s="382"/>
      <c r="L146" s="382"/>
    </row>
    <row r="147" spans="2:12" s="1" customFormat="1" ht="22.5" x14ac:dyDescent="0.15">
      <c r="B147" s="82"/>
      <c r="C147" s="102" t="s">
        <v>114</v>
      </c>
      <c r="D147" s="388" t="s">
        <v>115</v>
      </c>
      <c r="E147" s="388"/>
      <c r="F147" s="102" t="s">
        <v>116</v>
      </c>
      <c r="G147" s="102" t="s">
        <v>117</v>
      </c>
      <c r="H147" s="102" t="s">
        <v>118</v>
      </c>
      <c r="I147" s="102" t="s">
        <v>119</v>
      </c>
      <c r="J147" s="102" t="s">
        <v>120</v>
      </c>
      <c r="K147" s="82"/>
      <c r="L147" s="82"/>
    </row>
    <row r="148" spans="2:12" s="1" customFormat="1" ht="12.75" x14ac:dyDescent="0.15">
      <c r="B148" s="2"/>
      <c r="C148" s="220">
        <f>C80</f>
        <v>250</v>
      </c>
      <c r="D148" s="399">
        <v>21</v>
      </c>
      <c r="E148" s="399"/>
      <c r="F148" s="208">
        <f>F80</f>
        <v>0.75</v>
      </c>
      <c r="G148" s="209">
        <f>G80</f>
        <v>8</v>
      </c>
      <c r="H148" s="210">
        <f>D148*G148*F148</f>
        <v>126</v>
      </c>
      <c r="I148" s="216">
        <f>I209</f>
        <v>0</v>
      </c>
      <c r="J148" s="211">
        <f>H148-J209</f>
        <v>126</v>
      </c>
      <c r="K148" s="120"/>
      <c r="L148" s="120"/>
    </row>
    <row r="149" spans="2:12" s="1" customFormat="1" ht="33.75" x14ac:dyDescent="0.15">
      <c r="B149" s="2"/>
      <c r="C149" s="167" t="s">
        <v>121</v>
      </c>
      <c r="D149" s="395" t="s">
        <v>122</v>
      </c>
      <c r="E149" s="395"/>
      <c r="F149" s="177" t="s">
        <v>123</v>
      </c>
      <c r="G149" s="198" t="s">
        <v>124</v>
      </c>
      <c r="H149" s="15" t="s">
        <v>125</v>
      </c>
      <c r="I149" s="217" t="s">
        <v>126</v>
      </c>
      <c r="J149" s="178" t="s">
        <v>127</v>
      </c>
      <c r="K149" s="114" t="s">
        <v>128</v>
      </c>
      <c r="L149" s="114" t="s">
        <v>129</v>
      </c>
    </row>
    <row r="150" spans="2:12" s="1" customFormat="1" ht="12.75" x14ac:dyDescent="0.15">
      <c r="B150" s="2"/>
      <c r="C150" s="89"/>
      <c r="D150" s="391"/>
      <c r="E150" s="391"/>
      <c r="F150" s="91"/>
      <c r="G150" s="199"/>
      <c r="H150" s="9"/>
      <c r="I150" s="218"/>
      <c r="J150" s="94"/>
      <c r="K150" s="82"/>
      <c r="L150" s="82"/>
    </row>
    <row r="151" spans="2:12" s="1" customFormat="1" ht="13.35" customHeight="1" x14ac:dyDescent="0.15">
      <c r="B151" s="2"/>
      <c r="C151" s="392" t="s">
        <v>130</v>
      </c>
      <c r="D151" s="392"/>
      <c r="E151" s="392"/>
      <c r="F151" s="184"/>
      <c r="G151" s="200"/>
      <c r="H151" s="9"/>
      <c r="I151" s="218"/>
      <c r="J151" s="94"/>
      <c r="K151" s="82"/>
      <c r="L151" s="82"/>
    </row>
    <row r="152" spans="2:12" s="1" customFormat="1" ht="13.35" customHeight="1" x14ac:dyDescent="0.15">
      <c r="B152" s="2"/>
      <c r="C152" s="167" t="s">
        <v>152</v>
      </c>
      <c r="D152" s="167"/>
      <c r="E152" s="167"/>
      <c r="F152" s="168"/>
      <c r="G152" s="200"/>
      <c r="H152" s="9"/>
      <c r="I152" s="218"/>
      <c r="J152" s="94"/>
      <c r="K152" s="82"/>
      <c r="L152" s="82"/>
    </row>
    <row r="153" spans="2:12" s="1" customFormat="1" ht="12.75" customHeight="1" x14ac:dyDescent="0.15">
      <c r="B153" s="2">
        <v>1</v>
      </c>
      <c r="C153" s="203"/>
      <c r="D153" s="391"/>
      <c r="E153" s="391"/>
      <c r="F153" s="168"/>
      <c r="G153" s="200"/>
      <c r="H153" s="9">
        <v>1</v>
      </c>
      <c r="I153" s="218">
        <f>J153*$C$32</f>
        <v>0</v>
      </c>
      <c r="J153" s="94">
        <f t="shared" ref="J153:J207" si="12">(F153*G153*H153)/$C$32</f>
        <v>0</v>
      </c>
      <c r="K153" s="82"/>
      <c r="L153" s="82"/>
    </row>
    <row r="154" spans="2:12" s="1" customFormat="1" ht="12.75" customHeight="1" x14ac:dyDescent="0.15">
      <c r="B154" s="2">
        <v>2</v>
      </c>
      <c r="C154" s="203"/>
      <c r="D154" s="391"/>
      <c r="E154" s="391"/>
      <c r="F154" s="168"/>
      <c r="G154" s="200"/>
      <c r="H154" s="9">
        <v>1</v>
      </c>
      <c r="I154" s="218">
        <f>J154*$C$32</f>
        <v>0</v>
      </c>
      <c r="J154" s="94">
        <f t="shared" si="12"/>
        <v>0</v>
      </c>
      <c r="K154" s="82"/>
      <c r="L154" s="82"/>
    </row>
    <row r="155" spans="2:12" s="1" customFormat="1" ht="12.75" customHeight="1" x14ac:dyDescent="0.15">
      <c r="B155" s="2">
        <v>3</v>
      </c>
      <c r="C155" s="203"/>
      <c r="D155" s="90"/>
      <c r="E155" s="90"/>
      <c r="F155" s="168"/>
      <c r="G155" s="200"/>
      <c r="H155" s="9">
        <v>1</v>
      </c>
      <c r="I155" s="218">
        <f t="shared" ref="I155:I207" si="13">J155*$C$32</f>
        <v>0</v>
      </c>
      <c r="J155" s="94">
        <f t="shared" si="12"/>
        <v>0</v>
      </c>
      <c r="K155" s="82"/>
      <c r="L155" s="82"/>
    </row>
    <row r="156" spans="2:12" s="1" customFormat="1" ht="12.75" customHeight="1" x14ac:dyDescent="0.15">
      <c r="B156" s="2">
        <v>4</v>
      </c>
      <c r="C156" s="203"/>
      <c r="D156" s="90"/>
      <c r="E156" s="90"/>
      <c r="F156" s="168"/>
      <c r="G156" s="200"/>
      <c r="H156" s="9">
        <v>1</v>
      </c>
      <c r="I156" s="218">
        <f t="shared" si="13"/>
        <v>0</v>
      </c>
      <c r="J156" s="94">
        <f t="shared" si="12"/>
        <v>0</v>
      </c>
      <c r="K156" s="82"/>
      <c r="L156" s="82"/>
    </row>
    <row r="157" spans="2:12" s="1" customFormat="1" ht="12.75" customHeight="1" x14ac:dyDescent="0.15">
      <c r="B157" s="2">
        <v>5</v>
      </c>
      <c r="C157" s="203"/>
      <c r="D157" s="90"/>
      <c r="E157" s="90"/>
      <c r="F157" s="168"/>
      <c r="G157" s="200"/>
      <c r="H157" s="9">
        <v>1</v>
      </c>
      <c r="I157" s="218">
        <f t="shared" si="13"/>
        <v>0</v>
      </c>
      <c r="J157" s="94">
        <f t="shared" si="12"/>
        <v>0</v>
      </c>
      <c r="K157" s="82"/>
      <c r="L157" s="82"/>
    </row>
    <row r="158" spans="2:12" s="1" customFormat="1" ht="12.75" customHeight="1" x14ac:dyDescent="0.15">
      <c r="B158" s="2">
        <v>6</v>
      </c>
      <c r="C158" s="203"/>
      <c r="D158" s="90"/>
      <c r="E158" s="90"/>
      <c r="F158" s="168"/>
      <c r="G158" s="200"/>
      <c r="H158" s="9">
        <v>1</v>
      </c>
      <c r="I158" s="218">
        <f t="shared" si="13"/>
        <v>0</v>
      </c>
      <c r="J158" s="94">
        <f t="shared" si="12"/>
        <v>0</v>
      </c>
      <c r="K158" s="82"/>
      <c r="L158" s="82"/>
    </row>
    <row r="159" spans="2:12" s="1" customFormat="1" ht="12.75" customHeight="1" x14ac:dyDescent="0.15">
      <c r="B159" s="2">
        <v>7</v>
      </c>
      <c r="C159" s="203"/>
      <c r="D159" s="90"/>
      <c r="E159" s="90"/>
      <c r="F159" s="168"/>
      <c r="G159" s="200"/>
      <c r="H159" s="9">
        <v>1</v>
      </c>
      <c r="I159" s="218">
        <f t="shared" si="13"/>
        <v>0</v>
      </c>
      <c r="J159" s="94">
        <f t="shared" si="12"/>
        <v>0</v>
      </c>
      <c r="K159" s="82"/>
      <c r="L159" s="82"/>
    </row>
    <row r="160" spans="2:12" s="1" customFormat="1" ht="12.75" customHeight="1" x14ac:dyDescent="0.15">
      <c r="B160" s="2">
        <v>8</v>
      </c>
      <c r="C160" s="203"/>
      <c r="D160" s="90"/>
      <c r="E160" s="90"/>
      <c r="F160" s="168"/>
      <c r="G160" s="200"/>
      <c r="H160" s="9">
        <v>1</v>
      </c>
      <c r="I160" s="218">
        <f t="shared" si="13"/>
        <v>0</v>
      </c>
      <c r="J160" s="94">
        <f t="shared" si="12"/>
        <v>0</v>
      </c>
      <c r="K160" s="82"/>
      <c r="L160" s="82"/>
    </row>
    <row r="161" spans="2:12" s="1" customFormat="1" ht="12.75" customHeight="1" x14ac:dyDescent="0.15">
      <c r="B161" s="2">
        <v>9</v>
      </c>
      <c r="C161" s="203"/>
      <c r="D161" s="90"/>
      <c r="E161" s="90"/>
      <c r="F161" s="168"/>
      <c r="G161" s="200"/>
      <c r="H161" s="9">
        <v>1</v>
      </c>
      <c r="I161" s="218">
        <f t="shared" si="13"/>
        <v>0</v>
      </c>
      <c r="J161" s="94">
        <f t="shared" si="12"/>
        <v>0</v>
      </c>
      <c r="K161" s="82"/>
      <c r="L161" s="82"/>
    </row>
    <row r="162" spans="2:12" s="1" customFormat="1" ht="12.75" customHeight="1" x14ac:dyDescent="0.15">
      <c r="B162" s="2">
        <v>10</v>
      </c>
      <c r="C162" s="203"/>
      <c r="D162" s="90"/>
      <c r="E162" s="90"/>
      <c r="F162" s="168"/>
      <c r="G162" s="200"/>
      <c r="H162" s="9">
        <v>1</v>
      </c>
      <c r="I162" s="218">
        <f t="shared" si="13"/>
        <v>0</v>
      </c>
      <c r="J162" s="94">
        <f t="shared" si="12"/>
        <v>0</v>
      </c>
      <c r="K162" s="82"/>
      <c r="L162" s="82"/>
    </row>
    <row r="163" spans="2:12" s="1" customFormat="1" ht="12.75" customHeight="1" x14ac:dyDescent="0.15">
      <c r="B163" s="2"/>
      <c r="C163" s="203"/>
      <c r="D163" s="90"/>
      <c r="E163" s="90"/>
      <c r="F163" s="168"/>
      <c r="G163" s="200"/>
      <c r="H163" s="9">
        <v>1</v>
      </c>
      <c r="I163" s="218">
        <f t="shared" si="13"/>
        <v>0</v>
      </c>
      <c r="J163" s="94">
        <f t="shared" si="12"/>
        <v>0</v>
      </c>
      <c r="K163" s="82"/>
      <c r="L163" s="82"/>
    </row>
    <row r="164" spans="2:12" s="1" customFormat="1" ht="12.75" customHeight="1" x14ac:dyDescent="0.15">
      <c r="B164" s="2"/>
      <c r="C164" s="203"/>
      <c r="D164" s="391"/>
      <c r="E164" s="391"/>
      <c r="F164" s="168"/>
      <c r="G164" s="200"/>
      <c r="H164" s="9"/>
      <c r="I164" s="218"/>
      <c r="J164" s="94"/>
      <c r="K164" s="82"/>
      <c r="L164" s="82"/>
    </row>
    <row r="165" spans="2:12" s="1" customFormat="1" ht="12.75" customHeight="1" x14ac:dyDescent="0.15">
      <c r="B165" s="2"/>
      <c r="C165" s="187" t="s">
        <v>153</v>
      </c>
      <c r="D165" s="391"/>
      <c r="E165" s="391"/>
      <c r="F165" s="168"/>
      <c r="G165" s="200"/>
      <c r="H165" s="9"/>
      <c r="I165" s="218"/>
      <c r="J165" s="94"/>
      <c r="K165" s="82"/>
      <c r="L165" s="82"/>
    </row>
    <row r="166" spans="2:12" s="1" customFormat="1" ht="15" customHeight="1" x14ac:dyDescent="0.15">
      <c r="B166" s="2">
        <v>1</v>
      </c>
      <c r="C166" s="188"/>
      <c r="D166" s="204"/>
      <c r="E166" s="204"/>
      <c r="F166" s="168"/>
      <c r="G166" s="200"/>
      <c r="H166" s="9">
        <v>1</v>
      </c>
      <c r="I166" s="218">
        <f t="shared" si="13"/>
        <v>0</v>
      </c>
      <c r="J166" s="94">
        <f t="shared" si="12"/>
        <v>0</v>
      </c>
      <c r="K166" s="82"/>
      <c r="L166" s="82"/>
    </row>
    <row r="167" spans="2:12" s="1" customFormat="1" ht="13.35" customHeight="1" x14ac:dyDescent="0.15">
      <c r="B167" s="2">
        <v>2</v>
      </c>
      <c r="C167" s="188"/>
      <c r="D167" s="204"/>
      <c r="E167" s="204"/>
      <c r="F167" s="168"/>
      <c r="G167" s="200"/>
      <c r="H167" s="9">
        <v>1</v>
      </c>
      <c r="I167" s="218">
        <f t="shared" si="13"/>
        <v>0</v>
      </c>
      <c r="J167" s="94">
        <f t="shared" si="12"/>
        <v>0</v>
      </c>
      <c r="K167" s="82"/>
      <c r="L167" s="82"/>
    </row>
    <row r="168" spans="2:12" s="1" customFormat="1" ht="13.35" customHeight="1" x14ac:dyDescent="0.15">
      <c r="B168" s="2">
        <v>3</v>
      </c>
      <c r="C168" s="189"/>
      <c r="D168" s="204"/>
      <c r="E168" s="204"/>
      <c r="F168" s="168"/>
      <c r="G168" s="200"/>
      <c r="H168" s="9">
        <v>1</v>
      </c>
      <c r="I168" s="218">
        <f t="shared" si="13"/>
        <v>0</v>
      </c>
      <c r="J168" s="94">
        <f t="shared" si="12"/>
        <v>0</v>
      </c>
      <c r="K168" s="82"/>
      <c r="L168" s="82"/>
    </row>
    <row r="169" spans="2:12" s="1" customFormat="1" ht="13.35" customHeight="1" x14ac:dyDescent="0.15">
      <c r="B169" s="2">
        <v>5</v>
      </c>
      <c r="C169" s="188"/>
      <c r="D169" s="205"/>
      <c r="E169" s="205"/>
      <c r="F169" s="168"/>
      <c r="G169" s="200"/>
      <c r="H169" s="9">
        <v>1</v>
      </c>
      <c r="I169" s="218">
        <f t="shared" si="13"/>
        <v>0</v>
      </c>
      <c r="J169" s="94">
        <f t="shared" si="12"/>
        <v>0</v>
      </c>
      <c r="K169" s="82"/>
      <c r="L169" s="82"/>
    </row>
    <row r="170" spans="2:12" s="1" customFormat="1" ht="13.35" customHeight="1" x14ac:dyDescent="0.15">
      <c r="B170" s="2">
        <v>6</v>
      </c>
      <c r="C170" s="188"/>
      <c r="D170" s="204"/>
      <c r="E170" s="204"/>
      <c r="F170" s="168"/>
      <c r="G170" s="200"/>
      <c r="H170" s="9">
        <v>1</v>
      </c>
      <c r="I170" s="218">
        <f t="shared" si="13"/>
        <v>0</v>
      </c>
      <c r="J170" s="94">
        <f t="shared" si="12"/>
        <v>0</v>
      </c>
      <c r="K170" s="82"/>
      <c r="L170" s="82"/>
    </row>
    <row r="171" spans="2:12" s="1" customFormat="1" ht="13.35" customHeight="1" x14ac:dyDescent="0.15">
      <c r="B171" s="2">
        <v>7</v>
      </c>
      <c r="C171" s="188"/>
      <c r="D171" s="204"/>
      <c r="E171" s="204"/>
      <c r="F171" s="168"/>
      <c r="G171" s="200"/>
      <c r="H171" s="9">
        <v>1</v>
      </c>
      <c r="I171" s="168">
        <f t="shared" si="13"/>
        <v>0</v>
      </c>
      <c r="J171" s="94">
        <f t="shared" si="12"/>
        <v>0</v>
      </c>
      <c r="K171" s="82"/>
      <c r="L171" s="82"/>
    </row>
    <row r="172" spans="2:12" s="1" customFormat="1" ht="13.35" customHeight="1" x14ac:dyDescent="0.15">
      <c r="B172" s="2">
        <v>8</v>
      </c>
      <c r="C172" s="188"/>
      <c r="D172" s="206"/>
      <c r="E172" s="206"/>
      <c r="F172" s="168"/>
      <c r="G172" s="200"/>
      <c r="H172" s="9">
        <v>1</v>
      </c>
      <c r="I172" s="168">
        <f t="shared" si="13"/>
        <v>0</v>
      </c>
      <c r="J172" s="94">
        <f t="shared" si="12"/>
        <v>0</v>
      </c>
      <c r="K172" s="82"/>
      <c r="L172" s="82"/>
    </row>
    <row r="173" spans="2:12" s="1" customFormat="1" ht="13.35" customHeight="1" x14ac:dyDescent="0.15">
      <c r="B173" s="2">
        <v>9</v>
      </c>
      <c r="C173" s="113"/>
      <c r="D173" s="206"/>
      <c r="E173" s="206"/>
      <c r="F173" s="168"/>
      <c r="G173" s="200"/>
      <c r="H173" s="9">
        <v>1</v>
      </c>
      <c r="I173" s="168">
        <f>J173*$C$32</f>
        <v>0</v>
      </c>
      <c r="J173" s="94">
        <f t="shared" si="12"/>
        <v>0</v>
      </c>
      <c r="K173" s="82"/>
      <c r="L173" s="82"/>
    </row>
    <row r="174" spans="2:12" s="1" customFormat="1" ht="13.35" customHeight="1" x14ac:dyDescent="0.15">
      <c r="B174" s="2">
        <v>10</v>
      </c>
      <c r="C174" s="188"/>
      <c r="D174" s="204"/>
      <c r="E174" s="204"/>
      <c r="F174" s="168"/>
      <c r="G174" s="200"/>
      <c r="H174" s="9">
        <v>1</v>
      </c>
      <c r="I174" s="168">
        <f t="shared" si="13"/>
        <v>0</v>
      </c>
      <c r="J174" s="94">
        <f t="shared" si="12"/>
        <v>0</v>
      </c>
      <c r="K174" s="82"/>
      <c r="L174" s="82"/>
    </row>
    <row r="175" spans="2:12" s="1" customFormat="1" ht="13.35" customHeight="1" x14ac:dyDescent="0.15">
      <c r="B175" s="2">
        <v>11</v>
      </c>
      <c r="C175" s="188"/>
      <c r="D175" s="204"/>
      <c r="E175" s="204"/>
      <c r="F175" s="168"/>
      <c r="G175" s="200"/>
      <c r="H175" s="9">
        <v>1</v>
      </c>
      <c r="I175" s="168">
        <f t="shared" si="13"/>
        <v>0</v>
      </c>
      <c r="J175" s="94">
        <f t="shared" si="12"/>
        <v>0</v>
      </c>
      <c r="K175" s="82"/>
      <c r="L175" s="82"/>
    </row>
    <row r="176" spans="2:12" s="1" customFormat="1" ht="13.35" customHeight="1" x14ac:dyDescent="0.15">
      <c r="B176" s="2">
        <v>12</v>
      </c>
      <c r="C176" s="188"/>
      <c r="D176" s="204"/>
      <c r="E176" s="204"/>
      <c r="F176" s="168"/>
      <c r="G176" s="200"/>
      <c r="H176" s="9">
        <v>1</v>
      </c>
      <c r="I176" s="168">
        <f t="shared" si="13"/>
        <v>0</v>
      </c>
      <c r="J176" s="94">
        <f t="shared" si="12"/>
        <v>0</v>
      </c>
      <c r="K176" s="82"/>
      <c r="L176" s="82"/>
    </row>
    <row r="177" spans="2:12" s="1" customFormat="1" ht="13.35" customHeight="1" x14ac:dyDescent="0.15">
      <c r="B177" s="2">
        <v>13</v>
      </c>
      <c r="C177" s="188"/>
      <c r="D177" s="204"/>
      <c r="E177" s="204"/>
      <c r="F177" s="168"/>
      <c r="G177" s="200"/>
      <c r="H177" s="9">
        <v>1</v>
      </c>
      <c r="I177" s="168">
        <f t="shared" si="13"/>
        <v>0</v>
      </c>
      <c r="J177" s="94">
        <f t="shared" si="12"/>
        <v>0</v>
      </c>
      <c r="K177" s="82"/>
      <c r="L177" s="82"/>
    </row>
    <row r="178" spans="2:12" s="1" customFormat="1" ht="13.35" customHeight="1" x14ac:dyDescent="0.15">
      <c r="B178" s="2">
        <v>14</v>
      </c>
      <c r="C178" s="188"/>
      <c r="D178" s="204"/>
      <c r="E178" s="204"/>
      <c r="F178" s="168"/>
      <c r="G178" s="200"/>
      <c r="H178" s="9">
        <v>1</v>
      </c>
      <c r="I178" s="168">
        <f t="shared" si="13"/>
        <v>0</v>
      </c>
      <c r="J178" s="94">
        <f t="shared" si="12"/>
        <v>0</v>
      </c>
      <c r="K178" s="82"/>
      <c r="L178" s="82"/>
    </row>
    <row r="179" spans="2:12" s="1" customFormat="1" ht="13.35" customHeight="1" x14ac:dyDescent="0.15">
      <c r="B179" s="2">
        <v>15</v>
      </c>
      <c r="C179" s="189"/>
      <c r="D179" s="204"/>
      <c r="E179" s="206"/>
      <c r="F179" s="168"/>
      <c r="G179" s="200"/>
      <c r="H179" s="9">
        <v>1</v>
      </c>
      <c r="I179" s="168">
        <f t="shared" si="13"/>
        <v>0</v>
      </c>
      <c r="J179" s="94">
        <f t="shared" si="12"/>
        <v>0</v>
      </c>
      <c r="K179" s="82"/>
      <c r="L179" s="82"/>
    </row>
    <row r="180" spans="2:12" s="1" customFormat="1" ht="13.35" customHeight="1" x14ac:dyDescent="0.15">
      <c r="B180" s="2">
        <v>16</v>
      </c>
      <c r="C180" s="189"/>
      <c r="D180" s="206"/>
      <c r="E180" s="206"/>
      <c r="F180" s="168"/>
      <c r="G180" s="200"/>
      <c r="H180" s="9">
        <v>1</v>
      </c>
      <c r="I180" s="168">
        <f t="shared" si="13"/>
        <v>0</v>
      </c>
      <c r="J180" s="94">
        <f t="shared" si="12"/>
        <v>0</v>
      </c>
      <c r="K180" s="82"/>
      <c r="L180" s="82"/>
    </row>
    <row r="181" spans="2:12" s="1" customFormat="1" ht="14.45" customHeight="1" x14ac:dyDescent="0.15">
      <c r="B181" s="2">
        <v>17</v>
      </c>
      <c r="C181" s="189"/>
      <c r="D181" s="206"/>
      <c r="E181" s="206"/>
      <c r="F181" s="219"/>
      <c r="G181" s="200"/>
      <c r="H181" s="9">
        <v>1</v>
      </c>
      <c r="I181" s="168">
        <f t="shared" si="13"/>
        <v>0</v>
      </c>
      <c r="J181" s="94">
        <f t="shared" si="12"/>
        <v>0</v>
      </c>
      <c r="K181" s="82"/>
      <c r="L181" s="82"/>
    </row>
    <row r="182" spans="2:12" s="1" customFormat="1" ht="13.35" customHeight="1" x14ac:dyDescent="0.15">
      <c r="B182" s="2">
        <v>18</v>
      </c>
      <c r="C182" s="189"/>
      <c r="D182" s="206"/>
      <c r="E182" s="206"/>
      <c r="F182" s="168"/>
      <c r="G182" s="200"/>
      <c r="H182" s="9">
        <v>1</v>
      </c>
      <c r="I182" s="168">
        <f t="shared" si="13"/>
        <v>0</v>
      </c>
      <c r="J182" s="94">
        <f t="shared" si="12"/>
        <v>0</v>
      </c>
      <c r="K182" s="82"/>
      <c r="L182" s="82"/>
    </row>
    <row r="183" spans="2:12" s="1" customFormat="1" ht="13.35" customHeight="1" x14ac:dyDescent="0.15">
      <c r="B183" s="2">
        <v>19</v>
      </c>
      <c r="C183" s="189"/>
      <c r="D183" s="206"/>
      <c r="E183" s="206"/>
      <c r="F183" s="168"/>
      <c r="G183" s="200"/>
      <c r="H183" s="9">
        <v>1</v>
      </c>
      <c r="I183" s="168">
        <f t="shared" si="13"/>
        <v>0</v>
      </c>
      <c r="J183" s="94">
        <f t="shared" si="12"/>
        <v>0</v>
      </c>
      <c r="K183" s="82"/>
      <c r="L183" s="82"/>
    </row>
    <row r="184" spans="2:12" s="1" customFormat="1" ht="13.35" customHeight="1" x14ac:dyDescent="0.15">
      <c r="B184" s="2">
        <v>20</v>
      </c>
      <c r="C184" s="189"/>
      <c r="D184" s="206"/>
      <c r="E184" s="206"/>
      <c r="F184" s="168"/>
      <c r="G184" s="200"/>
      <c r="H184" s="9">
        <v>1</v>
      </c>
      <c r="I184" s="168">
        <f t="shared" si="13"/>
        <v>0</v>
      </c>
      <c r="J184" s="94">
        <f t="shared" si="12"/>
        <v>0</v>
      </c>
      <c r="K184" s="82"/>
      <c r="L184" s="82"/>
    </row>
    <row r="185" spans="2:12" s="1" customFormat="1" ht="12.75" x14ac:dyDescent="0.15">
      <c r="B185" s="2"/>
      <c r="C185" s="89"/>
      <c r="D185" s="90"/>
      <c r="E185" s="90"/>
      <c r="F185" s="168"/>
      <c r="G185" s="200"/>
      <c r="H185" s="9"/>
      <c r="I185" s="168"/>
      <c r="J185" s="94"/>
      <c r="K185" s="82"/>
      <c r="L185" s="82"/>
    </row>
    <row r="186" spans="2:12" s="1" customFormat="1" ht="12.75" x14ac:dyDescent="0.15">
      <c r="B186" s="2"/>
      <c r="C186" s="203"/>
      <c r="D186" s="169"/>
      <c r="E186" s="169"/>
      <c r="F186" s="168"/>
      <c r="G186" s="200"/>
      <c r="H186" s="9"/>
      <c r="I186" s="168"/>
      <c r="J186" s="94"/>
      <c r="K186" s="82"/>
      <c r="L186" s="82"/>
    </row>
    <row r="187" spans="2:12" s="1" customFormat="1" ht="12.75" x14ac:dyDescent="0.15">
      <c r="B187" s="2"/>
      <c r="C187" s="167" t="s">
        <v>154</v>
      </c>
      <c r="D187" s="391"/>
      <c r="E187" s="391"/>
      <c r="F187" s="168"/>
      <c r="G187" s="200"/>
      <c r="H187" s="9"/>
      <c r="I187" s="168"/>
      <c r="J187" s="94"/>
      <c r="K187" s="82"/>
      <c r="L187" s="82"/>
    </row>
    <row r="188" spans="2:12" s="1" customFormat="1" ht="12.75" x14ac:dyDescent="0.15">
      <c r="B188" s="2">
        <v>1</v>
      </c>
      <c r="C188" s="207"/>
      <c r="D188" s="391"/>
      <c r="E188" s="391"/>
      <c r="F188" s="168"/>
      <c r="G188" s="200"/>
      <c r="H188" s="9">
        <v>1</v>
      </c>
      <c r="I188" s="168">
        <f t="shared" si="13"/>
        <v>0</v>
      </c>
      <c r="J188" s="94">
        <f t="shared" si="12"/>
        <v>0</v>
      </c>
      <c r="K188" s="82"/>
      <c r="L188" s="82"/>
    </row>
    <row r="189" spans="2:12" s="1" customFormat="1" ht="12.75" x14ac:dyDescent="0.15">
      <c r="B189" s="2">
        <v>2</v>
      </c>
      <c r="C189" s="403"/>
      <c r="D189" s="403"/>
      <c r="E189" s="403"/>
      <c r="F189" s="168"/>
      <c r="G189" s="200"/>
      <c r="H189" s="9">
        <v>1</v>
      </c>
      <c r="I189" s="168">
        <f t="shared" si="13"/>
        <v>0</v>
      </c>
      <c r="J189" s="94">
        <f t="shared" si="12"/>
        <v>0</v>
      </c>
      <c r="K189" s="82"/>
      <c r="L189" s="82"/>
    </row>
    <row r="190" spans="2:12" s="1" customFormat="1" ht="12.75" x14ac:dyDescent="0.15">
      <c r="B190" s="2">
        <f>B189+1</f>
        <v>3</v>
      </c>
      <c r="C190" s="183"/>
      <c r="D190" s="89"/>
      <c r="E190" s="89"/>
      <c r="F190" s="168"/>
      <c r="G190" s="200"/>
      <c r="H190" s="9">
        <v>1</v>
      </c>
      <c r="I190" s="168">
        <f t="shared" si="13"/>
        <v>0</v>
      </c>
      <c r="J190" s="94">
        <f t="shared" si="12"/>
        <v>0</v>
      </c>
      <c r="K190" s="82"/>
      <c r="L190" s="82"/>
    </row>
    <row r="191" spans="2:12" s="1" customFormat="1" ht="12.75" x14ac:dyDescent="0.15">
      <c r="B191" s="2">
        <f>B190+1</f>
        <v>4</v>
      </c>
      <c r="C191" s="89"/>
      <c r="D191" s="89"/>
      <c r="E191" s="89"/>
      <c r="F191" s="168"/>
      <c r="G191" s="200"/>
      <c r="H191" s="9">
        <v>1</v>
      </c>
      <c r="I191" s="168">
        <f t="shared" si="13"/>
        <v>0</v>
      </c>
      <c r="J191" s="94">
        <f t="shared" si="12"/>
        <v>0</v>
      </c>
      <c r="K191" s="82"/>
      <c r="L191" s="82"/>
    </row>
    <row r="192" spans="2:12" s="1" customFormat="1" ht="12.75" x14ac:dyDescent="0.15">
      <c r="B192" s="2">
        <f>B191+1</f>
        <v>5</v>
      </c>
      <c r="C192" s="89"/>
      <c r="D192" s="391"/>
      <c r="E192" s="391"/>
      <c r="F192" s="168"/>
      <c r="G192" s="200"/>
      <c r="H192" s="9">
        <v>1</v>
      </c>
      <c r="I192" s="168">
        <f t="shared" si="13"/>
        <v>0</v>
      </c>
      <c r="J192" s="94">
        <f t="shared" si="12"/>
        <v>0</v>
      </c>
      <c r="K192" s="82"/>
      <c r="L192" s="82"/>
    </row>
    <row r="193" spans="2:12" s="1" customFormat="1" ht="12.75" x14ac:dyDescent="0.15">
      <c r="B193" s="2">
        <f>B192+1</f>
        <v>6</v>
      </c>
      <c r="C193" s="392"/>
      <c r="D193" s="392"/>
      <c r="E193" s="392"/>
      <c r="F193" s="168"/>
      <c r="G193" s="200"/>
      <c r="H193" s="9">
        <v>1</v>
      </c>
      <c r="I193" s="168">
        <f t="shared" si="13"/>
        <v>0</v>
      </c>
      <c r="J193" s="94">
        <f t="shared" si="12"/>
        <v>0</v>
      </c>
      <c r="K193" s="82"/>
      <c r="L193" s="82"/>
    </row>
    <row r="194" spans="2:12" s="1" customFormat="1" ht="12.75" x14ac:dyDescent="0.15">
      <c r="B194" s="2">
        <f t="shared" ref="B194:B196" si="14">B193+1</f>
        <v>7</v>
      </c>
      <c r="C194" s="183"/>
      <c r="D194" s="391"/>
      <c r="E194" s="391"/>
      <c r="F194" s="168"/>
      <c r="G194" s="200"/>
      <c r="H194" s="9">
        <v>1</v>
      </c>
      <c r="I194" s="168">
        <f t="shared" si="13"/>
        <v>0</v>
      </c>
      <c r="J194" s="94">
        <f t="shared" si="12"/>
        <v>0</v>
      </c>
      <c r="K194" s="82"/>
      <c r="L194" s="82"/>
    </row>
    <row r="195" spans="2:12" s="1" customFormat="1" ht="12.75" x14ac:dyDescent="0.15">
      <c r="B195" s="2">
        <f t="shared" si="14"/>
        <v>8</v>
      </c>
      <c r="C195" s="183"/>
      <c r="D195" s="391"/>
      <c r="E195" s="391"/>
      <c r="F195" s="168"/>
      <c r="G195" s="200"/>
      <c r="H195" s="9">
        <v>1</v>
      </c>
      <c r="I195" s="168">
        <f t="shared" si="13"/>
        <v>0</v>
      </c>
      <c r="J195" s="94">
        <f t="shared" si="12"/>
        <v>0</v>
      </c>
      <c r="K195" s="82"/>
      <c r="L195" s="82"/>
    </row>
    <row r="196" spans="2:12" s="1" customFormat="1" ht="12.75" x14ac:dyDescent="0.15">
      <c r="B196" s="2">
        <f t="shared" si="14"/>
        <v>9</v>
      </c>
      <c r="C196" s="183"/>
      <c r="D196" s="391"/>
      <c r="E196" s="391"/>
      <c r="F196" s="168"/>
      <c r="G196" s="200"/>
      <c r="H196" s="9">
        <v>1</v>
      </c>
      <c r="I196" s="168">
        <f t="shared" si="13"/>
        <v>0</v>
      </c>
      <c r="J196" s="94">
        <f t="shared" si="12"/>
        <v>0</v>
      </c>
      <c r="K196" s="82"/>
      <c r="L196" s="82"/>
    </row>
    <row r="197" spans="2:12" s="1" customFormat="1" ht="12.75" x14ac:dyDescent="0.15">
      <c r="B197" s="2">
        <v>10</v>
      </c>
      <c r="C197" s="183"/>
      <c r="D197" s="90"/>
      <c r="E197" s="90"/>
      <c r="F197" s="168"/>
      <c r="G197" s="200"/>
      <c r="H197" s="9">
        <v>1</v>
      </c>
      <c r="I197" s="168">
        <f t="shared" si="13"/>
        <v>0</v>
      </c>
      <c r="J197" s="94">
        <f t="shared" si="12"/>
        <v>0</v>
      </c>
      <c r="K197" s="82"/>
      <c r="L197" s="82"/>
    </row>
    <row r="198" spans="2:12" s="1" customFormat="1" ht="12.75" x14ac:dyDescent="0.15">
      <c r="B198" s="2">
        <v>11</v>
      </c>
      <c r="C198" s="183"/>
      <c r="D198" s="90"/>
      <c r="E198" s="90"/>
      <c r="F198" s="168"/>
      <c r="G198" s="200"/>
      <c r="H198" s="9">
        <v>1</v>
      </c>
      <c r="I198" s="168">
        <f t="shared" si="13"/>
        <v>0</v>
      </c>
      <c r="J198" s="94">
        <f t="shared" si="12"/>
        <v>0</v>
      </c>
      <c r="K198" s="82"/>
      <c r="L198" s="82"/>
    </row>
    <row r="199" spans="2:12" s="1" customFormat="1" ht="12.75" x14ac:dyDescent="0.15">
      <c r="B199" s="2">
        <v>12</v>
      </c>
      <c r="C199" s="183"/>
      <c r="D199" s="90"/>
      <c r="E199" s="90"/>
      <c r="F199" s="168"/>
      <c r="G199" s="200"/>
      <c r="H199" s="9">
        <v>1</v>
      </c>
      <c r="I199" s="168">
        <f t="shared" si="13"/>
        <v>0</v>
      </c>
      <c r="J199" s="94">
        <f t="shared" si="12"/>
        <v>0</v>
      </c>
      <c r="K199" s="82"/>
      <c r="L199" s="82"/>
    </row>
    <row r="200" spans="2:12" s="1" customFormat="1" ht="12.75" x14ac:dyDescent="0.15">
      <c r="B200" s="2">
        <v>13</v>
      </c>
      <c r="C200" s="183"/>
      <c r="D200" s="90"/>
      <c r="E200" s="90"/>
      <c r="F200" s="168"/>
      <c r="G200" s="200"/>
      <c r="H200" s="9">
        <v>1</v>
      </c>
      <c r="I200" s="168">
        <f t="shared" si="13"/>
        <v>0</v>
      </c>
      <c r="J200" s="94">
        <f t="shared" si="12"/>
        <v>0</v>
      </c>
      <c r="K200" s="82"/>
      <c r="L200" s="82"/>
    </row>
    <row r="201" spans="2:12" s="1" customFormat="1" ht="12.75" x14ac:dyDescent="0.15">
      <c r="B201" s="2">
        <v>14</v>
      </c>
      <c r="C201" s="183"/>
      <c r="D201" s="90"/>
      <c r="E201" s="90"/>
      <c r="F201" s="168"/>
      <c r="G201" s="200"/>
      <c r="H201" s="9">
        <v>1</v>
      </c>
      <c r="I201" s="168">
        <f t="shared" si="13"/>
        <v>0</v>
      </c>
      <c r="J201" s="94">
        <f t="shared" si="12"/>
        <v>0</v>
      </c>
      <c r="K201" s="82"/>
      <c r="L201" s="82"/>
    </row>
    <row r="202" spans="2:12" s="1" customFormat="1" ht="12.75" x14ac:dyDescent="0.15">
      <c r="B202" s="2">
        <v>15</v>
      </c>
      <c r="C202" s="183"/>
      <c r="D202" s="90"/>
      <c r="E202" s="90"/>
      <c r="F202" s="168"/>
      <c r="G202" s="200"/>
      <c r="H202" s="9">
        <v>1</v>
      </c>
      <c r="I202" s="168">
        <f t="shared" si="13"/>
        <v>0</v>
      </c>
      <c r="J202" s="94">
        <f t="shared" si="12"/>
        <v>0</v>
      </c>
      <c r="K202" s="82"/>
      <c r="L202" s="82"/>
    </row>
    <row r="203" spans="2:12" s="1" customFormat="1" ht="12.75" x14ac:dyDescent="0.15">
      <c r="B203" s="2">
        <v>16</v>
      </c>
      <c r="C203" s="183"/>
      <c r="D203" s="90"/>
      <c r="E203" s="90"/>
      <c r="F203" s="168"/>
      <c r="G203" s="200"/>
      <c r="H203" s="9">
        <v>1</v>
      </c>
      <c r="I203" s="168">
        <f t="shared" si="13"/>
        <v>0</v>
      </c>
      <c r="J203" s="94">
        <f t="shared" si="12"/>
        <v>0</v>
      </c>
      <c r="K203" s="82"/>
      <c r="L203" s="82"/>
    </row>
    <row r="204" spans="2:12" s="1" customFormat="1" ht="12.75" x14ac:dyDescent="0.15">
      <c r="B204" s="2">
        <v>17</v>
      </c>
      <c r="C204" s="183"/>
      <c r="D204" s="90"/>
      <c r="E204" s="90"/>
      <c r="F204" s="168"/>
      <c r="G204" s="200"/>
      <c r="H204" s="9">
        <v>1</v>
      </c>
      <c r="I204" s="168">
        <f t="shared" si="13"/>
        <v>0</v>
      </c>
      <c r="J204" s="94">
        <f t="shared" si="12"/>
        <v>0</v>
      </c>
      <c r="K204" s="82"/>
      <c r="L204" s="82"/>
    </row>
    <row r="205" spans="2:12" s="1" customFormat="1" ht="12.75" x14ac:dyDescent="0.15">
      <c r="B205" s="2">
        <v>18</v>
      </c>
      <c r="C205" s="183"/>
      <c r="D205" s="90"/>
      <c r="E205" s="90"/>
      <c r="F205" s="168"/>
      <c r="G205" s="200"/>
      <c r="H205" s="9">
        <v>1</v>
      </c>
      <c r="I205" s="168">
        <f t="shared" si="13"/>
        <v>0</v>
      </c>
      <c r="J205" s="94">
        <f t="shared" si="12"/>
        <v>0</v>
      </c>
      <c r="K205" s="82"/>
      <c r="L205" s="82"/>
    </row>
    <row r="206" spans="2:12" s="1" customFormat="1" ht="12.75" x14ac:dyDescent="0.15">
      <c r="B206" s="2">
        <v>19</v>
      </c>
      <c r="C206" s="183"/>
      <c r="D206" s="90"/>
      <c r="E206" s="90"/>
      <c r="F206" s="168"/>
      <c r="G206" s="201"/>
      <c r="H206" s="197">
        <v>1</v>
      </c>
      <c r="I206" s="168">
        <f t="shared" si="13"/>
        <v>0</v>
      </c>
      <c r="J206" s="94">
        <f t="shared" si="12"/>
        <v>0</v>
      </c>
      <c r="K206" s="82"/>
      <c r="L206" s="82"/>
    </row>
    <row r="207" spans="2:12" s="1" customFormat="1" ht="12.75" x14ac:dyDescent="0.15">
      <c r="B207" s="112">
        <v>20</v>
      </c>
      <c r="C207" s="183"/>
      <c r="D207" s="90"/>
      <c r="E207" s="90"/>
      <c r="F207" s="168"/>
      <c r="G207" s="202"/>
      <c r="H207" s="92">
        <v>1</v>
      </c>
      <c r="I207" s="168">
        <f t="shared" si="13"/>
        <v>0</v>
      </c>
      <c r="J207" s="94">
        <f t="shared" si="12"/>
        <v>0</v>
      </c>
      <c r="K207" s="82"/>
      <c r="L207" s="82"/>
    </row>
    <row r="208" spans="2:12" s="1" customFormat="1" ht="12.75" x14ac:dyDescent="0.15">
      <c r="B208" s="82"/>
      <c r="C208" s="183"/>
      <c r="D208" s="90"/>
      <c r="E208" s="90"/>
      <c r="F208" s="168"/>
      <c r="G208" s="92"/>
      <c r="H208" s="92"/>
      <c r="I208" s="168"/>
      <c r="J208" s="94"/>
      <c r="K208" s="82"/>
      <c r="L208" s="82"/>
    </row>
    <row r="209" spans="2:12" s="1" customFormat="1" ht="12.75" x14ac:dyDescent="0.15">
      <c r="B209" s="82"/>
      <c r="C209" s="102"/>
      <c r="D209" s="103"/>
      <c r="E209" s="102"/>
      <c r="F209" s="128">
        <f>SUM(F150:F208)</f>
        <v>0</v>
      </c>
      <c r="G209" s="104"/>
      <c r="H209" s="105"/>
      <c r="I209" s="128">
        <f>SUM(I151:I208)</f>
        <v>0</v>
      </c>
      <c r="J209" s="257">
        <f>SUM(J150:J208)</f>
        <v>0</v>
      </c>
    </row>
    <row r="210" spans="2:12" s="1" customFormat="1" ht="12.75" x14ac:dyDescent="0.15">
      <c r="B210" s="82"/>
      <c r="C210" s="102"/>
      <c r="D210" s="103"/>
      <c r="E210" s="102" t="s">
        <v>147</v>
      </c>
      <c r="F210" s="128">
        <f>100/115*F209</f>
        <v>0</v>
      </c>
      <c r="G210" s="104"/>
      <c r="H210" s="105" t="s">
        <v>147</v>
      </c>
      <c r="I210" s="128">
        <f>100/115*I209</f>
        <v>0</v>
      </c>
      <c r="J210" s="106"/>
    </row>
    <row r="211" spans="2:12" s="1" customFormat="1" ht="12.75" x14ac:dyDescent="0.15"/>
    <row r="212" spans="2:12" s="1" customFormat="1" ht="12.75" x14ac:dyDescent="0.15"/>
    <row r="213" spans="2:12" s="1" customFormat="1" ht="12.75" x14ac:dyDescent="0.15"/>
    <row r="214" spans="2:12" s="1" customFormat="1" ht="12.75" x14ac:dyDescent="0.15"/>
    <row r="215" spans="2:12" s="247" customFormat="1" ht="32.25" x14ac:dyDescent="0.4">
      <c r="B215" s="248"/>
      <c r="C215" s="380" t="s">
        <v>112</v>
      </c>
      <c r="D215" s="380"/>
      <c r="E215" s="428" t="s">
        <v>155</v>
      </c>
      <c r="F215" s="428"/>
      <c r="G215" s="428"/>
      <c r="H215" s="428"/>
      <c r="I215" s="428"/>
      <c r="J215" s="382">
        <v>2026</v>
      </c>
      <c r="K215" s="382"/>
      <c r="L215" s="382"/>
    </row>
    <row r="216" spans="2:12" s="1" customFormat="1" ht="22.5" x14ac:dyDescent="0.15">
      <c r="B216" s="82"/>
      <c r="C216" s="102" t="s">
        <v>114</v>
      </c>
      <c r="D216" s="388" t="s">
        <v>115</v>
      </c>
      <c r="E216" s="388"/>
      <c r="F216" s="102" t="s">
        <v>116</v>
      </c>
      <c r="G216" s="102" t="s">
        <v>117</v>
      </c>
      <c r="H216" s="102" t="s">
        <v>118</v>
      </c>
      <c r="I216" s="102" t="s">
        <v>119</v>
      </c>
      <c r="J216" s="102" t="s">
        <v>120</v>
      </c>
      <c r="K216" s="82"/>
      <c r="L216" s="82"/>
    </row>
    <row r="217" spans="2:12" s="1" customFormat="1" ht="12.75" x14ac:dyDescent="0.15">
      <c r="B217" s="82"/>
      <c r="C217" s="66">
        <f>C148</f>
        <v>250</v>
      </c>
      <c r="D217" s="389">
        <v>19</v>
      </c>
      <c r="E217" s="389"/>
      <c r="F217" s="13">
        <f>F148</f>
        <v>0.75</v>
      </c>
      <c r="G217" s="14">
        <f>G148</f>
        <v>8</v>
      </c>
      <c r="H217" s="142">
        <f>D217*G217*F217</f>
        <v>114</v>
      </c>
      <c r="I217" s="66">
        <f>I279</f>
        <v>0</v>
      </c>
      <c r="J217" s="143">
        <f>H217-J279</f>
        <v>114</v>
      </c>
      <c r="K217" s="82"/>
      <c r="L217" s="82"/>
    </row>
    <row r="218" spans="2:12" s="1" customFormat="1" ht="33.75" x14ac:dyDescent="0.15">
      <c r="B218" s="82"/>
      <c r="C218" s="167" t="s">
        <v>121</v>
      </c>
      <c r="D218" s="395" t="s">
        <v>122</v>
      </c>
      <c r="E218" s="395"/>
      <c r="F218" s="177" t="s">
        <v>123</v>
      </c>
      <c r="G218" s="178" t="s">
        <v>124</v>
      </c>
      <c r="H218" s="179" t="s">
        <v>125</v>
      </c>
      <c r="I218" s="180" t="s">
        <v>126</v>
      </c>
      <c r="J218" s="178" t="s">
        <v>127</v>
      </c>
      <c r="K218" s="114" t="s">
        <v>128</v>
      </c>
      <c r="L218" s="114" t="s">
        <v>129</v>
      </c>
    </row>
    <row r="219" spans="2:12" s="1" customFormat="1" ht="12.75" x14ac:dyDescent="0.15">
      <c r="B219" s="79"/>
      <c r="C219" s="193"/>
      <c r="D219" s="406"/>
      <c r="E219" s="406"/>
      <c r="F219" s="194"/>
      <c r="G219" s="195"/>
      <c r="H219" s="196"/>
      <c r="I219" s="176"/>
      <c r="J219" s="88"/>
      <c r="K219" s="79"/>
      <c r="L219" s="120"/>
    </row>
    <row r="220" spans="2:12" s="1" customFormat="1" ht="12.75" x14ac:dyDescent="0.15">
      <c r="B220" s="80"/>
      <c r="C220" s="392" t="s">
        <v>130</v>
      </c>
      <c r="D220" s="392"/>
      <c r="E220" s="392"/>
      <c r="F220" s="184"/>
      <c r="G220" s="92"/>
      <c r="H220" s="163"/>
      <c r="I220" s="126"/>
      <c r="J220" s="21"/>
      <c r="K220" s="80"/>
      <c r="L220" s="82"/>
    </row>
    <row r="221" spans="2:12" s="1" customFormat="1" ht="12.75" x14ac:dyDescent="0.15">
      <c r="B221" s="80"/>
      <c r="C221" s="167" t="s">
        <v>149</v>
      </c>
      <c r="D221" s="167"/>
      <c r="E221" s="167"/>
      <c r="F221" s="168"/>
      <c r="G221" s="92"/>
      <c r="H221" s="163"/>
      <c r="I221" s="126"/>
      <c r="J221" s="21"/>
      <c r="K221" s="80"/>
      <c r="L221" s="82"/>
    </row>
    <row r="222" spans="2:12" s="1" customFormat="1" ht="12.75" x14ac:dyDescent="0.15">
      <c r="B222" s="80">
        <v>1</v>
      </c>
      <c r="C222" s="89"/>
      <c r="D222" s="167"/>
      <c r="E222" s="167"/>
      <c r="F222" s="168"/>
      <c r="G222" s="92"/>
      <c r="H222" s="163">
        <v>1</v>
      </c>
      <c r="I222" s="126">
        <f>J222*$C$32</f>
        <v>0</v>
      </c>
      <c r="J222" s="21">
        <f>(F222*G222*H222)/$C$32</f>
        <v>0</v>
      </c>
      <c r="K222" s="80"/>
      <c r="L222" s="82"/>
    </row>
    <row r="223" spans="2:12" s="1" customFormat="1" ht="12.75" customHeight="1" x14ac:dyDescent="0.15">
      <c r="B223" s="80">
        <v>2</v>
      </c>
      <c r="C223" s="187"/>
      <c r="D223" s="90"/>
      <c r="E223" s="90"/>
      <c r="F223" s="168"/>
      <c r="G223" s="92"/>
      <c r="H223" s="163">
        <v>1</v>
      </c>
      <c r="I223" s="126">
        <f>J223*$C$32</f>
        <v>0</v>
      </c>
      <c r="J223" s="21">
        <f>(F223*G223*H223)/$C$32</f>
        <v>0</v>
      </c>
      <c r="K223" s="80"/>
      <c r="L223" s="82"/>
    </row>
    <row r="224" spans="2:12" s="1" customFormat="1" ht="12.75" customHeight="1" x14ac:dyDescent="0.15">
      <c r="B224" s="80">
        <v>3</v>
      </c>
      <c r="C224" s="188"/>
      <c r="D224" s="169"/>
      <c r="E224" s="169"/>
      <c r="F224" s="168"/>
      <c r="G224" s="92"/>
      <c r="H224" s="163">
        <v>1</v>
      </c>
      <c r="I224" s="126">
        <f t="shared" ref="I224:I254" si="15">J224*$C$32</f>
        <v>0</v>
      </c>
      <c r="J224" s="21">
        <f t="shared" ref="J224:J254" si="16">(F224*G224*H224)/$C$32</f>
        <v>0</v>
      </c>
      <c r="K224" s="80"/>
      <c r="L224" s="82"/>
    </row>
    <row r="225" spans="2:12" s="1" customFormat="1" ht="12.75" customHeight="1" x14ac:dyDescent="0.15">
      <c r="B225" s="80">
        <v>4</v>
      </c>
      <c r="C225" s="188"/>
      <c r="D225" s="169"/>
      <c r="E225" s="169"/>
      <c r="F225" s="168"/>
      <c r="G225" s="92"/>
      <c r="H225" s="163">
        <v>1</v>
      </c>
      <c r="I225" s="126">
        <f t="shared" si="15"/>
        <v>0</v>
      </c>
      <c r="J225" s="21">
        <f t="shared" si="16"/>
        <v>0</v>
      </c>
      <c r="K225" s="80"/>
      <c r="L225" s="82"/>
    </row>
    <row r="226" spans="2:12" s="1" customFormat="1" ht="12.75" customHeight="1" x14ac:dyDescent="0.15">
      <c r="B226" s="80">
        <v>5</v>
      </c>
      <c r="C226" s="189"/>
      <c r="D226" s="169"/>
      <c r="E226" s="169"/>
      <c r="F226" s="168"/>
      <c r="G226" s="92"/>
      <c r="H226" s="163">
        <v>1</v>
      </c>
      <c r="I226" s="126">
        <f t="shared" si="15"/>
        <v>0</v>
      </c>
      <c r="J226" s="21">
        <f t="shared" si="16"/>
        <v>0</v>
      </c>
      <c r="K226" s="80"/>
      <c r="L226" s="82"/>
    </row>
    <row r="227" spans="2:12" s="1" customFormat="1" ht="12.75" customHeight="1" x14ac:dyDescent="0.15">
      <c r="B227" s="80">
        <v>6</v>
      </c>
      <c r="C227" s="188"/>
      <c r="D227" s="190"/>
      <c r="E227" s="190"/>
      <c r="F227" s="168"/>
      <c r="G227" s="92"/>
      <c r="H227" s="163">
        <v>1</v>
      </c>
      <c r="I227" s="126">
        <f t="shared" si="15"/>
        <v>0</v>
      </c>
      <c r="J227" s="21">
        <f t="shared" si="16"/>
        <v>0</v>
      </c>
      <c r="K227" s="80"/>
      <c r="L227" s="82"/>
    </row>
    <row r="228" spans="2:12" s="1" customFormat="1" ht="12.75" customHeight="1" x14ac:dyDescent="0.15">
      <c r="B228" s="80">
        <v>7</v>
      </c>
      <c r="C228" s="188"/>
      <c r="D228" s="169"/>
      <c r="E228" s="169"/>
      <c r="F228" s="168"/>
      <c r="G228" s="92"/>
      <c r="H228" s="163">
        <v>1</v>
      </c>
      <c r="I228" s="126">
        <f t="shared" si="15"/>
        <v>0</v>
      </c>
      <c r="J228" s="21">
        <f t="shared" si="16"/>
        <v>0</v>
      </c>
      <c r="K228" s="80"/>
      <c r="L228" s="82"/>
    </row>
    <row r="229" spans="2:12" s="1" customFormat="1" ht="12.75" customHeight="1" x14ac:dyDescent="0.15">
      <c r="B229" s="80">
        <v>8</v>
      </c>
      <c r="C229" s="188"/>
      <c r="D229" s="169"/>
      <c r="E229" s="169"/>
      <c r="F229" s="168"/>
      <c r="G229" s="92"/>
      <c r="H229" s="163">
        <v>1</v>
      </c>
      <c r="I229" s="192">
        <f t="shared" si="15"/>
        <v>0</v>
      </c>
      <c r="J229" s="21">
        <f t="shared" si="16"/>
        <v>0</v>
      </c>
      <c r="K229" s="80"/>
      <c r="L229" s="82"/>
    </row>
    <row r="230" spans="2:12" s="1" customFormat="1" ht="12.75" customHeight="1" x14ac:dyDescent="0.15">
      <c r="B230" s="80">
        <v>9</v>
      </c>
      <c r="C230" s="188"/>
      <c r="D230" s="90"/>
      <c r="E230" s="90"/>
      <c r="F230" s="168"/>
      <c r="G230" s="92"/>
      <c r="H230" s="163">
        <v>1</v>
      </c>
      <c r="I230" s="192">
        <f t="shared" si="15"/>
        <v>0</v>
      </c>
      <c r="J230" s="21">
        <f t="shared" si="16"/>
        <v>0</v>
      </c>
      <c r="K230" s="80"/>
      <c r="L230" s="82"/>
    </row>
    <row r="231" spans="2:12" s="1" customFormat="1" ht="12.75" x14ac:dyDescent="0.15">
      <c r="B231" s="80">
        <v>10</v>
      </c>
      <c r="C231" s="113"/>
      <c r="D231" s="90"/>
      <c r="E231" s="90"/>
      <c r="F231" s="168"/>
      <c r="G231" s="92"/>
      <c r="H231" s="163">
        <v>1</v>
      </c>
      <c r="I231" s="192">
        <f t="shared" si="15"/>
        <v>0</v>
      </c>
      <c r="J231" s="21">
        <f t="shared" si="16"/>
        <v>0</v>
      </c>
      <c r="K231" s="80"/>
      <c r="L231" s="82"/>
    </row>
    <row r="232" spans="2:12" s="1" customFormat="1" ht="12.75" x14ac:dyDescent="0.15">
      <c r="B232" s="80"/>
      <c r="C232" s="113"/>
      <c r="D232" s="90"/>
      <c r="E232" s="90"/>
      <c r="F232" s="168"/>
      <c r="G232" s="92"/>
      <c r="H232" s="163"/>
      <c r="I232" s="192"/>
      <c r="J232" s="21"/>
      <c r="K232" s="80"/>
      <c r="L232" s="82"/>
    </row>
    <row r="233" spans="2:12" s="1" customFormat="1" ht="12.75" x14ac:dyDescent="0.15">
      <c r="B233" s="80"/>
      <c r="C233" s="113"/>
      <c r="D233" s="90"/>
      <c r="E233" s="90"/>
      <c r="F233" s="168"/>
      <c r="G233" s="92"/>
      <c r="H233" s="163"/>
      <c r="I233" s="192"/>
      <c r="J233" s="21"/>
      <c r="K233" s="80"/>
      <c r="L233" s="82"/>
    </row>
    <row r="234" spans="2:12" s="1" customFormat="1" ht="12.75" x14ac:dyDescent="0.15">
      <c r="B234" s="80"/>
      <c r="C234" s="117" t="s">
        <v>156</v>
      </c>
      <c r="D234" s="90"/>
      <c r="E234" s="90"/>
      <c r="F234" s="168"/>
      <c r="G234" s="92"/>
      <c r="H234" s="163"/>
      <c r="I234" s="192"/>
      <c r="J234" s="21"/>
      <c r="K234" s="80"/>
      <c r="L234" s="82"/>
    </row>
    <row r="235" spans="2:12" s="1" customFormat="1" ht="12.75" x14ac:dyDescent="0.15">
      <c r="B235" s="80">
        <v>1</v>
      </c>
      <c r="C235" s="188"/>
      <c r="D235" s="169"/>
      <c r="E235" s="169"/>
      <c r="F235" s="168"/>
      <c r="G235" s="92"/>
      <c r="H235" s="163">
        <v>1</v>
      </c>
      <c r="I235" s="192">
        <f t="shared" si="15"/>
        <v>0</v>
      </c>
      <c r="J235" s="21">
        <f t="shared" si="16"/>
        <v>0</v>
      </c>
      <c r="K235" s="80"/>
      <c r="L235" s="82"/>
    </row>
    <row r="236" spans="2:12" s="1" customFormat="1" ht="12.75" x14ac:dyDescent="0.15">
      <c r="B236" s="80">
        <v>2</v>
      </c>
      <c r="C236" s="188"/>
      <c r="D236" s="169"/>
      <c r="E236" s="169"/>
      <c r="F236" s="168"/>
      <c r="G236" s="92"/>
      <c r="H236" s="163">
        <v>1</v>
      </c>
      <c r="I236" s="192">
        <f t="shared" si="15"/>
        <v>0</v>
      </c>
      <c r="J236" s="21">
        <f t="shared" si="16"/>
        <v>0</v>
      </c>
      <c r="K236" s="80"/>
      <c r="L236" s="82"/>
    </row>
    <row r="237" spans="2:12" s="1" customFormat="1" ht="12.75" x14ac:dyDescent="0.15">
      <c r="B237" s="80">
        <v>3</v>
      </c>
      <c r="C237" s="188"/>
      <c r="D237" s="169"/>
      <c r="E237" s="169"/>
      <c r="F237" s="168"/>
      <c r="G237" s="92"/>
      <c r="H237" s="163">
        <v>1</v>
      </c>
      <c r="I237" s="192">
        <f t="shared" si="15"/>
        <v>0</v>
      </c>
      <c r="J237" s="21">
        <f t="shared" si="16"/>
        <v>0</v>
      </c>
      <c r="K237" s="80"/>
      <c r="L237" s="82"/>
    </row>
    <row r="238" spans="2:12" s="1" customFormat="1" ht="13.5" customHeight="1" x14ac:dyDescent="0.15">
      <c r="B238" s="80">
        <v>4</v>
      </c>
      <c r="C238" s="188"/>
      <c r="D238" s="169"/>
      <c r="E238" s="169"/>
      <c r="F238" s="168"/>
      <c r="G238" s="92"/>
      <c r="H238" s="163">
        <v>1</v>
      </c>
      <c r="I238" s="192">
        <f t="shared" si="15"/>
        <v>0</v>
      </c>
      <c r="J238" s="21">
        <f t="shared" si="16"/>
        <v>0</v>
      </c>
      <c r="K238" s="80"/>
      <c r="L238" s="82"/>
    </row>
    <row r="239" spans="2:12" s="1" customFormat="1" ht="13.5" customHeight="1" x14ac:dyDescent="0.15">
      <c r="B239" s="80">
        <v>5</v>
      </c>
      <c r="C239" s="188"/>
      <c r="D239" s="169"/>
      <c r="E239" s="169"/>
      <c r="F239" s="168"/>
      <c r="G239" s="92"/>
      <c r="H239" s="163">
        <v>1</v>
      </c>
      <c r="I239" s="129">
        <f t="shared" si="15"/>
        <v>0</v>
      </c>
      <c r="J239" s="21">
        <f t="shared" si="16"/>
        <v>0</v>
      </c>
      <c r="K239" s="80"/>
      <c r="L239" s="82"/>
    </row>
    <row r="240" spans="2:12" s="1" customFormat="1" ht="13.5" customHeight="1" x14ac:dyDescent="0.15">
      <c r="B240" s="80">
        <v>6</v>
      </c>
      <c r="C240" s="189"/>
      <c r="D240" s="169"/>
      <c r="E240" s="90"/>
      <c r="F240" s="168"/>
      <c r="G240" s="92"/>
      <c r="H240" s="163">
        <v>1</v>
      </c>
      <c r="I240" s="129">
        <f t="shared" si="15"/>
        <v>0</v>
      </c>
      <c r="J240" s="21">
        <f t="shared" si="16"/>
        <v>0</v>
      </c>
      <c r="K240" s="80"/>
      <c r="L240" s="82"/>
    </row>
    <row r="241" spans="2:12" s="1" customFormat="1" ht="13.5" customHeight="1" x14ac:dyDescent="0.15">
      <c r="B241" s="80">
        <v>7</v>
      </c>
      <c r="C241" s="189"/>
      <c r="D241" s="90"/>
      <c r="E241" s="90"/>
      <c r="F241" s="168"/>
      <c r="G241" s="92"/>
      <c r="H241" s="163">
        <v>1</v>
      </c>
      <c r="I241" s="129">
        <f t="shared" si="15"/>
        <v>0</v>
      </c>
      <c r="J241" s="21">
        <f t="shared" si="16"/>
        <v>0</v>
      </c>
      <c r="K241" s="80"/>
      <c r="L241" s="82"/>
    </row>
    <row r="242" spans="2:12" s="1" customFormat="1" ht="13.5" customHeight="1" x14ac:dyDescent="0.15">
      <c r="B242" s="80">
        <v>8</v>
      </c>
      <c r="C242" s="189"/>
      <c r="D242" s="90"/>
      <c r="E242" s="90"/>
      <c r="F242" s="191"/>
      <c r="G242" s="92"/>
      <c r="H242" s="163">
        <v>1</v>
      </c>
      <c r="I242" s="129">
        <f t="shared" si="15"/>
        <v>0</v>
      </c>
      <c r="J242" s="21">
        <f t="shared" si="16"/>
        <v>0</v>
      </c>
      <c r="K242" s="80"/>
      <c r="L242" s="82"/>
    </row>
    <row r="243" spans="2:12" s="1" customFormat="1" ht="13.5" customHeight="1" x14ac:dyDescent="0.15">
      <c r="B243" s="80">
        <v>9</v>
      </c>
      <c r="C243" s="189"/>
      <c r="D243" s="90"/>
      <c r="E243" s="90"/>
      <c r="F243" s="168"/>
      <c r="G243" s="92"/>
      <c r="H243" s="163">
        <v>1</v>
      </c>
      <c r="I243" s="129">
        <f t="shared" si="15"/>
        <v>0</v>
      </c>
      <c r="J243" s="21">
        <f t="shared" si="16"/>
        <v>0</v>
      </c>
      <c r="K243" s="80"/>
      <c r="L243" s="82"/>
    </row>
    <row r="244" spans="2:12" s="1" customFormat="1" ht="13.5" customHeight="1" x14ac:dyDescent="0.15">
      <c r="B244" s="80">
        <v>10</v>
      </c>
      <c r="C244" s="189"/>
      <c r="D244" s="90"/>
      <c r="E244" s="90"/>
      <c r="F244" s="168"/>
      <c r="G244" s="92"/>
      <c r="H244" s="163">
        <v>1</v>
      </c>
      <c r="I244" s="129">
        <f t="shared" si="15"/>
        <v>0</v>
      </c>
      <c r="J244" s="21">
        <f t="shared" si="16"/>
        <v>0</v>
      </c>
      <c r="K244" s="80"/>
      <c r="L244" s="82"/>
    </row>
    <row r="245" spans="2:12" s="1" customFormat="1" ht="12.75" x14ac:dyDescent="0.15">
      <c r="B245" s="80">
        <v>11</v>
      </c>
      <c r="C245" s="189"/>
      <c r="D245" s="90"/>
      <c r="E245" s="90"/>
      <c r="F245" s="168"/>
      <c r="G245" s="92"/>
      <c r="H245" s="163">
        <v>1</v>
      </c>
      <c r="I245" s="129">
        <f t="shared" si="15"/>
        <v>0</v>
      </c>
      <c r="J245" s="21">
        <f t="shared" si="16"/>
        <v>0</v>
      </c>
      <c r="K245" s="80"/>
      <c r="L245" s="82"/>
    </row>
    <row r="246" spans="2:12" s="1" customFormat="1" ht="12.75" x14ac:dyDescent="0.15">
      <c r="B246" s="80">
        <v>12</v>
      </c>
      <c r="C246" s="189"/>
      <c r="D246" s="90"/>
      <c r="E246" s="90"/>
      <c r="F246" s="168"/>
      <c r="G246" s="92"/>
      <c r="H246" s="163">
        <v>1</v>
      </c>
      <c r="I246" s="129">
        <f t="shared" si="15"/>
        <v>0</v>
      </c>
      <c r="J246" s="21">
        <f t="shared" si="16"/>
        <v>0</v>
      </c>
      <c r="K246" s="80"/>
      <c r="L246" s="82"/>
    </row>
    <row r="247" spans="2:12" s="1" customFormat="1" ht="12.75" x14ac:dyDescent="0.15">
      <c r="B247" s="80">
        <v>13</v>
      </c>
      <c r="C247" s="189"/>
      <c r="D247" s="90"/>
      <c r="E247" s="90"/>
      <c r="F247" s="168"/>
      <c r="G247" s="92"/>
      <c r="H247" s="163">
        <v>1</v>
      </c>
      <c r="I247" s="129">
        <f t="shared" si="15"/>
        <v>0</v>
      </c>
      <c r="J247" s="21">
        <f t="shared" si="16"/>
        <v>0</v>
      </c>
      <c r="K247" s="80"/>
      <c r="L247" s="82"/>
    </row>
    <row r="248" spans="2:12" s="1" customFormat="1" ht="12.75" x14ac:dyDescent="0.15">
      <c r="B248" s="80">
        <v>14</v>
      </c>
      <c r="C248" s="189"/>
      <c r="D248" s="90"/>
      <c r="E248" s="90"/>
      <c r="F248" s="168"/>
      <c r="G248" s="92"/>
      <c r="H248" s="163">
        <v>1</v>
      </c>
      <c r="I248" s="129">
        <f t="shared" si="15"/>
        <v>0</v>
      </c>
      <c r="J248" s="21">
        <f t="shared" si="16"/>
        <v>0</v>
      </c>
      <c r="K248" s="80"/>
      <c r="L248" s="82"/>
    </row>
    <row r="249" spans="2:12" s="1" customFormat="1" ht="12.75" x14ac:dyDescent="0.15">
      <c r="B249" s="80">
        <v>15</v>
      </c>
      <c r="C249" s="189"/>
      <c r="D249" s="90"/>
      <c r="E249" s="90"/>
      <c r="F249" s="168"/>
      <c r="G249" s="92"/>
      <c r="H249" s="163">
        <v>1</v>
      </c>
      <c r="I249" s="129">
        <f t="shared" si="15"/>
        <v>0</v>
      </c>
      <c r="J249" s="21">
        <f t="shared" si="16"/>
        <v>0</v>
      </c>
      <c r="K249" s="80"/>
      <c r="L249" s="82"/>
    </row>
    <row r="250" spans="2:12" s="1" customFormat="1" ht="12.75" x14ac:dyDescent="0.15">
      <c r="B250" s="80">
        <v>16</v>
      </c>
      <c r="C250" s="189"/>
      <c r="D250" s="90"/>
      <c r="E250" s="90"/>
      <c r="F250" s="168"/>
      <c r="G250" s="92"/>
      <c r="H250" s="163">
        <v>1</v>
      </c>
      <c r="I250" s="129">
        <f t="shared" si="15"/>
        <v>0</v>
      </c>
      <c r="J250" s="21">
        <f t="shared" si="16"/>
        <v>0</v>
      </c>
      <c r="K250" s="80"/>
      <c r="L250" s="82"/>
    </row>
    <row r="251" spans="2:12" s="1" customFormat="1" ht="12.75" x14ac:dyDescent="0.15">
      <c r="B251" s="80">
        <v>17</v>
      </c>
      <c r="C251" s="189"/>
      <c r="D251" s="90"/>
      <c r="E251" s="90"/>
      <c r="F251" s="168"/>
      <c r="G251" s="92"/>
      <c r="H251" s="163">
        <v>1</v>
      </c>
      <c r="I251" s="129">
        <f t="shared" si="15"/>
        <v>0</v>
      </c>
      <c r="J251" s="21">
        <f t="shared" si="16"/>
        <v>0</v>
      </c>
      <c r="K251" s="80"/>
      <c r="L251" s="82"/>
    </row>
    <row r="252" spans="2:12" s="1" customFormat="1" ht="12.75" x14ac:dyDescent="0.15">
      <c r="B252" s="80">
        <v>18</v>
      </c>
      <c r="C252" s="189"/>
      <c r="D252" s="90"/>
      <c r="E252" s="90"/>
      <c r="F252" s="168"/>
      <c r="G252" s="92"/>
      <c r="H252" s="163">
        <v>1</v>
      </c>
      <c r="I252" s="129">
        <f t="shared" si="15"/>
        <v>0</v>
      </c>
      <c r="J252" s="21">
        <f t="shared" si="16"/>
        <v>0</v>
      </c>
      <c r="K252" s="80"/>
      <c r="L252" s="82"/>
    </row>
    <row r="253" spans="2:12" s="1" customFormat="1" ht="12.75" x14ac:dyDescent="0.15">
      <c r="B253" s="80">
        <v>19</v>
      </c>
      <c r="C253" s="188"/>
      <c r="D253" s="89"/>
      <c r="E253" s="89"/>
      <c r="F253" s="168"/>
      <c r="G253" s="92"/>
      <c r="H253" s="163">
        <v>1</v>
      </c>
      <c r="I253" s="129">
        <f t="shared" si="15"/>
        <v>0</v>
      </c>
      <c r="J253" s="21">
        <f t="shared" si="16"/>
        <v>0</v>
      </c>
      <c r="K253" s="80"/>
      <c r="L253" s="82"/>
    </row>
    <row r="254" spans="2:12" s="1" customFormat="1" ht="12.75" x14ac:dyDescent="0.15">
      <c r="B254" s="80">
        <v>20</v>
      </c>
      <c r="C254" s="188"/>
      <c r="D254" s="90"/>
      <c r="E254" s="90"/>
      <c r="F254" s="168"/>
      <c r="G254" s="92"/>
      <c r="H254" s="163">
        <v>1</v>
      </c>
      <c r="I254" s="129">
        <f t="shared" si="15"/>
        <v>0</v>
      </c>
      <c r="J254" s="21">
        <f t="shared" si="16"/>
        <v>0</v>
      </c>
      <c r="K254" s="80"/>
      <c r="L254" s="82"/>
    </row>
    <row r="255" spans="2:12" s="1" customFormat="1" ht="12.75" x14ac:dyDescent="0.15">
      <c r="B255" s="80"/>
      <c r="C255" s="188"/>
      <c r="D255" s="90"/>
      <c r="E255" s="90"/>
      <c r="F255" s="168"/>
      <c r="G255" s="92"/>
      <c r="H255" s="163"/>
      <c r="I255" s="129"/>
      <c r="J255" s="21"/>
      <c r="K255" s="80"/>
      <c r="L255" s="82"/>
    </row>
    <row r="256" spans="2:12" s="1" customFormat="1" ht="12.75" x14ac:dyDescent="0.15">
      <c r="B256" s="80"/>
      <c r="C256" s="188"/>
      <c r="D256" s="90"/>
      <c r="E256" s="90"/>
      <c r="F256" s="168"/>
      <c r="G256" s="92"/>
      <c r="H256" s="163"/>
      <c r="I256" s="129"/>
      <c r="J256" s="21"/>
      <c r="K256" s="80"/>
      <c r="L256" s="82"/>
    </row>
    <row r="257" spans="2:12" s="1" customFormat="1" ht="12.75" x14ac:dyDescent="0.15">
      <c r="B257" s="80"/>
      <c r="C257" s="167" t="s">
        <v>157</v>
      </c>
      <c r="D257" s="90"/>
      <c r="E257" s="90"/>
      <c r="F257" s="168"/>
      <c r="G257" s="92"/>
      <c r="H257" s="163"/>
      <c r="I257" s="129"/>
      <c r="J257" s="27"/>
      <c r="K257" s="80"/>
      <c r="L257" s="82"/>
    </row>
    <row r="258" spans="2:12" s="1" customFormat="1" ht="12.75" x14ac:dyDescent="0.15">
      <c r="B258" s="80">
        <v>1</v>
      </c>
      <c r="C258" s="89"/>
      <c r="D258" s="90"/>
      <c r="E258" s="90"/>
      <c r="F258" s="168"/>
      <c r="G258" s="92"/>
      <c r="H258" s="163">
        <v>1</v>
      </c>
      <c r="I258" s="129">
        <f t="shared" ref="I258:I277" si="17">J258*$C$32</f>
        <v>0</v>
      </c>
      <c r="J258" s="27">
        <f t="shared" ref="J258:J277" si="18">(F258*G258*H258)/$C$32</f>
        <v>0</v>
      </c>
      <c r="K258" s="80"/>
      <c r="L258" s="82"/>
    </row>
    <row r="259" spans="2:12" s="1" customFormat="1" ht="12.75" x14ac:dyDescent="0.15">
      <c r="B259" s="80">
        <v>2</v>
      </c>
      <c r="C259" s="183"/>
      <c r="D259" s="90"/>
      <c r="E259" s="90"/>
      <c r="F259" s="168"/>
      <c r="G259" s="92"/>
      <c r="H259" s="163">
        <v>1</v>
      </c>
      <c r="I259" s="129">
        <f t="shared" si="17"/>
        <v>0</v>
      </c>
      <c r="J259" s="27">
        <f t="shared" si="18"/>
        <v>0</v>
      </c>
      <c r="K259" s="80"/>
      <c r="L259" s="82"/>
    </row>
    <row r="260" spans="2:12" s="1" customFormat="1" ht="12.75" x14ac:dyDescent="0.15">
      <c r="B260" s="80">
        <v>3</v>
      </c>
      <c r="C260" s="89"/>
      <c r="D260" s="90"/>
      <c r="E260" s="90"/>
      <c r="F260" s="168"/>
      <c r="G260" s="92"/>
      <c r="H260" s="163">
        <v>1</v>
      </c>
      <c r="I260" s="129">
        <f t="shared" si="17"/>
        <v>0</v>
      </c>
      <c r="J260" s="27">
        <f t="shared" si="18"/>
        <v>0</v>
      </c>
      <c r="K260" s="80"/>
      <c r="L260" s="82"/>
    </row>
    <row r="261" spans="2:12" s="1" customFormat="1" ht="12.75" x14ac:dyDescent="0.15">
      <c r="B261" s="80">
        <v>4</v>
      </c>
      <c r="C261" s="169"/>
      <c r="D261" s="90"/>
      <c r="E261" s="90"/>
      <c r="F261" s="168"/>
      <c r="G261" s="92"/>
      <c r="H261" s="163">
        <v>1</v>
      </c>
      <c r="I261" s="129">
        <f t="shared" si="17"/>
        <v>0</v>
      </c>
      <c r="J261" s="27">
        <f t="shared" si="18"/>
        <v>0</v>
      </c>
      <c r="K261" s="80"/>
      <c r="L261" s="82"/>
    </row>
    <row r="262" spans="2:12" s="1" customFormat="1" ht="12.75" x14ac:dyDescent="0.15">
      <c r="B262" s="80">
        <v>5</v>
      </c>
      <c r="C262" s="183"/>
      <c r="D262" s="90"/>
      <c r="E262" s="90"/>
      <c r="F262" s="168"/>
      <c r="G262" s="92"/>
      <c r="H262" s="163">
        <v>1</v>
      </c>
      <c r="I262" s="129">
        <f t="shared" si="17"/>
        <v>0</v>
      </c>
      <c r="J262" s="27">
        <f t="shared" si="18"/>
        <v>0</v>
      </c>
      <c r="K262" s="80"/>
      <c r="L262" s="82"/>
    </row>
    <row r="263" spans="2:12" s="1" customFormat="1" ht="12.75" x14ac:dyDescent="0.15">
      <c r="B263" s="80">
        <v>6</v>
      </c>
      <c r="C263" s="89"/>
      <c r="D263" s="90"/>
      <c r="E263" s="90"/>
      <c r="F263" s="168"/>
      <c r="G263" s="92"/>
      <c r="H263" s="163">
        <v>1</v>
      </c>
      <c r="I263" s="129">
        <f t="shared" si="17"/>
        <v>0</v>
      </c>
      <c r="J263" s="27">
        <f t="shared" si="18"/>
        <v>0</v>
      </c>
      <c r="K263" s="80"/>
      <c r="L263" s="82"/>
    </row>
    <row r="264" spans="2:12" s="1" customFormat="1" ht="12.75" x14ac:dyDescent="0.15">
      <c r="B264" s="80">
        <v>7</v>
      </c>
      <c r="C264" s="183"/>
      <c r="D264" s="90"/>
      <c r="E264" s="90"/>
      <c r="F264" s="168"/>
      <c r="G264" s="92"/>
      <c r="H264" s="163">
        <v>1</v>
      </c>
      <c r="I264" s="129">
        <f t="shared" si="17"/>
        <v>0</v>
      </c>
      <c r="J264" s="27">
        <f t="shared" si="18"/>
        <v>0</v>
      </c>
      <c r="K264" s="80"/>
      <c r="L264" s="82"/>
    </row>
    <row r="265" spans="2:12" s="1" customFormat="1" ht="12.75" x14ac:dyDescent="0.15">
      <c r="B265" s="80">
        <v>8</v>
      </c>
      <c r="C265" s="183"/>
      <c r="D265" s="90"/>
      <c r="E265" s="90"/>
      <c r="F265" s="168"/>
      <c r="G265" s="92"/>
      <c r="H265" s="163">
        <v>1</v>
      </c>
      <c r="I265" s="129">
        <f t="shared" si="17"/>
        <v>0</v>
      </c>
      <c r="J265" s="27">
        <f t="shared" si="18"/>
        <v>0</v>
      </c>
      <c r="K265" s="80"/>
      <c r="L265" s="82"/>
    </row>
    <row r="266" spans="2:12" s="1" customFormat="1" ht="12.75" x14ac:dyDescent="0.15">
      <c r="B266" s="80">
        <v>9</v>
      </c>
      <c r="C266" s="183"/>
      <c r="D266" s="90"/>
      <c r="E266" s="90"/>
      <c r="F266" s="168"/>
      <c r="G266" s="92"/>
      <c r="H266" s="163">
        <v>1</v>
      </c>
      <c r="I266" s="129">
        <f t="shared" si="17"/>
        <v>0</v>
      </c>
      <c r="J266" s="27">
        <f t="shared" si="18"/>
        <v>0</v>
      </c>
      <c r="K266" s="80"/>
      <c r="L266" s="82"/>
    </row>
    <row r="267" spans="2:12" s="1" customFormat="1" ht="12.75" x14ac:dyDescent="0.15">
      <c r="B267" s="80">
        <v>10</v>
      </c>
      <c r="C267" s="183"/>
      <c r="D267" s="90"/>
      <c r="E267" s="90"/>
      <c r="F267" s="168"/>
      <c r="G267" s="92"/>
      <c r="H267" s="163">
        <v>1</v>
      </c>
      <c r="I267" s="129">
        <f t="shared" si="17"/>
        <v>0</v>
      </c>
      <c r="J267" s="27">
        <f t="shared" si="18"/>
        <v>0</v>
      </c>
      <c r="K267" s="80"/>
      <c r="L267" s="82"/>
    </row>
    <row r="268" spans="2:12" s="1" customFormat="1" ht="12.75" x14ac:dyDescent="0.15">
      <c r="B268" s="80">
        <v>11</v>
      </c>
      <c r="C268" s="183"/>
      <c r="D268" s="90"/>
      <c r="E268" s="90"/>
      <c r="F268" s="168"/>
      <c r="G268" s="92"/>
      <c r="H268" s="163">
        <v>1</v>
      </c>
      <c r="I268" s="129">
        <f t="shared" si="17"/>
        <v>0</v>
      </c>
      <c r="J268" s="27">
        <f t="shared" si="18"/>
        <v>0</v>
      </c>
      <c r="K268" s="80"/>
      <c r="L268" s="82"/>
    </row>
    <row r="269" spans="2:12" s="1" customFormat="1" ht="12.75" x14ac:dyDescent="0.15">
      <c r="B269" s="80">
        <v>12</v>
      </c>
      <c r="C269" s="183"/>
      <c r="D269" s="90"/>
      <c r="E269" s="90"/>
      <c r="F269" s="168"/>
      <c r="G269" s="92"/>
      <c r="H269" s="163">
        <v>1</v>
      </c>
      <c r="I269" s="129">
        <f t="shared" si="17"/>
        <v>0</v>
      </c>
      <c r="J269" s="27">
        <f t="shared" si="18"/>
        <v>0</v>
      </c>
      <c r="K269" s="80"/>
      <c r="L269" s="82"/>
    </row>
    <row r="270" spans="2:12" s="1" customFormat="1" ht="12.75" x14ac:dyDescent="0.15">
      <c r="B270" s="80">
        <v>13</v>
      </c>
      <c r="C270" s="183"/>
      <c r="D270" s="90"/>
      <c r="E270" s="90"/>
      <c r="F270" s="168"/>
      <c r="G270" s="92"/>
      <c r="H270" s="163">
        <v>1</v>
      </c>
      <c r="I270" s="129">
        <f t="shared" si="17"/>
        <v>0</v>
      </c>
      <c r="J270" s="27">
        <f t="shared" si="18"/>
        <v>0</v>
      </c>
      <c r="K270" s="80"/>
      <c r="L270" s="82"/>
    </row>
    <row r="271" spans="2:12" s="1" customFormat="1" ht="12.75" x14ac:dyDescent="0.15">
      <c r="B271" s="80">
        <v>14</v>
      </c>
      <c r="C271" s="183"/>
      <c r="D271" s="90"/>
      <c r="E271" s="90"/>
      <c r="F271" s="168"/>
      <c r="G271" s="92"/>
      <c r="H271" s="163">
        <v>1</v>
      </c>
      <c r="I271" s="129">
        <f t="shared" si="17"/>
        <v>0</v>
      </c>
      <c r="J271" s="27">
        <f t="shared" si="18"/>
        <v>0</v>
      </c>
      <c r="K271" s="80"/>
      <c r="L271" s="82"/>
    </row>
    <row r="272" spans="2:12" s="1" customFormat="1" ht="12.75" x14ac:dyDescent="0.15">
      <c r="B272" s="80">
        <v>15</v>
      </c>
      <c r="C272" s="183"/>
      <c r="D272" s="90"/>
      <c r="E272" s="90"/>
      <c r="F272" s="168"/>
      <c r="G272" s="92"/>
      <c r="H272" s="163">
        <v>1</v>
      </c>
      <c r="I272" s="129">
        <f t="shared" si="17"/>
        <v>0</v>
      </c>
      <c r="J272" s="27">
        <f t="shared" si="18"/>
        <v>0</v>
      </c>
      <c r="K272" s="80"/>
      <c r="L272" s="82"/>
    </row>
    <row r="273" spans="2:12" s="1" customFormat="1" ht="12.75" x14ac:dyDescent="0.15">
      <c r="B273" s="80">
        <v>16</v>
      </c>
      <c r="C273" s="183"/>
      <c r="D273" s="90"/>
      <c r="E273" s="90"/>
      <c r="F273" s="168"/>
      <c r="G273" s="92"/>
      <c r="H273" s="163">
        <v>1</v>
      </c>
      <c r="I273" s="129">
        <f t="shared" si="17"/>
        <v>0</v>
      </c>
      <c r="J273" s="27">
        <f t="shared" si="18"/>
        <v>0</v>
      </c>
      <c r="K273" s="80"/>
      <c r="L273" s="82"/>
    </row>
    <row r="274" spans="2:12" s="1" customFormat="1" ht="12.75" x14ac:dyDescent="0.15">
      <c r="B274" s="80">
        <v>17</v>
      </c>
      <c r="C274" s="183"/>
      <c r="D274" s="90"/>
      <c r="E274" s="90"/>
      <c r="F274" s="168"/>
      <c r="G274" s="92"/>
      <c r="H274" s="163">
        <v>1</v>
      </c>
      <c r="I274" s="129">
        <f t="shared" si="17"/>
        <v>0</v>
      </c>
      <c r="J274" s="27">
        <f t="shared" si="18"/>
        <v>0</v>
      </c>
      <c r="K274" s="80"/>
      <c r="L274" s="82"/>
    </row>
    <row r="275" spans="2:12" s="1" customFormat="1" ht="12.75" x14ac:dyDescent="0.15">
      <c r="B275" s="80">
        <v>18</v>
      </c>
      <c r="C275" s="183"/>
      <c r="D275" s="90"/>
      <c r="E275" s="90"/>
      <c r="F275" s="168"/>
      <c r="G275" s="92"/>
      <c r="H275" s="163">
        <v>1</v>
      </c>
      <c r="I275" s="132">
        <f t="shared" si="17"/>
        <v>0</v>
      </c>
      <c r="J275" s="182">
        <f t="shared" si="18"/>
        <v>0</v>
      </c>
      <c r="K275" s="111"/>
      <c r="L275" s="119"/>
    </row>
    <row r="276" spans="2:12" s="1" customFormat="1" ht="12.75" x14ac:dyDescent="0.15">
      <c r="B276" s="16">
        <v>19</v>
      </c>
      <c r="C276" s="186"/>
      <c r="D276" s="85"/>
      <c r="E276" s="85"/>
      <c r="F276" s="166"/>
      <c r="G276" s="87"/>
      <c r="H276" s="267">
        <v>1</v>
      </c>
      <c r="I276" s="168">
        <f t="shared" si="17"/>
        <v>0</v>
      </c>
      <c r="J276" s="185">
        <f t="shared" si="18"/>
        <v>0</v>
      </c>
      <c r="K276" s="82"/>
      <c r="L276" s="82"/>
    </row>
    <row r="277" spans="2:12" s="1" customFormat="1" ht="12.75" x14ac:dyDescent="0.15">
      <c r="B277" s="83">
        <v>20</v>
      </c>
      <c r="C277" s="181"/>
      <c r="D277" s="75"/>
      <c r="E277" s="75"/>
      <c r="F277" s="132"/>
      <c r="G277" s="77"/>
      <c r="H277" s="268">
        <v>1</v>
      </c>
      <c r="I277" s="168">
        <f t="shared" si="17"/>
        <v>0</v>
      </c>
      <c r="J277" s="185">
        <f t="shared" si="18"/>
        <v>0</v>
      </c>
      <c r="K277" s="82"/>
      <c r="L277" s="82"/>
    </row>
    <row r="278" spans="2:12" s="1" customFormat="1" ht="12.75" x14ac:dyDescent="0.15">
      <c r="B278" s="82"/>
      <c r="C278" s="183"/>
      <c r="D278" s="90"/>
      <c r="E278" s="90"/>
      <c r="F278" s="168"/>
      <c r="G278" s="92"/>
      <c r="H278" s="269"/>
      <c r="I278" s="168"/>
      <c r="J278" s="185"/>
      <c r="K278" s="82"/>
      <c r="L278" s="82"/>
    </row>
    <row r="279" spans="2:12" s="1" customFormat="1" ht="12.75" x14ac:dyDescent="0.15">
      <c r="B279" s="82"/>
      <c r="C279" s="102"/>
      <c r="D279" s="103"/>
      <c r="E279" s="102"/>
      <c r="F279" s="128">
        <f>SUM(F219:F278)</f>
        <v>0</v>
      </c>
      <c r="G279" s="104"/>
      <c r="H279" s="253"/>
      <c r="I279" s="128">
        <f>SUM(I220:I278)</f>
        <v>0</v>
      </c>
      <c r="J279" s="257">
        <f>SUM(J223:J264)</f>
        <v>0</v>
      </c>
    </row>
    <row r="280" spans="2:12" s="67" customFormat="1" ht="12.75" x14ac:dyDescent="0.15">
      <c r="B280" s="116"/>
      <c r="C280" s="114"/>
      <c r="D280" s="114"/>
      <c r="E280" s="114" t="s">
        <v>147</v>
      </c>
      <c r="F280" s="162">
        <f>100/115*F279</f>
        <v>0</v>
      </c>
      <c r="G280" s="161"/>
      <c r="H280" s="270" t="s">
        <v>147</v>
      </c>
      <c r="I280" s="162">
        <f>100/115*I279</f>
        <v>0</v>
      </c>
      <c r="J280" s="114"/>
    </row>
    <row r="281" spans="2:12" s="1" customFormat="1" ht="12.75" x14ac:dyDescent="0.15"/>
    <row r="282" spans="2:12" s="1" customFormat="1" ht="12.75" x14ac:dyDescent="0.15"/>
    <row r="283" spans="2:12" s="1" customFormat="1" ht="12.75" x14ac:dyDescent="0.15"/>
    <row r="284" spans="2:12" s="1" customFormat="1" ht="12.75" x14ac:dyDescent="0.15"/>
    <row r="285" spans="2:12" s="247" customFormat="1" ht="32.25" x14ac:dyDescent="0.4">
      <c r="B285" s="248"/>
      <c r="C285" s="380" t="s">
        <v>112</v>
      </c>
      <c r="D285" s="380"/>
      <c r="E285" s="428" t="s">
        <v>104</v>
      </c>
      <c r="F285" s="428"/>
      <c r="G285" s="428"/>
      <c r="H285" s="428"/>
      <c r="I285" s="428"/>
      <c r="J285" s="382">
        <v>2026</v>
      </c>
      <c r="K285" s="382"/>
      <c r="L285" s="382"/>
    </row>
    <row r="286" spans="2:12" s="1" customFormat="1" ht="22.5" x14ac:dyDescent="0.15">
      <c r="B286" s="82"/>
      <c r="C286" s="102" t="s">
        <v>114</v>
      </c>
      <c r="D286" s="388" t="s">
        <v>115</v>
      </c>
      <c r="E286" s="388"/>
      <c r="F286" s="102" t="s">
        <v>116</v>
      </c>
      <c r="G286" s="102" t="s">
        <v>117</v>
      </c>
      <c r="H286" s="102" t="s">
        <v>118</v>
      </c>
      <c r="I286" s="102" t="s">
        <v>119</v>
      </c>
      <c r="J286" s="102" t="s">
        <v>120</v>
      </c>
      <c r="K286" s="82"/>
      <c r="L286" s="82"/>
    </row>
    <row r="287" spans="2:12" s="1" customFormat="1" ht="12.75" x14ac:dyDescent="0.15">
      <c r="B287" s="82"/>
      <c r="C287" s="66">
        <f>C217</f>
        <v>250</v>
      </c>
      <c r="D287" s="389">
        <v>22</v>
      </c>
      <c r="E287" s="389"/>
      <c r="F287" s="13">
        <f>F217</f>
        <v>0.75</v>
      </c>
      <c r="G287" s="14">
        <f>G217</f>
        <v>8</v>
      </c>
      <c r="H287" s="142">
        <f>D287*G287*F287</f>
        <v>132</v>
      </c>
      <c r="I287" s="66">
        <f>I349</f>
        <v>0</v>
      </c>
      <c r="J287" s="143">
        <f>H287-J349</f>
        <v>132</v>
      </c>
      <c r="K287" s="82"/>
      <c r="L287" s="82"/>
    </row>
    <row r="288" spans="2:12" s="1" customFormat="1" ht="33.75" x14ac:dyDescent="0.15">
      <c r="B288" s="82"/>
      <c r="C288" s="167" t="s">
        <v>121</v>
      </c>
      <c r="D288" s="395" t="s">
        <v>122</v>
      </c>
      <c r="E288" s="395"/>
      <c r="F288" s="177" t="s">
        <v>123</v>
      </c>
      <c r="G288" s="178" t="s">
        <v>124</v>
      </c>
      <c r="H288" s="179" t="s">
        <v>125</v>
      </c>
      <c r="I288" s="180" t="s">
        <v>126</v>
      </c>
      <c r="J288" s="178" t="s">
        <v>127</v>
      </c>
      <c r="K288" s="114" t="s">
        <v>128</v>
      </c>
      <c r="L288" s="114" t="s">
        <v>129</v>
      </c>
    </row>
    <row r="289" spans="2:14" s="1" customFormat="1" ht="12.75" x14ac:dyDescent="0.15">
      <c r="B289" s="84"/>
      <c r="C289" s="81"/>
      <c r="D289" s="404"/>
      <c r="E289" s="404"/>
      <c r="F289" s="86"/>
      <c r="G289" s="87"/>
      <c r="H289" s="87"/>
      <c r="I289" s="176"/>
      <c r="J289" s="88"/>
      <c r="K289" s="79"/>
      <c r="L289" s="120"/>
    </row>
    <row r="290" spans="2:14" s="1" customFormat="1" ht="13.35" customHeight="1" x14ac:dyDescent="0.15">
      <c r="B290" s="16"/>
      <c r="C290" s="37" t="s">
        <v>158</v>
      </c>
      <c r="D290" s="24"/>
      <c r="E290" s="24"/>
      <c r="F290" s="129"/>
      <c r="G290" s="20"/>
      <c r="H290" s="20"/>
      <c r="I290" s="126"/>
      <c r="J290" s="38"/>
      <c r="K290" s="80"/>
      <c r="L290" s="82"/>
    </row>
    <row r="291" spans="2:14" s="1" customFormat="1" ht="13.35" customHeight="1" x14ac:dyDescent="0.15">
      <c r="B291" s="16"/>
      <c r="C291" s="37" t="s">
        <v>149</v>
      </c>
      <c r="D291" s="24"/>
      <c r="E291" s="24"/>
      <c r="F291" s="129"/>
      <c r="G291" s="20"/>
      <c r="H291" s="20"/>
      <c r="I291" s="126"/>
      <c r="J291" s="38"/>
      <c r="K291" s="80"/>
      <c r="L291" s="82"/>
    </row>
    <row r="292" spans="2:14" s="1" customFormat="1" ht="13.35" customHeight="1" x14ac:dyDescent="0.15">
      <c r="B292" s="16">
        <v>1</v>
      </c>
      <c r="C292" s="23"/>
      <c r="D292" s="24"/>
      <c r="E292" s="24"/>
      <c r="F292" s="129"/>
      <c r="G292" s="20"/>
      <c r="H292" s="20">
        <v>1</v>
      </c>
      <c r="I292" s="126">
        <f t="shared" ref="I292:I347" si="19">J292*$C$32</f>
        <v>0</v>
      </c>
      <c r="J292" s="38">
        <f t="shared" ref="J292:J307" si="20">(F292*G292*H292)/$C$32</f>
        <v>0</v>
      </c>
      <c r="K292" s="80"/>
      <c r="L292" s="82"/>
    </row>
    <row r="293" spans="2:14" s="1" customFormat="1" ht="13.35" customHeight="1" x14ac:dyDescent="0.15">
      <c r="B293" s="16">
        <v>2</v>
      </c>
      <c r="C293" s="23"/>
      <c r="D293" s="24"/>
      <c r="E293" s="24"/>
      <c r="F293" s="126"/>
      <c r="G293" s="20"/>
      <c r="H293" s="20">
        <v>1</v>
      </c>
      <c r="I293" s="126">
        <f t="shared" si="19"/>
        <v>0</v>
      </c>
      <c r="J293" s="38">
        <f t="shared" si="20"/>
        <v>0</v>
      </c>
      <c r="K293" s="80"/>
      <c r="L293" s="82"/>
    </row>
    <row r="294" spans="2:14" s="1" customFormat="1" ht="13.35" customHeight="1" x14ac:dyDescent="0.15">
      <c r="B294" s="16">
        <v>3</v>
      </c>
      <c r="C294" s="23"/>
      <c r="D294" s="25"/>
      <c r="E294" s="25"/>
      <c r="F294" s="129"/>
      <c r="G294" s="20"/>
      <c r="H294" s="20">
        <v>1</v>
      </c>
      <c r="I294" s="126">
        <f t="shared" si="19"/>
        <v>0</v>
      </c>
      <c r="J294" s="38">
        <f t="shared" si="20"/>
        <v>0</v>
      </c>
      <c r="K294" s="80"/>
      <c r="L294" s="82"/>
    </row>
    <row r="295" spans="2:14" s="1" customFormat="1" ht="13.35" customHeight="1" x14ac:dyDescent="0.15">
      <c r="B295" s="16">
        <v>4</v>
      </c>
      <c r="C295" s="23"/>
      <c r="D295" s="24"/>
      <c r="E295" s="24"/>
      <c r="F295" s="129"/>
      <c r="G295" s="20"/>
      <c r="H295" s="20">
        <v>1</v>
      </c>
      <c r="I295" s="126">
        <f t="shared" si="19"/>
        <v>0</v>
      </c>
      <c r="J295" s="38">
        <f t="shared" si="20"/>
        <v>0</v>
      </c>
      <c r="K295" s="80"/>
      <c r="L295" s="82"/>
    </row>
    <row r="296" spans="2:14" s="1" customFormat="1" ht="13.35" customHeight="1" x14ac:dyDescent="0.15">
      <c r="B296" s="16">
        <v>5</v>
      </c>
      <c r="C296" s="16"/>
      <c r="D296" s="18"/>
      <c r="E296" s="18"/>
      <c r="F296" s="129"/>
      <c r="G296" s="20"/>
      <c r="H296" s="20">
        <v>1</v>
      </c>
      <c r="I296" s="126">
        <f t="shared" si="19"/>
        <v>0</v>
      </c>
      <c r="J296" s="38">
        <f t="shared" si="20"/>
        <v>0</v>
      </c>
      <c r="K296" s="80"/>
      <c r="L296" s="82"/>
    </row>
    <row r="297" spans="2:14" s="1" customFormat="1" ht="13.35" customHeight="1" x14ac:dyDescent="0.15">
      <c r="B297" s="16">
        <v>6</v>
      </c>
      <c r="C297" s="17"/>
      <c r="D297" s="24"/>
      <c r="E297" s="24"/>
      <c r="F297" s="129"/>
      <c r="G297" s="20"/>
      <c r="H297" s="20">
        <v>1</v>
      </c>
      <c r="I297" s="126">
        <f t="shared" si="19"/>
        <v>0</v>
      </c>
      <c r="J297" s="38">
        <f t="shared" si="20"/>
        <v>0</v>
      </c>
      <c r="K297" s="80"/>
      <c r="L297" s="82"/>
    </row>
    <row r="298" spans="2:14" s="1" customFormat="1" ht="13.35" customHeight="1" x14ac:dyDescent="0.15">
      <c r="B298" s="16">
        <v>7</v>
      </c>
      <c r="C298" s="17"/>
      <c r="D298" s="24"/>
      <c r="E298" s="24"/>
      <c r="F298" s="129"/>
      <c r="G298" s="20"/>
      <c r="H298" s="20">
        <v>1</v>
      </c>
      <c r="I298" s="126">
        <f t="shared" si="19"/>
        <v>0</v>
      </c>
      <c r="J298" s="38">
        <f t="shared" si="20"/>
        <v>0</v>
      </c>
      <c r="K298" s="80"/>
      <c r="L298" s="82"/>
    </row>
    <row r="299" spans="2:14" s="1" customFormat="1" ht="13.35" customHeight="1" x14ac:dyDescent="0.15">
      <c r="B299" s="16">
        <v>8</v>
      </c>
      <c r="C299" s="17"/>
      <c r="D299" s="24"/>
      <c r="E299" s="24"/>
      <c r="F299" s="129"/>
      <c r="G299" s="20"/>
      <c r="H299" s="20">
        <v>1</v>
      </c>
      <c r="I299" s="126">
        <f t="shared" si="19"/>
        <v>0</v>
      </c>
      <c r="J299" s="38">
        <f t="shared" si="20"/>
        <v>0</v>
      </c>
      <c r="K299" s="80"/>
      <c r="L299" s="82"/>
    </row>
    <row r="300" spans="2:14" s="1" customFormat="1" ht="13.35" customHeight="1" x14ac:dyDescent="0.15">
      <c r="B300" s="16">
        <v>9</v>
      </c>
      <c r="C300" s="17"/>
      <c r="D300" s="24"/>
      <c r="E300" s="24"/>
      <c r="F300" s="129"/>
      <c r="G300" s="20"/>
      <c r="H300" s="20">
        <v>1</v>
      </c>
      <c r="I300" s="126">
        <f t="shared" si="19"/>
        <v>0</v>
      </c>
      <c r="J300" s="38">
        <f t="shared" si="20"/>
        <v>0</v>
      </c>
      <c r="K300" s="80"/>
      <c r="L300" s="82"/>
    </row>
    <row r="301" spans="2:14" s="1" customFormat="1" ht="13.35" customHeight="1" x14ac:dyDescent="0.15">
      <c r="B301" s="16">
        <v>10</v>
      </c>
      <c r="C301" s="17"/>
      <c r="D301" s="24"/>
      <c r="E301" s="24"/>
      <c r="F301" s="129"/>
      <c r="G301" s="20"/>
      <c r="H301" s="20">
        <v>1</v>
      </c>
      <c r="I301" s="126">
        <f t="shared" si="19"/>
        <v>0</v>
      </c>
      <c r="J301" s="38">
        <f t="shared" si="20"/>
        <v>0</v>
      </c>
      <c r="K301" s="80"/>
      <c r="L301" s="82"/>
    </row>
    <row r="302" spans="2:14" s="1" customFormat="1" ht="13.35" customHeight="1" x14ac:dyDescent="0.15">
      <c r="B302" s="16"/>
      <c r="C302" s="17"/>
      <c r="D302" s="24"/>
      <c r="E302" s="24"/>
      <c r="F302" s="129"/>
      <c r="G302" s="20"/>
      <c r="H302" s="20"/>
      <c r="I302" s="126"/>
      <c r="J302" s="38"/>
      <c r="K302" s="80"/>
      <c r="L302" s="82"/>
      <c r="N302" s="41"/>
    </row>
    <row r="303" spans="2:14" s="1" customFormat="1" ht="13.35" customHeight="1" x14ac:dyDescent="0.15">
      <c r="B303" s="16"/>
      <c r="C303" s="17"/>
      <c r="D303" s="24"/>
      <c r="E303" s="24"/>
      <c r="F303" s="129"/>
      <c r="G303" s="20"/>
      <c r="H303" s="20"/>
      <c r="I303" s="126"/>
      <c r="J303" s="21"/>
      <c r="K303" s="80"/>
      <c r="L303" s="82"/>
    </row>
    <row r="304" spans="2:14" s="1" customFormat="1" ht="13.35" customHeight="1" x14ac:dyDescent="0.15">
      <c r="B304" s="16"/>
      <c r="C304" s="22" t="s">
        <v>156</v>
      </c>
      <c r="D304" s="24"/>
      <c r="E304" s="24"/>
      <c r="F304" s="129"/>
      <c r="G304" s="20"/>
      <c r="H304" s="20"/>
      <c r="I304" s="126"/>
      <c r="J304" s="21"/>
      <c r="K304" s="80"/>
      <c r="L304" s="82"/>
    </row>
    <row r="305" spans="2:20" s="1" customFormat="1" ht="16.5" x14ac:dyDescent="0.15">
      <c r="B305" s="16">
        <v>1</v>
      </c>
      <c r="C305" s="44"/>
      <c r="D305" s="18"/>
      <c r="E305" s="18"/>
      <c r="F305" s="129"/>
      <c r="G305" s="20"/>
      <c r="H305" s="20">
        <v>1</v>
      </c>
      <c r="I305" s="126">
        <f t="shared" si="19"/>
        <v>0</v>
      </c>
      <c r="J305" s="38">
        <f t="shared" si="20"/>
        <v>0</v>
      </c>
      <c r="K305" s="80"/>
      <c r="L305" s="82"/>
      <c r="M305" s="10"/>
      <c r="N305" s="42"/>
      <c r="O305" s="10"/>
      <c r="P305" s="10"/>
      <c r="Q305" s="43"/>
      <c r="R305" s="10"/>
      <c r="T305" s="10"/>
    </row>
    <row r="306" spans="2:20" s="1" customFormat="1" ht="16.5" x14ac:dyDescent="0.15">
      <c r="B306" s="16">
        <v>2</v>
      </c>
      <c r="C306" s="45"/>
      <c r="D306" s="18"/>
      <c r="E306" s="18"/>
      <c r="F306" s="129"/>
      <c r="G306" s="20"/>
      <c r="H306" s="20">
        <v>1</v>
      </c>
      <c r="I306" s="126">
        <f>J306*$C$32</f>
        <v>0</v>
      </c>
      <c r="J306" s="38">
        <f t="shared" si="20"/>
        <v>0</v>
      </c>
      <c r="K306" s="80"/>
      <c r="L306" s="82"/>
      <c r="M306" s="10"/>
      <c r="N306" s="42"/>
      <c r="O306" s="10"/>
      <c r="P306" s="10"/>
      <c r="Q306" s="43"/>
      <c r="R306" s="10"/>
      <c r="T306" s="10"/>
    </row>
    <row r="307" spans="2:20" s="1" customFormat="1" ht="12.95" customHeight="1" x14ac:dyDescent="0.15">
      <c r="B307" s="16">
        <v>3</v>
      </c>
      <c r="C307" s="44"/>
      <c r="D307" s="18"/>
      <c r="E307" s="18"/>
      <c r="F307" s="129"/>
      <c r="G307" s="20"/>
      <c r="H307" s="20">
        <v>1</v>
      </c>
      <c r="I307" s="126">
        <f t="shared" si="19"/>
        <v>0</v>
      </c>
      <c r="J307" s="21">
        <f t="shared" si="20"/>
        <v>0</v>
      </c>
      <c r="K307" s="80"/>
      <c r="L307" s="82"/>
      <c r="M307" s="10"/>
      <c r="N307" s="42"/>
      <c r="O307" s="10"/>
      <c r="P307" s="10"/>
      <c r="Q307" s="43"/>
      <c r="R307" s="10"/>
      <c r="T307" s="10"/>
    </row>
    <row r="308" spans="2:20" s="1" customFormat="1" ht="14.25" x14ac:dyDescent="0.15">
      <c r="B308" s="16">
        <v>4</v>
      </c>
      <c r="C308" s="46"/>
      <c r="D308" s="405"/>
      <c r="E308" s="405"/>
      <c r="F308" s="129"/>
      <c r="G308" s="20"/>
      <c r="H308" s="20">
        <v>1</v>
      </c>
      <c r="I308" s="126">
        <f t="shared" si="19"/>
        <v>0</v>
      </c>
      <c r="J308" s="38">
        <f>(F309*G308*H308)/$C$32</f>
        <v>0</v>
      </c>
      <c r="K308" s="80"/>
      <c r="L308" s="82"/>
      <c r="M308" s="10"/>
      <c r="N308" s="42"/>
      <c r="O308" s="10"/>
      <c r="P308" s="10"/>
      <c r="Q308" s="43"/>
      <c r="R308" s="10"/>
      <c r="T308" s="10"/>
    </row>
    <row r="309" spans="2:20" s="1" customFormat="1" ht="14.25" x14ac:dyDescent="0.15">
      <c r="B309" s="16">
        <v>5</v>
      </c>
      <c r="C309" s="11"/>
      <c r="D309" s="18"/>
      <c r="E309" s="18"/>
      <c r="F309" s="129"/>
      <c r="G309" s="20"/>
      <c r="H309" s="20">
        <v>1</v>
      </c>
      <c r="I309" s="126">
        <f t="shared" si="19"/>
        <v>0</v>
      </c>
      <c r="J309" s="38">
        <f>(F311*G309*H309)/$C$32</f>
        <v>0</v>
      </c>
      <c r="K309" s="80"/>
      <c r="L309" s="82"/>
      <c r="M309" s="10"/>
      <c r="N309" s="42"/>
      <c r="O309" s="10"/>
      <c r="P309" s="10"/>
      <c r="Q309" s="43"/>
      <c r="R309" s="10"/>
      <c r="T309" s="10"/>
    </row>
    <row r="310" spans="2:20" s="1" customFormat="1" ht="14.25" x14ac:dyDescent="0.15">
      <c r="B310" s="16">
        <v>6</v>
      </c>
      <c r="C310" s="11"/>
      <c r="D310" s="18"/>
      <c r="E310" s="18"/>
      <c r="F310" s="129"/>
      <c r="G310" s="20"/>
      <c r="H310" s="20">
        <v>1</v>
      </c>
      <c r="I310" s="126">
        <f t="shared" si="19"/>
        <v>0</v>
      </c>
      <c r="J310" s="38">
        <f>(F312*G310*H310)/$C$32</f>
        <v>0</v>
      </c>
      <c r="K310" s="80"/>
      <c r="L310" s="82"/>
      <c r="M310" s="10"/>
      <c r="N310" s="42"/>
      <c r="O310" s="10"/>
      <c r="P310" s="10"/>
      <c r="Q310" s="43"/>
      <c r="R310" s="10"/>
      <c r="T310" s="10"/>
    </row>
    <row r="311" spans="2:20" s="1" customFormat="1" ht="16.5" x14ac:dyDescent="0.2">
      <c r="B311" s="16">
        <v>7</v>
      </c>
      <c r="C311" s="47"/>
      <c r="D311" s="18"/>
      <c r="E311" s="18"/>
      <c r="F311" s="129"/>
      <c r="G311" s="20"/>
      <c r="H311" s="20">
        <v>1</v>
      </c>
      <c r="I311" s="126">
        <f t="shared" si="19"/>
        <v>0</v>
      </c>
      <c r="J311" s="38">
        <f>(F313*G311*H311)/$C$32</f>
        <v>0</v>
      </c>
      <c r="K311" s="80"/>
      <c r="L311" s="82"/>
      <c r="M311" s="10"/>
      <c r="N311" s="42"/>
      <c r="O311" s="10"/>
      <c r="P311" s="10"/>
      <c r="Q311" s="43"/>
      <c r="R311" s="10"/>
      <c r="T311" s="10"/>
    </row>
    <row r="312" spans="2:20" s="1" customFormat="1" ht="14.25" x14ac:dyDescent="0.15">
      <c r="B312" s="16">
        <v>8</v>
      </c>
      <c r="C312" s="11"/>
      <c r="D312" s="18"/>
      <c r="E312" s="18"/>
      <c r="F312" s="129"/>
      <c r="G312" s="20"/>
      <c r="H312" s="20">
        <v>1</v>
      </c>
      <c r="I312" s="126">
        <f t="shared" si="19"/>
        <v>0</v>
      </c>
      <c r="J312" s="21">
        <f>(F314*G312*H312)/$C$32</f>
        <v>0</v>
      </c>
      <c r="K312" s="80"/>
      <c r="L312" s="82"/>
      <c r="M312" s="10"/>
      <c r="N312" s="42"/>
      <c r="O312" s="10"/>
      <c r="P312" s="10"/>
      <c r="Q312" s="43"/>
      <c r="R312" s="10"/>
      <c r="T312" s="10"/>
    </row>
    <row r="313" spans="2:20" s="1" customFormat="1" ht="14.25" x14ac:dyDescent="0.15">
      <c r="B313" s="16">
        <v>9</v>
      </c>
      <c r="C313" s="11"/>
      <c r="D313" s="18"/>
      <c r="E313" s="18"/>
      <c r="F313" s="129"/>
      <c r="G313" s="20"/>
      <c r="H313" s="20">
        <v>1</v>
      </c>
      <c r="I313" s="126">
        <f t="shared" si="19"/>
        <v>0</v>
      </c>
      <c r="J313" s="38">
        <f t="shared" ref="J313:J314" si="21">(F315*G313*H313)/$C$32</f>
        <v>0</v>
      </c>
      <c r="K313" s="80"/>
      <c r="L313" s="82"/>
      <c r="M313" s="10"/>
      <c r="N313" s="42"/>
      <c r="O313" s="10"/>
      <c r="P313" s="10"/>
      <c r="Q313" s="43"/>
      <c r="R313" s="10"/>
      <c r="T313" s="10"/>
    </row>
    <row r="314" spans="2:20" s="1" customFormat="1" ht="14.25" x14ac:dyDescent="0.15">
      <c r="B314" s="16">
        <v>10</v>
      </c>
      <c r="C314" s="11"/>
      <c r="D314" s="18"/>
      <c r="E314" s="18"/>
      <c r="F314" s="129"/>
      <c r="G314" s="20"/>
      <c r="H314" s="20">
        <v>1</v>
      </c>
      <c r="I314" s="126">
        <f t="shared" si="19"/>
        <v>0</v>
      </c>
      <c r="J314" s="38">
        <f t="shared" si="21"/>
        <v>0</v>
      </c>
      <c r="K314" s="80"/>
      <c r="L314" s="82"/>
      <c r="M314" s="10"/>
      <c r="N314" s="42"/>
      <c r="O314" s="10"/>
      <c r="P314" s="10"/>
      <c r="Q314" s="43"/>
      <c r="R314" s="10"/>
      <c r="T314" s="10"/>
    </row>
    <row r="315" spans="2:20" s="1" customFormat="1" ht="14.25" x14ac:dyDescent="0.15">
      <c r="B315" s="16">
        <v>11</v>
      </c>
      <c r="C315" s="11"/>
      <c r="D315" s="18"/>
      <c r="E315" s="18"/>
      <c r="F315" s="129"/>
      <c r="G315" s="20"/>
      <c r="H315" s="20">
        <v>1</v>
      </c>
      <c r="I315" s="126">
        <f t="shared" si="19"/>
        <v>0</v>
      </c>
      <c r="J315" s="38">
        <f t="shared" ref="J315:J347" si="22">(F315*G315*H315)/$C$32</f>
        <v>0</v>
      </c>
      <c r="K315" s="80"/>
      <c r="L315" s="82"/>
      <c r="M315" s="10"/>
      <c r="N315" s="42"/>
      <c r="O315" s="10"/>
      <c r="P315" s="10"/>
      <c r="Q315" s="43"/>
      <c r="R315" s="10"/>
      <c r="T315" s="10"/>
    </row>
    <row r="316" spans="2:20" s="1" customFormat="1" ht="14.25" x14ac:dyDescent="0.15">
      <c r="B316" s="16">
        <v>12</v>
      </c>
      <c r="C316" s="11"/>
      <c r="D316" s="18"/>
      <c r="E316" s="18"/>
      <c r="F316" s="129"/>
      <c r="G316" s="20"/>
      <c r="H316" s="20">
        <v>1</v>
      </c>
      <c r="I316" s="126">
        <f t="shared" si="19"/>
        <v>0</v>
      </c>
      <c r="J316" s="21">
        <f t="shared" si="22"/>
        <v>0</v>
      </c>
      <c r="K316" s="80"/>
      <c r="L316" s="82"/>
      <c r="M316" s="10"/>
      <c r="N316" s="42"/>
      <c r="O316" s="10"/>
      <c r="P316" s="10"/>
      <c r="Q316" s="43"/>
      <c r="R316" s="10"/>
      <c r="T316" s="10"/>
    </row>
    <row r="317" spans="2:20" s="1" customFormat="1" ht="14.25" x14ac:dyDescent="0.15">
      <c r="B317" s="16">
        <v>13</v>
      </c>
      <c r="C317" s="11"/>
      <c r="D317" s="18"/>
      <c r="E317" s="18"/>
      <c r="F317" s="129"/>
      <c r="G317" s="20"/>
      <c r="H317" s="20">
        <v>1</v>
      </c>
      <c r="I317" s="126">
        <f t="shared" si="19"/>
        <v>0</v>
      </c>
      <c r="J317" s="38">
        <f t="shared" si="22"/>
        <v>0</v>
      </c>
      <c r="K317" s="80"/>
      <c r="L317" s="82"/>
      <c r="M317" s="10"/>
      <c r="N317" s="42"/>
      <c r="O317" s="10"/>
      <c r="P317" s="10"/>
      <c r="Q317" s="43"/>
      <c r="R317" s="10"/>
      <c r="T317" s="10"/>
    </row>
    <row r="318" spans="2:20" s="1" customFormat="1" ht="14.25" x14ac:dyDescent="0.15">
      <c r="B318" s="16">
        <v>14</v>
      </c>
      <c r="C318" s="11"/>
      <c r="D318" s="18"/>
      <c r="E318" s="18"/>
      <c r="F318" s="129"/>
      <c r="G318" s="20"/>
      <c r="H318" s="20">
        <v>1</v>
      </c>
      <c r="I318" s="126">
        <f t="shared" si="19"/>
        <v>0</v>
      </c>
      <c r="J318" s="38">
        <f t="shared" si="22"/>
        <v>0</v>
      </c>
      <c r="K318" s="80"/>
      <c r="L318" s="82"/>
      <c r="M318" s="10"/>
      <c r="N318" s="42"/>
      <c r="O318" s="10"/>
      <c r="P318" s="10"/>
      <c r="Q318" s="43"/>
      <c r="R318" s="10"/>
      <c r="T318" s="10"/>
    </row>
    <row r="319" spans="2:20" s="1" customFormat="1" ht="14.25" x14ac:dyDescent="0.15">
      <c r="B319" s="16">
        <v>15</v>
      </c>
      <c r="C319" s="11"/>
      <c r="D319" s="18"/>
      <c r="E319" s="18"/>
      <c r="F319" s="129"/>
      <c r="G319" s="20"/>
      <c r="H319" s="20">
        <v>1</v>
      </c>
      <c r="I319" s="126">
        <f t="shared" si="19"/>
        <v>0</v>
      </c>
      <c r="J319" s="38">
        <f t="shared" si="22"/>
        <v>0</v>
      </c>
      <c r="K319" s="80"/>
      <c r="L319" s="82"/>
      <c r="M319" s="10"/>
      <c r="N319" s="42"/>
      <c r="O319" s="10"/>
      <c r="P319" s="10"/>
      <c r="Q319" s="43"/>
      <c r="R319" s="10"/>
      <c r="T319" s="10"/>
    </row>
    <row r="320" spans="2:20" s="1" customFormat="1" ht="14.25" x14ac:dyDescent="0.15">
      <c r="B320" s="16">
        <v>16</v>
      </c>
      <c r="C320" s="11"/>
      <c r="D320" s="18"/>
      <c r="E320" s="18"/>
      <c r="F320" s="129"/>
      <c r="G320" s="20"/>
      <c r="H320" s="20">
        <v>1</v>
      </c>
      <c r="I320" s="126">
        <f t="shared" si="19"/>
        <v>0</v>
      </c>
      <c r="J320" s="21">
        <f t="shared" si="22"/>
        <v>0</v>
      </c>
      <c r="K320" s="80"/>
      <c r="L320" s="82"/>
      <c r="M320" s="10"/>
      <c r="N320" s="42"/>
      <c r="O320" s="10"/>
      <c r="P320" s="10"/>
      <c r="Q320" s="43"/>
      <c r="R320" s="10"/>
      <c r="T320" s="10"/>
    </row>
    <row r="321" spans="2:20" s="1" customFormat="1" ht="14.25" x14ac:dyDescent="0.15">
      <c r="B321" s="16">
        <v>17</v>
      </c>
      <c r="C321" s="11"/>
      <c r="D321" s="18"/>
      <c r="E321" s="18"/>
      <c r="F321" s="129"/>
      <c r="G321" s="20"/>
      <c r="H321" s="20">
        <v>1</v>
      </c>
      <c r="I321" s="126">
        <f t="shared" si="19"/>
        <v>0</v>
      </c>
      <c r="J321" s="38">
        <f t="shared" si="22"/>
        <v>0</v>
      </c>
      <c r="K321" s="80"/>
      <c r="L321" s="82"/>
      <c r="M321" s="10"/>
      <c r="N321" s="42"/>
      <c r="O321" s="10"/>
      <c r="P321" s="10"/>
      <c r="Q321" s="43"/>
      <c r="R321" s="10"/>
      <c r="T321" s="10"/>
    </row>
    <row r="322" spans="2:20" s="1" customFormat="1" ht="14.25" x14ac:dyDescent="0.15">
      <c r="B322" s="16">
        <v>18</v>
      </c>
      <c r="C322" s="11"/>
      <c r="D322" s="18"/>
      <c r="E322" s="18"/>
      <c r="F322" s="129"/>
      <c r="G322" s="20"/>
      <c r="H322" s="20">
        <v>1</v>
      </c>
      <c r="I322" s="126">
        <f t="shared" si="19"/>
        <v>0</v>
      </c>
      <c r="J322" s="38">
        <f t="shared" si="22"/>
        <v>0</v>
      </c>
      <c r="K322" s="80"/>
      <c r="L322" s="82"/>
      <c r="M322" s="10"/>
      <c r="N322" s="42"/>
      <c r="O322" s="10"/>
      <c r="P322" s="10"/>
      <c r="Q322" s="43"/>
      <c r="R322" s="10"/>
      <c r="T322" s="10"/>
    </row>
    <row r="323" spans="2:20" s="1" customFormat="1" ht="14.25" x14ac:dyDescent="0.15">
      <c r="B323" s="16">
        <v>19</v>
      </c>
      <c r="C323" s="11"/>
      <c r="D323" s="18"/>
      <c r="E323" s="18"/>
      <c r="F323" s="129"/>
      <c r="G323" s="20"/>
      <c r="H323" s="20">
        <v>1</v>
      </c>
      <c r="I323" s="126">
        <f t="shared" si="19"/>
        <v>0</v>
      </c>
      <c r="J323" s="38">
        <f t="shared" si="22"/>
        <v>0</v>
      </c>
      <c r="K323" s="80"/>
      <c r="L323" s="82"/>
      <c r="M323" s="10"/>
      <c r="N323" s="42"/>
      <c r="O323" s="10"/>
      <c r="P323" s="10"/>
      <c r="Q323" s="43"/>
      <c r="R323" s="10"/>
      <c r="T323" s="10"/>
    </row>
    <row r="324" spans="2:20" s="1" customFormat="1" ht="14.25" x14ac:dyDescent="0.15">
      <c r="B324" s="16">
        <v>20</v>
      </c>
      <c r="C324" s="11"/>
      <c r="D324" s="18"/>
      <c r="E324" s="18"/>
      <c r="F324" s="129"/>
      <c r="G324" s="20"/>
      <c r="H324" s="20">
        <v>1</v>
      </c>
      <c r="I324" s="126">
        <f t="shared" si="19"/>
        <v>0</v>
      </c>
      <c r="J324" s="21">
        <f t="shared" si="22"/>
        <v>0</v>
      </c>
      <c r="K324" s="80"/>
      <c r="L324" s="82"/>
      <c r="M324" s="10"/>
      <c r="N324" s="42"/>
      <c r="O324" s="10"/>
      <c r="P324" s="10"/>
      <c r="Q324" s="43"/>
      <c r="R324" s="10"/>
      <c r="T324" s="10"/>
    </row>
    <row r="325" spans="2:20" s="1" customFormat="1" ht="14.25" x14ac:dyDescent="0.15">
      <c r="B325" s="16"/>
      <c r="C325" s="11"/>
      <c r="D325" s="18"/>
      <c r="E325" s="18"/>
      <c r="F325" s="129"/>
      <c r="G325" s="20"/>
      <c r="H325" s="20"/>
      <c r="I325" s="126"/>
      <c r="J325" s="21"/>
      <c r="K325" s="80"/>
      <c r="L325" s="82"/>
      <c r="M325" s="10"/>
      <c r="N325" s="42"/>
      <c r="O325" s="10"/>
      <c r="P325" s="10"/>
      <c r="Q325" s="43"/>
      <c r="R325" s="10"/>
      <c r="T325" s="10"/>
    </row>
    <row r="326" spans="2:20" s="1" customFormat="1" ht="14.25" x14ac:dyDescent="0.15">
      <c r="B326" s="16"/>
      <c r="C326" s="11"/>
      <c r="D326" s="18"/>
      <c r="E326" s="18"/>
      <c r="F326" s="129"/>
      <c r="G326" s="20"/>
      <c r="H326" s="20"/>
      <c r="I326" s="126"/>
      <c r="J326" s="21"/>
      <c r="K326" s="80"/>
      <c r="L326" s="82"/>
      <c r="M326" s="10"/>
      <c r="N326" s="42"/>
      <c r="O326" s="10"/>
      <c r="P326" s="10"/>
      <c r="Q326" s="43"/>
      <c r="R326" s="10"/>
      <c r="T326" s="10"/>
    </row>
    <row r="327" spans="2:20" s="1" customFormat="1" ht="14.25" x14ac:dyDescent="0.15">
      <c r="B327" s="16"/>
      <c r="C327" s="46" t="s">
        <v>159</v>
      </c>
      <c r="D327" s="18"/>
      <c r="E327" s="18"/>
      <c r="F327" s="129"/>
      <c r="G327" s="20"/>
      <c r="H327" s="20"/>
      <c r="I327" s="126"/>
      <c r="J327" s="21"/>
      <c r="K327" s="80"/>
      <c r="L327" s="82"/>
      <c r="M327" s="10"/>
      <c r="N327" s="10"/>
      <c r="O327" s="10"/>
      <c r="P327" s="10"/>
      <c r="Q327" s="43"/>
      <c r="R327" s="10"/>
      <c r="T327" s="10"/>
    </row>
    <row r="328" spans="2:20" s="1" customFormat="1" ht="14.25" x14ac:dyDescent="0.15">
      <c r="B328" s="16">
        <v>1</v>
      </c>
      <c r="C328" s="11"/>
      <c r="D328" s="18"/>
      <c r="E328" s="18"/>
      <c r="F328" s="129"/>
      <c r="G328" s="20"/>
      <c r="H328" s="20">
        <v>1</v>
      </c>
      <c r="I328" s="126">
        <f t="shared" si="19"/>
        <v>0</v>
      </c>
      <c r="J328" s="21">
        <f t="shared" si="22"/>
        <v>0</v>
      </c>
      <c r="K328" s="80"/>
      <c r="L328" s="82"/>
      <c r="M328" s="10"/>
      <c r="N328" s="10"/>
      <c r="O328" s="10"/>
      <c r="P328" s="10"/>
      <c r="Q328" s="43"/>
      <c r="R328" s="10"/>
      <c r="T328" s="10"/>
    </row>
    <row r="329" spans="2:20" s="1" customFormat="1" ht="14.25" x14ac:dyDescent="0.15">
      <c r="B329" s="16">
        <v>2</v>
      </c>
      <c r="C329" s="11"/>
      <c r="D329" s="18"/>
      <c r="E329" s="18"/>
      <c r="F329" s="129"/>
      <c r="G329" s="20"/>
      <c r="H329" s="20">
        <v>1</v>
      </c>
      <c r="I329" s="126">
        <f t="shared" si="19"/>
        <v>0</v>
      </c>
      <c r="J329" s="21">
        <f t="shared" si="22"/>
        <v>0</v>
      </c>
      <c r="K329" s="80"/>
      <c r="L329" s="82"/>
      <c r="M329" s="10"/>
      <c r="N329" s="10"/>
      <c r="O329" s="10"/>
      <c r="P329" s="10"/>
      <c r="Q329" s="43"/>
      <c r="R329" s="10"/>
      <c r="T329" s="10"/>
    </row>
    <row r="330" spans="2:20" s="1" customFormat="1" ht="14.25" x14ac:dyDescent="0.15">
      <c r="B330" s="16">
        <v>3</v>
      </c>
      <c r="C330" s="11"/>
      <c r="D330" s="18"/>
      <c r="E330" s="18"/>
      <c r="F330" s="129"/>
      <c r="G330" s="20"/>
      <c r="H330" s="20">
        <v>1</v>
      </c>
      <c r="I330" s="126">
        <f t="shared" si="19"/>
        <v>0</v>
      </c>
      <c r="J330" s="21">
        <f t="shared" si="22"/>
        <v>0</v>
      </c>
      <c r="K330" s="80"/>
      <c r="L330" s="82"/>
      <c r="M330" s="10"/>
      <c r="N330" s="10"/>
      <c r="O330" s="10"/>
      <c r="P330" s="10"/>
      <c r="Q330" s="43"/>
      <c r="R330" s="10"/>
      <c r="T330" s="10"/>
    </row>
    <row r="331" spans="2:20" s="1" customFormat="1" ht="14.25" x14ac:dyDescent="0.15">
      <c r="B331" s="16">
        <v>4</v>
      </c>
      <c r="C331" s="11"/>
      <c r="D331" s="18"/>
      <c r="E331" s="18"/>
      <c r="F331" s="129"/>
      <c r="G331" s="20"/>
      <c r="H331" s="20">
        <v>1</v>
      </c>
      <c r="I331" s="126">
        <f t="shared" si="19"/>
        <v>0</v>
      </c>
      <c r="J331" s="21">
        <f t="shared" si="22"/>
        <v>0</v>
      </c>
      <c r="K331" s="80"/>
      <c r="L331" s="82"/>
      <c r="M331" s="10"/>
      <c r="N331" s="10"/>
      <c r="O331" s="10"/>
      <c r="P331" s="10"/>
      <c r="Q331" s="43"/>
      <c r="R331" s="10"/>
      <c r="T331" s="10"/>
    </row>
    <row r="332" spans="2:20" s="1" customFormat="1" ht="14.25" x14ac:dyDescent="0.15">
      <c r="B332" s="16">
        <v>5</v>
      </c>
      <c r="C332" s="11"/>
      <c r="D332" s="18"/>
      <c r="E332" s="18"/>
      <c r="F332" s="129"/>
      <c r="G332" s="20"/>
      <c r="H332" s="20">
        <v>1</v>
      </c>
      <c r="I332" s="126">
        <f t="shared" si="19"/>
        <v>0</v>
      </c>
      <c r="J332" s="21">
        <f t="shared" si="22"/>
        <v>0</v>
      </c>
      <c r="K332" s="80"/>
      <c r="L332" s="82"/>
      <c r="M332" s="10"/>
      <c r="N332" s="10"/>
      <c r="O332" s="10"/>
      <c r="P332" s="10"/>
      <c r="Q332" s="43"/>
      <c r="R332" s="10"/>
      <c r="T332" s="10"/>
    </row>
    <row r="333" spans="2:20" s="1" customFormat="1" ht="14.25" x14ac:dyDescent="0.15">
      <c r="B333" s="16">
        <v>6</v>
      </c>
      <c r="C333" s="11"/>
      <c r="D333" s="18"/>
      <c r="E333" s="18"/>
      <c r="F333" s="129"/>
      <c r="G333" s="20"/>
      <c r="H333" s="20">
        <v>1</v>
      </c>
      <c r="I333" s="126">
        <f t="shared" si="19"/>
        <v>0</v>
      </c>
      <c r="J333" s="21">
        <f t="shared" si="22"/>
        <v>0</v>
      </c>
      <c r="K333" s="80"/>
      <c r="L333" s="82"/>
      <c r="M333" s="10"/>
      <c r="N333" s="10"/>
      <c r="O333" s="10"/>
      <c r="P333" s="10"/>
      <c r="Q333" s="43"/>
      <c r="R333" s="10"/>
      <c r="T333" s="10"/>
    </row>
    <row r="334" spans="2:20" s="1" customFormat="1" ht="14.25" x14ac:dyDescent="0.15">
      <c r="B334" s="16">
        <v>7</v>
      </c>
      <c r="C334" s="11"/>
      <c r="D334" s="18"/>
      <c r="E334" s="18"/>
      <c r="F334" s="129"/>
      <c r="G334" s="20"/>
      <c r="H334" s="20">
        <v>1</v>
      </c>
      <c r="I334" s="126">
        <f t="shared" si="19"/>
        <v>0</v>
      </c>
      <c r="J334" s="21">
        <f t="shared" si="22"/>
        <v>0</v>
      </c>
      <c r="K334" s="80"/>
      <c r="L334" s="82"/>
      <c r="M334" s="10"/>
      <c r="N334" s="10"/>
      <c r="O334" s="10"/>
      <c r="P334" s="10"/>
      <c r="Q334" s="43"/>
      <c r="R334" s="10"/>
      <c r="T334" s="10"/>
    </row>
    <row r="335" spans="2:20" s="1" customFormat="1" ht="14.25" x14ac:dyDescent="0.15">
      <c r="B335" s="16">
        <v>8</v>
      </c>
      <c r="C335" s="11"/>
      <c r="D335" s="18"/>
      <c r="E335" s="18"/>
      <c r="F335" s="129"/>
      <c r="G335" s="20"/>
      <c r="H335" s="20">
        <v>1</v>
      </c>
      <c r="I335" s="126">
        <f t="shared" si="19"/>
        <v>0</v>
      </c>
      <c r="J335" s="21">
        <f t="shared" si="22"/>
        <v>0</v>
      </c>
      <c r="K335" s="80"/>
      <c r="L335" s="82"/>
      <c r="M335" s="10"/>
      <c r="N335" s="10"/>
      <c r="O335" s="10"/>
      <c r="P335" s="10"/>
      <c r="Q335" s="43"/>
      <c r="R335" s="10"/>
      <c r="T335" s="10"/>
    </row>
    <row r="336" spans="2:20" s="1" customFormat="1" ht="14.25" x14ac:dyDescent="0.15">
      <c r="B336" s="16">
        <v>9</v>
      </c>
      <c r="C336" s="11"/>
      <c r="D336" s="18"/>
      <c r="E336" s="18"/>
      <c r="F336" s="129"/>
      <c r="G336" s="20"/>
      <c r="H336" s="20">
        <v>1</v>
      </c>
      <c r="I336" s="126">
        <f t="shared" si="19"/>
        <v>0</v>
      </c>
      <c r="J336" s="21">
        <f t="shared" si="22"/>
        <v>0</v>
      </c>
      <c r="K336" s="80"/>
      <c r="L336" s="82"/>
      <c r="M336" s="10"/>
      <c r="N336" s="10"/>
      <c r="O336" s="10"/>
      <c r="P336" s="10"/>
      <c r="Q336" s="43"/>
      <c r="R336" s="10"/>
      <c r="T336" s="10"/>
    </row>
    <row r="337" spans="2:20" s="1" customFormat="1" ht="14.25" x14ac:dyDescent="0.15">
      <c r="B337" s="16">
        <v>10</v>
      </c>
      <c r="C337" s="11"/>
      <c r="D337" s="18"/>
      <c r="E337" s="18"/>
      <c r="F337" s="129"/>
      <c r="G337" s="20"/>
      <c r="H337" s="20">
        <v>1</v>
      </c>
      <c r="I337" s="126">
        <f t="shared" si="19"/>
        <v>0</v>
      </c>
      <c r="J337" s="21">
        <f t="shared" si="22"/>
        <v>0</v>
      </c>
      <c r="K337" s="80"/>
      <c r="L337" s="82"/>
      <c r="M337" s="10"/>
      <c r="N337" s="10"/>
      <c r="O337" s="10"/>
      <c r="P337" s="10"/>
      <c r="Q337" s="43"/>
      <c r="R337" s="10"/>
      <c r="T337" s="10"/>
    </row>
    <row r="338" spans="2:20" s="1" customFormat="1" ht="14.25" x14ac:dyDescent="0.15">
      <c r="B338" s="16">
        <v>11</v>
      </c>
      <c r="C338" s="11"/>
      <c r="D338" s="18"/>
      <c r="E338" s="18"/>
      <c r="F338" s="129"/>
      <c r="G338" s="20"/>
      <c r="H338" s="20">
        <v>1</v>
      </c>
      <c r="I338" s="126">
        <f t="shared" si="19"/>
        <v>0</v>
      </c>
      <c r="J338" s="21">
        <f t="shared" si="22"/>
        <v>0</v>
      </c>
      <c r="K338" s="80"/>
      <c r="L338" s="82"/>
      <c r="M338" s="10"/>
      <c r="N338" s="10"/>
      <c r="O338" s="10"/>
      <c r="P338" s="10"/>
      <c r="Q338" s="43"/>
      <c r="R338" s="10"/>
      <c r="T338" s="10"/>
    </row>
    <row r="339" spans="2:20" s="1" customFormat="1" ht="14.25" x14ac:dyDescent="0.15">
      <c r="B339" s="16">
        <v>12</v>
      </c>
      <c r="C339" s="11"/>
      <c r="D339" s="18"/>
      <c r="E339" s="18"/>
      <c r="F339" s="129"/>
      <c r="G339" s="20"/>
      <c r="H339" s="20">
        <v>1</v>
      </c>
      <c r="I339" s="126">
        <f t="shared" si="19"/>
        <v>0</v>
      </c>
      <c r="J339" s="21">
        <f t="shared" si="22"/>
        <v>0</v>
      </c>
      <c r="K339" s="80"/>
      <c r="L339" s="82"/>
      <c r="M339" s="10"/>
      <c r="N339" s="10"/>
      <c r="O339" s="10"/>
      <c r="P339" s="10"/>
      <c r="Q339" s="43"/>
      <c r="R339" s="10"/>
      <c r="T339" s="10"/>
    </row>
    <row r="340" spans="2:20" s="1" customFormat="1" ht="14.25" x14ac:dyDescent="0.15">
      <c r="B340" s="16">
        <v>13</v>
      </c>
      <c r="C340" s="11"/>
      <c r="D340" s="18"/>
      <c r="E340" s="18"/>
      <c r="F340" s="129"/>
      <c r="G340" s="20"/>
      <c r="H340" s="20">
        <v>1</v>
      </c>
      <c r="I340" s="126">
        <f t="shared" si="19"/>
        <v>0</v>
      </c>
      <c r="J340" s="21">
        <f t="shared" si="22"/>
        <v>0</v>
      </c>
      <c r="K340" s="80"/>
      <c r="L340" s="82"/>
      <c r="M340" s="10"/>
      <c r="N340" s="10"/>
      <c r="O340" s="10"/>
      <c r="P340" s="10"/>
      <c r="Q340" s="43"/>
      <c r="R340" s="10"/>
      <c r="T340" s="10"/>
    </row>
    <row r="341" spans="2:20" s="1" customFormat="1" ht="14.25" x14ac:dyDescent="0.15">
      <c r="B341" s="16">
        <v>14</v>
      </c>
      <c r="C341" s="11"/>
      <c r="D341" s="18"/>
      <c r="E341" s="18"/>
      <c r="F341" s="129"/>
      <c r="G341" s="20"/>
      <c r="H341" s="20">
        <v>1</v>
      </c>
      <c r="I341" s="126">
        <f t="shared" si="19"/>
        <v>0</v>
      </c>
      <c r="J341" s="21">
        <f t="shared" si="22"/>
        <v>0</v>
      </c>
      <c r="K341" s="80"/>
      <c r="L341" s="82"/>
      <c r="M341" s="10"/>
      <c r="N341" s="10"/>
      <c r="O341" s="10"/>
      <c r="P341" s="10"/>
      <c r="Q341" s="43"/>
      <c r="R341" s="10"/>
      <c r="T341" s="10"/>
    </row>
    <row r="342" spans="2:20" s="1" customFormat="1" ht="14.25" x14ac:dyDescent="0.15">
      <c r="B342" s="16">
        <v>15</v>
      </c>
      <c r="C342" s="11"/>
      <c r="D342" s="18"/>
      <c r="E342" s="18"/>
      <c r="F342" s="129"/>
      <c r="G342" s="20"/>
      <c r="H342" s="20">
        <v>1</v>
      </c>
      <c r="I342" s="126">
        <f t="shared" si="19"/>
        <v>0</v>
      </c>
      <c r="J342" s="21">
        <f t="shared" si="22"/>
        <v>0</v>
      </c>
      <c r="K342" s="80"/>
      <c r="L342" s="82"/>
      <c r="M342" s="10"/>
      <c r="N342" s="10"/>
      <c r="O342" s="10"/>
      <c r="P342" s="10"/>
      <c r="Q342" s="43"/>
      <c r="R342" s="10"/>
      <c r="T342" s="10"/>
    </row>
    <row r="343" spans="2:20" s="1" customFormat="1" ht="14.25" x14ac:dyDescent="0.15">
      <c r="B343" s="16">
        <v>16</v>
      </c>
      <c r="C343" s="11"/>
      <c r="D343" s="18"/>
      <c r="E343" s="18"/>
      <c r="F343" s="129"/>
      <c r="G343" s="20"/>
      <c r="H343" s="20">
        <v>1</v>
      </c>
      <c r="I343" s="126">
        <f t="shared" si="19"/>
        <v>0</v>
      </c>
      <c r="J343" s="21">
        <f t="shared" si="22"/>
        <v>0</v>
      </c>
      <c r="K343" s="80"/>
      <c r="L343" s="82"/>
      <c r="M343" s="10"/>
      <c r="N343" s="10"/>
      <c r="O343" s="10"/>
      <c r="P343" s="10"/>
      <c r="Q343" s="43"/>
      <c r="R343" s="10"/>
      <c r="T343" s="10"/>
    </row>
    <row r="344" spans="2:20" s="1" customFormat="1" ht="14.25" x14ac:dyDescent="0.15">
      <c r="B344" s="16">
        <v>17</v>
      </c>
      <c r="C344" s="11"/>
      <c r="D344" s="18"/>
      <c r="E344" s="18"/>
      <c r="F344" s="129"/>
      <c r="G344" s="20"/>
      <c r="H344" s="20">
        <v>1</v>
      </c>
      <c r="I344" s="126">
        <f t="shared" si="19"/>
        <v>0</v>
      </c>
      <c r="J344" s="21">
        <f t="shared" si="22"/>
        <v>0</v>
      </c>
      <c r="K344" s="80"/>
      <c r="L344" s="82"/>
      <c r="M344" s="10"/>
      <c r="N344" s="10"/>
      <c r="O344" s="10"/>
      <c r="P344" s="10"/>
      <c r="Q344" s="43"/>
      <c r="R344" s="10"/>
      <c r="T344" s="10"/>
    </row>
    <row r="345" spans="2:20" s="1" customFormat="1" ht="14.25" x14ac:dyDescent="0.15">
      <c r="B345" s="16">
        <v>18</v>
      </c>
      <c r="C345" s="11"/>
      <c r="D345" s="18"/>
      <c r="E345" s="18"/>
      <c r="F345" s="129"/>
      <c r="G345" s="20"/>
      <c r="H345" s="20">
        <v>1</v>
      </c>
      <c r="I345" s="126">
        <f t="shared" si="19"/>
        <v>0</v>
      </c>
      <c r="J345" s="78">
        <f t="shared" si="22"/>
        <v>0</v>
      </c>
      <c r="K345" s="111"/>
      <c r="L345" s="119"/>
      <c r="M345" s="10"/>
      <c r="N345" s="10"/>
      <c r="O345" s="10"/>
      <c r="P345" s="10"/>
      <c r="Q345" s="43"/>
      <c r="R345" s="10"/>
      <c r="T345" s="10"/>
    </row>
    <row r="346" spans="2:20" s="1" customFormat="1" ht="14.25" x14ac:dyDescent="0.15">
      <c r="B346" s="16">
        <v>19</v>
      </c>
      <c r="C346" s="11"/>
      <c r="D346" s="18"/>
      <c r="E346" s="18"/>
      <c r="F346" s="129"/>
      <c r="G346" s="20"/>
      <c r="H346" s="20">
        <v>1</v>
      </c>
      <c r="I346" s="254">
        <f t="shared" si="19"/>
        <v>0</v>
      </c>
      <c r="J346" s="94">
        <f t="shared" si="22"/>
        <v>0</v>
      </c>
      <c r="K346" s="82"/>
      <c r="L346" s="82"/>
      <c r="M346" s="10"/>
      <c r="N346" s="10"/>
      <c r="O346" s="10"/>
      <c r="P346" s="10"/>
      <c r="Q346" s="43"/>
      <c r="R346" s="10"/>
      <c r="T346" s="10"/>
    </row>
    <row r="347" spans="2:20" s="1" customFormat="1" ht="14.25" x14ac:dyDescent="0.15">
      <c r="B347" s="16">
        <v>20</v>
      </c>
      <c r="C347" s="11"/>
      <c r="D347" s="18"/>
      <c r="E347" s="18"/>
      <c r="F347" s="129"/>
      <c r="G347" s="20"/>
      <c r="H347" s="20">
        <v>1</v>
      </c>
      <c r="I347" s="254">
        <f t="shared" si="19"/>
        <v>0</v>
      </c>
      <c r="J347" s="94">
        <f t="shared" si="22"/>
        <v>0</v>
      </c>
      <c r="K347" s="82"/>
      <c r="L347" s="82"/>
      <c r="M347" s="10"/>
      <c r="N347" s="10"/>
      <c r="O347" s="10"/>
      <c r="P347" s="10"/>
      <c r="Q347" s="43"/>
      <c r="R347" s="10"/>
      <c r="T347" s="10"/>
    </row>
    <row r="348" spans="2:20" s="1" customFormat="1" ht="14.25" x14ac:dyDescent="0.15">
      <c r="B348" s="83"/>
      <c r="C348" s="160"/>
      <c r="D348" s="75"/>
      <c r="E348" s="75"/>
      <c r="F348" s="132"/>
      <c r="G348" s="77"/>
      <c r="H348" s="77"/>
      <c r="I348" s="255"/>
      <c r="J348" s="94"/>
      <c r="K348" s="82"/>
      <c r="L348" s="82"/>
      <c r="M348" s="10"/>
      <c r="N348" s="10"/>
      <c r="O348" s="10"/>
      <c r="P348" s="10"/>
      <c r="Q348" s="43"/>
      <c r="R348" s="10"/>
      <c r="T348" s="10"/>
    </row>
    <row r="349" spans="2:20" s="1" customFormat="1" ht="14.25" x14ac:dyDescent="0.15">
      <c r="B349" s="82"/>
      <c r="C349" s="102"/>
      <c r="D349" s="103"/>
      <c r="E349" s="102"/>
      <c r="F349" s="128">
        <f>SUM(F289:F348)</f>
        <v>0</v>
      </c>
      <c r="G349" s="104"/>
      <c r="H349" s="105"/>
      <c r="I349" s="256">
        <f>SUM(I290:I348)</f>
        <v>0</v>
      </c>
      <c r="J349" s="257">
        <f>SUM(J289:J308)</f>
        <v>0</v>
      </c>
      <c r="M349" s="10"/>
      <c r="N349" s="10"/>
      <c r="O349" s="10"/>
      <c r="P349" s="10"/>
      <c r="Q349" s="43"/>
      <c r="R349" s="10"/>
      <c r="T349" s="10"/>
    </row>
    <row r="350" spans="2:20" s="67" customFormat="1" ht="14.25" x14ac:dyDescent="0.15">
      <c r="B350" s="116"/>
      <c r="C350" s="114"/>
      <c r="D350" s="114"/>
      <c r="E350" s="114" t="s">
        <v>147</v>
      </c>
      <c r="F350" s="162">
        <f>100/115*F349</f>
        <v>0</v>
      </c>
      <c r="G350" s="161"/>
      <c r="H350" s="161" t="s">
        <v>147</v>
      </c>
      <c r="I350" s="264">
        <f>100/115*I349</f>
        <v>0</v>
      </c>
      <c r="J350" s="114"/>
      <c r="M350" s="68"/>
      <c r="N350" s="68"/>
      <c r="O350" s="68"/>
      <c r="P350" s="68"/>
      <c r="Q350" s="69"/>
      <c r="R350" s="68"/>
      <c r="T350" s="68"/>
    </row>
    <row r="351" spans="2:20" s="1" customFormat="1" ht="14.25" x14ac:dyDescent="0.15">
      <c r="M351" s="10"/>
      <c r="N351" s="10"/>
      <c r="O351" s="10"/>
      <c r="P351" s="10"/>
      <c r="Q351" s="43"/>
      <c r="R351" s="10"/>
      <c r="T351" s="10"/>
    </row>
    <row r="352" spans="2:20" s="1" customFormat="1" ht="14.25" x14ac:dyDescent="0.15">
      <c r="M352" s="10"/>
      <c r="N352" s="10"/>
      <c r="O352" s="10"/>
      <c r="P352" s="10"/>
      <c r="Q352" s="43"/>
      <c r="R352" s="10"/>
      <c r="T352" s="10"/>
    </row>
    <row r="353" spans="2:20" s="1" customFormat="1" ht="14.25" x14ac:dyDescent="0.15">
      <c r="M353" s="10"/>
      <c r="N353" s="10"/>
      <c r="O353" s="10"/>
      <c r="P353" s="10"/>
      <c r="Q353" s="43"/>
      <c r="R353" s="10"/>
      <c r="T353" s="10"/>
    </row>
    <row r="354" spans="2:20" s="1" customFormat="1" ht="14.25" x14ac:dyDescent="0.15">
      <c r="M354" s="10"/>
      <c r="N354" s="10"/>
      <c r="O354" s="10"/>
      <c r="P354" s="10"/>
      <c r="Q354" s="43"/>
      <c r="R354" s="10"/>
      <c r="T354" s="10"/>
    </row>
    <row r="355" spans="2:20" s="247" customFormat="1" ht="32.25" x14ac:dyDescent="0.4">
      <c r="B355" s="248"/>
      <c r="C355" s="380" t="s">
        <v>112</v>
      </c>
      <c r="D355" s="380"/>
      <c r="E355" s="428" t="s">
        <v>108</v>
      </c>
      <c r="F355" s="428"/>
      <c r="G355" s="428"/>
      <c r="H355" s="428"/>
      <c r="I355" s="428"/>
      <c r="J355" s="382">
        <v>2026</v>
      </c>
      <c r="K355" s="382"/>
      <c r="L355" s="382"/>
      <c r="M355" s="249"/>
      <c r="N355" s="249"/>
      <c r="O355" s="249"/>
      <c r="P355" s="249"/>
      <c r="Q355" s="250"/>
      <c r="R355" s="249"/>
      <c r="T355" s="249"/>
    </row>
    <row r="356" spans="2:20" s="1" customFormat="1" ht="22.5" x14ac:dyDescent="0.15">
      <c r="B356" s="82"/>
      <c r="C356" s="102" t="s">
        <v>114</v>
      </c>
      <c r="D356" s="388" t="s">
        <v>115</v>
      </c>
      <c r="E356" s="388"/>
      <c r="F356" s="102" t="s">
        <v>116</v>
      </c>
      <c r="G356" s="102" t="s">
        <v>117</v>
      </c>
      <c r="H356" s="102" t="s">
        <v>118</v>
      </c>
      <c r="I356" s="102" t="s">
        <v>119</v>
      </c>
      <c r="J356" s="102" t="s">
        <v>120</v>
      </c>
      <c r="K356" s="82"/>
      <c r="L356" s="82"/>
      <c r="M356" s="10"/>
      <c r="N356" s="10"/>
      <c r="O356" s="10"/>
      <c r="P356" s="10"/>
      <c r="Q356" s="43"/>
      <c r="R356" s="10"/>
      <c r="T356" s="10"/>
    </row>
    <row r="357" spans="2:20" s="1" customFormat="1" ht="14.25" x14ac:dyDescent="0.15">
      <c r="B357" s="82"/>
      <c r="C357" s="66">
        <f>C287</f>
        <v>250</v>
      </c>
      <c r="D357" s="389">
        <v>20</v>
      </c>
      <c r="E357" s="389"/>
      <c r="F357" s="13">
        <f>F287</f>
        <v>0.75</v>
      </c>
      <c r="G357" s="14">
        <f>G287</f>
        <v>8</v>
      </c>
      <c r="H357" s="142">
        <f>D357*G357*F357</f>
        <v>120</v>
      </c>
      <c r="I357" s="66">
        <f>I419</f>
        <v>0</v>
      </c>
      <c r="J357" s="143">
        <f>H357-J419</f>
        <v>120</v>
      </c>
      <c r="K357" s="82"/>
      <c r="L357" s="82"/>
      <c r="M357" s="10"/>
      <c r="N357" s="10"/>
      <c r="O357" s="10"/>
      <c r="P357" s="10"/>
      <c r="Q357" s="43"/>
      <c r="R357" s="10"/>
      <c r="T357" s="10"/>
    </row>
    <row r="358" spans="2:20" s="1" customFormat="1" ht="33.75" x14ac:dyDescent="0.15">
      <c r="B358" s="82"/>
      <c r="C358" s="167" t="s">
        <v>121</v>
      </c>
      <c r="D358" s="395" t="s">
        <v>122</v>
      </c>
      <c r="E358" s="395"/>
      <c r="F358" s="177" t="s">
        <v>123</v>
      </c>
      <c r="G358" s="178" t="s">
        <v>124</v>
      </c>
      <c r="H358" s="179" t="s">
        <v>125</v>
      </c>
      <c r="I358" s="180" t="s">
        <v>126</v>
      </c>
      <c r="J358" s="178" t="s">
        <v>127</v>
      </c>
      <c r="K358" s="114" t="s">
        <v>128</v>
      </c>
      <c r="L358" s="114" t="s">
        <v>129</v>
      </c>
      <c r="M358" s="10"/>
      <c r="N358" s="10"/>
      <c r="O358" s="10"/>
      <c r="P358" s="10"/>
      <c r="Q358" s="43"/>
      <c r="R358" s="10"/>
      <c r="T358" s="10"/>
    </row>
    <row r="359" spans="2:20" s="1" customFormat="1" ht="14.25" x14ac:dyDescent="0.15">
      <c r="B359" s="84"/>
      <c r="C359" s="81"/>
      <c r="D359" s="404"/>
      <c r="E359" s="404"/>
      <c r="F359" s="175"/>
      <c r="G359" s="87"/>
      <c r="H359" s="87"/>
      <c r="I359" s="176"/>
      <c r="J359" s="88"/>
      <c r="K359" s="79"/>
      <c r="L359" s="120"/>
      <c r="M359" s="10"/>
      <c r="N359" s="10"/>
      <c r="O359" s="10"/>
      <c r="P359" s="10"/>
      <c r="Q359" s="43"/>
      <c r="R359" s="10"/>
      <c r="T359" s="10"/>
    </row>
    <row r="360" spans="2:20" s="1" customFormat="1" ht="12.95" customHeight="1" x14ac:dyDescent="0.15">
      <c r="B360" s="16"/>
      <c r="C360" s="411" t="s">
        <v>130</v>
      </c>
      <c r="D360" s="411"/>
      <c r="E360" s="411"/>
      <c r="F360" s="129"/>
      <c r="G360" s="20"/>
      <c r="H360" s="20"/>
      <c r="I360" s="126"/>
      <c r="J360" s="21"/>
      <c r="K360" s="80"/>
      <c r="L360" s="82"/>
      <c r="M360" s="10"/>
      <c r="N360" s="10"/>
      <c r="O360" s="10"/>
      <c r="P360" s="10"/>
      <c r="Q360" s="43"/>
      <c r="R360" s="10"/>
      <c r="T360" s="10"/>
    </row>
    <row r="361" spans="2:20" s="1" customFormat="1" ht="12.95" customHeight="1" x14ac:dyDescent="0.15">
      <c r="B361" s="16"/>
      <c r="C361" s="37" t="s">
        <v>149</v>
      </c>
      <c r="D361" s="24"/>
      <c r="E361" s="24"/>
      <c r="F361" s="129"/>
      <c r="G361" s="20"/>
      <c r="H361" s="20">
        <v>1</v>
      </c>
      <c r="I361" s="126">
        <f>J361*$C$32</f>
        <v>0</v>
      </c>
      <c r="J361" s="38">
        <f t="shared" ref="J361:J379" si="23">(F361*G361*H361)/$C$32</f>
        <v>0</v>
      </c>
      <c r="K361" s="80"/>
      <c r="L361" s="82"/>
    </row>
    <row r="362" spans="2:20" s="1" customFormat="1" ht="12.95" customHeight="1" x14ac:dyDescent="0.15">
      <c r="B362" s="16">
        <v>1</v>
      </c>
      <c r="C362" s="23"/>
      <c r="D362" s="24"/>
      <c r="E362" s="24"/>
      <c r="F362" s="129"/>
      <c r="G362" s="20"/>
      <c r="H362" s="20">
        <v>1</v>
      </c>
      <c r="I362" s="126">
        <f t="shared" ref="I362:I391" si="24">J362*$C$32</f>
        <v>0</v>
      </c>
      <c r="J362" s="38">
        <f t="shared" si="23"/>
        <v>0</v>
      </c>
      <c r="K362" s="80"/>
      <c r="L362" s="82"/>
    </row>
    <row r="363" spans="2:20" s="1" customFormat="1" ht="12.95" customHeight="1" x14ac:dyDescent="0.15">
      <c r="B363" s="16">
        <v>2</v>
      </c>
      <c r="C363" s="23"/>
      <c r="D363" s="24"/>
      <c r="E363" s="24"/>
      <c r="F363" s="126"/>
      <c r="G363" s="20"/>
      <c r="H363" s="20">
        <v>1</v>
      </c>
      <c r="I363" s="126">
        <f t="shared" si="24"/>
        <v>0</v>
      </c>
      <c r="J363" s="38">
        <f t="shared" si="23"/>
        <v>0</v>
      </c>
      <c r="K363" s="80"/>
      <c r="L363" s="82"/>
    </row>
    <row r="364" spans="2:20" s="1" customFormat="1" ht="12.95" customHeight="1" x14ac:dyDescent="0.15">
      <c r="B364" s="16">
        <v>3</v>
      </c>
      <c r="C364" s="23"/>
      <c r="D364" s="25"/>
      <c r="E364" s="25"/>
      <c r="F364" s="129"/>
      <c r="G364" s="20"/>
      <c r="H364" s="20">
        <v>1</v>
      </c>
      <c r="I364" s="126">
        <f t="shared" si="24"/>
        <v>0</v>
      </c>
      <c r="J364" s="38">
        <f t="shared" si="23"/>
        <v>0</v>
      </c>
      <c r="K364" s="80"/>
      <c r="L364" s="82"/>
    </row>
    <row r="365" spans="2:20" s="1" customFormat="1" ht="12.95" customHeight="1" x14ac:dyDescent="0.15">
      <c r="B365" s="16">
        <v>4</v>
      </c>
      <c r="C365" s="23"/>
      <c r="D365" s="24"/>
      <c r="E365" s="24"/>
      <c r="F365" s="129"/>
      <c r="G365" s="20"/>
      <c r="H365" s="20">
        <v>1</v>
      </c>
      <c r="I365" s="126">
        <f t="shared" si="24"/>
        <v>0</v>
      </c>
      <c r="J365" s="38">
        <f t="shared" si="23"/>
        <v>0</v>
      </c>
      <c r="K365" s="80"/>
      <c r="L365" s="82"/>
    </row>
    <row r="366" spans="2:20" s="1" customFormat="1" ht="12.95" customHeight="1" x14ac:dyDescent="0.15">
      <c r="B366" s="16">
        <v>5</v>
      </c>
      <c r="C366" s="16"/>
      <c r="D366" s="18"/>
      <c r="E366" s="18"/>
      <c r="F366" s="129"/>
      <c r="G366" s="20"/>
      <c r="H366" s="20">
        <v>1</v>
      </c>
      <c r="I366" s="126">
        <f t="shared" si="24"/>
        <v>0</v>
      </c>
      <c r="J366" s="38">
        <f t="shared" si="23"/>
        <v>0</v>
      </c>
      <c r="K366" s="80"/>
      <c r="L366" s="82"/>
    </row>
    <row r="367" spans="2:20" s="1" customFormat="1" ht="12.95" customHeight="1" x14ac:dyDescent="0.15">
      <c r="B367" s="16">
        <v>6</v>
      </c>
      <c r="C367" s="17"/>
      <c r="D367" s="24"/>
      <c r="E367" s="24"/>
      <c r="F367" s="129"/>
      <c r="G367" s="20"/>
      <c r="H367" s="20">
        <v>1</v>
      </c>
      <c r="I367" s="126">
        <f t="shared" si="24"/>
        <v>0</v>
      </c>
      <c r="J367" s="38">
        <f t="shared" si="23"/>
        <v>0</v>
      </c>
      <c r="K367" s="80"/>
      <c r="L367" s="82"/>
    </row>
    <row r="368" spans="2:20" s="1" customFormat="1" ht="12.95" customHeight="1" x14ac:dyDescent="0.15">
      <c r="B368" s="16">
        <v>7</v>
      </c>
      <c r="C368" s="17"/>
      <c r="D368" s="24"/>
      <c r="E368" s="24"/>
      <c r="F368" s="129"/>
      <c r="G368" s="20"/>
      <c r="H368" s="20">
        <v>1</v>
      </c>
      <c r="I368" s="126">
        <f t="shared" si="24"/>
        <v>0</v>
      </c>
      <c r="J368" s="38">
        <f t="shared" si="23"/>
        <v>0</v>
      </c>
      <c r="K368" s="80"/>
      <c r="L368" s="82"/>
    </row>
    <row r="369" spans="2:15" s="1" customFormat="1" ht="12.95" customHeight="1" x14ac:dyDescent="0.15">
      <c r="B369" s="16">
        <v>8</v>
      </c>
      <c r="C369" s="23"/>
      <c r="D369" s="48"/>
      <c r="E369" s="48"/>
      <c r="F369" s="129"/>
      <c r="G369" s="20"/>
      <c r="H369" s="20">
        <v>1</v>
      </c>
      <c r="I369" s="126">
        <f t="shared" si="24"/>
        <v>0</v>
      </c>
      <c r="J369" s="38">
        <f t="shared" si="23"/>
        <v>0</v>
      </c>
      <c r="K369" s="80"/>
      <c r="L369" s="82"/>
    </row>
    <row r="370" spans="2:15" s="1" customFormat="1" ht="12.95" customHeight="1" x14ac:dyDescent="0.15">
      <c r="B370" s="16">
        <v>9</v>
      </c>
      <c r="C370" s="23"/>
      <c r="D370" s="48"/>
      <c r="E370" s="48"/>
      <c r="F370" s="129"/>
      <c r="G370" s="20"/>
      <c r="H370" s="20">
        <v>1</v>
      </c>
      <c r="I370" s="126">
        <f t="shared" si="24"/>
        <v>0</v>
      </c>
      <c r="J370" s="38">
        <f t="shared" si="23"/>
        <v>0</v>
      </c>
      <c r="K370" s="80"/>
      <c r="L370" s="82"/>
    </row>
    <row r="371" spans="2:15" s="1" customFormat="1" ht="12.95" customHeight="1" x14ac:dyDescent="0.15">
      <c r="B371" s="16">
        <v>10</v>
      </c>
      <c r="C371" s="23"/>
      <c r="D371" s="48"/>
      <c r="E371" s="48"/>
      <c r="F371" s="129"/>
      <c r="G371" s="20"/>
      <c r="H371" s="20">
        <v>1</v>
      </c>
      <c r="I371" s="126">
        <f t="shared" si="24"/>
        <v>0</v>
      </c>
      <c r="J371" s="38">
        <f t="shared" si="23"/>
        <v>0</v>
      </c>
      <c r="K371" s="80"/>
      <c r="L371" s="82"/>
    </row>
    <row r="372" spans="2:15" s="1" customFormat="1" ht="12.95" customHeight="1" x14ac:dyDescent="0.15">
      <c r="B372" s="16"/>
      <c r="C372" s="23"/>
      <c r="D372" s="49"/>
      <c r="E372" s="48"/>
      <c r="F372" s="129"/>
      <c r="G372" s="20"/>
      <c r="H372" s="20"/>
      <c r="I372" s="126"/>
      <c r="J372" s="38"/>
      <c r="K372" s="80"/>
      <c r="L372" s="82"/>
    </row>
    <row r="373" spans="2:15" s="1" customFormat="1" ht="12.95" customHeight="1" x14ac:dyDescent="0.15">
      <c r="B373" s="16"/>
      <c r="C373" s="23"/>
      <c r="D373" s="49"/>
      <c r="E373" s="48"/>
      <c r="F373" s="129"/>
      <c r="G373" s="20"/>
      <c r="H373" s="20"/>
      <c r="I373" s="126"/>
      <c r="J373" s="38"/>
      <c r="K373" s="80"/>
      <c r="L373" s="82"/>
    </row>
    <row r="374" spans="2:15" s="1" customFormat="1" ht="12.95" customHeight="1" x14ac:dyDescent="0.15">
      <c r="B374" s="16"/>
      <c r="C374" s="72" t="s">
        <v>153</v>
      </c>
      <c r="D374" s="48"/>
      <c r="E374" s="49"/>
      <c r="F374" s="129"/>
      <c r="G374" s="20"/>
      <c r="H374" s="20"/>
      <c r="I374" s="126"/>
      <c r="J374" s="38"/>
      <c r="K374" s="80"/>
      <c r="L374" s="82"/>
    </row>
    <row r="375" spans="2:15" s="1" customFormat="1" ht="12.95" customHeight="1" x14ac:dyDescent="0.15">
      <c r="B375" s="16">
        <v>1</v>
      </c>
      <c r="C375" s="23"/>
      <c r="D375" s="48"/>
      <c r="E375" s="49"/>
      <c r="F375" s="129"/>
      <c r="G375" s="20"/>
      <c r="H375" s="20">
        <v>1</v>
      </c>
      <c r="I375" s="126">
        <f t="shared" si="24"/>
        <v>0</v>
      </c>
      <c r="J375" s="38">
        <f t="shared" si="23"/>
        <v>0</v>
      </c>
      <c r="K375" s="80"/>
      <c r="L375" s="82"/>
    </row>
    <row r="376" spans="2:15" s="1" customFormat="1" ht="14.85" customHeight="1" x14ac:dyDescent="0.15">
      <c r="B376" s="16">
        <v>2</v>
      </c>
      <c r="C376" s="23"/>
      <c r="D376" s="48"/>
      <c r="E376" s="49"/>
      <c r="F376" s="129"/>
      <c r="G376" s="20"/>
      <c r="H376" s="20">
        <v>1</v>
      </c>
      <c r="I376" s="126">
        <f t="shared" si="24"/>
        <v>0</v>
      </c>
      <c r="J376" s="38">
        <f t="shared" si="23"/>
        <v>0</v>
      </c>
      <c r="K376" s="80"/>
      <c r="L376" s="82"/>
    </row>
    <row r="377" spans="2:15" s="1" customFormat="1" ht="12.95" customHeight="1" x14ac:dyDescent="0.15">
      <c r="B377" s="16">
        <v>3</v>
      </c>
      <c r="C377" s="23"/>
      <c r="D377" s="48"/>
      <c r="E377" s="49"/>
      <c r="F377" s="129"/>
      <c r="G377" s="20"/>
      <c r="H377" s="20">
        <v>1</v>
      </c>
      <c r="I377" s="126">
        <f t="shared" si="24"/>
        <v>0</v>
      </c>
      <c r="J377" s="38">
        <f t="shared" si="23"/>
        <v>0</v>
      </c>
      <c r="K377" s="80"/>
      <c r="L377" s="82"/>
    </row>
    <row r="378" spans="2:15" s="1" customFormat="1" ht="12.95" customHeight="1" x14ac:dyDescent="0.15">
      <c r="B378" s="16">
        <v>4</v>
      </c>
      <c r="C378" s="23"/>
      <c r="D378" s="48"/>
      <c r="E378" s="49"/>
      <c r="F378" s="129"/>
      <c r="G378" s="20"/>
      <c r="H378" s="20">
        <v>1</v>
      </c>
      <c r="I378" s="126">
        <f t="shared" si="24"/>
        <v>0</v>
      </c>
      <c r="J378" s="38">
        <f t="shared" si="23"/>
        <v>0</v>
      </c>
      <c r="K378" s="80"/>
      <c r="L378" s="82"/>
    </row>
    <row r="379" spans="2:15" s="1" customFormat="1" ht="12.95" customHeight="1" x14ac:dyDescent="0.15">
      <c r="B379" s="16">
        <v>5</v>
      </c>
      <c r="C379" s="23"/>
      <c r="D379" s="48"/>
      <c r="E379" s="48"/>
      <c r="F379" s="129"/>
      <c r="G379" s="20"/>
      <c r="H379" s="20">
        <v>1</v>
      </c>
      <c r="I379" s="126">
        <f t="shared" si="24"/>
        <v>0</v>
      </c>
      <c r="J379" s="38">
        <f t="shared" si="23"/>
        <v>0</v>
      </c>
      <c r="K379" s="80"/>
      <c r="L379" s="82"/>
    </row>
    <row r="380" spans="2:15" s="1" customFormat="1" ht="12.95" customHeight="1" x14ac:dyDescent="0.15">
      <c r="B380" s="16">
        <v>6</v>
      </c>
      <c r="C380" s="23"/>
      <c r="D380" s="48"/>
      <c r="E380" s="48"/>
      <c r="F380" s="129"/>
      <c r="G380" s="20"/>
      <c r="H380" s="20">
        <v>1</v>
      </c>
      <c r="I380" s="126">
        <f t="shared" si="24"/>
        <v>0</v>
      </c>
      <c r="J380" s="38">
        <f>(F380*G380*H380)/$C$32</f>
        <v>0</v>
      </c>
      <c r="K380" s="80"/>
      <c r="L380" s="82"/>
    </row>
    <row r="381" spans="2:15" s="1" customFormat="1" ht="12.95" customHeight="1" x14ac:dyDescent="0.15">
      <c r="B381" s="16">
        <v>7</v>
      </c>
      <c r="C381" s="23"/>
      <c r="D381" s="48"/>
      <c r="E381" s="48"/>
      <c r="F381" s="129"/>
      <c r="G381" s="20"/>
      <c r="H381" s="20">
        <v>1</v>
      </c>
      <c r="I381" s="126">
        <f t="shared" si="24"/>
        <v>0</v>
      </c>
      <c r="J381" s="38">
        <f>(F381*G381*H381)/$C$32</f>
        <v>0</v>
      </c>
      <c r="K381" s="80"/>
      <c r="L381" s="82"/>
    </row>
    <row r="382" spans="2:15" s="1" customFormat="1" ht="12.95" customHeight="1" x14ac:dyDescent="0.15">
      <c r="B382" s="16">
        <v>8</v>
      </c>
      <c r="C382" s="23"/>
      <c r="D382" s="48"/>
      <c r="E382" s="48"/>
      <c r="F382" s="129"/>
      <c r="G382" s="20"/>
      <c r="H382" s="20">
        <v>1</v>
      </c>
      <c r="I382" s="126">
        <f t="shared" si="24"/>
        <v>0</v>
      </c>
      <c r="J382" s="38">
        <f t="shared" ref="J382:J417" si="25">(F382*G382*H382)/$C$32</f>
        <v>0</v>
      </c>
      <c r="K382" s="80"/>
      <c r="L382" s="82"/>
      <c r="M382" s="39"/>
      <c r="N382" s="40"/>
      <c r="O382" s="40"/>
    </row>
    <row r="383" spans="2:15" s="1" customFormat="1" ht="12.95" customHeight="1" x14ac:dyDescent="0.15">
      <c r="B383" s="16">
        <v>9</v>
      </c>
      <c r="C383" s="23"/>
      <c r="D383" s="48"/>
      <c r="E383" s="48"/>
      <c r="F383" s="129"/>
      <c r="G383" s="20"/>
      <c r="H383" s="20">
        <v>1</v>
      </c>
      <c r="I383" s="126">
        <f t="shared" si="24"/>
        <v>0</v>
      </c>
      <c r="J383" s="38">
        <f t="shared" si="25"/>
        <v>0</v>
      </c>
      <c r="K383" s="80"/>
      <c r="L383" s="82"/>
    </row>
    <row r="384" spans="2:15" s="1" customFormat="1" ht="12.95" customHeight="1" x14ac:dyDescent="0.15">
      <c r="B384" s="16">
        <v>10</v>
      </c>
      <c r="C384" s="23"/>
      <c r="D384" s="48"/>
      <c r="E384" s="48"/>
      <c r="F384" s="129"/>
      <c r="G384" s="20"/>
      <c r="H384" s="20">
        <v>1</v>
      </c>
      <c r="I384" s="126">
        <f t="shared" si="24"/>
        <v>0</v>
      </c>
      <c r="J384" s="38">
        <f t="shared" si="25"/>
        <v>0</v>
      </c>
      <c r="K384" s="80"/>
      <c r="L384" s="82"/>
    </row>
    <row r="385" spans="2:20" s="1" customFormat="1" ht="12.95" customHeight="1" x14ac:dyDescent="0.15">
      <c r="B385" s="16">
        <v>11</v>
      </c>
      <c r="C385" s="23"/>
      <c r="D385" s="48"/>
      <c r="E385" s="48"/>
      <c r="F385" s="130"/>
      <c r="G385" s="20"/>
      <c r="H385" s="20">
        <v>1</v>
      </c>
      <c r="I385" s="126">
        <f t="shared" si="24"/>
        <v>0</v>
      </c>
      <c r="J385" s="38">
        <f t="shared" si="25"/>
        <v>0</v>
      </c>
      <c r="K385" s="80"/>
      <c r="L385" s="82"/>
    </row>
    <row r="386" spans="2:20" s="1" customFormat="1" ht="12.95" customHeight="1" x14ac:dyDescent="0.15">
      <c r="B386" s="16">
        <v>12</v>
      </c>
      <c r="C386" s="23"/>
      <c r="D386" s="48"/>
      <c r="E386" s="48"/>
      <c r="F386" s="129"/>
      <c r="G386" s="20"/>
      <c r="H386" s="20">
        <v>1</v>
      </c>
      <c r="I386" s="126">
        <f t="shared" si="24"/>
        <v>0</v>
      </c>
      <c r="J386" s="38">
        <f t="shared" si="25"/>
        <v>0</v>
      </c>
      <c r="K386" s="80"/>
      <c r="L386" s="82"/>
    </row>
    <row r="387" spans="2:20" s="1" customFormat="1" ht="12.95" customHeight="1" x14ac:dyDescent="0.15">
      <c r="B387" s="16">
        <v>13</v>
      </c>
      <c r="C387" s="23"/>
      <c r="D387" s="48"/>
      <c r="E387" s="48"/>
      <c r="F387" s="129"/>
      <c r="G387" s="20"/>
      <c r="H387" s="20">
        <v>1</v>
      </c>
      <c r="I387" s="126">
        <f t="shared" si="24"/>
        <v>0</v>
      </c>
      <c r="J387" s="38">
        <f t="shared" si="25"/>
        <v>0</v>
      </c>
      <c r="K387" s="80"/>
      <c r="L387" s="82"/>
    </row>
    <row r="388" spans="2:20" s="1" customFormat="1" ht="12.95" customHeight="1" x14ac:dyDescent="0.15">
      <c r="B388" s="16">
        <v>14</v>
      </c>
      <c r="C388" s="23"/>
      <c r="D388" s="48"/>
      <c r="E388" s="48"/>
      <c r="F388" s="129"/>
      <c r="G388" s="20"/>
      <c r="H388" s="20">
        <v>1</v>
      </c>
      <c r="I388" s="126">
        <f t="shared" si="24"/>
        <v>0</v>
      </c>
      <c r="J388" s="38">
        <f t="shared" si="25"/>
        <v>0</v>
      </c>
      <c r="K388" s="80"/>
      <c r="L388" s="82"/>
    </row>
    <row r="389" spans="2:20" s="1" customFormat="1" ht="12.95" customHeight="1" x14ac:dyDescent="0.15">
      <c r="B389" s="16">
        <v>15</v>
      </c>
      <c r="C389" s="23"/>
      <c r="D389" s="48"/>
      <c r="E389" s="48"/>
      <c r="F389" s="129"/>
      <c r="G389" s="20"/>
      <c r="H389" s="20">
        <v>1</v>
      </c>
      <c r="I389" s="126">
        <f t="shared" si="24"/>
        <v>0</v>
      </c>
      <c r="J389" s="38">
        <f t="shared" si="25"/>
        <v>0</v>
      </c>
      <c r="K389" s="80"/>
      <c r="L389" s="82"/>
    </row>
    <row r="390" spans="2:20" s="1" customFormat="1" ht="12.95" customHeight="1" x14ac:dyDescent="0.15">
      <c r="B390" s="16">
        <v>16</v>
      </c>
      <c r="C390" s="23"/>
      <c r="D390" s="48"/>
      <c r="E390" s="48"/>
      <c r="F390" s="129"/>
      <c r="G390" s="20"/>
      <c r="H390" s="20">
        <v>1</v>
      </c>
      <c r="I390" s="126">
        <f t="shared" si="24"/>
        <v>0</v>
      </c>
      <c r="J390" s="38">
        <f t="shared" si="25"/>
        <v>0</v>
      </c>
      <c r="K390" s="80"/>
      <c r="L390" s="82"/>
    </row>
    <row r="391" spans="2:20" s="1" customFormat="1" ht="12.95" customHeight="1" x14ac:dyDescent="0.2">
      <c r="B391" s="16">
        <v>17</v>
      </c>
      <c r="C391" s="410"/>
      <c r="D391" s="410"/>
      <c r="E391" s="410"/>
      <c r="F391" s="129"/>
      <c r="G391" s="20"/>
      <c r="H391" s="20">
        <v>1</v>
      </c>
      <c r="I391" s="126">
        <f t="shared" si="24"/>
        <v>0</v>
      </c>
      <c r="J391" s="21">
        <f t="shared" si="25"/>
        <v>0</v>
      </c>
      <c r="K391" s="80"/>
      <c r="L391" s="82"/>
      <c r="M391" s="10"/>
      <c r="N391" s="10"/>
      <c r="O391" s="10"/>
      <c r="P391" s="10"/>
      <c r="Q391" s="43"/>
      <c r="R391" s="10"/>
      <c r="T391" s="10"/>
    </row>
    <row r="392" spans="2:20" s="1" customFormat="1" ht="12.95" customHeight="1" x14ac:dyDescent="0.15">
      <c r="B392" s="16">
        <v>18</v>
      </c>
      <c r="C392" s="60"/>
      <c r="D392" s="49"/>
      <c r="E392" s="49"/>
      <c r="F392" s="129"/>
      <c r="G392" s="20"/>
      <c r="H392" s="20">
        <v>1</v>
      </c>
      <c r="I392" s="126">
        <f>J392*$C$32</f>
        <v>0</v>
      </c>
      <c r="J392" s="21">
        <f t="shared" si="25"/>
        <v>0</v>
      </c>
      <c r="K392" s="80"/>
      <c r="L392" s="82"/>
      <c r="M392" s="10"/>
      <c r="N392" s="10"/>
      <c r="O392" s="10"/>
      <c r="P392" s="10"/>
      <c r="Q392" s="43"/>
      <c r="R392" s="10"/>
      <c r="T392" s="10"/>
    </row>
    <row r="393" spans="2:20" s="1" customFormat="1" ht="12.95" customHeight="1" x14ac:dyDescent="0.15">
      <c r="B393" s="16">
        <v>19</v>
      </c>
      <c r="C393" s="59"/>
      <c r="D393" s="49"/>
      <c r="E393" s="49"/>
      <c r="F393" s="129"/>
      <c r="G393" s="20"/>
      <c r="H393" s="20">
        <v>1</v>
      </c>
      <c r="I393" s="126">
        <f t="shared" ref="I393:I407" si="26">J393*$C$32</f>
        <v>0</v>
      </c>
      <c r="J393" s="21">
        <f t="shared" si="25"/>
        <v>0</v>
      </c>
      <c r="K393" s="80"/>
      <c r="L393" s="82"/>
      <c r="M393" s="10"/>
      <c r="N393" s="10"/>
      <c r="O393" s="10"/>
      <c r="P393" s="10"/>
      <c r="Q393" s="43"/>
      <c r="R393" s="10"/>
      <c r="T393" s="10"/>
    </row>
    <row r="394" spans="2:20" s="1" customFormat="1" ht="12.95" customHeight="1" x14ac:dyDescent="0.15">
      <c r="B394" s="16">
        <v>20</v>
      </c>
      <c r="C394" s="70"/>
      <c r="D394" s="49"/>
      <c r="E394" s="49"/>
      <c r="F394" s="129"/>
      <c r="G394" s="20"/>
      <c r="H394" s="20">
        <v>1</v>
      </c>
      <c r="I394" s="126">
        <f t="shared" si="26"/>
        <v>0</v>
      </c>
      <c r="J394" s="21">
        <f t="shared" si="25"/>
        <v>0</v>
      </c>
      <c r="K394" s="80"/>
      <c r="L394" s="82"/>
      <c r="M394" s="10"/>
      <c r="N394" s="10"/>
      <c r="O394" s="10"/>
      <c r="P394" s="10"/>
      <c r="Q394" s="43"/>
      <c r="R394" s="10"/>
      <c r="T394" s="10"/>
    </row>
    <row r="395" spans="2:20" s="1" customFormat="1" ht="12.95" customHeight="1" x14ac:dyDescent="0.15">
      <c r="B395" s="16"/>
      <c r="C395" s="70"/>
      <c r="D395" s="49"/>
      <c r="E395" s="49"/>
      <c r="F395" s="129"/>
      <c r="G395" s="20"/>
      <c r="H395" s="20"/>
      <c r="I395" s="126"/>
      <c r="J395" s="21"/>
      <c r="K395" s="80"/>
      <c r="L395" s="82"/>
      <c r="M395" s="10"/>
      <c r="N395" s="10"/>
      <c r="O395" s="10"/>
      <c r="P395" s="10"/>
      <c r="Q395" s="43"/>
      <c r="R395" s="10"/>
      <c r="T395" s="10"/>
    </row>
    <row r="396" spans="2:20" s="1" customFormat="1" ht="12.95" customHeight="1" x14ac:dyDescent="0.15">
      <c r="B396" s="16"/>
      <c r="C396" s="70"/>
      <c r="D396" s="49"/>
      <c r="E396" s="49"/>
      <c r="F396" s="129"/>
      <c r="G396" s="20"/>
      <c r="H396" s="20"/>
      <c r="I396" s="126"/>
      <c r="J396" s="21"/>
      <c r="K396" s="80"/>
      <c r="L396" s="82"/>
      <c r="M396" s="10"/>
      <c r="N396" s="10"/>
      <c r="O396" s="10"/>
      <c r="P396" s="10"/>
      <c r="Q396" s="43"/>
      <c r="R396" s="10"/>
      <c r="T396" s="10"/>
    </row>
    <row r="397" spans="2:20" s="1" customFormat="1" ht="12.95" customHeight="1" x14ac:dyDescent="0.15">
      <c r="B397" s="16"/>
      <c r="C397" s="70" t="s">
        <v>159</v>
      </c>
      <c r="D397" s="49"/>
      <c r="E397" s="49"/>
      <c r="F397" s="129"/>
      <c r="G397" s="20"/>
      <c r="H397" s="20"/>
      <c r="I397" s="126"/>
      <c r="J397" s="21"/>
      <c r="K397" s="80"/>
      <c r="L397" s="82"/>
      <c r="M397" s="10"/>
      <c r="N397" s="10"/>
      <c r="O397" s="10"/>
      <c r="P397" s="10"/>
      <c r="Q397" s="43"/>
      <c r="R397" s="10"/>
      <c r="T397" s="10"/>
    </row>
    <row r="398" spans="2:20" s="1" customFormat="1" ht="12.95" customHeight="1" x14ac:dyDescent="0.15">
      <c r="B398" s="16">
        <v>1</v>
      </c>
      <c r="C398" s="61"/>
      <c r="D398" s="49"/>
      <c r="E398" s="49"/>
      <c r="F398" s="129"/>
      <c r="G398" s="20"/>
      <c r="H398" s="20">
        <v>1</v>
      </c>
      <c r="I398" s="126">
        <f t="shared" si="26"/>
        <v>0</v>
      </c>
      <c r="J398" s="21">
        <f t="shared" si="25"/>
        <v>0</v>
      </c>
      <c r="K398" s="80"/>
      <c r="L398" s="82"/>
      <c r="M398" s="10"/>
      <c r="N398" s="10"/>
      <c r="O398" s="10"/>
      <c r="P398" s="10"/>
      <c r="Q398" s="43"/>
      <c r="R398" s="10"/>
      <c r="T398" s="10"/>
    </row>
    <row r="399" spans="2:20" s="1" customFormat="1" ht="14.25" x14ac:dyDescent="0.15">
      <c r="B399" s="16">
        <v>2</v>
      </c>
      <c r="C399" s="61"/>
      <c r="D399" s="49"/>
      <c r="E399" s="49"/>
      <c r="F399" s="129"/>
      <c r="G399" s="20"/>
      <c r="H399" s="20">
        <v>1</v>
      </c>
      <c r="I399" s="126">
        <f t="shared" si="26"/>
        <v>0</v>
      </c>
      <c r="J399" s="21">
        <f t="shared" si="25"/>
        <v>0</v>
      </c>
      <c r="K399" s="80"/>
      <c r="L399" s="82"/>
    </row>
    <row r="400" spans="2:20" s="1" customFormat="1" ht="14.25" x14ac:dyDescent="0.15">
      <c r="B400" s="16">
        <v>3</v>
      </c>
      <c r="C400" s="61"/>
      <c r="D400" s="49"/>
      <c r="E400" s="49"/>
      <c r="F400" s="129"/>
      <c r="G400" s="20"/>
      <c r="H400" s="20">
        <v>1</v>
      </c>
      <c r="I400" s="126">
        <f t="shared" si="26"/>
        <v>0</v>
      </c>
      <c r="J400" s="21">
        <f t="shared" si="25"/>
        <v>0</v>
      </c>
      <c r="K400" s="80"/>
      <c r="L400" s="82"/>
    </row>
    <row r="401" spans="2:12" s="1" customFormat="1" ht="14.25" x14ac:dyDescent="0.15">
      <c r="B401" s="16">
        <v>4</v>
      </c>
      <c r="C401" s="61"/>
      <c r="D401" s="49"/>
      <c r="E401" s="49"/>
      <c r="F401" s="129"/>
      <c r="G401" s="20"/>
      <c r="H401" s="20">
        <v>1</v>
      </c>
      <c r="I401" s="126">
        <f t="shared" si="26"/>
        <v>0</v>
      </c>
      <c r="J401" s="21">
        <f t="shared" si="25"/>
        <v>0</v>
      </c>
      <c r="K401" s="80"/>
      <c r="L401" s="82"/>
    </row>
    <row r="402" spans="2:12" s="1" customFormat="1" ht="16.5" x14ac:dyDescent="0.2">
      <c r="B402" s="16">
        <v>5</v>
      </c>
      <c r="C402" s="71"/>
      <c r="D402" s="49"/>
      <c r="E402" s="49"/>
      <c r="F402" s="129"/>
      <c r="G402" s="20"/>
      <c r="H402" s="20">
        <v>1</v>
      </c>
      <c r="I402" s="126">
        <f t="shared" si="26"/>
        <v>0</v>
      </c>
      <c r="J402" s="21">
        <f t="shared" si="25"/>
        <v>0</v>
      </c>
      <c r="K402" s="80"/>
      <c r="L402" s="82"/>
    </row>
    <row r="403" spans="2:12" s="1" customFormat="1" ht="14.25" x14ac:dyDescent="0.15">
      <c r="B403" s="16">
        <v>6</v>
      </c>
      <c r="C403" s="61"/>
      <c r="D403" s="49"/>
      <c r="E403" s="49"/>
      <c r="F403" s="129"/>
      <c r="G403" s="20"/>
      <c r="H403" s="20">
        <v>1</v>
      </c>
      <c r="I403" s="126">
        <f t="shared" si="26"/>
        <v>0</v>
      </c>
      <c r="J403" s="21">
        <f t="shared" si="25"/>
        <v>0</v>
      </c>
      <c r="K403" s="80"/>
      <c r="L403" s="82"/>
    </row>
    <row r="404" spans="2:12" s="1" customFormat="1" ht="14.25" x14ac:dyDescent="0.15">
      <c r="B404" s="16">
        <v>7</v>
      </c>
      <c r="C404" s="61"/>
      <c r="D404" s="49"/>
      <c r="E404" s="49"/>
      <c r="F404" s="129"/>
      <c r="G404" s="20"/>
      <c r="H404" s="20">
        <v>1</v>
      </c>
      <c r="I404" s="126">
        <f t="shared" si="26"/>
        <v>0</v>
      </c>
      <c r="J404" s="21">
        <f t="shared" si="25"/>
        <v>0</v>
      </c>
      <c r="K404" s="80"/>
      <c r="L404" s="82"/>
    </row>
    <row r="405" spans="2:12" s="1" customFormat="1" ht="14.25" x14ac:dyDescent="0.15">
      <c r="B405" s="16">
        <v>8</v>
      </c>
      <c r="C405" s="61"/>
      <c r="D405" s="49"/>
      <c r="E405" s="49"/>
      <c r="F405" s="129"/>
      <c r="G405" s="20"/>
      <c r="H405" s="20">
        <v>1</v>
      </c>
      <c r="I405" s="126">
        <f t="shared" si="26"/>
        <v>0</v>
      </c>
      <c r="J405" s="21">
        <f t="shared" si="25"/>
        <v>0</v>
      </c>
      <c r="K405" s="80"/>
      <c r="L405" s="82"/>
    </row>
    <row r="406" spans="2:12" s="1" customFormat="1" ht="14.25" x14ac:dyDescent="0.15">
      <c r="B406" s="16">
        <v>9</v>
      </c>
      <c r="C406" s="61"/>
      <c r="D406" s="49"/>
      <c r="E406" s="49"/>
      <c r="F406" s="129"/>
      <c r="G406" s="20"/>
      <c r="H406" s="20">
        <v>1</v>
      </c>
      <c r="I406" s="126">
        <f t="shared" si="26"/>
        <v>0</v>
      </c>
      <c r="J406" s="21">
        <f t="shared" si="25"/>
        <v>0</v>
      </c>
      <c r="K406" s="80"/>
      <c r="L406" s="82"/>
    </row>
    <row r="407" spans="2:12" s="1" customFormat="1" ht="14.25" x14ac:dyDescent="0.15">
      <c r="B407" s="16">
        <v>10</v>
      </c>
      <c r="C407" s="61"/>
      <c r="D407" s="49"/>
      <c r="E407" s="49"/>
      <c r="F407" s="129"/>
      <c r="G407" s="20"/>
      <c r="H407" s="20">
        <v>1</v>
      </c>
      <c r="I407" s="126">
        <f t="shared" si="26"/>
        <v>0</v>
      </c>
      <c r="J407" s="21">
        <f t="shared" si="25"/>
        <v>0</v>
      </c>
      <c r="K407" s="80"/>
      <c r="L407" s="82"/>
    </row>
    <row r="408" spans="2:12" s="1" customFormat="1" ht="14.25" x14ac:dyDescent="0.15">
      <c r="B408" s="16">
        <v>11</v>
      </c>
      <c r="C408" s="61"/>
      <c r="D408" s="49"/>
      <c r="E408" s="49"/>
      <c r="F408" s="129"/>
      <c r="G408" s="20"/>
      <c r="H408" s="20">
        <v>1</v>
      </c>
      <c r="I408" s="126">
        <f>J408*$C$32</f>
        <v>0</v>
      </c>
      <c r="J408" s="21">
        <f t="shared" si="25"/>
        <v>0</v>
      </c>
      <c r="K408" s="80"/>
      <c r="L408" s="82"/>
    </row>
    <row r="409" spans="2:12" s="1" customFormat="1" ht="14.25" x14ac:dyDescent="0.15">
      <c r="B409" s="16">
        <v>12</v>
      </c>
      <c r="C409" s="46"/>
      <c r="D409" s="18"/>
      <c r="E409" s="18"/>
      <c r="F409" s="129"/>
      <c r="G409" s="20"/>
      <c r="H409" s="20">
        <v>1</v>
      </c>
      <c r="I409" s="126">
        <f t="shared" ref="I409:I417" si="27">J409*$C$32</f>
        <v>0</v>
      </c>
      <c r="J409" s="21">
        <f t="shared" si="25"/>
        <v>0</v>
      </c>
      <c r="K409" s="80"/>
      <c r="L409" s="82"/>
    </row>
    <row r="410" spans="2:12" s="1" customFormat="1" ht="14.25" x14ac:dyDescent="0.15">
      <c r="B410" s="16">
        <v>13</v>
      </c>
      <c r="C410" s="46"/>
      <c r="D410" s="18"/>
      <c r="E410" s="18"/>
      <c r="F410" s="129"/>
      <c r="G410" s="20"/>
      <c r="H410" s="20">
        <v>1</v>
      </c>
      <c r="I410" s="126">
        <f t="shared" si="27"/>
        <v>0</v>
      </c>
      <c r="J410" s="21">
        <f t="shared" si="25"/>
        <v>0</v>
      </c>
      <c r="K410" s="80"/>
      <c r="L410" s="82"/>
    </row>
    <row r="411" spans="2:12" s="1" customFormat="1" ht="14.25" x14ac:dyDescent="0.15">
      <c r="B411" s="16">
        <v>14</v>
      </c>
      <c r="C411" s="46"/>
      <c r="D411" s="18"/>
      <c r="E411" s="18"/>
      <c r="F411" s="129"/>
      <c r="G411" s="20"/>
      <c r="H411" s="20">
        <v>1</v>
      </c>
      <c r="I411" s="126">
        <f t="shared" si="27"/>
        <v>0</v>
      </c>
      <c r="J411" s="21">
        <f t="shared" si="25"/>
        <v>0</v>
      </c>
      <c r="K411" s="80"/>
      <c r="L411" s="82"/>
    </row>
    <row r="412" spans="2:12" s="1" customFormat="1" ht="14.25" x14ac:dyDescent="0.15">
      <c r="B412" s="16">
        <v>15</v>
      </c>
      <c r="C412" s="46"/>
      <c r="D412" s="18"/>
      <c r="E412" s="18"/>
      <c r="F412" s="129"/>
      <c r="G412" s="20"/>
      <c r="H412" s="20">
        <v>1</v>
      </c>
      <c r="I412" s="126">
        <f t="shared" si="27"/>
        <v>0</v>
      </c>
      <c r="J412" s="21">
        <f t="shared" si="25"/>
        <v>0</v>
      </c>
      <c r="K412" s="80"/>
      <c r="L412" s="82"/>
    </row>
    <row r="413" spans="2:12" s="1" customFormat="1" ht="14.25" x14ac:dyDescent="0.15">
      <c r="B413" s="16">
        <v>16</v>
      </c>
      <c r="C413" s="46"/>
      <c r="D413" s="18"/>
      <c r="E413" s="18"/>
      <c r="F413" s="129"/>
      <c r="G413" s="20"/>
      <c r="H413" s="20">
        <v>1</v>
      </c>
      <c r="I413" s="126">
        <f t="shared" si="27"/>
        <v>0</v>
      </c>
      <c r="J413" s="21">
        <f t="shared" si="25"/>
        <v>0</v>
      </c>
      <c r="K413" s="80"/>
      <c r="L413" s="82"/>
    </row>
    <row r="414" spans="2:12" s="1" customFormat="1" ht="14.25" x14ac:dyDescent="0.15">
      <c r="B414" s="16">
        <v>17</v>
      </c>
      <c r="C414" s="46"/>
      <c r="D414" s="18"/>
      <c r="E414" s="18"/>
      <c r="F414" s="129"/>
      <c r="G414" s="20"/>
      <c r="H414" s="20">
        <v>1</v>
      </c>
      <c r="I414" s="126">
        <f t="shared" si="27"/>
        <v>0</v>
      </c>
      <c r="J414" s="78">
        <f t="shared" si="25"/>
        <v>0</v>
      </c>
      <c r="K414" s="111"/>
      <c r="L414" s="119"/>
    </row>
    <row r="415" spans="2:12" s="1" customFormat="1" ht="14.25" x14ac:dyDescent="0.15">
      <c r="B415" s="16">
        <v>18</v>
      </c>
      <c r="C415" s="46"/>
      <c r="D415" s="18"/>
      <c r="E415" s="18"/>
      <c r="F415" s="129"/>
      <c r="G415" s="20"/>
      <c r="H415" s="20">
        <v>1</v>
      </c>
      <c r="I415" s="254">
        <f t="shared" si="27"/>
        <v>0</v>
      </c>
      <c r="J415" s="94">
        <f t="shared" si="25"/>
        <v>0</v>
      </c>
      <c r="K415" s="82"/>
      <c r="L415" s="82"/>
    </row>
    <row r="416" spans="2:12" s="1" customFormat="1" ht="14.25" x14ac:dyDescent="0.15">
      <c r="B416" s="16">
        <v>19</v>
      </c>
      <c r="C416" s="46"/>
      <c r="D416" s="18"/>
      <c r="E416" s="18"/>
      <c r="F416" s="129"/>
      <c r="G416" s="20"/>
      <c r="H416" s="20">
        <v>1</v>
      </c>
      <c r="I416" s="254">
        <f t="shared" si="27"/>
        <v>0</v>
      </c>
      <c r="J416" s="94">
        <f t="shared" si="25"/>
        <v>0</v>
      </c>
      <c r="K416" s="82"/>
      <c r="L416" s="82"/>
    </row>
    <row r="417" spans="2:12" s="1" customFormat="1" ht="14.25" x14ac:dyDescent="0.15">
      <c r="B417" s="16">
        <v>20</v>
      </c>
      <c r="C417" s="46"/>
      <c r="D417" s="18"/>
      <c r="E417" s="18"/>
      <c r="F417" s="129"/>
      <c r="G417" s="20"/>
      <c r="H417" s="20">
        <v>1</v>
      </c>
      <c r="I417" s="254">
        <f t="shared" si="27"/>
        <v>0</v>
      </c>
      <c r="J417" s="94">
        <f t="shared" si="25"/>
        <v>0</v>
      </c>
      <c r="K417" s="82"/>
      <c r="L417" s="82"/>
    </row>
    <row r="418" spans="2:12" s="1" customFormat="1" ht="14.25" x14ac:dyDescent="0.15">
      <c r="B418" s="83"/>
      <c r="C418" s="174"/>
      <c r="D418" s="75"/>
      <c r="E418" s="75"/>
      <c r="F418" s="132"/>
      <c r="G418" s="77"/>
      <c r="H418" s="77"/>
      <c r="I418" s="255"/>
      <c r="J418" s="94"/>
      <c r="K418" s="82"/>
      <c r="L418" s="82"/>
    </row>
    <row r="419" spans="2:12" s="1" customFormat="1" ht="12.75" x14ac:dyDescent="0.15">
      <c r="B419" s="82"/>
      <c r="C419" s="102"/>
      <c r="D419" s="103"/>
      <c r="E419" s="102"/>
      <c r="F419" s="128">
        <f>SUM(F359:F418)</f>
        <v>0</v>
      </c>
      <c r="G419" s="104"/>
      <c r="H419" s="105"/>
      <c r="I419" s="256">
        <f>SUM(I360:I418)</f>
        <v>0</v>
      </c>
      <c r="J419" s="257">
        <f>SUM(J359:J418)</f>
        <v>0</v>
      </c>
    </row>
    <row r="420" spans="2:12" s="67" customFormat="1" ht="12.75" x14ac:dyDescent="0.15">
      <c r="B420" s="116"/>
      <c r="C420" s="114"/>
      <c r="D420" s="114"/>
      <c r="E420" s="114" t="s">
        <v>147</v>
      </c>
      <c r="F420" s="162">
        <f>100/115*F419</f>
        <v>0</v>
      </c>
      <c r="G420" s="114"/>
      <c r="H420" s="114" t="s">
        <v>147</v>
      </c>
      <c r="I420" s="264">
        <f>100/115*I419</f>
        <v>0</v>
      </c>
      <c r="J420" s="114"/>
    </row>
    <row r="421" spans="2:12" s="1" customFormat="1" ht="12.75" x14ac:dyDescent="0.15"/>
    <row r="422" spans="2:12" s="1" customFormat="1" ht="12.75" x14ac:dyDescent="0.15"/>
    <row r="423" spans="2:12" s="1" customFormat="1" ht="12.75" x14ac:dyDescent="0.15"/>
    <row r="424" spans="2:12" s="1" customFormat="1" ht="12.75" x14ac:dyDescent="0.15"/>
    <row r="425" spans="2:12" s="247" customFormat="1" ht="32.25" x14ac:dyDescent="0.4">
      <c r="B425" s="248"/>
      <c r="C425" s="380" t="s">
        <v>112</v>
      </c>
      <c r="D425" s="380"/>
      <c r="E425" s="428" t="s">
        <v>101</v>
      </c>
      <c r="F425" s="428"/>
      <c r="G425" s="428"/>
      <c r="H425" s="428"/>
      <c r="I425" s="428"/>
      <c r="J425" s="382">
        <v>2026</v>
      </c>
      <c r="K425" s="382"/>
      <c r="L425" s="382"/>
    </row>
    <row r="426" spans="2:12" s="1" customFormat="1" ht="22.5" x14ac:dyDescent="0.15">
      <c r="B426" s="82"/>
      <c r="C426" s="102" t="s">
        <v>114</v>
      </c>
      <c r="D426" s="388" t="s">
        <v>115</v>
      </c>
      <c r="E426" s="388"/>
      <c r="F426" s="102" t="s">
        <v>116</v>
      </c>
      <c r="G426" s="102" t="s">
        <v>117</v>
      </c>
      <c r="H426" s="102" t="s">
        <v>118</v>
      </c>
      <c r="I426" s="102" t="s">
        <v>119</v>
      </c>
      <c r="J426" s="102" t="s">
        <v>120</v>
      </c>
      <c r="K426" s="82"/>
      <c r="L426" s="82"/>
    </row>
    <row r="427" spans="2:12" s="1" customFormat="1" ht="12.75" x14ac:dyDescent="0.15">
      <c r="B427" s="82"/>
      <c r="C427" s="66">
        <f>C357</f>
        <v>250</v>
      </c>
      <c r="D427" s="389">
        <v>21</v>
      </c>
      <c r="E427" s="389"/>
      <c r="F427" s="13">
        <f>F357</f>
        <v>0.75</v>
      </c>
      <c r="G427" s="14">
        <f>G357</f>
        <v>8</v>
      </c>
      <c r="H427" s="142">
        <f>D427*G427*F427</f>
        <v>126</v>
      </c>
      <c r="I427" s="66">
        <f>I489</f>
        <v>0</v>
      </c>
      <c r="J427" s="143">
        <f>H427-J489</f>
        <v>126</v>
      </c>
      <c r="K427" s="82"/>
      <c r="L427" s="82"/>
    </row>
    <row r="428" spans="2:12" s="1" customFormat="1" ht="33.75" x14ac:dyDescent="0.15">
      <c r="B428" s="84"/>
      <c r="C428" s="136" t="s">
        <v>121</v>
      </c>
      <c r="D428" s="414" t="s">
        <v>122</v>
      </c>
      <c r="E428" s="414"/>
      <c r="F428" s="137" t="s">
        <v>123</v>
      </c>
      <c r="G428" s="138" t="s">
        <v>124</v>
      </c>
      <c r="H428" s="139" t="s">
        <v>125</v>
      </c>
      <c r="I428" s="140" t="s">
        <v>126</v>
      </c>
      <c r="J428" s="138" t="s">
        <v>127</v>
      </c>
      <c r="K428" s="122" t="s">
        <v>128</v>
      </c>
      <c r="L428" s="123" t="s">
        <v>129</v>
      </c>
    </row>
    <row r="429" spans="2:12" s="1" customFormat="1" ht="12.75" x14ac:dyDescent="0.15">
      <c r="B429" s="16"/>
      <c r="C429" s="17"/>
      <c r="D429" s="405"/>
      <c r="E429" s="405"/>
      <c r="F429" s="36"/>
      <c r="G429" s="20"/>
      <c r="H429" s="20"/>
      <c r="I429" s="126"/>
      <c r="J429" s="21"/>
      <c r="K429" s="80"/>
      <c r="L429" s="82"/>
    </row>
    <row r="430" spans="2:12" s="1" customFormat="1" ht="12.95" customHeight="1" x14ac:dyDescent="0.15">
      <c r="B430" s="16"/>
      <c r="C430" s="411" t="s">
        <v>130</v>
      </c>
      <c r="D430" s="411"/>
      <c r="E430" s="411"/>
      <c r="F430" s="129"/>
      <c r="G430" s="20"/>
      <c r="H430" s="20"/>
      <c r="I430" s="126"/>
      <c r="J430" s="21"/>
      <c r="K430" s="80"/>
      <c r="L430" s="82"/>
    </row>
    <row r="431" spans="2:12" s="1" customFormat="1" ht="12.75" customHeight="1" x14ac:dyDescent="0.15">
      <c r="B431" s="16"/>
      <c r="C431" s="37" t="s">
        <v>149</v>
      </c>
      <c r="D431" s="24"/>
      <c r="E431" s="24"/>
      <c r="F431" s="129"/>
      <c r="G431" s="20"/>
      <c r="H431" s="20"/>
      <c r="I431" s="126"/>
      <c r="J431" s="38"/>
      <c r="K431" s="80"/>
      <c r="L431" s="82"/>
    </row>
    <row r="432" spans="2:12" s="1" customFormat="1" ht="12.75" x14ac:dyDescent="0.15">
      <c r="B432" s="16">
        <v>1</v>
      </c>
      <c r="C432" s="23"/>
      <c r="D432" s="24"/>
      <c r="E432" s="24"/>
      <c r="F432" s="129"/>
      <c r="G432" s="20"/>
      <c r="H432" s="20">
        <v>1</v>
      </c>
      <c r="I432" s="126">
        <f t="shared" ref="I432:I487" si="28">J432*$C$32</f>
        <v>0</v>
      </c>
      <c r="J432" s="38">
        <f t="shared" ref="J432:J451" si="29">(F432*G432*H432)/$C$32</f>
        <v>0</v>
      </c>
      <c r="K432" s="80"/>
      <c r="L432" s="82"/>
    </row>
    <row r="433" spans="2:12" s="1" customFormat="1" ht="12.75" customHeight="1" x14ac:dyDescent="0.15">
      <c r="B433" s="16">
        <v>2</v>
      </c>
      <c r="C433" s="23"/>
      <c r="D433" s="24"/>
      <c r="E433" s="24"/>
      <c r="F433" s="126"/>
      <c r="G433" s="20"/>
      <c r="H433" s="20">
        <v>1</v>
      </c>
      <c r="I433" s="126">
        <f t="shared" si="28"/>
        <v>0</v>
      </c>
      <c r="J433" s="38">
        <f t="shared" si="29"/>
        <v>0</v>
      </c>
      <c r="K433" s="80"/>
      <c r="L433" s="82"/>
    </row>
    <row r="434" spans="2:12" s="1" customFormat="1" ht="12.95" customHeight="1" x14ac:dyDescent="0.15">
      <c r="B434" s="16">
        <v>3</v>
      </c>
      <c r="C434" s="23"/>
      <c r="D434" s="25"/>
      <c r="E434" s="25"/>
      <c r="F434" s="129"/>
      <c r="G434" s="20"/>
      <c r="H434" s="20">
        <v>1</v>
      </c>
      <c r="I434" s="126">
        <f t="shared" si="28"/>
        <v>0</v>
      </c>
      <c r="J434" s="38">
        <f t="shared" si="29"/>
        <v>0</v>
      </c>
      <c r="K434" s="80"/>
      <c r="L434" s="82"/>
    </row>
    <row r="435" spans="2:12" s="1" customFormat="1" ht="12.95" customHeight="1" x14ac:dyDescent="0.15">
      <c r="B435" s="16">
        <v>4</v>
      </c>
      <c r="C435" s="23"/>
      <c r="D435" s="24"/>
      <c r="E435" s="24"/>
      <c r="F435" s="129"/>
      <c r="G435" s="20"/>
      <c r="H435" s="20">
        <v>1</v>
      </c>
      <c r="I435" s="126">
        <f t="shared" si="28"/>
        <v>0</v>
      </c>
      <c r="J435" s="38">
        <f t="shared" si="29"/>
        <v>0</v>
      </c>
      <c r="K435" s="80"/>
      <c r="L435" s="82"/>
    </row>
    <row r="436" spans="2:12" s="1" customFormat="1" ht="12.95" customHeight="1" x14ac:dyDescent="0.15">
      <c r="B436" s="16">
        <v>5</v>
      </c>
      <c r="C436" s="16"/>
      <c r="D436" s="18"/>
      <c r="E436" s="18"/>
      <c r="F436" s="129"/>
      <c r="G436" s="20"/>
      <c r="H436" s="20">
        <v>1</v>
      </c>
      <c r="I436" s="126">
        <f t="shared" si="28"/>
        <v>0</v>
      </c>
      <c r="J436" s="38">
        <f t="shared" si="29"/>
        <v>0</v>
      </c>
      <c r="K436" s="80"/>
      <c r="L436" s="82"/>
    </row>
    <row r="437" spans="2:12" s="1" customFormat="1" ht="12.95" customHeight="1" x14ac:dyDescent="0.15">
      <c r="B437" s="16">
        <v>6</v>
      </c>
      <c r="C437" s="17"/>
      <c r="D437" s="24"/>
      <c r="E437" s="24"/>
      <c r="F437" s="129"/>
      <c r="G437" s="20"/>
      <c r="H437" s="20">
        <v>1</v>
      </c>
      <c r="I437" s="126">
        <f t="shared" si="28"/>
        <v>0</v>
      </c>
      <c r="J437" s="38">
        <f t="shared" si="29"/>
        <v>0</v>
      </c>
      <c r="K437" s="80"/>
      <c r="L437" s="82"/>
    </row>
    <row r="438" spans="2:12" s="1" customFormat="1" ht="12.95" customHeight="1" x14ac:dyDescent="0.15">
      <c r="B438" s="16">
        <v>7</v>
      </c>
      <c r="C438" s="17"/>
      <c r="D438" s="24"/>
      <c r="E438" s="24"/>
      <c r="F438" s="129"/>
      <c r="G438" s="20"/>
      <c r="H438" s="20">
        <v>1</v>
      </c>
      <c r="I438" s="126">
        <f t="shared" si="28"/>
        <v>0</v>
      </c>
      <c r="J438" s="38">
        <f t="shared" si="29"/>
        <v>0</v>
      </c>
      <c r="K438" s="80"/>
      <c r="L438" s="82"/>
    </row>
    <row r="439" spans="2:12" s="1" customFormat="1" ht="12.95" customHeight="1" x14ac:dyDescent="0.15">
      <c r="B439" s="16">
        <v>8</v>
      </c>
      <c r="C439" s="17"/>
      <c r="D439" s="24"/>
      <c r="E439" s="24"/>
      <c r="F439" s="129"/>
      <c r="G439" s="20"/>
      <c r="H439" s="20">
        <v>1</v>
      </c>
      <c r="I439" s="126">
        <f t="shared" si="28"/>
        <v>0</v>
      </c>
      <c r="J439" s="38">
        <f t="shared" si="29"/>
        <v>0</v>
      </c>
      <c r="K439" s="80"/>
      <c r="L439" s="82"/>
    </row>
    <row r="440" spans="2:12" s="1" customFormat="1" ht="12.95" customHeight="1" x14ac:dyDescent="0.15">
      <c r="B440" s="16">
        <v>9</v>
      </c>
      <c r="C440" s="17"/>
      <c r="D440" s="24"/>
      <c r="E440" s="24"/>
      <c r="F440" s="129"/>
      <c r="G440" s="20"/>
      <c r="H440" s="20">
        <v>1</v>
      </c>
      <c r="I440" s="126">
        <f t="shared" si="28"/>
        <v>0</v>
      </c>
      <c r="J440" s="38">
        <f t="shared" si="29"/>
        <v>0</v>
      </c>
      <c r="K440" s="80"/>
      <c r="L440" s="82"/>
    </row>
    <row r="441" spans="2:12" s="1" customFormat="1" ht="12.95" customHeight="1" x14ac:dyDescent="0.15">
      <c r="B441" s="16">
        <v>10</v>
      </c>
      <c r="C441" s="17"/>
      <c r="D441" s="24"/>
      <c r="E441" s="24"/>
      <c r="F441" s="129"/>
      <c r="G441" s="20"/>
      <c r="H441" s="20">
        <v>1</v>
      </c>
      <c r="I441" s="126">
        <f t="shared" si="28"/>
        <v>0</v>
      </c>
      <c r="J441" s="38">
        <f t="shared" si="29"/>
        <v>0</v>
      </c>
      <c r="K441" s="80"/>
      <c r="L441" s="82"/>
    </row>
    <row r="442" spans="2:12" s="1" customFormat="1" ht="12.95" customHeight="1" x14ac:dyDescent="0.15">
      <c r="B442" s="16"/>
      <c r="C442" s="17"/>
      <c r="D442" s="24"/>
      <c r="E442" s="24"/>
      <c r="F442" s="129"/>
      <c r="G442" s="20"/>
      <c r="H442" s="20"/>
      <c r="I442" s="126"/>
      <c r="J442" s="38"/>
      <c r="K442" s="80"/>
      <c r="L442" s="82"/>
    </row>
    <row r="443" spans="2:12" s="1" customFormat="1" ht="12.95" customHeight="1" x14ac:dyDescent="0.15">
      <c r="B443" s="16"/>
      <c r="C443" s="17"/>
      <c r="D443" s="24"/>
      <c r="E443" s="24"/>
      <c r="F443" s="129"/>
      <c r="G443" s="20"/>
      <c r="H443" s="20"/>
      <c r="I443" s="126"/>
      <c r="J443" s="38"/>
      <c r="K443" s="80"/>
      <c r="L443" s="82"/>
    </row>
    <row r="444" spans="2:12" s="1" customFormat="1" ht="12.95" customHeight="1" x14ac:dyDescent="0.15">
      <c r="B444" s="16"/>
      <c r="C444" s="22" t="s">
        <v>153</v>
      </c>
      <c r="D444" s="24"/>
      <c r="E444" s="24"/>
      <c r="F444" s="129"/>
      <c r="G444" s="20"/>
      <c r="H444" s="20"/>
      <c r="I444" s="126"/>
      <c r="J444" s="38"/>
      <c r="K444" s="80"/>
      <c r="L444" s="82"/>
    </row>
    <row r="445" spans="2:12" s="1" customFormat="1" ht="12.95" customHeight="1" x14ac:dyDescent="0.15">
      <c r="B445" s="16">
        <v>1</v>
      </c>
      <c r="C445" s="17"/>
      <c r="D445" s="18"/>
      <c r="E445" s="24"/>
      <c r="F445" s="129"/>
      <c r="G445" s="20"/>
      <c r="H445" s="20">
        <v>1</v>
      </c>
      <c r="I445" s="126">
        <f t="shared" si="28"/>
        <v>0</v>
      </c>
      <c r="J445" s="38">
        <f t="shared" si="29"/>
        <v>0</v>
      </c>
      <c r="K445" s="80"/>
      <c r="L445" s="82"/>
    </row>
    <row r="446" spans="2:12" s="1" customFormat="1" ht="12.95" customHeight="1" x14ac:dyDescent="0.15">
      <c r="B446" s="16">
        <v>2</v>
      </c>
      <c r="C446" s="17"/>
      <c r="D446" s="18"/>
      <c r="E446" s="24"/>
      <c r="F446" s="129"/>
      <c r="G446" s="20"/>
      <c r="H446" s="20">
        <v>1</v>
      </c>
      <c r="I446" s="126">
        <f t="shared" si="28"/>
        <v>0</v>
      </c>
      <c r="J446" s="38">
        <f t="shared" si="29"/>
        <v>0</v>
      </c>
      <c r="K446" s="80"/>
      <c r="L446" s="82"/>
    </row>
    <row r="447" spans="2:12" s="1" customFormat="1" ht="12.95" customHeight="1" x14ac:dyDescent="0.15">
      <c r="B447" s="16">
        <v>3</v>
      </c>
      <c r="C447" s="17"/>
      <c r="D447" s="24"/>
      <c r="E447" s="18"/>
      <c r="F447" s="129"/>
      <c r="G447" s="20"/>
      <c r="H447" s="20">
        <v>1</v>
      </c>
      <c r="I447" s="126">
        <f t="shared" si="28"/>
        <v>0</v>
      </c>
      <c r="J447" s="38">
        <f t="shared" si="29"/>
        <v>0</v>
      </c>
      <c r="K447" s="80"/>
      <c r="L447" s="82"/>
    </row>
    <row r="448" spans="2:12" s="4" customFormat="1" ht="12.95" customHeight="1" x14ac:dyDescent="0.15">
      <c r="B448" s="26">
        <v>4</v>
      </c>
      <c r="C448" s="23"/>
      <c r="D448" s="48"/>
      <c r="E448" s="49"/>
      <c r="F448" s="126"/>
      <c r="G448" s="50"/>
      <c r="H448" s="50">
        <v>1</v>
      </c>
      <c r="I448" s="126">
        <f t="shared" si="28"/>
        <v>0</v>
      </c>
      <c r="J448" s="38">
        <f t="shared" si="29"/>
        <v>0</v>
      </c>
      <c r="K448" s="108"/>
      <c r="L448" s="113"/>
    </row>
    <row r="449" spans="2:20" s="1" customFormat="1" ht="12.95" customHeight="1" x14ac:dyDescent="0.15">
      <c r="B449" s="16">
        <v>5</v>
      </c>
      <c r="C449" s="17"/>
      <c r="D449" s="24"/>
      <c r="E449" s="18"/>
      <c r="F449" s="129"/>
      <c r="G449" s="20"/>
      <c r="H449" s="20">
        <v>1</v>
      </c>
      <c r="I449" s="126">
        <f t="shared" si="28"/>
        <v>0</v>
      </c>
      <c r="J449" s="38">
        <f t="shared" si="29"/>
        <v>0</v>
      </c>
      <c r="K449" s="80"/>
      <c r="L449" s="82"/>
    </row>
    <row r="450" spans="2:20" s="1" customFormat="1" ht="12.95" customHeight="1" x14ac:dyDescent="0.15">
      <c r="B450" s="16">
        <v>6</v>
      </c>
      <c r="C450" s="17"/>
      <c r="D450" s="24"/>
      <c r="E450" s="18"/>
      <c r="F450" s="129"/>
      <c r="G450" s="20"/>
      <c r="H450" s="20">
        <v>1</v>
      </c>
      <c r="I450" s="126">
        <f t="shared" si="28"/>
        <v>0</v>
      </c>
      <c r="J450" s="38">
        <f t="shared" si="29"/>
        <v>0</v>
      </c>
      <c r="K450" s="80"/>
      <c r="L450" s="82"/>
    </row>
    <row r="451" spans="2:20" s="1" customFormat="1" ht="12.95" customHeight="1" x14ac:dyDescent="0.15">
      <c r="B451" s="16">
        <v>7</v>
      </c>
      <c r="C451" s="17"/>
      <c r="D451" s="24"/>
      <c r="E451" s="24"/>
      <c r="F451" s="129"/>
      <c r="G451" s="20"/>
      <c r="H451" s="20">
        <v>1</v>
      </c>
      <c r="I451" s="126">
        <f t="shared" si="28"/>
        <v>0</v>
      </c>
      <c r="J451" s="38">
        <f t="shared" si="29"/>
        <v>0</v>
      </c>
      <c r="K451" s="80"/>
      <c r="L451" s="82"/>
    </row>
    <row r="452" spans="2:20" s="1" customFormat="1" ht="12.95" customHeight="1" x14ac:dyDescent="0.15">
      <c r="B452" s="16">
        <v>8</v>
      </c>
      <c r="C452" s="17"/>
      <c r="D452" s="24"/>
      <c r="E452" s="24"/>
      <c r="F452" s="129"/>
      <c r="G452" s="20"/>
      <c r="H452" s="20">
        <v>1</v>
      </c>
      <c r="I452" s="126">
        <f t="shared" si="28"/>
        <v>0</v>
      </c>
      <c r="J452" s="38">
        <f>(F452*G452*H452)/$C$32</f>
        <v>0</v>
      </c>
      <c r="K452" s="80"/>
      <c r="L452" s="82"/>
    </row>
    <row r="453" spans="2:20" s="1" customFormat="1" ht="14.85" customHeight="1" x14ac:dyDescent="0.15">
      <c r="B453" s="16">
        <v>9</v>
      </c>
      <c r="C453" s="17"/>
      <c r="D453" s="24"/>
      <c r="E453" s="24"/>
      <c r="F453" s="129"/>
      <c r="G453" s="20"/>
      <c r="H453" s="20">
        <v>1</v>
      </c>
      <c r="I453" s="126">
        <f t="shared" si="28"/>
        <v>0</v>
      </c>
      <c r="J453" s="38">
        <f>(F453*G453*H453)/$C$32</f>
        <v>0</v>
      </c>
      <c r="K453" s="80"/>
      <c r="L453" s="82"/>
    </row>
    <row r="454" spans="2:20" s="1" customFormat="1" ht="12.95" customHeight="1" x14ac:dyDescent="0.15">
      <c r="B454" s="16">
        <v>10</v>
      </c>
      <c r="C454" s="17"/>
      <c r="D454" s="24"/>
      <c r="E454" s="24"/>
      <c r="F454" s="129"/>
      <c r="G454" s="20"/>
      <c r="H454" s="20">
        <v>1</v>
      </c>
      <c r="I454" s="126">
        <f t="shared" si="28"/>
        <v>0</v>
      </c>
      <c r="J454" s="38">
        <f t="shared" ref="J454:J487" si="30">(F454*G454*H454)/$C$32</f>
        <v>0</v>
      </c>
      <c r="K454" s="80"/>
      <c r="L454" s="82"/>
      <c r="M454" s="39"/>
      <c r="N454" s="40"/>
      <c r="O454" s="40"/>
    </row>
    <row r="455" spans="2:20" s="1" customFormat="1" ht="12.95" customHeight="1" x14ac:dyDescent="0.15">
      <c r="B455" s="16">
        <v>11</v>
      </c>
      <c r="C455" s="17"/>
      <c r="D455" s="24"/>
      <c r="E455" s="24"/>
      <c r="F455" s="129"/>
      <c r="G455" s="20"/>
      <c r="H455" s="20">
        <v>1</v>
      </c>
      <c r="I455" s="126">
        <f t="shared" si="28"/>
        <v>0</v>
      </c>
      <c r="J455" s="38">
        <f t="shared" si="30"/>
        <v>0</v>
      </c>
      <c r="K455" s="80"/>
      <c r="L455" s="82"/>
    </row>
    <row r="456" spans="2:20" s="1" customFormat="1" ht="12.95" customHeight="1" x14ac:dyDescent="0.15">
      <c r="B456" s="16">
        <v>12</v>
      </c>
      <c r="C456" s="17"/>
      <c r="D456" s="24"/>
      <c r="E456" s="24"/>
      <c r="F456" s="129"/>
      <c r="G456" s="20"/>
      <c r="H456" s="20">
        <v>1</v>
      </c>
      <c r="I456" s="126">
        <f t="shared" si="28"/>
        <v>0</v>
      </c>
      <c r="J456" s="38">
        <f t="shared" si="30"/>
        <v>0</v>
      </c>
      <c r="K456" s="80"/>
      <c r="L456" s="82"/>
    </row>
    <row r="457" spans="2:20" s="1" customFormat="1" ht="12.95" customHeight="1" x14ac:dyDescent="0.15">
      <c r="B457" s="16">
        <v>13</v>
      </c>
      <c r="C457" s="17"/>
      <c r="D457" s="24"/>
      <c r="E457" s="24"/>
      <c r="F457" s="130"/>
      <c r="G457" s="20"/>
      <c r="H457" s="20">
        <v>1</v>
      </c>
      <c r="I457" s="126">
        <f t="shared" si="28"/>
        <v>0</v>
      </c>
      <c r="J457" s="38">
        <f t="shared" si="30"/>
        <v>0</v>
      </c>
      <c r="K457" s="80"/>
      <c r="L457" s="82"/>
    </row>
    <row r="458" spans="2:20" s="1" customFormat="1" ht="12.95" customHeight="1" x14ac:dyDescent="0.15">
      <c r="B458" s="16">
        <v>14</v>
      </c>
      <c r="C458" s="17"/>
      <c r="D458" s="24"/>
      <c r="E458" s="24"/>
      <c r="F458" s="129"/>
      <c r="G458" s="20"/>
      <c r="H458" s="20">
        <v>1</v>
      </c>
      <c r="I458" s="126">
        <f t="shared" si="28"/>
        <v>0</v>
      </c>
      <c r="J458" s="38">
        <f t="shared" si="30"/>
        <v>0</v>
      </c>
      <c r="K458" s="80"/>
      <c r="L458" s="82"/>
    </row>
    <row r="459" spans="2:20" s="1" customFormat="1" ht="12.95" customHeight="1" x14ac:dyDescent="0.15">
      <c r="B459" s="16">
        <v>15</v>
      </c>
      <c r="C459" s="17"/>
      <c r="D459" s="24"/>
      <c r="E459" s="24"/>
      <c r="F459" s="129"/>
      <c r="G459" s="20"/>
      <c r="H459" s="20">
        <v>1</v>
      </c>
      <c r="I459" s="126">
        <f t="shared" si="28"/>
        <v>0</v>
      </c>
      <c r="J459" s="38">
        <f t="shared" si="30"/>
        <v>0</v>
      </c>
      <c r="K459" s="80"/>
      <c r="L459" s="82"/>
    </row>
    <row r="460" spans="2:20" s="1" customFormat="1" ht="12.95" customHeight="1" x14ac:dyDescent="0.15">
      <c r="B460" s="16">
        <v>16</v>
      </c>
      <c r="C460" s="17"/>
      <c r="D460" s="24"/>
      <c r="E460" s="24"/>
      <c r="F460" s="129"/>
      <c r="G460" s="20"/>
      <c r="H460" s="20">
        <v>1</v>
      </c>
      <c r="I460" s="126">
        <f t="shared" si="28"/>
        <v>0</v>
      </c>
      <c r="J460" s="38">
        <f t="shared" si="30"/>
        <v>0</v>
      </c>
      <c r="K460" s="80"/>
      <c r="L460" s="82"/>
    </row>
    <row r="461" spans="2:20" s="1" customFormat="1" ht="12.95" customHeight="1" x14ac:dyDescent="0.15">
      <c r="B461" s="16">
        <v>17</v>
      </c>
      <c r="C461" s="17"/>
      <c r="D461" s="24"/>
      <c r="E461" s="24"/>
      <c r="F461" s="129"/>
      <c r="G461" s="20"/>
      <c r="H461" s="20">
        <v>1</v>
      </c>
      <c r="I461" s="126">
        <f t="shared" si="28"/>
        <v>0</v>
      </c>
      <c r="J461" s="38">
        <f t="shared" si="30"/>
        <v>0</v>
      </c>
      <c r="K461" s="80"/>
      <c r="L461" s="82"/>
    </row>
    <row r="462" spans="2:20" s="1" customFormat="1" ht="12.95" customHeight="1" x14ac:dyDescent="0.15">
      <c r="B462" s="16">
        <v>18</v>
      </c>
      <c r="C462" s="17"/>
      <c r="D462" s="24"/>
      <c r="E462" s="24"/>
      <c r="F462" s="129"/>
      <c r="G462" s="20"/>
      <c r="H462" s="20">
        <v>1</v>
      </c>
      <c r="I462" s="126">
        <f t="shared" si="28"/>
        <v>0</v>
      </c>
      <c r="J462" s="38">
        <f t="shared" si="30"/>
        <v>0</v>
      </c>
      <c r="K462" s="80"/>
      <c r="L462" s="82"/>
    </row>
    <row r="463" spans="2:20" s="1" customFormat="1" ht="12.95" customHeight="1" x14ac:dyDescent="0.15">
      <c r="B463" s="16">
        <v>19</v>
      </c>
      <c r="C463" s="17"/>
      <c r="D463" s="18"/>
      <c r="E463" s="18"/>
      <c r="F463" s="129"/>
      <c r="G463" s="20"/>
      <c r="H463" s="20">
        <v>1</v>
      </c>
      <c r="I463" s="126">
        <f t="shared" si="28"/>
        <v>0</v>
      </c>
      <c r="J463" s="21">
        <f t="shared" si="30"/>
        <v>0</v>
      </c>
      <c r="K463" s="80"/>
      <c r="L463" s="82"/>
      <c r="M463" s="10"/>
      <c r="N463" s="10"/>
      <c r="O463" s="10"/>
      <c r="P463" s="10"/>
      <c r="Q463" s="43"/>
      <c r="R463" s="10"/>
      <c r="T463" s="10"/>
    </row>
    <row r="464" spans="2:20" s="1" customFormat="1" ht="12.95" customHeight="1" x14ac:dyDescent="0.15">
      <c r="B464" s="16">
        <v>20</v>
      </c>
      <c r="C464" s="17"/>
      <c r="D464" s="18"/>
      <c r="E464" s="18"/>
      <c r="F464" s="129"/>
      <c r="G464" s="20"/>
      <c r="H464" s="20">
        <v>1</v>
      </c>
      <c r="I464" s="126">
        <f t="shared" si="28"/>
        <v>0</v>
      </c>
      <c r="J464" s="21">
        <f t="shared" si="30"/>
        <v>0</v>
      </c>
      <c r="K464" s="80"/>
      <c r="L464" s="82"/>
      <c r="M464" s="10"/>
      <c r="N464" s="10"/>
      <c r="O464" s="10"/>
      <c r="P464" s="10"/>
      <c r="Q464" s="43"/>
      <c r="R464" s="10"/>
      <c r="T464" s="10"/>
    </row>
    <row r="465" spans="2:20" s="1" customFormat="1" ht="12.95" customHeight="1" x14ac:dyDescent="0.15">
      <c r="B465" s="16"/>
      <c r="C465" s="17"/>
      <c r="D465" s="18"/>
      <c r="E465" s="18"/>
      <c r="F465" s="129"/>
      <c r="G465" s="20"/>
      <c r="H465" s="20"/>
      <c r="I465" s="126"/>
      <c r="J465" s="21"/>
      <c r="K465" s="80"/>
      <c r="L465" s="82"/>
      <c r="M465" s="10"/>
      <c r="N465" s="10"/>
      <c r="O465" s="10"/>
      <c r="P465" s="10"/>
      <c r="Q465" s="43"/>
      <c r="R465" s="10"/>
      <c r="T465" s="10"/>
    </row>
    <row r="466" spans="2:20" s="1" customFormat="1" ht="12.95" customHeight="1" x14ac:dyDescent="0.15">
      <c r="B466" s="16"/>
      <c r="C466" s="17"/>
      <c r="D466" s="18"/>
      <c r="E466" s="18"/>
      <c r="F466" s="129"/>
      <c r="G466" s="20"/>
      <c r="H466" s="20"/>
      <c r="I466" s="126"/>
      <c r="J466" s="21"/>
      <c r="K466" s="80"/>
      <c r="L466" s="82"/>
      <c r="M466" s="10"/>
      <c r="N466" s="10"/>
      <c r="O466" s="10"/>
      <c r="P466" s="10"/>
      <c r="Q466" s="43"/>
      <c r="R466" s="10"/>
      <c r="T466" s="10"/>
    </row>
    <row r="467" spans="2:20" s="1" customFormat="1" ht="12.95" customHeight="1" x14ac:dyDescent="0.15">
      <c r="B467" s="16"/>
      <c r="C467" s="22" t="s">
        <v>160</v>
      </c>
      <c r="D467" s="18"/>
      <c r="E467" s="18"/>
      <c r="F467" s="129"/>
      <c r="G467" s="20"/>
      <c r="H467" s="20"/>
      <c r="I467" s="126"/>
      <c r="J467" s="21"/>
      <c r="K467" s="80"/>
      <c r="L467" s="82"/>
      <c r="M467" s="10"/>
      <c r="N467" s="10"/>
      <c r="O467" s="10"/>
      <c r="P467" s="10"/>
      <c r="Q467" s="43"/>
      <c r="R467" s="10"/>
      <c r="T467" s="10"/>
    </row>
    <row r="468" spans="2:20" s="1" customFormat="1" ht="12.95" customHeight="1" x14ac:dyDescent="0.15">
      <c r="B468" s="16">
        <v>1</v>
      </c>
      <c r="C468" s="22"/>
      <c r="D468" s="18"/>
      <c r="E468" s="18"/>
      <c r="F468" s="129"/>
      <c r="G468" s="20"/>
      <c r="H468" s="20">
        <v>1</v>
      </c>
      <c r="I468" s="126">
        <f t="shared" si="28"/>
        <v>0</v>
      </c>
      <c r="J468" s="21">
        <f t="shared" si="30"/>
        <v>0</v>
      </c>
      <c r="K468" s="80"/>
      <c r="L468" s="82"/>
      <c r="M468" s="10"/>
      <c r="N468" s="10"/>
      <c r="O468" s="10"/>
      <c r="P468" s="10"/>
      <c r="Q468" s="43"/>
      <c r="R468" s="10"/>
      <c r="T468" s="10"/>
    </row>
    <row r="469" spans="2:20" s="1" customFormat="1" ht="12.95" customHeight="1" x14ac:dyDescent="0.15">
      <c r="B469" s="16">
        <v>2</v>
      </c>
      <c r="C469" s="22"/>
      <c r="D469" s="18"/>
      <c r="E469" s="18"/>
      <c r="F469" s="129"/>
      <c r="G469" s="20"/>
      <c r="H469" s="20">
        <v>1</v>
      </c>
      <c r="I469" s="126">
        <f t="shared" si="28"/>
        <v>0</v>
      </c>
      <c r="J469" s="21">
        <f t="shared" si="30"/>
        <v>0</v>
      </c>
      <c r="K469" s="80"/>
      <c r="L469" s="82"/>
      <c r="M469" s="10"/>
      <c r="N469" s="10"/>
      <c r="O469" s="10"/>
      <c r="P469" s="10"/>
      <c r="Q469" s="43"/>
      <c r="R469" s="10"/>
      <c r="T469" s="10"/>
    </row>
    <row r="470" spans="2:20" s="1" customFormat="1" ht="12.95" customHeight="1" x14ac:dyDescent="0.15">
      <c r="B470" s="16">
        <v>3</v>
      </c>
      <c r="C470" s="22"/>
      <c r="D470" s="18"/>
      <c r="E470" s="18"/>
      <c r="F470" s="129"/>
      <c r="G470" s="20"/>
      <c r="H470" s="20">
        <v>1</v>
      </c>
      <c r="I470" s="126">
        <f t="shared" si="28"/>
        <v>0</v>
      </c>
      <c r="J470" s="21">
        <f t="shared" si="30"/>
        <v>0</v>
      </c>
      <c r="K470" s="80"/>
      <c r="L470" s="82"/>
      <c r="M470" s="10"/>
      <c r="N470" s="10"/>
      <c r="O470" s="10"/>
      <c r="P470" s="10"/>
      <c r="Q470" s="43"/>
      <c r="R470" s="10"/>
      <c r="T470" s="10"/>
    </row>
    <row r="471" spans="2:20" s="1" customFormat="1" ht="12.95" customHeight="1" x14ac:dyDescent="0.15">
      <c r="B471" s="16">
        <v>4</v>
      </c>
      <c r="C471" s="22"/>
      <c r="D471" s="18"/>
      <c r="E471" s="18"/>
      <c r="F471" s="129"/>
      <c r="G471" s="20"/>
      <c r="H471" s="20">
        <v>1</v>
      </c>
      <c r="I471" s="126">
        <f t="shared" si="28"/>
        <v>0</v>
      </c>
      <c r="J471" s="21">
        <f t="shared" si="30"/>
        <v>0</v>
      </c>
      <c r="K471" s="80"/>
      <c r="L471" s="82"/>
      <c r="M471" s="10"/>
      <c r="N471" s="10"/>
      <c r="O471" s="10"/>
      <c r="P471" s="10"/>
      <c r="Q471" s="43"/>
      <c r="R471" s="10"/>
      <c r="T471" s="10"/>
    </row>
    <row r="472" spans="2:20" s="1" customFormat="1" ht="12.95" customHeight="1" x14ac:dyDescent="0.15">
      <c r="B472" s="16">
        <v>5</v>
      </c>
      <c r="C472" s="22"/>
      <c r="D472" s="18"/>
      <c r="E472" s="18"/>
      <c r="F472" s="129"/>
      <c r="G472" s="20"/>
      <c r="H472" s="20">
        <v>1</v>
      </c>
      <c r="I472" s="126">
        <f t="shared" si="28"/>
        <v>0</v>
      </c>
      <c r="J472" s="21">
        <f t="shared" si="30"/>
        <v>0</v>
      </c>
      <c r="K472" s="80"/>
      <c r="L472" s="82"/>
      <c r="M472" s="10"/>
      <c r="N472" s="10"/>
      <c r="O472" s="10"/>
      <c r="P472" s="10"/>
      <c r="Q472" s="43"/>
      <c r="R472" s="10"/>
      <c r="T472" s="10"/>
    </row>
    <row r="473" spans="2:20" s="1" customFormat="1" ht="12.95" customHeight="1" x14ac:dyDescent="0.15">
      <c r="B473" s="16">
        <v>6</v>
      </c>
      <c r="C473" s="22"/>
      <c r="D473" s="18"/>
      <c r="E473" s="18"/>
      <c r="F473" s="129"/>
      <c r="G473" s="20"/>
      <c r="H473" s="20">
        <v>1</v>
      </c>
      <c r="I473" s="126">
        <f t="shared" si="28"/>
        <v>0</v>
      </c>
      <c r="J473" s="21">
        <f t="shared" si="30"/>
        <v>0</v>
      </c>
      <c r="K473" s="80"/>
      <c r="L473" s="82"/>
      <c r="M473" s="10"/>
      <c r="N473" s="10"/>
      <c r="O473" s="10"/>
      <c r="P473" s="10"/>
      <c r="Q473" s="43"/>
      <c r="R473" s="10"/>
      <c r="T473" s="10"/>
    </row>
    <row r="474" spans="2:20" s="1" customFormat="1" ht="12.95" customHeight="1" x14ac:dyDescent="0.15">
      <c r="B474" s="16">
        <v>7</v>
      </c>
      <c r="C474" s="22"/>
      <c r="D474" s="18"/>
      <c r="E474" s="18"/>
      <c r="F474" s="129"/>
      <c r="G474" s="20"/>
      <c r="H474" s="20">
        <v>1</v>
      </c>
      <c r="I474" s="126">
        <f t="shared" si="28"/>
        <v>0</v>
      </c>
      <c r="J474" s="21">
        <f t="shared" si="30"/>
        <v>0</v>
      </c>
      <c r="K474" s="80"/>
      <c r="L474" s="82"/>
      <c r="M474" s="10"/>
      <c r="N474" s="10"/>
      <c r="O474" s="10"/>
      <c r="P474" s="10"/>
      <c r="Q474" s="43"/>
      <c r="R474" s="10"/>
      <c r="T474" s="10"/>
    </row>
    <row r="475" spans="2:20" s="1" customFormat="1" ht="12.95" customHeight="1" x14ac:dyDescent="0.15">
      <c r="B475" s="16">
        <v>8</v>
      </c>
      <c r="C475" s="22"/>
      <c r="D475" s="18"/>
      <c r="E475" s="18"/>
      <c r="F475" s="129"/>
      <c r="G475" s="20"/>
      <c r="H475" s="20">
        <v>1</v>
      </c>
      <c r="I475" s="126">
        <f t="shared" si="28"/>
        <v>0</v>
      </c>
      <c r="J475" s="21">
        <f t="shared" si="30"/>
        <v>0</v>
      </c>
      <c r="K475" s="80"/>
      <c r="L475" s="82"/>
      <c r="M475" s="10"/>
      <c r="N475" s="10"/>
      <c r="O475" s="10"/>
      <c r="P475" s="10"/>
      <c r="Q475" s="43"/>
      <c r="R475" s="10"/>
      <c r="T475" s="10"/>
    </row>
    <row r="476" spans="2:20" s="1" customFormat="1" ht="12.95" customHeight="1" x14ac:dyDescent="0.15">
      <c r="B476" s="16">
        <v>9</v>
      </c>
      <c r="C476" s="22"/>
      <c r="D476" s="18"/>
      <c r="E476" s="18"/>
      <c r="F476" s="129"/>
      <c r="G476" s="20"/>
      <c r="H476" s="20">
        <v>1</v>
      </c>
      <c r="I476" s="126">
        <f t="shared" si="28"/>
        <v>0</v>
      </c>
      <c r="J476" s="21">
        <f t="shared" si="30"/>
        <v>0</v>
      </c>
      <c r="K476" s="80"/>
      <c r="L476" s="82"/>
      <c r="M476" s="10"/>
      <c r="N476" s="10"/>
      <c r="O476" s="10"/>
      <c r="P476" s="10"/>
      <c r="Q476" s="43"/>
      <c r="R476" s="10"/>
      <c r="T476" s="10"/>
    </row>
    <row r="477" spans="2:20" s="1" customFormat="1" ht="12.95" customHeight="1" x14ac:dyDescent="0.15">
      <c r="B477" s="16">
        <v>10</v>
      </c>
      <c r="C477" s="22"/>
      <c r="D477" s="18"/>
      <c r="E477" s="18"/>
      <c r="F477" s="129"/>
      <c r="G477" s="20"/>
      <c r="H477" s="20">
        <v>1</v>
      </c>
      <c r="I477" s="126">
        <f t="shared" si="28"/>
        <v>0</v>
      </c>
      <c r="J477" s="21">
        <f t="shared" si="30"/>
        <v>0</v>
      </c>
      <c r="K477" s="80"/>
      <c r="L477" s="82"/>
      <c r="M477" s="10"/>
      <c r="N477" s="10"/>
      <c r="O477" s="10"/>
      <c r="P477" s="10"/>
      <c r="Q477" s="43"/>
      <c r="R477" s="10"/>
      <c r="T477" s="10"/>
    </row>
    <row r="478" spans="2:20" s="1" customFormat="1" ht="12.95" customHeight="1" x14ac:dyDescent="0.15">
      <c r="B478" s="16">
        <v>11</v>
      </c>
      <c r="C478" s="22"/>
      <c r="D478" s="18"/>
      <c r="E478" s="18"/>
      <c r="F478" s="129"/>
      <c r="G478" s="20"/>
      <c r="H478" s="20">
        <v>1</v>
      </c>
      <c r="I478" s="126">
        <f t="shared" si="28"/>
        <v>0</v>
      </c>
      <c r="J478" s="21">
        <f t="shared" si="30"/>
        <v>0</v>
      </c>
      <c r="K478" s="80"/>
      <c r="L478" s="82"/>
      <c r="M478" s="10"/>
      <c r="N478" s="10"/>
      <c r="O478" s="10"/>
      <c r="P478" s="10"/>
      <c r="Q478" s="43"/>
      <c r="R478" s="10"/>
      <c r="T478" s="10"/>
    </row>
    <row r="479" spans="2:20" s="1" customFormat="1" ht="12.95" customHeight="1" x14ac:dyDescent="0.2">
      <c r="B479" s="16">
        <v>12</v>
      </c>
      <c r="C479" s="45"/>
      <c r="D479" s="18"/>
      <c r="E479" s="18"/>
      <c r="F479" s="51"/>
      <c r="G479" s="20"/>
      <c r="H479" s="20">
        <v>1</v>
      </c>
      <c r="I479" s="126">
        <f t="shared" si="28"/>
        <v>0</v>
      </c>
      <c r="J479" s="21">
        <f t="shared" si="30"/>
        <v>0</v>
      </c>
      <c r="K479" s="80"/>
      <c r="L479" s="82"/>
      <c r="N479" s="10"/>
      <c r="O479" s="10"/>
      <c r="P479" s="10"/>
      <c r="Q479" s="43"/>
      <c r="R479" s="10"/>
      <c r="T479" s="10"/>
    </row>
    <row r="480" spans="2:20" s="1" customFormat="1" ht="12.95" customHeight="1" x14ac:dyDescent="0.2">
      <c r="B480" s="16">
        <v>13</v>
      </c>
      <c r="C480" s="45"/>
      <c r="D480" s="18"/>
      <c r="E480" s="18"/>
      <c r="F480" s="51"/>
      <c r="G480" s="20"/>
      <c r="H480" s="20">
        <v>1</v>
      </c>
      <c r="I480" s="126">
        <f t="shared" si="28"/>
        <v>0</v>
      </c>
      <c r="J480" s="21">
        <f t="shared" si="30"/>
        <v>0</v>
      </c>
      <c r="K480" s="80"/>
      <c r="L480" s="82"/>
      <c r="N480" s="10"/>
      <c r="O480" s="10"/>
      <c r="P480" s="10"/>
      <c r="Q480" s="43"/>
      <c r="R480" s="10"/>
      <c r="T480" s="10"/>
    </row>
    <row r="481" spans="2:20" s="1" customFormat="1" ht="12.95" customHeight="1" x14ac:dyDescent="0.2">
      <c r="B481" s="16">
        <v>14</v>
      </c>
      <c r="C481" s="45"/>
      <c r="D481" s="18"/>
      <c r="E481" s="18"/>
      <c r="F481" s="51"/>
      <c r="G481" s="20"/>
      <c r="H481" s="20">
        <v>1</v>
      </c>
      <c r="I481" s="126">
        <f t="shared" si="28"/>
        <v>0</v>
      </c>
      <c r="J481" s="21">
        <f t="shared" si="30"/>
        <v>0</v>
      </c>
      <c r="K481" s="80"/>
      <c r="L481" s="82"/>
      <c r="N481" s="10"/>
      <c r="O481" s="10"/>
      <c r="P481" s="10"/>
      <c r="Q481" s="43"/>
      <c r="R481" s="10"/>
      <c r="T481" s="10"/>
    </row>
    <row r="482" spans="2:20" s="1" customFormat="1" ht="12.95" customHeight="1" x14ac:dyDescent="0.2">
      <c r="B482" s="16">
        <v>15</v>
      </c>
      <c r="C482" s="45"/>
      <c r="D482" s="18"/>
      <c r="E482" s="18"/>
      <c r="F482" s="51"/>
      <c r="G482" s="20"/>
      <c r="H482" s="20">
        <v>1</v>
      </c>
      <c r="I482" s="126">
        <f t="shared" si="28"/>
        <v>0</v>
      </c>
      <c r="J482" s="21">
        <f t="shared" si="30"/>
        <v>0</v>
      </c>
      <c r="K482" s="80"/>
      <c r="L482" s="82"/>
      <c r="N482" s="10"/>
      <c r="O482" s="10"/>
      <c r="P482" s="10"/>
      <c r="Q482" s="43"/>
      <c r="R482" s="10"/>
      <c r="T482" s="10"/>
    </row>
    <row r="483" spans="2:20" s="1" customFormat="1" ht="12.95" customHeight="1" x14ac:dyDescent="0.2">
      <c r="B483" s="16">
        <v>16</v>
      </c>
      <c r="C483" s="45"/>
      <c r="D483" s="18"/>
      <c r="E483" s="18"/>
      <c r="F483" s="51"/>
      <c r="G483" s="20"/>
      <c r="H483" s="20">
        <v>1</v>
      </c>
      <c r="I483" s="126">
        <f t="shared" si="28"/>
        <v>0</v>
      </c>
      <c r="J483" s="21">
        <f t="shared" si="30"/>
        <v>0</v>
      </c>
      <c r="K483" s="80"/>
      <c r="L483" s="82"/>
      <c r="N483" s="10"/>
      <c r="O483" s="10"/>
      <c r="P483" s="10"/>
      <c r="Q483" s="43"/>
      <c r="R483" s="10"/>
      <c r="T483" s="10"/>
    </row>
    <row r="484" spans="2:20" s="1" customFormat="1" ht="12.95" customHeight="1" x14ac:dyDescent="0.2">
      <c r="B484" s="16">
        <v>17</v>
      </c>
      <c r="C484" s="45"/>
      <c r="D484" s="18"/>
      <c r="E484" s="18"/>
      <c r="F484" s="51"/>
      <c r="G484" s="20"/>
      <c r="H484" s="20">
        <v>1</v>
      </c>
      <c r="I484" s="126">
        <f t="shared" si="28"/>
        <v>0</v>
      </c>
      <c r="J484" s="21">
        <f t="shared" si="30"/>
        <v>0</v>
      </c>
      <c r="K484" s="80"/>
      <c r="L484" s="82"/>
      <c r="N484" s="10"/>
      <c r="O484" s="10"/>
      <c r="P484" s="10"/>
      <c r="Q484" s="43"/>
      <c r="R484" s="10"/>
      <c r="T484" s="10"/>
    </row>
    <row r="485" spans="2:20" s="1" customFormat="1" ht="12.95" customHeight="1" x14ac:dyDescent="0.2">
      <c r="B485" s="16">
        <v>18</v>
      </c>
      <c r="C485" s="45"/>
      <c r="D485" s="18"/>
      <c r="E485" s="18"/>
      <c r="F485" s="51"/>
      <c r="G485" s="20"/>
      <c r="H485" s="20">
        <v>1</v>
      </c>
      <c r="I485" s="126">
        <f t="shared" si="28"/>
        <v>0</v>
      </c>
      <c r="J485" s="21">
        <f t="shared" si="30"/>
        <v>0</v>
      </c>
      <c r="K485" s="80"/>
      <c r="L485" s="82"/>
      <c r="N485" s="10"/>
      <c r="O485" s="10"/>
      <c r="P485" s="10"/>
      <c r="Q485" s="43"/>
      <c r="R485" s="10"/>
      <c r="T485" s="10"/>
    </row>
    <row r="486" spans="2:20" s="1" customFormat="1" ht="12.95" customHeight="1" x14ac:dyDescent="0.2">
      <c r="B486" s="16">
        <v>19</v>
      </c>
      <c r="C486" s="45"/>
      <c r="D486" s="18"/>
      <c r="E486" s="18"/>
      <c r="F486" s="51"/>
      <c r="G486" s="20"/>
      <c r="H486" s="20">
        <v>1</v>
      </c>
      <c r="I486" s="126">
        <f t="shared" si="28"/>
        <v>0</v>
      </c>
      <c r="J486" s="78">
        <f t="shared" si="30"/>
        <v>0</v>
      </c>
      <c r="K486" s="111"/>
      <c r="L486" s="119"/>
      <c r="N486" s="10"/>
      <c r="O486" s="10"/>
      <c r="P486" s="10"/>
      <c r="Q486" s="43"/>
      <c r="R486" s="10"/>
      <c r="T486" s="10"/>
    </row>
    <row r="487" spans="2:20" s="1" customFormat="1" ht="12.95" customHeight="1" x14ac:dyDescent="0.2">
      <c r="B487" s="16">
        <v>20</v>
      </c>
      <c r="C487" s="45"/>
      <c r="D487" s="18"/>
      <c r="E487" s="18"/>
      <c r="F487" s="51"/>
      <c r="G487" s="20"/>
      <c r="H487" s="20">
        <v>1</v>
      </c>
      <c r="I487" s="254">
        <f t="shared" si="28"/>
        <v>0</v>
      </c>
      <c r="J487" s="94">
        <f t="shared" si="30"/>
        <v>0</v>
      </c>
      <c r="K487" s="82"/>
      <c r="L487" s="82"/>
      <c r="N487" s="10"/>
      <c r="O487" s="10"/>
      <c r="P487" s="10"/>
      <c r="Q487" s="43"/>
      <c r="R487" s="10"/>
      <c r="T487" s="10"/>
    </row>
    <row r="488" spans="2:20" s="1" customFormat="1" ht="12.95" customHeight="1" x14ac:dyDescent="0.2">
      <c r="B488" s="83"/>
      <c r="C488" s="171"/>
      <c r="D488" s="75"/>
      <c r="E488" s="75"/>
      <c r="F488" s="172"/>
      <c r="G488" s="77"/>
      <c r="H488" s="77"/>
      <c r="I488" s="255"/>
      <c r="J488" s="94"/>
      <c r="K488" s="82"/>
      <c r="L488" s="82"/>
      <c r="N488" s="10"/>
      <c r="O488" s="10"/>
      <c r="P488" s="10"/>
      <c r="Q488" s="43"/>
      <c r="R488" s="10"/>
      <c r="T488" s="10"/>
    </row>
    <row r="489" spans="2:20" s="1" customFormat="1" ht="12.95" customHeight="1" x14ac:dyDescent="0.15">
      <c r="B489" s="82"/>
      <c r="C489" s="102"/>
      <c r="D489" s="103"/>
      <c r="E489" s="102"/>
      <c r="F489" s="128">
        <f>SUM(F429:F488)</f>
        <v>0</v>
      </c>
      <c r="G489" s="104"/>
      <c r="H489" s="105"/>
      <c r="I489" s="256">
        <f>SUM(I430:I488)</f>
        <v>0</v>
      </c>
      <c r="J489" s="257">
        <f>SUM(J429:J488)</f>
        <v>0</v>
      </c>
    </row>
    <row r="490" spans="2:20" s="67" customFormat="1" ht="12.95" customHeight="1" x14ac:dyDescent="0.15">
      <c r="B490" s="116"/>
      <c r="C490" s="114"/>
      <c r="D490" s="114"/>
      <c r="E490" s="114" t="s">
        <v>147</v>
      </c>
      <c r="F490" s="162">
        <f>100/115*F489</f>
        <v>0</v>
      </c>
      <c r="G490" s="114"/>
      <c r="H490" s="114" t="s">
        <v>147</v>
      </c>
      <c r="I490" s="264">
        <f>100/115*I489</f>
        <v>0</v>
      </c>
      <c r="J490" s="114"/>
    </row>
    <row r="491" spans="2:20" s="1" customFormat="1" ht="12.95" customHeight="1" x14ac:dyDescent="0.15"/>
    <row r="492" spans="2:20" s="1" customFormat="1" ht="12.95" customHeight="1" x14ac:dyDescent="0.15"/>
    <row r="493" spans="2:20" s="1" customFormat="1" ht="12.95" customHeight="1" x14ac:dyDescent="0.15"/>
    <row r="494" spans="2:20" s="1" customFormat="1" ht="12.95" customHeight="1" x14ac:dyDescent="0.15"/>
    <row r="495" spans="2:20" s="247" customFormat="1" ht="32.25" x14ac:dyDescent="0.4">
      <c r="B495" s="248"/>
      <c r="C495" s="380" t="s">
        <v>112</v>
      </c>
      <c r="D495" s="380"/>
      <c r="E495" s="400" t="s">
        <v>161</v>
      </c>
      <c r="F495" s="401"/>
      <c r="G495" s="401"/>
      <c r="H495" s="401"/>
      <c r="I495" s="402"/>
      <c r="J495" s="407">
        <v>2026</v>
      </c>
      <c r="K495" s="408"/>
      <c r="L495" s="409"/>
    </row>
    <row r="496" spans="2:20" s="1" customFormat="1" ht="42" customHeight="1" x14ac:dyDescent="0.15">
      <c r="B496" s="82"/>
      <c r="C496" s="102" t="s">
        <v>114</v>
      </c>
      <c r="D496" s="388" t="s">
        <v>115</v>
      </c>
      <c r="E496" s="388"/>
      <c r="F496" s="102" t="s">
        <v>116</v>
      </c>
      <c r="G496" s="102" t="s">
        <v>117</v>
      </c>
      <c r="H496" s="102" t="s">
        <v>118</v>
      </c>
      <c r="I496" s="173" t="s">
        <v>119</v>
      </c>
      <c r="J496" s="102" t="s">
        <v>120</v>
      </c>
      <c r="K496" s="82"/>
      <c r="L496" s="82"/>
    </row>
    <row r="497" spans="2:12" s="1" customFormat="1" ht="12.95" customHeight="1" x14ac:dyDescent="0.15">
      <c r="B497" s="84"/>
      <c r="C497" s="149">
        <f>C427</f>
        <v>250</v>
      </c>
      <c r="D497" s="412">
        <v>21</v>
      </c>
      <c r="E497" s="412"/>
      <c r="F497" s="146">
        <f>F427</f>
        <v>0.75</v>
      </c>
      <c r="G497" s="147">
        <f>G427</f>
        <v>8</v>
      </c>
      <c r="H497" s="148">
        <f>D497*G497*F497</f>
        <v>126</v>
      </c>
      <c r="I497" s="149">
        <f>I559</f>
        <v>0</v>
      </c>
      <c r="J497" s="150">
        <f>H497-J559</f>
        <v>126</v>
      </c>
      <c r="K497" s="79"/>
      <c r="L497" s="120"/>
    </row>
    <row r="498" spans="2:12" s="1" customFormat="1" ht="69.95" customHeight="1" x14ac:dyDescent="0.15">
      <c r="B498" s="16"/>
      <c r="C498" s="22" t="s">
        <v>121</v>
      </c>
      <c r="D498" s="413" t="s">
        <v>122</v>
      </c>
      <c r="E498" s="413"/>
      <c r="F498" s="33" t="s">
        <v>123</v>
      </c>
      <c r="G498" s="34" t="s">
        <v>124</v>
      </c>
      <c r="H498" s="35" t="s">
        <v>125</v>
      </c>
      <c r="I498" s="125" t="s">
        <v>126</v>
      </c>
      <c r="J498" s="34" t="s">
        <v>127</v>
      </c>
      <c r="K498" s="107" t="s">
        <v>128</v>
      </c>
      <c r="L498" s="123" t="s">
        <v>129</v>
      </c>
    </row>
    <row r="499" spans="2:12" s="1" customFormat="1" ht="12.75" customHeight="1" x14ac:dyDescent="0.15">
      <c r="B499" s="83"/>
      <c r="C499" s="159"/>
      <c r="D499" s="164"/>
      <c r="E499" s="164"/>
      <c r="F499" s="76"/>
      <c r="G499" s="20"/>
      <c r="H499" s="20"/>
      <c r="I499" s="126"/>
      <c r="J499" s="38"/>
      <c r="K499" s="80"/>
      <c r="L499" s="82"/>
    </row>
    <row r="500" spans="2:12" s="1" customFormat="1" ht="12.75" x14ac:dyDescent="0.15">
      <c r="B500" s="82"/>
      <c r="C500" s="392" t="s">
        <v>130</v>
      </c>
      <c r="D500" s="392"/>
      <c r="E500" s="392"/>
      <c r="F500" s="168"/>
      <c r="G500" s="163"/>
      <c r="H500" s="20"/>
      <c r="I500" s="126"/>
      <c r="J500" s="21"/>
      <c r="K500" s="80"/>
      <c r="L500" s="82"/>
    </row>
    <row r="501" spans="2:12" s="1" customFormat="1" ht="12.95" customHeight="1" x14ac:dyDescent="0.15">
      <c r="B501" s="82"/>
      <c r="C501" s="116" t="s">
        <v>149</v>
      </c>
      <c r="D501" s="169"/>
      <c r="E501" s="169"/>
      <c r="F501" s="168"/>
      <c r="G501" s="163"/>
      <c r="H501" s="20"/>
      <c r="I501" s="126"/>
      <c r="J501" s="38"/>
      <c r="K501" s="80"/>
      <c r="L501" s="82"/>
    </row>
    <row r="502" spans="2:12" s="1" customFormat="1" ht="12.95" customHeight="1" x14ac:dyDescent="0.15">
      <c r="B502" s="82">
        <v>1</v>
      </c>
      <c r="C502" s="89"/>
      <c r="D502" s="169"/>
      <c r="E502" s="169"/>
      <c r="F502" s="168"/>
      <c r="G502" s="163"/>
      <c r="H502" s="20">
        <v>1</v>
      </c>
      <c r="I502" s="129">
        <f t="shared" ref="I502:I534" si="31">J502*$C$32</f>
        <v>0</v>
      </c>
      <c r="J502" s="52">
        <f t="shared" ref="J502:J515" si="32">(F502*G502*H502)/$C$32</f>
        <v>0</v>
      </c>
      <c r="K502" s="80"/>
      <c r="L502" s="82"/>
    </row>
    <row r="503" spans="2:12" s="1" customFormat="1" ht="12.95" customHeight="1" x14ac:dyDescent="0.15">
      <c r="B503" s="82">
        <v>2</v>
      </c>
      <c r="C503" s="89"/>
      <c r="D503" s="169"/>
      <c r="E503" s="169"/>
      <c r="F503" s="168"/>
      <c r="G503" s="163"/>
      <c r="H503" s="20">
        <v>1</v>
      </c>
      <c r="I503" s="129">
        <f t="shared" si="31"/>
        <v>0</v>
      </c>
      <c r="J503" s="52">
        <f t="shared" si="32"/>
        <v>0</v>
      </c>
      <c r="K503" s="80"/>
      <c r="L503" s="82"/>
    </row>
    <row r="504" spans="2:12" s="1" customFormat="1" ht="12.95" customHeight="1" x14ac:dyDescent="0.15">
      <c r="B504" s="82">
        <v>3</v>
      </c>
      <c r="C504" s="89"/>
      <c r="D504" s="169"/>
      <c r="E504" s="169"/>
      <c r="F504" s="168"/>
      <c r="G504" s="163"/>
      <c r="H504" s="20">
        <v>1</v>
      </c>
      <c r="I504" s="129">
        <f t="shared" si="31"/>
        <v>0</v>
      </c>
      <c r="J504" s="52">
        <f t="shared" si="32"/>
        <v>0</v>
      </c>
      <c r="K504" s="80"/>
      <c r="L504" s="82"/>
    </row>
    <row r="505" spans="2:12" s="1" customFormat="1" ht="12.95" customHeight="1" x14ac:dyDescent="0.15">
      <c r="B505" s="82">
        <v>4</v>
      </c>
      <c r="C505" s="82"/>
      <c r="D505" s="90"/>
      <c r="E505" s="90"/>
      <c r="F505" s="168"/>
      <c r="G505" s="163"/>
      <c r="H505" s="20">
        <v>1</v>
      </c>
      <c r="I505" s="129">
        <f t="shared" si="31"/>
        <v>0</v>
      </c>
      <c r="J505" s="52">
        <f t="shared" si="32"/>
        <v>0</v>
      </c>
      <c r="K505" s="80"/>
      <c r="L505" s="82"/>
    </row>
    <row r="506" spans="2:12" s="1" customFormat="1" ht="12.95" customHeight="1" x14ac:dyDescent="0.15">
      <c r="B506" s="82">
        <v>5</v>
      </c>
      <c r="C506" s="89"/>
      <c r="D506" s="170"/>
      <c r="E506" s="170"/>
      <c r="F506" s="168"/>
      <c r="G506" s="163"/>
      <c r="H506" s="20">
        <v>1</v>
      </c>
      <c r="I506" s="129">
        <f t="shared" si="31"/>
        <v>0</v>
      </c>
      <c r="J506" s="27">
        <f t="shared" si="32"/>
        <v>0</v>
      </c>
      <c r="K506" s="80"/>
      <c r="L506" s="82"/>
    </row>
    <row r="507" spans="2:12" s="1" customFormat="1" ht="12.95" customHeight="1" x14ac:dyDescent="0.15">
      <c r="B507" s="82">
        <v>6</v>
      </c>
      <c r="C507" s="89"/>
      <c r="D507" s="169"/>
      <c r="E507" s="169"/>
      <c r="F507" s="168"/>
      <c r="G507" s="163"/>
      <c r="H507" s="20">
        <v>1</v>
      </c>
      <c r="I507" s="129">
        <f t="shared" si="31"/>
        <v>0</v>
      </c>
      <c r="J507" s="52">
        <f t="shared" si="32"/>
        <v>0</v>
      </c>
      <c r="K507" s="80"/>
      <c r="L507" s="82"/>
    </row>
    <row r="508" spans="2:12" s="1" customFormat="1" ht="12.95" customHeight="1" x14ac:dyDescent="0.15">
      <c r="B508" s="82">
        <v>7</v>
      </c>
      <c r="C508" s="89"/>
      <c r="D508" s="167"/>
      <c r="E508" s="167"/>
      <c r="F508" s="168"/>
      <c r="G508" s="163"/>
      <c r="H508" s="20">
        <v>1</v>
      </c>
      <c r="I508" s="129">
        <f t="shared" si="31"/>
        <v>0</v>
      </c>
      <c r="J508" s="27">
        <f t="shared" si="32"/>
        <v>0</v>
      </c>
      <c r="K508" s="80"/>
      <c r="L508" s="82"/>
    </row>
    <row r="509" spans="2:12" s="1" customFormat="1" ht="12.95" customHeight="1" x14ac:dyDescent="0.15">
      <c r="B509" s="84">
        <v>8</v>
      </c>
      <c r="C509" s="81"/>
      <c r="D509" s="85"/>
      <c r="E509" s="165"/>
      <c r="F509" s="166"/>
      <c r="G509" s="20"/>
      <c r="H509" s="20">
        <v>1</v>
      </c>
      <c r="I509" s="129">
        <f t="shared" si="31"/>
        <v>0</v>
      </c>
      <c r="J509" s="52">
        <f t="shared" si="32"/>
        <v>0</v>
      </c>
      <c r="K509" s="80"/>
      <c r="L509" s="82"/>
    </row>
    <row r="510" spans="2:12" s="1" customFormat="1" ht="12.95" customHeight="1" x14ac:dyDescent="0.15">
      <c r="B510" s="16">
        <v>9</v>
      </c>
      <c r="C510" s="17"/>
      <c r="D510" s="18"/>
      <c r="E510" s="24"/>
      <c r="F510" s="129"/>
      <c r="G510" s="20"/>
      <c r="H510" s="20">
        <v>1</v>
      </c>
      <c r="I510" s="129">
        <f t="shared" si="31"/>
        <v>0</v>
      </c>
      <c r="J510" s="52">
        <f t="shared" si="32"/>
        <v>0</v>
      </c>
      <c r="K510" s="80"/>
      <c r="L510" s="82"/>
    </row>
    <row r="511" spans="2:12" s="1" customFormat="1" ht="12.95" customHeight="1" x14ac:dyDescent="0.15">
      <c r="B511" s="16">
        <v>10</v>
      </c>
      <c r="C511" s="17"/>
      <c r="D511" s="24"/>
      <c r="E511" s="18"/>
      <c r="F511" s="129"/>
      <c r="G511" s="20"/>
      <c r="H511" s="20">
        <v>1</v>
      </c>
      <c r="I511" s="129">
        <f t="shared" si="31"/>
        <v>0</v>
      </c>
      <c r="J511" s="52">
        <f t="shared" si="32"/>
        <v>0</v>
      </c>
      <c r="K511" s="80"/>
      <c r="L511" s="82"/>
    </row>
    <row r="512" spans="2:12" s="1" customFormat="1" ht="12.95" customHeight="1" x14ac:dyDescent="0.15">
      <c r="B512" s="16"/>
      <c r="C512" s="17"/>
      <c r="D512" s="24"/>
      <c r="E512" s="18"/>
      <c r="F512" s="129"/>
      <c r="G512" s="20"/>
      <c r="H512" s="20"/>
      <c r="I512" s="129"/>
      <c r="J512" s="52"/>
      <c r="K512" s="80"/>
      <c r="L512" s="82"/>
    </row>
    <row r="513" spans="2:20" s="1" customFormat="1" ht="12.95" customHeight="1" x14ac:dyDescent="0.15">
      <c r="B513" s="16"/>
      <c r="C513" s="17"/>
      <c r="D513" s="24"/>
      <c r="E513" s="18"/>
      <c r="F513" s="129"/>
      <c r="G513" s="20"/>
      <c r="H513" s="20"/>
      <c r="I513" s="129"/>
      <c r="J513" s="52"/>
      <c r="K513" s="80"/>
      <c r="L513" s="82"/>
    </row>
    <row r="514" spans="2:20" s="1" customFormat="1" ht="12.95" customHeight="1" x14ac:dyDescent="0.15">
      <c r="B514" s="16"/>
      <c r="C514" s="22" t="s">
        <v>153</v>
      </c>
      <c r="D514" s="24"/>
      <c r="E514" s="18"/>
      <c r="F514" s="129"/>
      <c r="G514" s="20"/>
      <c r="H514" s="20"/>
      <c r="I514" s="129"/>
      <c r="J514" s="52"/>
      <c r="K514" s="80"/>
      <c r="L514" s="82"/>
    </row>
    <row r="515" spans="2:20" s="1" customFormat="1" ht="12.95" customHeight="1" x14ac:dyDescent="0.15">
      <c r="B515" s="16">
        <v>1</v>
      </c>
      <c r="C515" s="17"/>
      <c r="D515" s="24"/>
      <c r="E515" s="24"/>
      <c r="F515" s="129"/>
      <c r="G515" s="20"/>
      <c r="H515" s="20">
        <v>1</v>
      </c>
      <c r="I515" s="129">
        <f t="shared" si="31"/>
        <v>0</v>
      </c>
      <c r="J515" s="52">
        <f t="shared" si="32"/>
        <v>0</v>
      </c>
      <c r="K515" s="80"/>
      <c r="L515" s="82"/>
    </row>
    <row r="516" spans="2:20" s="1" customFormat="1" ht="12.95" customHeight="1" x14ac:dyDescent="0.15">
      <c r="B516" s="16">
        <v>2</v>
      </c>
      <c r="C516" s="17"/>
      <c r="D516" s="24"/>
      <c r="E516" s="24"/>
      <c r="F516" s="129"/>
      <c r="G516" s="20"/>
      <c r="H516" s="20">
        <v>1</v>
      </c>
      <c r="I516" s="129">
        <f t="shared" si="31"/>
        <v>0</v>
      </c>
      <c r="J516" s="52">
        <f>(F516*G516*H516)/$C$32</f>
        <v>0</v>
      </c>
      <c r="K516" s="80"/>
      <c r="L516" s="82"/>
    </row>
    <row r="517" spans="2:20" s="1" customFormat="1" ht="12.95" customHeight="1" x14ac:dyDescent="0.15">
      <c r="B517" s="16">
        <v>3</v>
      </c>
      <c r="C517" s="24"/>
      <c r="D517" s="24"/>
      <c r="E517" s="24"/>
      <c r="F517" s="129"/>
      <c r="G517" s="20"/>
      <c r="H517" s="20">
        <v>1</v>
      </c>
      <c r="I517" s="129">
        <f t="shared" si="31"/>
        <v>0</v>
      </c>
      <c r="J517" s="52">
        <f>(F517*G517*H517)/$C$32</f>
        <v>0</v>
      </c>
      <c r="K517" s="80"/>
      <c r="L517" s="82"/>
    </row>
    <row r="518" spans="2:20" s="1" customFormat="1" ht="12.95" customHeight="1" x14ac:dyDescent="0.15">
      <c r="B518" s="16">
        <v>4</v>
      </c>
      <c r="C518" s="24"/>
      <c r="D518" s="18"/>
      <c r="E518" s="18"/>
      <c r="F518" s="129"/>
      <c r="G518" s="20"/>
      <c r="H518" s="20">
        <v>1</v>
      </c>
      <c r="I518" s="129">
        <f t="shared" si="31"/>
        <v>0</v>
      </c>
      <c r="J518" s="27">
        <f t="shared" ref="J518:J544" si="33">(F518*G518*H518)/$C$32</f>
        <v>0</v>
      </c>
      <c r="K518" s="80"/>
      <c r="L518" s="82"/>
      <c r="M518" s="10"/>
      <c r="N518" s="10"/>
      <c r="O518" s="10"/>
      <c r="P518" s="10"/>
      <c r="Q518" s="43"/>
      <c r="R518" s="10"/>
      <c r="T518" s="10"/>
    </row>
    <row r="519" spans="2:20" s="1" customFormat="1" ht="12.95" customHeight="1" x14ac:dyDescent="0.15">
      <c r="B519" s="16">
        <v>5</v>
      </c>
      <c r="C519" s="24"/>
      <c r="D519" s="24"/>
      <c r="E519" s="24"/>
      <c r="F519" s="129"/>
      <c r="G519" s="20"/>
      <c r="H519" s="20">
        <v>1</v>
      </c>
      <c r="I519" s="129">
        <f t="shared" si="31"/>
        <v>0</v>
      </c>
      <c r="J519" s="52">
        <f t="shared" si="33"/>
        <v>0</v>
      </c>
      <c r="K519" s="80"/>
      <c r="L519" s="82"/>
      <c r="M519" s="39"/>
      <c r="N519" s="40"/>
      <c r="O519" s="40"/>
    </row>
    <row r="520" spans="2:20" s="1" customFormat="1" ht="12.95" customHeight="1" x14ac:dyDescent="0.15">
      <c r="B520" s="16">
        <v>6</v>
      </c>
      <c r="C520" s="17"/>
      <c r="D520" s="18"/>
      <c r="E520" s="18"/>
      <c r="F520" s="129"/>
      <c r="G520" s="20"/>
      <c r="H520" s="20">
        <v>1</v>
      </c>
      <c r="I520" s="129">
        <f>J520*$C$32</f>
        <v>0</v>
      </c>
      <c r="J520" s="27">
        <f t="shared" si="33"/>
        <v>0</v>
      </c>
      <c r="K520" s="80"/>
      <c r="L520" s="82"/>
      <c r="N520" s="10"/>
      <c r="O520" s="10"/>
      <c r="P520" s="10"/>
      <c r="Q520" s="43"/>
      <c r="R520" s="10"/>
      <c r="T520" s="10"/>
    </row>
    <row r="521" spans="2:20" s="1" customFormat="1" ht="12.95" customHeight="1" x14ac:dyDescent="0.15">
      <c r="B521" s="16">
        <v>7</v>
      </c>
      <c r="C521" s="17"/>
      <c r="D521" s="24"/>
      <c r="E521" s="24"/>
      <c r="F521" s="129"/>
      <c r="G521" s="20"/>
      <c r="H521" s="20">
        <v>1</v>
      </c>
      <c r="I521" s="129">
        <f t="shared" si="31"/>
        <v>0</v>
      </c>
      <c r="J521" s="54">
        <f>(F521*G521*H521)/$C$32</f>
        <v>0</v>
      </c>
      <c r="K521" s="80"/>
      <c r="L521" s="82"/>
    </row>
    <row r="522" spans="2:20" s="1" customFormat="1" ht="12.95" customHeight="1" x14ac:dyDescent="0.15">
      <c r="B522" s="16">
        <v>8</v>
      </c>
      <c r="C522" s="17"/>
      <c r="D522" s="24"/>
      <c r="E522" s="24"/>
      <c r="F522" s="129"/>
      <c r="G522" s="20"/>
      <c r="H522" s="20">
        <v>1</v>
      </c>
      <c r="I522" s="129">
        <f>J522*$C$32</f>
        <v>0</v>
      </c>
      <c r="J522" s="54">
        <f>(F522*G522*H522)/$C$32</f>
        <v>0</v>
      </c>
      <c r="K522" s="80"/>
      <c r="L522" s="82"/>
    </row>
    <row r="523" spans="2:20" s="1" customFormat="1" ht="12.95" customHeight="1" x14ac:dyDescent="0.15">
      <c r="B523" s="16">
        <v>9</v>
      </c>
      <c r="C523" s="17"/>
      <c r="D523" s="24"/>
      <c r="E523" s="24"/>
      <c r="F523" s="129"/>
      <c r="G523" s="20"/>
      <c r="H523" s="20">
        <v>1</v>
      </c>
      <c r="I523" s="129">
        <f t="shared" si="31"/>
        <v>0</v>
      </c>
      <c r="J523" s="52">
        <f t="shared" si="33"/>
        <v>0</v>
      </c>
      <c r="K523" s="80"/>
      <c r="L523" s="82"/>
    </row>
    <row r="524" spans="2:20" s="1" customFormat="1" ht="12.95" customHeight="1" x14ac:dyDescent="0.15">
      <c r="B524" s="16">
        <v>10</v>
      </c>
      <c r="C524" s="17"/>
      <c r="D524" s="24"/>
      <c r="E524" s="24"/>
      <c r="F524" s="129"/>
      <c r="G524" s="20"/>
      <c r="H524" s="20">
        <v>1</v>
      </c>
      <c r="I524" s="129">
        <f t="shared" si="31"/>
        <v>0</v>
      </c>
      <c r="J524" s="52">
        <f t="shared" si="33"/>
        <v>0</v>
      </c>
      <c r="K524" s="80"/>
      <c r="L524" s="82"/>
    </row>
    <row r="525" spans="2:20" s="1" customFormat="1" ht="12" customHeight="1" x14ac:dyDescent="0.15">
      <c r="B525" s="16">
        <v>11</v>
      </c>
      <c r="C525" s="17"/>
      <c r="D525" s="24"/>
      <c r="E525" s="24"/>
      <c r="F525" s="129"/>
      <c r="G525" s="20"/>
      <c r="H525" s="20">
        <v>1</v>
      </c>
      <c r="I525" s="129">
        <f t="shared" si="31"/>
        <v>0</v>
      </c>
      <c r="J525" s="52">
        <f t="shared" si="33"/>
        <v>0</v>
      </c>
      <c r="K525" s="80"/>
      <c r="L525" s="82"/>
    </row>
    <row r="526" spans="2:20" s="1" customFormat="1" ht="12.95" customHeight="1" x14ac:dyDescent="0.15">
      <c r="B526" s="16">
        <v>12</v>
      </c>
      <c r="C526" s="17"/>
      <c r="D526" s="24"/>
      <c r="E526" s="24"/>
      <c r="F526" s="129"/>
      <c r="G526" s="20"/>
      <c r="H526" s="20">
        <v>1</v>
      </c>
      <c r="I526" s="129">
        <f t="shared" si="31"/>
        <v>0</v>
      </c>
      <c r="J526" s="52">
        <f t="shared" si="33"/>
        <v>0</v>
      </c>
      <c r="K526" s="80"/>
      <c r="L526" s="82"/>
    </row>
    <row r="527" spans="2:20" s="1" customFormat="1" ht="12.95" customHeight="1" x14ac:dyDescent="0.15">
      <c r="B527" s="16">
        <v>13</v>
      </c>
      <c r="C527" s="17"/>
      <c r="D527" s="18"/>
      <c r="E527" s="18"/>
      <c r="F527" s="129"/>
      <c r="G527" s="20"/>
      <c r="H527" s="20">
        <v>1</v>
      </c>
      <c r="I527" s="129">
        <f t="shared" si="31"/>
        <v>0</v>
      </c>
      <c r="J527" s="52">
        <f t="shared" si="33"/>
        <v>0</v>
      </c>
      <c r="K527" s="80"/>
      <c r="L527" s="82"/>
      <c r="M527" s="10"/>
      <c r="N527" s="10"/>
      <c r="O527" s="10"/>
      <c r="P527" s="10"/>
      <c r="Q527" s="43"/>
      <c r="R527" s="10"/>
      <c r="T527" s="10"/>
    </row>
    <row r="528" spans="2:20" s="1" customFormat="1" ht="12.95" customHeight="1" x14ac:dyDescent="0.15">
      <c r="B528" s="16">
        <v>14</v>
      </c>
      <c r="C528" s="17"/>
      <c r="D528" s="18"/>
      <c r="E528" s="18"/>
      <c r="F528" s="129"/>
      <c r="G528" s="20"/>
      <c r="H528" s="20">
        <v>1</v>
      </c>
      <c r="I528" s="129">
        <f t="shared" si="31"/>
        <v>0</v>
      </c>
      <c r="J528" s="52">
        <f t="shared" si="33"/>
        <v>0</v>
      </c>
      <c r="K528" s="80"/>
      <c r="L528" s="82"/>
      <c r="M528" s="10"/>
      <c r="N528" s="10"/>
      <c r="O528" s="10"/>
      <c r="P528" s="10"/>
      <c r="Q528" s="43"/>
      <c r="R528" s="10"/>
      <c r="T528" s="10"/>
    </row>
    <row r="529" spans="2:20" s="1" customFormat="1" ht="12.95" customHeight="1" x14ac:dyDescent="0.15">
      <c r="B529" s="16">
        <v>15</v>
      </c>
      <c r="C529" s="17"/>
      <c r="D529" s="18"/>
      <c r="E529" s="18"/>
      <c r="F529" s="129"/>
      <c r="G529" s="20"/>
      <c r="H529" s="20">
        <v>1</v>
      </c>
      <c r="I529" s="129">
        <f t="shared" si="31"/>
        <v>0</v>
      </c>
      <c r="J529" s="52">
        <f t="shared" si="33"/>
        <v>0</v>
      </c>
      <c r="K529" s="80"/>
      <c r="L529" s="82"/>
      <c r="M529" s="10"/>
      <c r="N529" s="10"/>
      <c r="O529" s="10"/>
      <c r="P529" s="10"/>
      <c r="Q529" s="43"/>
      <c r="R529" s="10"/>
      <c r="T529" s="10"/>
    </row>
    <row r="530" spans="2:20" s="1" customFormat="1" ht="12.95" customHeight="1" x14ac:dyDescent="0.15">
      <c r="B530" s="16">
        <v>16</v>
      </c>
      <c r="C530" s="17"/>
      <c r="D530" s="18"/>
      <c r="E530" s="18"/>
      <c r="F530" s="129"/>
      <c r="G530" s="20"/>
      <c r="H530" s="20">
        <v>1</v>
      </c>
      <c r="I530" s="129">
        <f t="shared" si="31"/>
        <v>0</v>
      </c>
      <c r="J530" s="52">
        <f t="shared" si="33"/>
        <v>0</v>
      </c>
      <c r="K530" s="80"/>
      <c r="L530" s="82"/>
      <c r="M530" s="10"/>
      <c r="N530" s="10"/>
      <c r="O530" s="10"/>
      <c r="P530" s="10"/>
      <c r="Q530" s="43"/>
      <c r="R530" s="10"/>
      <c r="T530" s="10"/>
    </row>
    <row r="531" spans="2:20" s="1" customFormat="1" ht="12.95" customHeight="1" x14ac:dyDescent="0.15">
      <c r="B531" s="16">
        <v>17</v>
      </c>
      <c r="C531" s="17"/>
      <c r="D531" s="18"/>
      <c r="E531" s="18"/>
      <c r="F531" s="129"/>
      <c r="G531" s="20"/>
      <c r="H531" s="20">
        <v>1</v>
      </c>
      <c r="I531" s="129">
        <f t="shared" si="31"/>
        <v>0</v>
      </c>
      <c r="J531" s="52">
        <f t="shared" si="33"/>
        <v>0</v>
      </c>
      <c r="K531" s="80"/>
      <c r="L531" s="82"/>
      <c r="M531" s="10"/>
      <c r="N531" s="10"/>
      <c r="O531" s="10"/>
      <c r="P531" s="10"/>
      <c r="Q531" s="43"/>
      <c r="R531" s="10"/>
      <c r="T531" s="10"/>
    </row>
    <row r="532" spans="2:20" s="1" customFormat="1" ht="12.95" customHeight="1" x14ac:dyDescent="0.15">
      <c r="B532" s="16">
        <v>18</v>
      </c>
      <c r="C532" s="17"/>
      <c r="D532" s="18"/>
      <c r="E532" s="18"/>
      <c r="F532" s="129"/>
      <c r="G532" s="20"/>
      <c r="H532" s="20">
        <v>1</v>
      </c>
      <c r="I532" s="129">
        <f t="shared" si="31"/>
        <v>0</v>
      </c>
      <c r="J532" s="52">
        <f t="shared" si="33"/>
        <v>0</v>
      </c>
      <c r="K532" s="80"/>
      <c r="L532" s="82"/>
      <c r="M532" s="10"/>
      <c r="N532" s="10"/>
      <c r="O532" s="10"/>
      <c r="P532" s="10"/>
      <c r="Q532" s="43"/>
      <c r="R532" s="10"/>
      <c r="T532" s="10"/>
    </row>
    <row r="533" spans="2:20" s="1" customFormat="1" ht="12.95" customHeight="1" x14ac:dyDescent="0.15">
      <c r="B533" s="16">
        <v>19</v>
      </c>
      <c r="C533" s="17"/>
      <c r="D533" s="18"/>
      <c r="E533" s="18"/>
      <c r="F533" s="129"/>
      <c r="G533" s="20"/>
      <c r="H533" s="20">
        <v>1</v>
      </c>
      <c r="I533" s="129">
        <f t="shared" si="31"/>
        <v>0</v>
      </c>
      <c r="J533" s="52">
        <f t="shared" si="33"/>
        <v>0</v>
      </c>
      <c r="K533" s="80"/>
      <c r="L533" s="82"/>
      <c r="M533" s="10"/>
      <c r="N533" s="10"/>
      <c r="O533" s="10"/>
      <c r="P533" s="10"/>
      <c r="Q533" s="43"/>
      <c r="R533" s="10"/>
      <c r="T533" s="10"/>
    </row>
    <row r="534" spans="2:20" s="1" customFormat="1" ht="12.95" customHeight="1" x14ac:dyDescent="0.15">
      <c r="B534" s="16">
        <v>20</v>
      </c>
      <c r="C534" s="17"/>
      <c r="D534" s="18"/>
      <c r="E534" s="18"/>
      <c r="F534" s="129"/>
      <c r="G534" s="20"/>
      <c r="H534" s="20">
        <v>1</v>
      </c>
      <c r="I534" s="129">
        <f t="shared" si="31"/>
        <v>0</v>
      </c>
      <c r="J534" s="52">
        <f t="shared" si="33"/>
        <v>0</v>
      </c>
      <c r="K534" s="80"/>
      <c r="L534" s="82"/>
      <c r="M534" s="10"/>
      <c r="N534" s="10"/>
      <c r="O534" s="10"/>
      <c r="P534" s="10"/>
      <c r="Q534" s="43"/>
      <c r="R534" s="10"/>
      <c r="T534" s="10"/>
    </row>
    <row r="535" spans="2:20" s="1" customFormat="1" ht="12.95" customHeight="1" x14ac:dyDescent="0.15">
      <c r="B535" s="16"/>
      <c r="C535" s="17"/>
      <c r="D535" s="18"/>
      <c r="E535" s="18"/>
      <c r="F535" s="129"/>
      <c r="G535" s="20"/>
      <c r="H535" s="20"/>
      <c r="I535" s="129"/>
      <c r="J535" s="52"/>
      <c r="K535" s="80"/>
      <c r="L535" s="82"/>
      <c r="M535" s="10"/>
      <c r="N535" s="10"/>
      <c r="O535" s="10"/>
      <c r="P535" s="10"/>
      <c r="Q535" s="43"/>
      <c r="R535" s="10"/>
      <c r="T535" s="10"/>
    </row>
    <row r="536" spans="2:20" s="1" customFormat="1" ht="12.95" customHeight="1" x14ac:dyDescent="0.15">
      <c r="B536" s="16"/>
      <c r="C536" s="17"/>
      <c r="D536" s="18"/>
      <c r="E536" s="18"/>
      <c r="F536" s="129"/>
      <c r="G536" s="20"/>
      <c r="H536" s="20"/>
      <c r="I536" s="129"/>
      <c r="J536" s="52"/>
      <c r="K536" s="80"/>
      <c r="L536" s="82"/>
      <c r="M536" s="10"/>
      <c r="N536" s="10"/>
      <c r="O536" s="10"/>
      <c r="P536" s="10"/>
      <c r="Q536" s="43"/>
      <c r="R536" s="10"/>
      <c r="T536" s="10"/>
    </row>
    <row r="537" spans="2:20" s="1" customFormat="1" ht="12.95" customHeight="1" x14ac:dyDescent="0.15">
      <c r="B537" s="16"/>
      <c r="C537" s="73" t="s">
        <v>132</v>
      </c>
      <c r="D537" s="18"/>
      <c r="E537" s="18"/>
      <c r="F537" s="129"/>
      <c r="G537" s="55"/>
      <c r="H537" s="20"/>
      <c r="I537" s="129"/>
      <c r="J537" s="52"/>
      <c r="K537" s="80"/>
      <c r="L537" s="82"/>
      <c r="N537" s="10"/>
      <c r="O537" s="10"/>
      <c r="P537" s="10"/>
      <c r="Q537" s="43"/>
      <c r="R537" s="10"/>
      <c r="T537" s="10"/>
    </row>
    <row r="538" spans="2:20" s="1" customFormat="1" ht="12.95" customHeight="1" x14ac:dyDescent="0.15">
      <c r="B538" s="16">
        <v>1</v>
      </c>
      <c r="C538" s="45"/>
      <c r="D538" s="18"/>
      <c r="E538" s="18"/>
      <c r="F538" s="129"/>
      <c r="G538" s="20"/>
      <c r="H538" s="20">
        <v>1</v>
      </c>
      <c r="I538" s="129">
        <f>J538*$C$32</f>
        <v>0</v>
      </c>
      <c r="J538" s="52">
        <f t="shared" si="33"/>
        <v>0</v>
      </c>
      <c r="K538" s="80"/>
      <c r="L538" s="82"/>
      <c r="N538" s="10"/>
      <c r="O538" s="10"/>
      <c r="P538" s="10"/>
      <c r="Q538" s="43"/>
      <c r="R538" s="10"/>
      <c r="T538" s="10"/>
    </row>
    <row r="539" spans="2:20" s="1" customFormat="1" ht="12.95" customHeight="1" x14ac:dyDescent="0.15">
      <c r="B539" s="16">
        <v>2</v>
      </c>
      <c r="C539" s="44"/>
      <c r="D539" s="18"/>
      <c r="E539" s="18"/>
      <c r="F539" s="129"/>
      <c r="G539" s="20"/>
      <c r="H539" s="20">
        <v>1</v>
      </c>
      <c r="I539" s="129">
        <f>J539*$C$32</f>
        <v>0</v>
      </c>
      <c r="J539" s="52">
        <f t="shared" si="33"/>
        <v>0</v>
      </c>
      <c r="K539" s="80"/>
      <c r="L539" s="82"/>
      <c r="N539" s="10"/>
      <c r="O539" s="10"/>
      <c r="P539" s="10"/>
      <c r="Q539" s="43"/>
      <c r="R539" s="10"/>
      <c r="T539" s="10"/>
    </row>
    <row r="540" spans="2:20" s="1" customFormat="1" ht="12.95" customHeight="1" x14ac:dyDescent="0.15">
      <c r="B540" s="16">
        <v>3</v>
      </c>
      <c r="C540" s="11"/>
      <c r="D540" s="18"/>
      <c r="E540" s="18"/>
      <c r="F540" s="129"/>
      <c r="G540" s="20"/>
      <c r="H540" s="20">
        <v>1</v>
      </c>
      <c r="I540" s="129">
        <f t="shared" ref="I540:I557" si="34">J540*$C$32</f>
        <v>0</v>
      </c>
      <c r="J540" s="52">
        <f t="shared" si="33"/>
        <v>0</v>
      </c>
      <c r="K540" s="80"/>
      <c r="L540" s="82"/>
      <c r="N540" s="10"/>
      <c r="O540" s="10"/>
      <c r="P540" s="10"/>
      <c r="Q540" s="43"/>
      <c r="R540" s="10"/>
      <c r="T540" s="10"/>
    </row>
    <row r="541" spans="2:20" s="1" customFormat="1" ht="12.95" customHeight="1" x14ac:dyDescent="0.2">
      <c r="B541" s="16">
        <v>4</v>
      </c>
      <c r="C541" s="56"/>
      <c r="D541" s="17"/>
      <c r="E541" s="17"/>
      <c r="F541" s="129"/>
      <c r="G541" s="20"/>
      <c r="H541" s="20">
        <v>1</v>
      </c>
      <c r="I541" s="129">
        <f t="shared" si="34"/>
        <v>0</v>
      </c>
      <c r="J541" s="52">
        <f t="shared" si="33"/>
        <v>0</v>
      </c>
      <c r="K541" s="80"/>
      <c r="L541" s="82"/>
      <c r="M541" s="10"/>
      <c r="N541" s="10"/>
      <c r="O541" s="10"/>
      <c r="P541" s="10"/>
      <c r="Q541" s="43"/>
      <c r="R541" s="10"/>
      <c r="T541" s="10"/>
    </row>
    <row r="542" spans="2:20" s="1" customFormat="1" ht="12.95" customHeight="1" x14ac:dyDescent="0.15">
      <c r="B542" s="16">
        <v>5</v>
      </c>
      <c r="C542" s="17"/>
      <c r="D542" s="17"/>
      <c r="E542" s="17"/>
      <c r="F542" s="129"/>
      <c r="G542" s="20"/>
      <c r="H542" s="20">
        <v>1</v>
      </c>
      <c r="I542" s="129">
        <f t="shared" si="34"/>
        <v>0</v>
      </c>
      <c r="J542" s="52">
        <f t="shared" si="33"/>
        <v>0</v>
      </c>
      <c r="K542" s="80"/>
      <c r="L542" s="82"/>
      <c r="M542" s="10"/>
      <c r="N542" s="10"/>
      <c r="O542" s="10"/>
      <c r="P542" s="10"/>
      <c r="Q542" s="43"/>
      <c r="R542" s="10"/>
      <c r="T542" s="10"/>
    </row>
    <row r="543" spans="2:20" s="1" customFormat="1" ht="12.95" customHeight="1" x14ac:dyDescent="0.15">
      <c r="B543" s="16">
        <v>6</v>
      </c>
      <c r="C543" s="17"/>
      <c r="D543" s="17"/>
      <c r="E543" s="17"/>
      <c r="F543" s="129"/>
      <c r="G543" s="20"/>
      <c r="H543" s="20">
        <v>1</v>
      </c>
      <c r="I543" s="129">
        <f t="shared" si="34"/>
        <v>0</v>
      </c>
      <c r="J543" s="52">
        <f t="shared" si="33"/>
        <v>0</v>
      </c>
      <c r="K543" s="80"/>
      <c r="L543" s="82"/>
      <c r="M543" s="10"/>
      <c r="N543" s="10"/>
      <c r="O543" s="10"/>
      <c r="P543" s="10"/>
      <c r="Q543" s="43"/>
      <c r="R543" s="10"/>
      <c r="T543" s="10"/>
    </row>
    <row r="544" spans="2:20" s="1" customFormat="1" ht="12.95" customHeight="1" x14ac:dyDescent="0.15">
      <c r="B544" s="16">
        <v>7</v>
      </c>
      <c r="C544" s="17"/>
      <c r="D544" s="17"/>
      <c r="E544" s="17"/>
      <c r="F544" s="129"/>
      <c r="G544" s="20"/>
      <c r="H544" s="20">
        <v>1</v>
      </c>
      <c r="I544" s="129">
        <f t="shared" si="34"/>
        <v>0</v>
      </c>
      <c r="J544" s="52">
        <f t="shared" si="33"/>
        <v>0</v>
      </c>
      <c r="K544" s="80"/>
      <c r="L544" s="82"/>
      <c r="M544" s="10"/>
      <c r="N544" s="10"/>
      <c r="O544" s="10"/>
      <c r="P544" s="10"/>
      <c r="Q544" s="43"/>
      <c r="R544" s="10"/>
      <c r="T544" s="10"/>
    </row>
    <row r="545" spans="2:20" s="1" customFormat="1" ht="12.95" customHeight="1" x14ac:dyDescent="0.15">
      <c r="B545" s="16">
        <v>8</v>
      </c>
      <c r="C545" s="17"/>
      <c r="D545" s="17"/>
      <c r="E545" s="17"/>
      <c r="F545" s="129"/>
      <c r="G545" s="20"/>
      <c r="H545" s="20">
        <v>1</v>
      </c>
      <c r="I545" s="129">
        <f t="shared" si="34"/>
        <v>0</v>
      </c>
      <c r="J545" s="52">
        <f>(F545*G545*H545)/$C$32</f>
        <v>0</v>
      </c>
      <c r="K545" s="80"/>
      <c r="L545" s="82"/>
    </row>
    <row r="546" spans="2:20" s="1" customFormat="1" ht="12.95" customHeight="1" x14ac:dyDescent="0.15">
      <c r="B546" s="16">
        <v>9</v>
      </c>
      <c r="C546" s="17"/>
      <c r="D546" s="17"/>
      <c r="E546" s="17"/>
      <c r="F546" s="129"/>
      <c r="G546" s="20"/>
      <c r="H546" s="20">
        <v>1</v>
      </c>
      <c r="I546" s="129">
        <f t="shared" si="34"/>
        <v>0</v>
      </c>
      <c r="J546" s="52">
        <f>(F546*G546*H546)/$C$32</f>
        <v>0</v>
      </c>
      <c r="K546" s="80"/>
      <c r="L546" s="82"/>
    </row>
    <row r="547" spans="2:20" s="1" customFormat="1" ht="12.95" customHeight="1" x14ac:dyDescent="0.15">
      <c r="B547" s="16">
        <v>10</v>
      </c>
      <c r="C547" s="17"/>
      <c r="D547" s="17"/>
      <c r="E547" s="17"/>
      <c r="F547" s="129"/>
      <c r="G547" s="20"/>
      <c r="H547" s="20">
        <v>1</v>
      </c>
      <c r="I547" s="129">
        <f t="shared" si="34"/>
        <v>0</v>
      </c>
      <c r="J547" s="52">
        <f t="shared" ref="J547:J557" si="35">(F547*G547*H547)/$C$32</f>
        <v>0</v>
      </c>
      <c r="K547" s="80"/>
      <c r="L547" s="82"/>
      <c r="M547" s="10"/>
      <c r="N547" s="10"/>
      <c r="O547" s="10"/>
      <c r="P547" s="10"/>
      <c r="Q547" s="43"/>
      <c r="R547" s="10"/>
      <c r="T547" s="10"/>
    </row>
    <row r="548" spans="2:20" s="1" customFormat="1" ht="12.95" customHeight="1" x14ac:dyDescent="0.15">
      <c r="B548" s="16">
        <v>11</v>
      </c>
      <c r="C548" s="17"/>
      <c r="D548" s="17"/>
      <c r="E548" s="17"/>
      <c r="F548" s="129"/>
      <c r="G548" s="20"/>
      <c r="H548" s="20">
        <v>1</v>
      </c>
      <c r="I548" s="129">
        <f t="shared" si="34"/>
        <v>0</v>
      </c>
      <c r="J548" s="52">
        <f t="shared" si="35"/>
        <v>0</v>
      </c>
      <c r="K548" s="80"/>
      <c r="L548" s="82"/>
      <c r="M548" s="10"/>
      <c r="N548" s="10"/>
      <c r="O548" s="10"/>
      <c r="P548" s="10"/>
      <c r="Q548" s="43"/>
      <c r="R548" s="10"/>
      <c r="T548" s="10"/>
    </row>
    <row r="549" spans="2:20" s="1" customFormat="1" ht="12.95" customHeight="1" x14ac:dyDescent="0.15">
      <c r="B549" s="16">
        <v>12</v>
      </c>
      <c r="C549" s="17"/>
      <c r="D549" s="17"/>
      <c r="E549" s="17"/>
      <c r="F549" s="129"/>
      <c r="G549" s="20"/>
      <c r="H549" s="20">
        <v>1</v>
      </c>
      <c r="I549" s="129">
        <f t="shared" si="34"/>
        <v>0</v>
      </c>
      <c r="J549" s="52">
        <f t="shared" si="35"/>
        <v>0</v>
      </c>
      <c r="K549" s="80"/>
      <c r="L549" s="82"/>
      <c r="M549" s="10"/>
      <c r="N549" s="10"/>
      <c r="O549" s="10"/>
      <c r="P549" s="10"/>
      <c r="Q549" s="43"/>
      <c r="R549" s="10"/>
      <c r="T549" s="10"/>
    </row>
    <row r="550" spans="2:20" s="1" customFormat="1" ht="12.95" customHeight="1" x14ac:dyDescent="0.15">
      <c r="B550" s="16">
        <v>13</v>
      </c>
      <c r="C550" s="17"/>
      <c r="D550" s="17"/>
      <c r="E550" s="17"/>
      <c r="F550" s="129"/>
      <c r="G550" s="20"/>
      <c r="H550" s="20">
        <v>1</v>
      </c>
      <c r="I550" s="129">
        <f t="shared" si="34"/>
        <v>0</v>
      </c>
      <c r="J550" s="52">
        <f t="shared" si="35"/>
        <v>0</v>
      </c>
      <c r="K550" s="80"/>
      <c r="L550" s="82"/>
      <c r="M550" s="10"/>
      <c r="N550" s="10"/>
      <c r="O550" s="10"/>
      <c r="P550" s="10"/>
      <c r="Q550" s="43"/>
      <c r="R550" s="10"/>
      <c r="T550" s="10"/>
    </row>
    <row r="551" spans="2:20" s="1" customFormat="1" ht="12.95" customHeight="1" x14ac:dyDescent="0.15">
      <c r="B551" s="16">
        <v>14</v>
      </c>
      <c r="C551" s="17"/>
      <c r="D551" s="17"/>
      <c r="E551" s="17"/>
      <c r="F551" s="129"/>
      <c r="G551" s="20"/>
      <c r="H551" s="20">
        <v>1</v>
      </c>
      <c r="I551" s="129">
        <f t="shared" si="34"/>
        <v>0</v>
      </c>
      <c r="J551" s="52">
        <f t="shared" si="35"/>
        <v>0</v>
      </c>
      <c r="K551" s="80"/>
      <c r="L551" s="82"/>
      <c r="M551" s="10"/>
      <c r="N551" s="10"/>
      <c r="O551" s="10"/>
      <c r="P551" s="10"/>
      <c r="Q551" s="43"/>
      <c r="R551" s="10"/>
      <c r="T551" s="10"/>
    </row>
    <row r="552" spans="2:20" s="1" customFormat="1" ht="12.95" customHeight="1" x14ac:dyDescent="0.15">
      <c r="B552" s="16">
        <v>15</v>
      </c>
      <c r="C552" s="17"/>
      <c r="D552" s="17"/>
      <c r="E552" s="17"/>
      <c r="F552" s="129"/>
      <c r="G552" s="20"/>
      <c r="H552" s="20">
        <v>1</v>
      </c>
      <c r="I552" s="129">
        <f t="shared" si="34"/>
        <v>0</v>
      </c>
      <c r="J552" s="52">
        <f t="shared" si="35"/>
        <v>0</v>
      </c>
      <c r="K552" s="80"/>
      <c r="L552" s="82"/>
      <c r="M552" s="10"/>
      <c r="N552" s="10"/>
      <c r="O552" s="10"/>
      <c r="P552" s="10"/>
      <c r="Q552" s="43"/>
      <c r="R552" s="10"/>
      <c r="T552" s="10"/>
    </row>
    <row r="553" spans="2:20" s="1" customFormat="1" ht="12.95" customHeight="1" x14ac:dyDescent="0.15">
      <c r="B553" s="16">
        <v>16</v>
      </c>
      <c r="C553" s="17"/>
      <c r="D553" s="17"/>
      <c r="E553" s="17"/>
      <c r="F553" s="129"/>
      <c r="G553" s="20"/>
      <c r="H553" s="20">
        <v>1</v>
      </c>
      <c r="I553" s="129">
        <f t="shared" si="34"/>
        <v>0</v>
      </c>
      <c r="J553" s="52">
        <f t="shared" si="35"/>
        <v>0</v>
      </c>
      <c r="K553" s="80"/>
      <c r="L553" s="82"/>
      <c r="M553" s="10"/>
      <c r="N553" s="10"/>
      <c r="O553" s="10"/>
      <c r="P553" s="10"/>
      <c r="Q553" s="43"/>
      <c r="R553" s="10"/>
      <c r="T553" s="10"/>
    </row>
    <row r="554" spans="2:20" s="1" customFormat="1" ht="12.95" customHeight="1" x14ac:dyDescent="0.15">
      <c r="B554" s="16">
        <v>17</v>
      </c>
      <c r="C554" s="17"/>
      <c r="D554" s="17"/>
      <c r="E554" s="17"/>
      <c r="F554" s="129"/>
      <c r="G554" s="20"/>
      <c r="H554" s="20">
        <v>1</v>
      </c>
      <c r="I554" s="129">
        <f t="shared" si="34"/>
        <v>0</v>
      </c>
      <c r="J554" s="52">
        <f t="shared" si="35"/>
        <v>0</v>
      </c>
      <c r="K554" s="80"/>
      <c r="L554" s="82"/>
      <c r="M554" s="10"/>
      <c r="N554" s="10"/>
      <c r="O554" s="10"/>
      <c r="P554" s="10"/>
      <c r="Q554" s="43"/>
      <c r="R554" s="10"/>
      <c r="T554" s="10"/>
    </row>
    <row r="555" spans="2:20" s="1" customFormat="1" ht="12.95" customHeight="1" x14ac:dyDescent="0.15">
      <c r="B555" s="16">
        <v>18</v>
      </c>
      <c r="C555" s="17"/>
      <c r="D555" s="17"/>
      <c r="E555" s="17"/>
      <c r="F555" s="129"/>
      <c r="G555" s="20"/>
      <c r="H555" s="20">
        <v>1</v>
      </c>
      <c r="I555" s="129">
        <f t="shared" si="34"/>
        <v>0</v>
      </c>
      <c r="J555" s="265">
        <f t="shared" si="35"/>
        <v>0</v>
      </c>
      <c r="K555" s="111"/>
      <c r="L555" s="119"/>
      <c r="M555" s="10"/>
      <c r="N555" s="10"/>
      <c r="O555" s="10"/>
      <c r="P555" s="10"/>
      <c r="Q555" s="43"/>
      <c r="R555" s="10"/>
      <c r="T555" s="10"/>
    </row>
    <row r="556" spans="2:20" s="1" customFormat="1" ht="12.95" customHeight="1" x14ac:dyDescent="0.15">
      <c r="B556" s="16">
        <v>19</v>
      </c>
      <c r="C556" s="17"/>
      <c r="D556" s="17"/>
      <c r="E556" s="17"/>
      <c r="F556" s="129"/>
      <c r="G556" s="20"/>
      <c r="H556" s="20">
        <v>1</v>
      </c>
      <c r="I556" s="262">
        <f t="shared" si="34"/>
        <v>0</v>
      </c>
      <c r="J556" s="266">
        <f t="shared" si="35"/>
        <v>0</v>
      </c>
      <c r="K556" s="82"/>
      <c r="L556" s="82"/>
      <c r="M556" s="10"/>
      <c r="N556" s="10"/>
      <c r="O556" s="10"/>
      <c r="P556" s="10"/>
      <c r="Q556" s="43"/>
      <c r="R556" s="10"/>
      <c r="T556" s="10"/>
    </row>
    <row r="557" spans="2:20" s="1" customFormat="1" ht="12.95" customHeight="1" x14ac:dyDescent="0.15">
      <c r="B557" s="16">
        <v>20</v>
      </c>
      <c r="C557" s="17"/>
      <c r="D557" s="17"/>
      <c r="E557" s="17"/>
      <c r="F557" s="129"/>
      <c r="G557" s="20"/>
      <c r="H557" s="20">
        <v>1</v>
      </c>
      <c r="I557" s="262">
        <f t="shared" si="34"/>
        <v>0</v>
      </c>
      <c r="J557" s="266">
        <f t="shared" si="35"/>
        <v>0</v>
      </c>
      <c r="K557" s="82"/>
      <c r="L557" s="82"/>
      <c r="M557" s="10"/>
      <c r="N557" s="10"/>
      <c r="O557" s="10"/>
      <c r="P557" s="10"/>
      <c r="Q557" s="43"/>
      <c r="R557" s="10"/>
      <c r="T557" s="10"/>
    </row>
    <row r="558" spans="2:20" s="1" customFormat="1" ht="12.95" customHeight="1" x14ac:dyDescent="0.15">
      <c r="B558" s="83"/>
      <c r="C558" s="160"/>
      <c r="D558" s="160"/>
      <c r="E558" s="160"/>
      <c r="F558" s="132"/>
      <c r="G558" s="76"/>
      <c r="H558" s="76"/>
      <c r="I558" s="263"/>
      <c r="J558" s="184"/>
      <c r="K558" s="82"/>
      <c r="L558" s="82"/>
      <c r="M558" s="10"/>
      <c r="N558" s="10"/>
      <c r="O558" s="10"/>
      <c r="P558" s="10"/>
      <c r="Q558" s="43"/>
      <c r="R558" s="10"/>
      <c r="T558" s="10"/>
    </row>
    <row r="559" spans="2:20" s="1" customFormat="1" ht="12.75" x14ac:dyDescent="0.15">
      <c r="B559" s="82"/>
      <c r="C559" s="102"/>
      <c r="D559" s="103"/>
      <c r="E559" s="102"/>
      <c r="F559" s="128">
        <f>SUM(F499:F558)</f>
        <v>0</v>
      </c>
      <c r="G559" s="104"/>
      <c r="H559" s="105"/>
      <c r="I559" s="256">
        <f>SUM(I501:I558)</f>
        <v>0</v>
      </c>
      <c r="J559" s="257">
        <f>SUM(J499:J558)</f>
        <v>0</v>
      </c>
    </row>
    <row r="560" spans="2:20" s="67" customFormat="1" ht="12.75" x14ac:dyDescent="0.15">
      <c r="B560" s="116"/>
      <c r="C560" s="114"/>
      <c r="D560" s="114"/>
      <c r="E560" s="114" t="s">
        <v>147</v>
      </c>
      <c r="F560" s="162">
        <f>100/115*F559</f>
        <v>0</v>
      </c>
      <c r="G560" s="114"/>
      <c r="H560" s="114" t="s">
        <v>147</v>
      </c>
      <c r="I560" s="264">
        <f>100/115*I559</f>
        <v>0</v>
      </c>
      <c r="J560" s="114"/>
    </row>
    <row r="561" spans="2:13" s="1" customFormat="1" ht="13.5" customHeight="1" x14ac:dyDescent="0.15"/>
    <row r="562" spans="2:13" s="1" customFormat="1" ht="16.899999999999999" customHeight="1" x14ac:dyDescent="0.15"/>
    <row r="563" spans="2:13" s="1" customFormat="1" ht="13.5" customHeight="1" x14ac:dyDescent="0.15"/>
    <row r="564" spans="2:13" s="1" customFormat="1" ht="13.5" customHeight="1" x14ac:dyDescent="0.15"/>
    <row r="565" spans="2:13" s="247" customFormat="1" ht="32.25" x14ac:dyDescent="0.4">
      <c r="B565" s="248"/>
      <c r="C565" s="380" t="s">
        <v>112</v>
      </c>
      <c r="D565" s="380"/>
      <c r="E565" s="428" t="s">
        <v>162</v>
      </c>
      <c r="F565" s="428"/>
      <c r="G565" s="428"/>
      <c r="H565" s="428"/>
      <c r="I565" s="428"/>
      <c r="J565" s="382">
        <v>2026</v>
      </c>
      <c r="K565" s="382"/>
      <c r="L565" s="382"/>
    </row>
    <row r="566" spans="2:13" s="1" customFormat="1" ht="42" customHeight="1" x14ac:dyDescent="0.15">
      <c r="B566" s="82"/>
      <c r="C566" s="102" t="s">
        <v>114</v>
      </c>
      <c r="D566" s="388" t="s">
        <v>115</v>
      </c>
      <c r="E566" s="388"/>
      <c r="F566" s="102" t="s">
        <v>116</v>
      </c>
      <c r="G566" s="102" t="s">
        <v>117</v>
      </c>
      <c r="H566" s="102" t="s">
        <v>118</v>
      </c>
      <c r="I566" s="102" t="s">
        <v>119</v>
      </c>
      <c r="J566" s="102" t="s">
        <v>120</v>
      </c>
      <c r="K566" s="82"/>
      <c r="L566" s="82"/>
    </row>
    <row r="567" spans="2:13" s="1" customFormat="1" ht="12.95" customHeight="1" x14ac:dyDescent="0.15">
      <c r="B567" s="84"/>
      <c r="C567" s="149">
        <f>C497</f>
        <v>250</v>
      </c>
      <c r="D567" s="412">
        <v>21</v>
      </c>
      <c r="E567" s="412"/>
      <c r="F567" s="146">
        <f>F497</f>
        <v>0.75</v>
      </c>
      <c r="G567" s="147">
        <f>G497</f>
        <v>8</v>
      </c>
      <c r="H567" s="148">
        <f>D567*G567*F567</f>
        <v>126</v>
      </c>
      <c r="I567" s="149">
        <f>I629</f>
        <v>0</v>
      </c>
      <c r="J567" s="150">
        <f>H567-J629</f>
        <v>126</v>
      </c>
      <c r="K567" s="79"/>
      <c r="L567" s="120"/>
    </row>
    <row r="568" spans="2:13" s="1" customFormat="1" ht="33.75" x14ac:dyDescent="0.15">
      <c r="B568" s="16"/>
      <c r="C568" s="22" t="s">
        <v>121</v>
      </c>
      <c r="D568" s="413" t="s">
        <v>122</v>
      </c>
      <c r="E568" s="413"/>
      <c r="F568" s="33" t="s">
        <v>123</v>
      </c>
      <c r="G568" s="34" t="s">
        <v>124</v>
      </c>
      <c r="H568" s="35" t="s">
        <v>125</v>
      </c>
      <c r="I568" s="125" t="s">
        <v>126</v>
      </c>
      <c r="J568" s="34" t="s">
        <v>127</v>
      </c>
      <c r="K568" s="107" t="s">
        <v>128</v>
      </c>
      <c r="L568" s="123" t="s">
        <v>129</v>
      </c>
    </row>
    <row r="569" spans="2:13" s="1" customFormat="1" ht="12.75" x14ac:dyDescent="0.15">
      <c r="B569" s="16"/>
      <c r="C569" s="22"/>
      <c r="D569" s="32"/>
      <c r="E569" s="32"/>
      <c r="F569" s="33"/>
      <c r="G569" s="34"/>
      <c r="H569" s="35"/>
      <c r="I569" s="125"/>
      <c r="J569" s="34"/>
      <c r="K569" s="110"/>
      <c r="L569" s="117"/>
    </row>
    <row r="570" spans="2:13" s="1" customFormat="1" ht="12.75" x14ac:dyDescent="0.15">
      <c r="B570" s="16"/>
      <c r="C570" s="22" t="s">
        <v>130</v>
      </c>
      <c r="D570" s="32"/>
      <c r="E570" s="32"/>
      <c r="F570" s="151"/>
      <c r="G570" s="34"/>
      <c r="H570" s="35"/>
      <c r="I570" s="125"/>
      <c r="J570" s="34"/>
      <c r="K570" s="110"/>
      <c r="L570" s="117"/>
    </row>
    <row r="571" spans="2:13" s="1" customFormat="1" ht="12.75" customHeight="1" x14ac:dyDescent="0.15">
      <c r="B571" s="16"/>
      <c r="C571" s="37" t="s">
        <v>149</v>
      </c>
      <c r="D571" s="24"/>
      <c r="E571" s="24"/>
      <c r="F571" s="129"/>
      <c r="G571" s="20"/>
      <c r="H571" s="20"/>
      <c r="I571" s="126"/>
      <c r="J571" s="38"/>
      <c r="K571" s="80"/>
      <c r="L571" s="82"/>
    </row>
    <row r="572" spans="2:13" s="4" customFormat="1" ht="12.75" customHeight="1" x14ac:dyDescent="0.15">
      <c r="B572" s="26">
        <v>1</v>
      </c>
      <c r="C572" s="17"/>
      <c r="D572" s="24"/>
      <c r="E572" s="24"/>
      <c r="F572" s="129"/>
      <c r="G572" s="20"/>
      <c r="H572" s="20">
        <v>1</v>
      </c>
      <c r="I572" s="129">
        <f t="shared" ref="I572:I589" si="36">J572*$C$32</f>
        <v>0</v>
      </c>
      <c r="J572" s="52">
        <f t="shared" ref="J572:J585" si="37">(F572*G572*H572)/$C$32</f>
        <v>0</v>
      </c>
      <c r="K572" s="108"/>
      <c r="L572" s="113"/>
    </row>
    <row r="573" spans="2:13" s="4" customFormat="1" ht="12.75" customHeight="1" x14ac:dyDescent="0.15">
      <c r="B573" s="26">
        <v>2</v>
      </c>
      <c r="C573" s="17"/>
      <c r="D573" s="24"/>
      <c r="E573" s="24"/>
      <c r="F573" s="129"/>
      <c r="G573" s="20"/>
      <c r="H573" s="20">
        <v>1</v>
      </c>
      <c r="I573" s="129">
        <f t="shared" si="36"/>
        <v>0</v>
      </c>
      <c r="J573" s="52">
        <f t="shared" si="37"/>
        <v>0</v>
      </c>
      <c r="K573" s="108"/>
      <c r="L573" s="113"/>
      <c r="M573" s="144"/>
    </row>
    <row r="574" spans="2:13" s="4" customFormat="1" ht="12.95" customHeight="1" x14ac:dyDescent="0.15">
      <c r="B574" s="26">
        <v>3</v>
      </c>
      <c r="C574" s="17"/>
      <c r="D574" s="24"/>
      <c r="E574" s="24"/>
      <c r="F574" s="129"/>
      <c r="G574" s="20"/>
      <c r="H574" s="20">
        <v>1</v>
      </c>
      <c r="I574" s="129">
        <f t="shared" si="36"/>
        <v>0</v>
      </c>
      <c r="J574" s="52">
        <f t="shared" si="37"/>
        <v>0</v>
      </c>
      <c r="K574" s="108"/>
      <c r="L574" s="113"/>
      <c r="M574" s="145"/>
    </row>
    <row r="575" spans="2:13" s="4" customFormat="1" ht="12.95" customHeight="1" x14ac:dyDescent="0.15">
      <c r="B575" s="26">
        <v>4</v>
      </c>
      <c r="C575" s="16"/>
      <c r="D575" s="18"/>
      <c r="E575" s="18"/>
      <c r="F575" s="129"/>
      <c r="G575" s="20"/>
      <c r="H575" s="20">
        <v>1</v>
      </c>
      <c r="I575" s="129">
        <f t="shared" si="36"/>
        <v>0</v>
      </c>
      <c r="J575" s="52">
        <f t="shared" si="37"/>
        <v>0</v>
      </c>
      <c r="K575" s="108"/>
      <c r="L575" s="113"/>
    </row>
    <row r="576" spans="2:13" s="4" customFormat="1" ht="12.95" customHeight="1" x14ac:dyDescent="0.15">
      <c r="B576" s="26">
        <v>5</v>
      </c>
      <c r="C576" s="17"/>
      <c r="D576" s="53"/>
      <c r="E576" s="53"/>
      <c r="F576" s="129"/>
      <c r="G576" s="20"/>
      <c r="H576" s="20">
        <v>1</v>
      </c>
      <c r="I576" s="129">
        <f t="shared" si="36"/>
        <v>0</v>
      </c>
      <c r="J576" s="27">
        <f t="shared" si="37"/>
        <v>0</v>
      </c>
      <c r="K576" s="108"/>
      <c r="L576" s="113"/>
    </row>
    <row r="577" spans="2:12" s="4" customFormat="1" ht="12.95" customHeight="1" x14ac:dyDescent="0.15">
      <c r="B577" s="26">
        <v>6</v>
      </c>
      <c r="C577" s="17"/>
      <c r="D577" s="24"/>
      <c r="E577" s="24"/>
      <c r="F577" s="129"/>
      <c r="G577" s="20"/>
      <c r="H577" s="20">
        <v>1</v>
      </c>
      <c r="I577" s="129">
        <f t="shared" si="36"/>
        <v>0</v>
      </c>
      <c r="J577" s="52">
        <f t="shared" si="37"/>
        <v>0</v>
      </c>
      <c r="K577" s="108"/>
      <c r="L577" s="113"/>
    </row>
    <row r="578" spans="2:12" s="4" customFormat="1" ht="12.95" customHeight="1" x14ac:dyDescent="0.15">
      <c r="B578" s="26">
        <v>7</v>
      </c>
      <c r="C578" s="17"/>
      <c r="D578" s="22"/>
      <c r="E578" s="22"/>
      <c r="F578" s="129"/>
      <c r="G578" s="20"/>
      <c r="H578" s="20">
        <v>1</v>
      </c>
      <c r="I578" s="129">
        <f t="shared" si="36"/>
        <v>0</v>
      </c>
      <c r="J578" s="27">
        <f t="shared" si="37"/>
        <v>0</v>
      </c>
      <c r="K578" s="108"/>
      <c r="L578" s="113"/>
    </row>
    <row r="579" spans="2:12" s="4" customFormat="1" ht="12.95" customHeight="1" x14ac:dyDescent="0.15">
      <c r="B579" s="26">
        <v>8</v>
      </c>
      <c r="C579" s="17"/>
      <c r="D579" s="18"/>
      <c r="E579" s="24"/>
      <c r="F579" s="129"/>
      <c r="G579" s="20"/>
      <c r="H579" s="20">
        <v>1</v>
      </c>
      <c r="I579" s="129">
        <f t="shared" si="36"/>
        <v>0</v>
      </c>
      <c r="J579" s="52">
        <f t="shared" si="37"/>
        <v>0</v>
      </c>
      <c r="K579" s="108"/>
      <c r="L579" s="113"/>
    </row>
    <row r="580" spans="2:12" s="4" customFormat="1" ht="12.95" customHeight="1" x14ac:dyDescent="0.15">
      <c r="B580" s="26">
        <v>9</v>
      </c>
      <c r="C580" s="17"/>
      <c r="D580" s="18"/>
      <c r="E580" s="24"/>
      <c r="F580" s="129"/>
      <c r="G580" s="20"/>
      <c r="H580" s="20">
        <v>1</v>
      </c>
      <c r="I580" s="129">
        <f t="shared" si="36"/>
        <v>0</v>
      </c>
      <c r="J580" s="52">
        <f t="shared" si="37"/>
        <v>0</v>
      </c>
      <c r="K580" s="108"/>
      <c r="L580" s="113"/>
    </row>
    <row r="581" spans="2:12" s="4" customFormat="1" ht="12.95" customHeight="1" x14ac:dyDescent="0.15">
      <c r="B581" s="26">
        <v>10</v>
      </c>
      <c r="C581" s="17"/>
      <c r="D581" s="24"/>
      <c r="E581" s="18"/>
      <c r="F581" s="129"/>
      <c r="G581" s="20"/>
      <c r="H581" s="20">
        <v>1</v>
      </c>
      <c r="I581" s="129">
        <f t="shared" si="36"/>
        <v>0</v>
      </c>
      <c r="J581" s="52">
        <f t="shared" si="37"/>
        <v>0</v>
      </c>
      <c r="K581" s="108"/>
      <c r="L581" s="113"/>
    </row>
    <row r="582" spans="2:12" s="4" customFormat="1" ht="12.95" customHeight="1" x14ac:dyDescent="0.15">
      <c r="B582" s="26"/>
      <c r="C582" s="17"/>
      <c r="D582" s="24"/>
      <c r="E582" s="18"/>
      <c r="F582" s="129"/>
      <c r="G582" s="20"/>
      <c r="H582" s="20"/>
      <c r="I582" s="129"/>
      <c r="J582" s="52"/>
      <c r="K582" s="108"/>
      <c r="L582" s="113"/>
    </row>
    <row r="583" spans="2:12" s="4" customFormat="1" ht="12.95" customHeight="1" x14ac:dyDescent="0.15">
      <c r="B583" s="26"/>
      <c r="C583" s="17"/>
      <c r="D583" s="24"/>
      <c r="E583" s="18"/>
      <c r="F583" s="129"/>
      <c r="G583" s="20"/>
      <c r="H583" s="20"/>
      <c r="I583" s="129"/>
      <c r="J583" s="52"/>
      <c r="K583" s="108"/>
      <c r="L583" s="113"/>
    </row>
    <row r="584" spans="2:12" s="4" customFormat="1" ht="12.95" customHeight="1" x14ac:dyDescent="0.15">
      <c r="B584" s="26"/>
      <c r="C584" s="22" t="s">
        <v>153</v>
      </c>
      <c r="D584" s="24"/>
      <c r="E584" s="18"/>
      <c r="F584" s="129"/>
      <c r="G584" s="20"/>
      <c r="H584" s="20"/>
      <c r="I584" s="129"/>
      <c r="J584" s="52"/>
      <c r="K584" s="108"/>
      <c r="L584" s="113"/>
    </row>
    <row r="585" spans="2:12" s="4" customFormat="1" ht="12.95" customHeight="1" x14ac:dyDescent="0.15">
      <c r="B585" s="26">
        <v>1</v>
      </c>
      <c r="C585" s="17"/>
      <c r="D585" s="24"/>
      <c r="E585" s="24"/>
      <c r="F585" s="129"/>
      <c r="G585" s="20"/>
      <c r="H585" s="20">
        <v>1</v>
      </c>
      <c r="I585" s="129">
        <f t="shared" si="36"/>
        <v>0</v>
      </c>
      <c r="J585" s="52">
        <f t="shared" si="37"/>
        <v>0</v>
      </c>
      <c r="K585" s="108"/>
      <c r="L585" s="113"/>
    </row>
    <row r="586" spans="2:12" s="4" customFormat="1" ht="12.95" customHeight="1" x14ac:dyDescent="0.15">
      <c r="B586" s="26">
        <v>2</v>
      </c>
      <c r="C586" s="17"/>
      <c r="D586" s="24"/>
      <c r="E586" s="24"/>
      <c r="F586" s="129"/>
      <c r="G586" s="20"/>
      <c r="H586" s="20">
        <v>1</v>
      </c>
      <c r="I586" s="129">
        <f t="shared" si="36"/>
        <v>0</v>
      </c>
      <c r="J586" s="52">
        <f>(F586*G586*H586)/$C$32</f>
        <v>0</v>
      </c>
      <c r="K586" s="108"/>
      <c r="L586" s="113"/>
    </row>
    <row r="587" spans="2:12" s="4" customFormat="1" ht="12.95" customHeight="1" x14ac:dyDescent="0.15">
      <c r="B587" s="26">
        <v>3</v>
      </c>
      <c r="C587" s="24"/>
      <c r="D587" s="24"/>
      <c r="E587" s="24"/>
      <c r="F587" s="129"/>
      <c r="G587" s="20"/>
      <c r="H587" s="20">
        <v>1</v>
      </c>
      <c r="I587" s="129">
        <f t="shared" si="36"/>
        <v>0</v>
      </c>
      <c r="J587" s="52">
        <f>(F587*G587*H587)/$C$32</f>
        <v>0</v>
      </c>
      <c r="K587" s="108"/>
      <c r="L587" s="113"/>
    </row>
    <row r="588" spans="2:12" s="4" customFormat="1" ht="12.95" customHeight="1" x14ac:dyDescent="0.15">
      <c r="B588" s="26">
        <v>4</v>
      </c>
      <c r="C588" s="24"/>
      <c r="D588" s="18"/>
      <c r="E588" s="18"/>
      <c r="F588" s="129"/>
      <c r="G588" s="20"/>
      <c r="H588" s="20">
        <v>1</v>
      </c>
      <c r="I588" s="129">
        <f t="shared" si="36"/>
        <v>0</v>
      </c>
      <c r="J588" s="27">
        <f t="shared" ref="J588:J590" si="38">(F588*G588*H588)/$C$32</f>
        <v>0</v>
      </c>
      <c r="K588" s="108"/>
      <c r="L588" s="113"/>
    </row>
    <row r="589" spans="2:12" s="4" customFormat="1" ht="14.85" customHeight="1" x14ac:dyDescent="0.15">
      <c r="B589" s="26">
        <v>5</v>
      </c>
      <c r="C589" s="24"/>
      <c r="D589" s="24"/>
      <c r="E589" s="24"/>
      <c r="F589" s="129"/>
      <c r="G589" s="20"/>
      <c r="H589" s="20">
        <v>1</v>
      </c>
      <c r="I589" s="129">
        <f t="shared" si="36"/>
        <v>0</v>
      </c>
      <c r="J589" s="52">
        <f t="shared" si="38"/>
        <v>0</v>
      </c>
      <c r="K589" s="108"/>
      <c r="L589" s="113"/>
    </row>
    <row r="590" spans="2:12" s="4" customFormat="1" ht="12.95" customHeight="1" x14ac:dyDescent="0.15">
      <c r="B590" s="26">
        <v>6</v>
      </c>
      <c r="C590" s="17"/>
      <c r="D590" s="18"/>
      <c r="E590" s="18"/>
      <c r="F590" s="129"/>
      <c r="G590" s="20"/>
      <c r="H590" s="20">
        <v>1</v>
      </c>
      <c r="I590" s="129">
        <f>J590*$C$32</f>
        <v>0</v>
      </c>
      <c r="J590" s="27">
        <f t="shared" si="38"/>
        <v>0</v>
      </c>
      <c r="K590" s="108"/>
      <c r="L590" s="113"/>
    </row>
    <row r="591" spans="2:12" s="4" customFormat="1" ht="12.95" customHeight="1" x14ac:dyDescent="0.15">
      <c r="B591" s="26">
        <v>7</v>
      </c>
      <c r="C591" s="17"/>
      <c r="D591" s="24"/>
      <c r="E591" s="24"/>
      <c r="F591" s="129"/>
      <c r="G591" s="20"/>
      <c r="H591" s="20">
        <v>1</v>
      </c>
      <c r="I591" s="129">
        <f t="shared" ref="I591" si="39">J591*$C$32</f>
        <v>0</v>
      </c>
      <c r="J591" s="54">
        <f>(F591*G591*H591)/$C$32</f>
        <v>0</v>
      </c>
      <c r="K591" s="108"/>
      <c r="L591" s="113"/>
    </row>
    <row r="592" spans="2:12" s="4" customFormat="1" ht="12.95" customHeight="1" x14ac:dyDescent="0.15">
      <c r="B592" s="26">
        <v>8</v>
      </c>
      <c r="C592" s="17"/>
      <c r="D592" s="24"/>
      <c r="E592" s="24"/>
      <c r="F592" s="129"/>
      <c r="G592" s="20"/>
      <c r="H592" s="20">
        <v>1</v>
      </c>
      <c r="I592" s="129">
        <f>J592*$C$32</f>
        <v>0</v>
      </c>
      <c r="J592" s="54">
        <f>(F592*G592*H592)/$C$32</f>
        <v>0</v>
      </c>
      <c r="K592" s="108"/>
      <c r="L592" s="113"/>
    </row>
    <row r="593" spans="2:20" s="4" customFormat="1" ht="12.95" customHeight="1" x14ac:dyDescent="0.15">
      <c r="B593" s="26">
        <v>9</v>
      </c>
      <c r="C593" s="17"/>
      <c r="D593" s="24"/>
      <c r="E593" s="24"/>
      <c r="F593" s="129"/>
      <c r="G593" s="20"/>
      <c r="H593" s="20">
        <v>1</v>
      </c>
      <c r="I593" s="129">
        <f t="shared" ref="I593:I604" si="40">J593*$C$32</f>
        <v>0</v>
      </c>
      <c r="J593" s="52">
        <f t="shared" ref="J593:J604" si="41">(F593*G593*H593)/$C$32</f>
        <v>0</v>
      </c>
      <c r="K593" s="108"/>
      <c r="L593" s="113"/>
    </row>
    <row r="594" spans="2:20" s="4" customFormat="1" ht="12.95" customHeight="1" x14ac:dyDescent="0.15">
      <c r="B594" s="26">
        <v>10</v>
      </c>
      <c r="C594" s="17"/>
      <c r="D594" s="24"/>
      <c r="E594" s="24"/>
      <c r="F594" s="129"/>
      <c r="G594" s="20"/>
      <c r="H594" s="20">
        <v>1</v>
      </c>
      <c r="I594" s="129">
        <f t="shared" si="40"/>
        <v>0</v>
      </c>
      <c r="J594" s="52">
        <f t="shared" si="41"/>
        <v>0</v>
      </c>
      <c r="K594" s="108"/>
      <c r="L594" s="113"/>
    </row>
    <row r="595" spans="2:20" s="4" customFormat="1" ht="12.95" customHeight="1" x14ac:dyDescent="0.15">
      <c r="B595" s="26">
        <v>11</v>
      </c>
      <c r="C595" s="17"/>
      <c r="D595" s="24"/>
      <c r="E595" s="24"/>
      <c r="F595" s="129"/>
      <c r="G595" s="20"/>
      <c r="H595" s="20">
        <v>1</v>
      </c>
      <c r="I595" s="129">
        <f t="shared" si="40"/>
        <v>0</v>
      </c>
      <c r="J595" s="52">
        <f t="shared" si="41"/>
        <v>0</v>
      </c>
      <c r="K595" s="108"/>
      <c r="L595" s="113"/>
    </row>
    <row r="596" spans="2:20" s="4" customFormat="1" ht="12.95" customHeight="1" x14ac:dyDescent="0.15">
      <c r="B596" s="26">
        <v>12</v>
      </c>
      <c r="C596" s="17"/>
      <c r="D596" s="24"/>
      <c r="E596" s="24"/>
      <c r="F596" s="129"/>
      <c r="G596" s="20"/>
      <c r="H596" s="20">
        <v>1</v>
      </c>
      <c r="I596" s="129">
        <f t="shared" si="40"/>
        <v>0</v>
      </c>
      <c r="J596" s="52">
        <f t="shared" si="41"/>
        <v>0</v>
      </c>
      <c r="K596" s="108"/>
      <c r="L596" s="113"/>
    </row>
    <row r="597" spans="2:20" s="4" customFormat="1" ht="12.95" customHeight="1" x14ac:dyDescent="0.15">
      <c r="B597" s="26">
        <v>13</v>
      </c>
      <c r="C597" s="17"/>
      <c r="D597" s="18"/>
      <c r="E597" s="18"/>
      <c r="F597" s="129"/>
      <c r="G597" s="20"/>
      <c r="H597" s="20">
        <v>1</v>
      </c>
      <c r="I597" s="129">
        <f t="shared" si="40"/>
        <v>0</v>
      </c>
      <c r="J597" s="52">
        <f t="shared" si="41"/>
        <v>0</v>
      </c>
      <c r="K597" s="108"/>
      <c r="L597" s="113"/>
    </row>
    <row r="598" spans="2:20" s="4" customFormat="1" ht="12.95" customHeight="1" x14ac:dyDescent="0.15">
      <c r="B598" s="26">
        <v>14</v>
      </c>
      <c r="C598" s="17"/>
      <c r="D598" s="18"/>
      <c r="E598" s="18"/>
      <c r="F598" s="129"/>
      <c r="G598" s="20"/>
      <c r="H598" s="20">
        <v>1</v>
      </c>
      <c r="I598" s="129">
        <f t="shared" si="40"/>
        <v>0</v>
      </c>
      <c r="J598" s="52">
        <f t="shared" si="41"/>
        <v>0</v>
      </c>
      <c r="K598" s="108"/>
      <c r="L598" s="113"/>
    </row>
    <row r="599" spans="2:20" s="4" customFormat="1" ht="12.95" customHeight="1" x14ac:dyDescent="0.15">
      <c r="B599" s="26">
        <v>15</v>
      </c>
      <c r="C599" s="17"/>
      <c r="D599" s="18"/>
      <c r="E599" s="18"/>
      <c r="F599" s="129"/>
      <c r="G599" s="20"/>
      <c r="H599" s="20">
        <v>1</v>
      </c>
      <c r="I599" s="129">
        <f t="shared" si="40"/>
        <v>0</v>
      </c>
      <c r="J599" s="52">
        <f t="shared" si="41"/>
        <v>0</v>
      </c>
      <c r="K599" s="108"/>
      <c r="L599" s="113"/>
    </row>
    <row r="600" spans="2:20" s="4" customFormat="1" ht="12.95" customHeight="1" x14ac:dyDescent="0.15">
      <c r="B600" s="26">
        <v>16</v>
      </c>
      <c r="C600" s="11"/>
      <c r="D600" s="18"/>
      <c r="E600" s="18"/>
      <c r="F600" s="129"/>
      <c r="G600" s="20"/>
      <c r="H600" s="20">
        <v>1</v>
      </c>
      <c r="I600" s="126">
        <f t="shared" si="40"/>
        <v>0</v>
      </c>
      <c r="J600" s="21">
        <f t="shared" si="41"/>
        <v>0</v>
      </c>
      <c r="K600" s="108"/>
      <c r="L600" s="113"/>
    </row>
    <row r="601" spans="2:20" s="4" customFormat="1" ht="12.95" customHeight="1" x14ac:dyDescent="0.15">
      <c r="B601" s="26">
        <v>17</v>
      </c>
      <c r="C601" s="23"/>
      <c r="D601" s="48"/>
      <c r="E601" s="48"/>
      <c r="F601" s="126"/>
      <c r="G601" s="50"/>
      <c r="H601" s="20">
        <v>1</v>
      </c>
      <c r="I601" s="126">
        <f t="shared" si="40"/>
        <v>0</v>
      </c>
      <c r="J601" s="21">
        <f t="shared" si="41"/>
        <v>0</v>
      </c>
      <c r="K601" s="108"/>
      <c r="L601" s="113"/>
    </row>
    <row r="602" spans="2:20" s="4" customFormat="1" ht="12.95" customHeight="1" x14ac:dyDescent="0.15">
      <c r="B602" s="26">
        <v>18</v>
      </c>
      <c r="C602" s="23"/>
      <c r="D602" s="48"/>
      <c r="E602" s="48"/>
      <c r="F602" s="126"/>
      <c r="G602" s="50"/>
      <c r="H602" s="20">
        <v>1</v>
      </c>
      <c r="I602" s="126">
        <f t="shared" si="40"/>
        <v>0</v>
      </c>
      <c r="J602" s="21">
        <f t="shared" si="41"/>
        <v>0</v>
      </c>
      <c r="K602" s="108"/>
      <c r="L602" s="113"/>
    </row>
    <row r="603" spans="2:20" s="4" customFormat="1" ht="12.95" customHeight="1" x14ac:dyDescent="0.15">
      <c r="B603" s="26">
        <v>19</v>
      </c>
      <c r="C603" s="23"/>
      <c r="D603" s="48"/>
      <c r="E603" s="48"/>
      <c r="F603" s="126"/>
      <c r="G603" s="50"/>
      <c r="H603" s="20">
        <v>1</v>
      </c>
      <c r="I603" s="126">
        <f t="shared" si="40"/>
        <v>0</v>
      </c>
      <c r="J603" s="21">
        <f t="shared" si="41"/>
        <v>0</v>
      </c>
      <c r="K603" s="108"/>
      <c r="L603" s="113"/>
    </row>
    <row r="604" spans="2:20" s="4" customFormat="1" ht="12.95" customHeight="1" x14ac:dyDescent="0.15">
      <c r="B604" s="26">
        <v>20</v>
      </c>
      <c r="C604" s="23"/>
      <c r="D604" s="48"/>
      <c r="E604" s="48"/>
      <c r="F604" s="126"/>
      <c r="G604" s="50"/>
      <c r="H604" s="20">
        <v>1</v>
      </c>
      <c r="I604" s="126">
        <f t="shared" si="40"/>
        <v>0</v>
      </c>
      <c r="J604" s="21">
        <f t="shared" si="41"/>
        <v>0</v>
      </c>
      <c r="K604" s="108"/>
      <c r="L604" s="113"/>
    </row>
    <row r="605" spans="2:20" s="4" customFormat="1" ht="12.95" customHeight="1" x14ac:dyDescent="0.15">
      <c r="B605" s="26"/>
      <c r="C605" s="23"/>
      <c r="D605" s="48"/>
      <c r="E605" s="48"/>
      <c r="F605" s="126"/>
      <c r="G605" s="50"/>
      <c r="H605" s="50"/>
      <c r="I605" s="126"/>
      <c r="J605" s="38"/>
      <c r="K605" s="108"/>
      <c r="L605" s="113"/>
    </row>
    <row r="606" spans="2:20" s="4" customFormat="1" ht="12.95" customHeight="1" x14ac:dyDescent="0.15">
      <c r="B606" s="26"/>
      <c r="C606" s="23"/>
      <c r="D606" s="48"/>
      <c r="E606" s="48"/>
      <c r="F606" s="126"/>
      <c r="G606" s="50"/>
      <c r="H606" s="50"/>
      <c r="I606" s="126"/>
      <c r="J606" s="38"/>
      <c r="K606" s="108"/>
      <c r="L606" s="113"/>
    </row>
    <row r="607" spans="2:20" s="4" customFormat="1" ht="12.95" customHeight="1" x14ac:dyDescent="0.15">
      <c r="B607" s="26"/>
      <c r="C607" s="72" t="s">
        <v>132</v>
      </c>
      <c r="D607" s="48"/>
      <c r="E607" s="48"/>
      <c r="F607" s="126"/>
      <c r="G607" s="50"/>
      <c r="H607" s="50"/>
      <c r="I607" s="126"/>
      <c r="J607" s="38"/>
      <c r="K607" s="108"/>
      <c r="L607" s="113"/>
    </row>
    <row r="608" spans="2:20" s="4" customFormat="1" ht="12.95" customHeight="1" x14ac:dyDescent="0.15">
      <c r="B608" s="26">
        <v>1</v>
      </c>
      <c r="C608" s="59"/>
      <c r="D608" s="49"/>
      <c r="E608" s="49"/>
      <c r="F608" s="126"/>
      <c r="G608" s="50"/>
      <c r="H608" s="50">
        <v>1</v>
      </c>
      <c r="I608" s="126">
        <f t="shared" ref="I608" si="42">J608*$C$32</f>
        <v>0</v>
      </c>
      <c r="J608" s="21">
        <f t="shared" ref="J608:J627" si="43">(F608*G608*H608)/$C$32</f>
        <v>0</v>
      </c>
      <c r="K608" s="108"/>
      <c r="L608" s="113"/>
      <c r="M608" s="57"/>
      <c r="N608" s="57"/>
      <c r="O608" s="57"/>
      <c r="P608" s="57"/>
      <c r="Q608" s="58"/>
      <c r="R608" s="57"/>
      <c r="T608" s="57"/>
    </row>
    <row r="609" spans="2:20" s="4" customFormat="1" ht="12.95" customHeight="1" x14ac:dyDescent="0.15">
      <c r="B609" s="26">
        <v>2</v>
      </c>
      <c r="C609" s="60"/>
      <c r="D609" s="49"/>
      <c r="E609" s="49"/>
      <c r="F609" s="126"/>
      <c r="G609" s="50"/>
      <c r="H609" s="50">
        <v>1</v>
      </c>
      <c r="I609" s="126">
        <f>J609*$C$32</f>
        <v>0</v>
      </c>
      <c r="J609" s="21">
        <f t="shared" si="43"/>
        <v>0</v>
      </c>
      <c r="K609" s="108"/>
      <c r="L609" s="113"/>
      <c r="M609" s="57"/>
      <c r="N609" s="57"/>
      <c r="O609" s="57"/>
      <c r="P609" s="57"/>
      <c r="Q609" s="58"/>
      <c r="R609" s="57"/>
      <c r="T609" s="57"/>
    </row>
    <row r="610" spans="2:20" s="4" customFormat="1" ht="12.95" customHeight="1" x14ac:dyDescent="0.15">
      <c r="B610" s="26">
        <v>3</v>
      </c>
      <c r="C610" s="59"/>
      <c r="D610" s="49"/>
      <c r="E610" s="49"/>
      <c r="F610" s="126"/>
      <c r="G610" s="50"/>
      <c r="H610" s="50">
        <v>1</v>
      </c>
      <c r="I610" s="126">
        <f t="shared" ref="I610:I627" si="44">J610*$C$32</f>
        <v>0</v>
      </c>
      <c r="J610" s="21">
        <f t="shared" si="43"/>
        <v>0</v>
      </c>
      <c r="K610" s="108"/>
      <c r="L610" s="113"/>
      <c r="M610" s="57"/>
      <c r="N610" s="57"/>
      <c r="O610" s="57"/>
      <c r="P610" s="57"/>
      <c r="Q610" s="58"/>
      <c r="R610" s="57"/>
      <c r="T610" s="57"/>
    </row>
    <row r="611" spans="2:20" s="4" customFormat="1" ht="12.95" customHeight="1" x14ac:dyDescent="0.15">
      <c r="B611" s="26">
        <v>4</v>
      </c>
      <c r="C611" s="61"/>
      <c r="D611" s="49"/>
      <c r="E611" s="49"/>
      <c r="F611" s="126"/>
      <c r="G611" s="50"/>
      <c r="H611" s="50">
        <v>1</v>
      </c>
      <c r="I611" s="126">
        <f t="shared" si="44"/>
        <v>0</v>
      </c>
      <c r="J611" s="21">
        <f t="shared" si="43"/>
        <v>0</v>
      </c>
      <c r="K611" s="108"/>
      <c r="L611" s="113"/>
      <c r="M611" s="57"/>
      <c r="N611" s="57"/>
      <c r="O611" s="57"/>
      <c r="P611" s="57"/>
      <c r="Q611" s="58"/>
      <c r="R611" s="57"/>
      <c r="T611" s="57"/>
    </row>
    <row r="612" spans="2:20" s="1" customFormat="1" ht="12.95" customHeight="1" x14ac:dyDescent="0.15">
      <c r="B612" s="16">
        <v>5</v>
      </c>
      <c r="C612" s="11"/>
      <c r="D612" s="18"/>
      <c r="E612" s="18"/>
      <c r="F612" s="129"/>
      <c r="G612" s="20"/>
      <c r="H612" s="20">
        <v>1</v>
      </c>
      <c r="I612" s="126">
        <f t="shared" si="44"/>
        <v>0</v>
      </c>
      <c r="J612" s="21">
        <f t="shared" si="43"/>
        <v>0</v>
      </c>
      <c r="K612" s="80"/>
      <c r="L612" s="82"/>
      <c r="M612" s="10"/>
      <c r="N612" s="10"/>
      <c r="O612" s="10"/>
      <c r="P612" s="10"/>
      <c r="Q612" s="43"/>
      <c r="R612" s="10"/>
      <c r="T612" s="10"/>
    </row>
    <row r="613" spans="2:20" s="1" customFormat="1" ht="12.95" customHeight="1" x14ac:dyDescent="0.15">
      <c r="B613" s="16">
        <v>6</v>
      </c>
      <c r="C613" s="46"/>
      <c r="D613" s="18"/>
      <c r="E613" s="18"/>
      <c r="F613" s="129"/>
      <c r="G613" s="20"/>
      <c r="H613" s="20">
        <v>1</v>
      </c>
      <c r="I613" s="126">
        <f t="shared" si="44"/>
        <v>0</v>
      </c>
      <c r="J613" s="21">
        <f t="shared" si="43"/>
        <v>0</v>
      </c>
      <c r="K613" s="80"/>
      <c r="L613" s="82"/>
      <c r="M613" s="10"/>
      <c r="N613" s="10"/>
      <c r="O613" s="10"/>
      <c r="P613" s="10"/>
      <c r="Q613" s="43"/>
      <c r="R613" s="10"/>
      <c r="T613" s="10"/>
    </row>
    <row r="614" spans="2:20" s="1" customFormat="1" ht="12.95" customHeight="1" x14ac:dyDescent="0.15">
      <c r="B614" s="16">
        <v>7</v>
      </c>
      <c r="C614" s="11"/>
      <c r="D614" s="18"/>
      <c r="E614" s="18"/>
      <c r="F614" s="129"/>
      <c r="G614" s="20"/>
      <c r="H614" s="20">
        <v>1</v>
      </c>
      <c r="I614" s="126">
        <f t="shared" si="44"/>
        <v>0</v>
      </c>
      <c r="J614" s="21">
        <f t="shared" si="43"/>
        <v>0</v>
      </c>
      <c r="K614" s="80"/>
      <c r="L614" s="82"/>
      <c r="M614" s="10"/>
      <c r="N614" s="10"/>
      <c r="O614" s="10"/>
      <c r="P614" s="10"/>
      <c r="Q614" s="43"/>
      <c r="R614" s="10"/>
      <c r="T614" s="10"/>
    </row>
    <row r="615" spans="2:20" s="1" customFormat="1" ht="12.95" customHeight="1" x14ac:dyDescent="0.15">
      <c r="B615" s="16">
        <v>8</v>
      </c>
      <c r="C615" s="11"/>
      <c r="D615" s="18"/>
      <c r="E615" s="18"/>
      <c r="F615" s="129"/>
      <c r="G615" s="20"/>
      <c r="H615" s="20">
        <v>1</v>
      </c>
      <c r="I615" s="126">
        <f t="shared" si="44"/>
        <v>0</v>
      </c>
      <c r="J615" s="21">
        <f t="shared" si="43"/>
        <v>0</v>
      </c>
      <c r="K615" s="80"/>
      <c r="L615" s="82"/>
      <c r="M615" s="10"/>
      <c r="N615" s="10"/>
      <c r="O615" s="10"/>
      <c r="P615" s="10"/>
      <c r="Q615" s="43"/>
      <c r="R615" s="10"/>
      <c r="T615" s="10"/>
    </row>
    <row r="616" spans="2:20" s="1" customFormat="1" ht="12.95" customHeight="1" x14ac:dyDescent="0.15">
      <c r="B616" s="16">
        <v>9</v>
      </c>
      <c r="C616" s="11"/>
      <c r="D616" s="18"/>
      <c r="E616" s="18"/>
      <c r="F616" s="129"/>
      <c r="G616" s="20"/>
      <c r="H616" s="20">
        <v>1</v>
      </c>
      <c r="I616" s="126">
        <f t="shared" si="44"/>
        <v>0</v>
      </c>
      <c r="J616" s="21">
        <f t="shared" si="43"/>
        <v>0</v>
      </c>
      <c r="K616" s="80"/>
      <c r="L616" s="82"/>
      <c r="M616" s="10"/>
      <c r="N616" s="10"/>
      <c r="O616" s="10"/>
      <c r="P616" s="10"/>
      <c r="Q616" s="43"/>
      <c r="R616" s="10"/>
      <c r="T616" s="10"/>
    </row>
    <row r="617" spans="2:20" s="1" customFormat="1" ht="12.95" customHeight="1" x14ac:dyDescent="0.15">
      <c r="B617" s="16">
        <v>10</v>
      </c>
      <c r="C617" s="11"/>
      <c r="D617" s="18"/>
      <c r="E617" s="18"/>
      <c r="F617" s="129"/>
      <c r="G617" s="20"/>
      <c r="H617" s="20">
        <v>1</v>
      </c>
      <c r="I617" s="126">
        <f t="shared" si="44"/>
        <v>0</v>
      </c>
      <c r="J617" s="21">
        <f t="shared" si="43"/>
        <v>0</v>
      </c>
      <c r="K617" s="80"/>
      <c r="L617" s="82"/>
      <c r="M617" s="10"/>
      <c r="N617" s="10"/>
      <c r="O617" s="10"/>
      <c r="P617" s="10"/>
      <c r="Q617" s="43"/>
      <c r="R617" s="10"/>
      <c r="T617" s="10"/>
    </row>
    <row r="618" spans="2:20" s="1" customFormat="1" ht="12.95" customHeight="1" x14ac:dyDescent="0.15">
      <c r="B618" s="16">
        <v>11</v>
      </c>
      <c r="C618" s="11"/>
      <c r="D618" s="18"/>
      <c r="E618" s="18"/>
      <c r="F618" s="129"/>
      <c r="G618" s="20"/>
      <c r="H618" s="20">
        <v>1</v>
      </c>
      <c r="I618" s="126">
        <f t="shared" si="44"/>
        <v>0</v>
      </c>
      <c r="J618" s="21">
        <f t="shared" si="43"/>
        <v>0</v>
      </c>
      <c r="K618" s="80"/>
      <c r="L618" s="82"/>
      <c r="M618" s="10"/>
      <c r="N618" s="10"/>
      <c r="O618" s="10"/>
      <c r="P618" s="10"/>
      <c r="Q618" s="43"/>
      <c r="R618" s="10"/>
      <c r="T618" s="10"/>
    </row>
    <row r="619" spans="2:20" s="1" customFormat="1" ht="12.95" customHeight="1" x14ac:dyDescent="0.15">
      <c r="B619" s="16">
        <v>12</v>
      </c>
      <c r="C619" s="11"/>
      <c r="D619" s="18"/>
      <c r="E619" s="18"/>
      <c r="F619" s="129"/>
      <c r="G619" s="20"/>
      <c r="H619" s="20">
        <v>1</v>
      </c>
      <c r="I619" s="126">
        <f t="shared" si="44"/>
        <v>0</v>
      </c>
      <c r="J619" s="21">
        <f t="shared" si="43"/>
        <v>0</v>
      </c>
      <c r="K619" s="80"/>
      <c r="L619" s="82"/>
      <c r="M619" s="10"/>
      <c r="N619" s="10"/>
      <c r="O619" s="10"/>
      <c r="P619" s="10"/>
      <c r="Q619" s="43"/>
      <c r="R619" s="10"/>
      <c r="T619" s="10"/>
    </row>
    <row r="620" spans="2:20" s="1" customFormat="1" ht="12.95" customHeight="1" x14ac:dyDescent="0.15">
      <c r="B620" s="16">
        <v>13</v>
      </c>
      <c r="C620" s="11"/>
      <c r="D620" s="18"/>
      <c r="E620" s="18"/>
      <c r="F620" s="129"/>
      <c r="G620" s="20"/>
      <c r="H620" s="20">
        <v>1</v>
      </c>
      <c r="I620" s="126">
        <f t="shared" si="44"/>
        <v>0</v>
      </c>
      <c r="J620" s="21">
        <f t="shared" si="43"/>
        <v>0</v>
      </c>
      <c r="K620" s="80"/>
      <c r="L620" s="82"/>
      <c r="M620" s="10"/>
      <c r="N620" s="10"/>
      <c r="O620" s="10"/>
      <c r="P620" s="10"/>
      <c r="Q620" s="43"/>
      <c r="R620" s="10"/>
      <c r="T620" s="10"/>
    </row>
    <row r="621" spans="2:20" s="1" customFormat="1" ht="12.95" customHeight="1" x14ac:dyDescent="0.15">
      <c r="B621" s="16">
        <v>14</v>
      </c>
      <c r="C621" s="11"/>
      <c r="D621" s="18"/>
      <c r="E621" s="18"/>
      <c r="F621" s="129"/>
      <c r="G621" s="20"/>
      <c r="H621" s="20">
        <v>1</v>
      </c>
      <c r="I621" s="126">
        <f t="shared" si="44"/>
        <v>0</v>
      </c>
      <c r="J621" s="21">
        <f t="shared" si="43"/>
        <v>0</v>
      </c>
      <c r="K621" s="80"/>
      <c r="L621" s="82"/>
      <c r="M621" s="10"/>
      <c r="N621" s="10"/>
      <c r="O621" s="10"/>
      <c r="P621" s="10"/>
      <c r="Q621" s="43"/>
      <c r="R621" s="10"/>
      <c r="T621" s="10"/>
    </row>
    <row r="622" spans="2:20" s="1" customFormat="1" ht="12.95" customHeight="1" x14ac:dyDescent="0.15">
      <c r="B622" s="16">
        <v>15</v>
      </c>
      <c r="C622" s="11"/>
      <c r="D622" s="18"/>
      <c r="E622" s="18"/>
      <c r="F622" s="129"/>
      <c r="G622" s="20"/>
      <c r="H622" s="20">
        <v>1</v>
      </c>
      <c r="I622" s="126">
        <f t="shared" si="44"/>
        <v>0</v>
      </c>
      <c r="J622" s="21">
        <f t="shared" si="43"/>
        <v>0</v>
      </c>
      <c r="K622" s="80"/>
      <c r="L622" s="82"/>
      <c r="M622" s="10"/>
      <c r="N622" s="10"/>
      <c r="O622" s="10"/>
      <c r="P622" s="10"/>
      <c r="Q622" s="43"/>
      <c r="R622" s="10"/>
      <c r="T622" s="10"/>
    </row>
    <row r="623" spans="2:20" s="1" customFormat="1" ht="12.95" customHeight="1" x14ac:dyDescent="0.15">
      <c r="B623" s="16">
        <v>16</v>
      </c>
      <c r="C623" s="74"/>
      <c r="D623" s="75"/>
      <c r="E623" s="75"/>
      <c r="F623" s="132"/>
      <c r="G623" s="77"/>
      <c r="H623" s="77">
        <v>1</v>
      </c>
      <c r="I623" s="131">
        <f t="shared" si="44"/>
        <v>0</v>
      </c>
      <c r="J623" s="78">
        <f t="shared" si="43"/>
        <v>0</v>
      </c>
      <c r="K623" s="80"/>
      <c r="L623" s="82"/>
      <c r="M623" s="10"/>
      <c r="N623" s="10"/>
      <c r="O623" s="10"/>
      <c r="P623" s="10"/>
      <c r="Q623" s="43"/>
      <c r="R623" s="10"/>
      <c r="T623" s="10"/>
    </row>
    <row r="624" spans="2:20" s="1" customFormat="1" ht="12.95" customHeight="1" x14ac:dyDescent="0.15">
      <c r="B624" s="80">
        <v>17</v>
      </c>
      <c r="C624" s="82"/>
      <c r="D624" s="82"/>
      <c r="E624" s="82"/>
      <c r="F624" s="156"/>
      <c r="G624" s="82"/>
      <c r="H624" s="77">
        <v>1</v>
      </c>
      <c r="I624" s="131">
        <f t="shared" si="44"/>
        <v>0</v>
      </c>
      <c r="J624" s="78">
        <f t="shared" si="43"/>
        <v>0</v>
      </c>
      <c r="K624" s="109"/>
      <c r="L624" s="82"/>
      <c r="M624" s="10"/>
      <c r="N624" s="10"/>
      <c r="O624" s="10"/>
      <c r="P624" s="10"/>
      <c r="Q624" s="43"/>
      <c r="R624" s="10"/>
      <c r="T624" s="10"/>
    </row>
    <row r="625" spans="2:20" s="1" customFormat="1" ht="12.95" customHeight="1" x14ac:dyDescent="0.15">
      <c r="B625" s="80">
        <v>18</v>
      </c>
      <c r="C625" s="82"/>
      <c r="D625" s="82"/>
      <c r="E625" s="82"/>
      <c r="F625" s="156"/>
      <c r="G625" s="82"/>
      <c r="H625" s="77">
        <v>1</v>
      </c>
      <c r="I625" s="131">
        <f t="shared" si="44"/>
        <v>0</v>
      </c>
      <c r="J625" s="78">
        <f t="shared" si="43"/>
        <v>0</v>
      </c>
      <c r="K625" s="155"/>
      <c r="L625" s="119"/>
      <c r="M625" s="10"/>
      <c r="N625" s="10"/>
      <c r="O625" s="10"/>
      <c r="P625" s="10"/>
      <c r="Q625" s="43"/>
      <c r="R625" s="10"/>
      <c r="T625" s="10"/>
    </row>
    <row r="626" spans="2:20" s="1" customFormat="1" ht="12.95" customHeight="1" x14ac:dyDescent="0.15">
      <c r="B626" s="80">
        <v>19</v>
      </c>
      <c r="C626" s="82"/>
      <c r="D626" s="82"/>
      <c r="E626" s="82"/>
      <c r="F626" s="156"/>
      <c r="G626" s="82"/>
      <c r="H626" s="77">
        <v>1</v>
      </c>
      <c r="I626" s="131">
        <f t="shared" si="44"/>
        <v>0</v>
      </c>
      <c r="J626" s="260">
        <f t="shared" si="43"/>
        <v>0</v>
      </c>
      <c r="K626" s="82"/>
      <c r="L626" s="82"/>
      <c r="M626" s="10"/>
      <c r="N626" s="10"/>
      <c r="O626" s="10"/>
      <c r="P626" s="10"/>
      <c r="Q626" s="43"/>
      <c r="R626" s="10"/>
      <c r="T626" s="10"/>
    </row>
    <row r="627" spans="2:20" s="1" customFormat="1" ht="12.95" customHeight="1" x14ac:dyDescent="0.15">
      <c r="B627" s="80">
        <v>20</v>
      </c>
      <c r="C627" s="82"/>
      <c r="D627" s="82"/>
      <c r="E627" s="82"/>
      <c r="F627" s="156"/>
      <c r="G627" s="82"/>
      <c r="H627" s="77">
        <v>1</v>
      </c>
      <c r="I627" s="131">
        <f t="shared" si="44"/>
        <v>0</v>
      </c>
      <c r="J627" s="260">
        <f t="shared" si="43"/>
        <v>0</v>
      </c>
      <c r="K627" s="82"/>
      <c r="L627" s="82"/>
      <c r="M627" s="10"/>
      <c r="N627" s="10"/>
      <c r="O627" s="10"/>
      <c r="P627" s="10"/>
      <c r="Q627" s="43"/>
      <c r="R627" s="10"/>
      <c r="T627" s="10"/>
    </row>
    <row r="628" spans="2:20" s="1" customFormat="1" ht="12.95" customHeight="1" x14ac:dyDescent="0.15">
      <c r="B628" s="111"/>
      <c r="C628" s="152"/>
      <c r="D628" s="153"/>
      <c r="E628" s="153"/>
      <c r="F628" s="157"/>
      <c r="G628" s="154"/>
      <c r="H628" s="154"/>
      <c r="I628" s="158"/>
      <c r="J628" s="261"/>
      <c r="K628" s="82"/>
      <c r="L628" s="82"/>
      <c r="M628" s="10"/>
      <c r="N628" s="10"/>
      <c r="O628" s="10"/>
      <c r="P628" s="10"/>
      <c r="Q628" s="43"/>
      <c r="R628" s="10"/>
      <c r="T628" s="10"/>
    </row>
    <row r="629" spans="2:20" s="1" customFormat="1" ht="12.75" x14ac:dyDescent="0.15">
      <c r="B629" s="82"/>
      <c r="C629" s="102"/>
      <c r="D629" s="103"/>
      <c r="E629" s="102"/>
      <c r="F629" s="128">
        <f>SUM(F571:F628)</f>
        <v>0</v>
      </c>
      <c r="G629" s="104"/>
      <c r="H629" s="105"/>
      <c r="I629" s="128">
        <f>SUM(I571:I628)</f>
        <v>0</v>
      </c>
      <c r="J629" s="106">
        <f>SUM(J571:J628)</f>
        <v>0</v>
      </c>
    </row>
    <row r="630" spans="2:20" s="1" customFormat="1" ht="12.75" x14ac:dyDescent="0.15">
      <c r="B630" s="82"/>
      <c r="C630" s="102"/>
      <c r="D630" s="103"/>
      <c r="E630" s="102" t="s">
        <v>147</v>
      </c>
      <c r="F630" s="128">
        <f>100/115*F629</f>
        <v>0</v>
      </c>
      <c r="G630" s="104"/>
      <c r="H630" s="105" t="s">
        <v>147</v>
      </c>
      <c r="I630" s="128">
        <f>100/115*I629</f>
        <v>0</v>
      </c>
      <c r="J630" s="106"/>
    </row>
    <row r="631" spans="2:20" s="1" customFormat="1" ht="12.75" x14ac:dyDescent="0.15"/>
    <row r="632" spans="2:20" s="1" customFormat="1" ht="12.75" x14ac:dyDescent="0.15"/>
    <row r="633" spans="2:20" s="1" customFormat="1" ht="12.75" x14ac:dyDescent="0.15"/>
    <row r="634" spans="2:20" s="1" customFormat="1" ht="12.75" x14ac:dyDescent="0.15"/>
    <row r="635" spans="2:20" s="247" customFormat="1" ht="32.25" x14ac:dyDescent="0.4">
      <c r="B635" s="248"/>
      <c r="C635" s="380" t="s">
        <v>112</v>
      </c>
      <c r="D635" s="380"/>
      <c r="E635" s="428" t="s">
        <v>163</v>
      </c>
      <c r="F635" s="428"/>
      <c r="G635" s="428"/>
      <c r="H635" s="428"/>
      <c r="I635" s="428"/>
      <c r="J635" s="382">
        <v>2026</v>
      </c>
      <c r="K635" s="382"/>
      <c r="L635" s="382"/>
    </row>
    <row r="636" spans="2:20" s="1" customFormat="1" ht="22.5" x14ac:dyDescent="0.15">
      <c r="B636" s="82"/>
      <c r="C636" s="102" t="s">
        <v>114</v>
      </c>
      <c r="D636" s="388" t="s">
        <v>115</v>
      </c>
      <c r="E636" s="388"/>
      <c r="F636" s="102" t="s">
        <v>116</v>
      </c>
      <c r="G636" s="102" t="s">
        <v>117</v>
      </c>
      <c r="H636" s="102" t="s">
        <v>118</v>
      </c>
      <c r="I636" s="102" t="s">
        <v>119</v>
      </c>
      <c r="J636" s="102" t="s">
        <v>120</v>
      </c>
      <c r="K636" s="82"/>
      <c r="L636" s="82"/>
    </row>
    <row r="637" spans="2:20" s="1" customFormat="1" ht="12.75" x14ac:dyDescent="0.15">
      <c r="B637" s="84"/>
      <c r="C637" s="149">
        <f>C567</f>
        <v>250</v>
      </c>
      <c r="D637" s="412">
        <v>23</v>
      </c>
      <c r="E637" s="412"/>
      <c r="F637" s="146">
        <f>F567</f>
        <v>0.75</v>
      </c>
      <c r="G637" s="147">
        <f>G567</f>
        <v>8</v>
      </c>
      <c r="H637" s="148">
        <f>D637*G637*F637</f>
        <v>138</v>
      </c>
      <c r="I637" s="149">
        <f>I699</f>
        <v>0</v>
      </c>
      <c r="J637" s="150">
        <f>H637-J699</f>
        <v>138</v>
      </c>
      <c r="K637" s="79"/>
      <c r="L637" s="120"/>
    </row>
    <row r="638" spans="2:20" s="1" customFormat="1" ht="33.75" x14ac:dyDescent="0.15">
      <c r="B638" s="16"/>
      <c r="C638" s="22" t="s">
        <v>121</v>
      </c>
      <c r="D638" s="413" t="s">
        <v>122</v>
      </c>
      <c r="E638" s="413"/>
      <c r="F638" s="33" t="s">
        <v>123</v>
      </c>
      <c r="G638" s="34" t="s">
        <v>124</v>
      </c>
      <c r="H638" s="35" t="s">
        <v>125</v>
      </c>
      <c r="I638" s="125" t="s">
        <v>126</v>
      </c>
      <c r="J638" s="34" t="s">
        <v>127</v>
      </c>
      <c r="K638" s="107" t="s">
        <v>128</v>
      </c>
      <c r="L638" s="123" t="s">
        <v>129</v>
      </c>
    </row>
    <row r="639" spans="2:20" s="1" customFormat="1" ht="12.75" x14ac:dyDescent="0.15">
      <c r="B639" s="16"/>
      <c r="C639" s="22"/>
      <c r="D639" s="32"/>
      <c r="E639" s="32"/>
      <c r="F639" s="33"/>
      <c r="G639" s="34"/>
      <c r="H639" s="35"/>
      <c r="I639" s="125"/>
      <c r="J639" s="34"/>
      <c r="K639" s="110"/>
      <c r="L639" s="82"/>
    </row>
    <row r="640" spans="2:20" s="1" customFormat="1" ht="12.75" x14ac:dyDescent="0.15">
      <c r="B640" s="16"/>
      <c r="C640" s="22" t="s">
        <v>130</v>
      </c>
      <c r="D640" s="32"/>
      <c r="E640" s="32"/>
      <c r="F640" s="151"/>
      <c r="G640" s="34"/>
      <c r="H640" s="35"/>
      <c r="I640" s="125"/>
      <c r="J640" s="34"/>
      <c r="K640" s="110"/>
      <c r="L640" s="82"/>
    </row>
    <row r="641" spans="2:20" s="1" customFormat="1" ht="12.75" x14ac:dyDescent="0.15">
      <c r="B641" s="16"/>
      <c r="C641" s="22" t="s">
        <v>149</v>
      </c>
      <c r="D641" s="32"/>
      <c r="E641" s="32"/>
      <c r="F641" s="151"/>
      <c r="G641" s="34"/>
      <c r="H641" s="35"/>
      <c r="I641" s="125"/>
      <c r="J641" s="34"/>
      <c r="K641" s="110"/>
      <c r="L641" s="82"/>
    </row>
    <row r="642" spans="2:20" s="1" customFormat="1" ht="13.15" customHeight="1" x14ac:dyDescent="0.15">
      <c r="B642" s="26">
        <v>1</v>
      </c>
      <c r="C642" s="17"/>
      <c r="D642" s="24"/>
      <c r="E642" s="24"/>
      <c r="F642" s="129"/>
      <c r="G642" s="20"/>
      <c r="H642" s="20">
        <v>1</v>
      </c>
      <c r="I642" s="129">
        <f t="shared" ref="I642:I658" si="45">J642*$C$32</f>
        <v>0</v>
      </c>
      <c r="J642" s="52">
        <f t="shared" ref="J642:J655" si="46">(F642*G642*H642)/$C$32</f>
        <v>0</v>
      </c>
      <c r="K642" s="108"/>
      <c r="L642" s="113"/>
      <c r="M642" s="4"/>
      <c r="N642" s="4"/>
      <c r="O642" s="4"/>
      <c r="P642" s="4"/>
      <c r="Q642" s="4"/>
      <c r="R642" s="4"/>
      <c r="S642" s="4"/>
      <c r="T642" s="4"/>
    </row>
    <row r="643" spans="2:20" s="1" customFormat="1" ht="12.75" customHeight="1" x14ac:dyDescent="0.15">
      <c r="B643" s="26">
        <v>2</v>
      </c>
      <c r="C643" s="17"/>
      <c r="D643" s="24"/>
      <c r="E643" s="24"/>
      <c r="F643" s="129"/>
      <c r="G643" s="20"/>
      <c r="H643" s="20">
        <v>1</v>
      </c>
      <c r="I643" s="129">
        <f t="shared" si="45"/>
        <v>0</v>
      </c>
      <c r="J643" s="52">
        <f t="shared" si="46"/>
        <v>0</v>
      </c>
      <c r="K643" s="108"/>
      <c r="L643" s="113"/>
      <c r="M643" s="144"/>
      <c r="N643" s="4"/>
      <c r="O643" s="4"/>
      <c r="P643" s="4"/>
      <c r="Q643" s="4"/>
      <c r="R643" s="4"/>
      <c r="S643" s="4"/>
      <c r="T643" s="4"/>
    </row>
    <row r="644" spans="2:20" s="1" customFormat="1" ht="16.5" x14ac:dyDescent="0.15">
      <c r="B644" s="26">
        <v>3</v>
      </c>
      <c r="C644" s="17"/>
      <c r="D644" s="24"/>
      <c r="E644" s="24"/>
      <c r="F644" s="129"/>
      <c r="G644" s="20"/>
      <c r="H644" s="20">
        <v>1</v>
      </c>
      <c r="I644" s="129">
        <f t="shared" si="45"/>
        <v>0</v>
      </c>
      <c r="J644" s="52">
        <f t="shared" si="46"/>
        <v>0</v>
      </c>
      <c r="K644" s="108"/>
      <c r="L644" s="113"/>
      <c r="M644" s="145"/>
      <c r="N644" s="4"/>
      <c r="O644" s="4"/>
      <c r="P644" s="4"/>
      <c r="Q644" s="4"/>
      <c r="R644" s="4"/>
      <c r="S644" s="4"/>
      <c r="T644" s="4"/>
    </row>
    <row r="645" spans="2:20" s="1" customFormat="1" ht="12.75" customHeight="1" x14ac:dyDescent="0.15">
      <c r="B645" s="26">
        <v>4</v>
      </c>
      <c r="C645" s="16"/>
      <c r="D645" s="18"/>
      <c r="E645" s="18"/>
      <c r="F645" s="129"/>
      <c r="G645" s="20"/>
      <c r="H645" s="20">
        <v>1</v>
      </c>
      <c r="I645" s="129">
        <f t="shared" si="45"/>
        <v>0</v>
      </c>
      <c r="J645" s="52">
        <f t="shared" si="46"/>
        <v>0</v>
      </c>
      <c r="K645" s="108"/>
      <c r="L645" s="113"/>
      <c r="M645" s="4"/>
      <c r="N645" s="4"/>
      <c r="O645" s="4"/>
      <c r="P645" s="4"/>
      <c r="Q645" s="4"/>
      <c r="R645" s="4"/>
      <c r="S645" s="4"/>
      <c r="T645" s="4"/>
    </row>
    <row r="646" spans="2:20" s="1" customFormat="1" ht="12.75" customHeight="1" x14ac:dyDescent="0.15">
      <c r="B646" s="26">
        <v>5</v>
      </c>
      <c r="C646" s="17"/>
      <c r="D646" s="53"/>
      <c r="E646" s="53"/>
      <c r="F646" s="129"/>
      <c r="G646" s="20"/>
      <c r="H646" s="20">
        <v>1</v>
      </c>
      <c r="I646" s="129">
        <f t="shared" si="45"/>
        <v>0</v>
      </c>
      <c r="J646" s="27">
        <f t="shared" si="46"/>
        <v>0</v>
      </c>
      <c r="K646" s="108"/>
      <c r="L646" s="113"/>
      <c r="M646" s="4"/>
      <c r="N646" s="4"/>
      <c r="O646" s="4"/>
      <c r="P646" s="4"/>
      <c r="Q646" s="4"/>
      <c r="R646" s="4"/>
      <c r="S646" s="4"/>
      <c r="T646" s="4"/>
    </row>
    <row r="647" spans="2:20" s="1" customFormat="1" ht="12.75" x14ac:dyDescent="0.15">
      <c r="B647" s="26">
        <v>6</v>
      </c>
      <c r="C647" s="17"/>
      <c r="D647" s="24"/>
      <c r="E647" s="24"/>
      <c r="F647" s="129"/>
      <c r="G647" s="20"/>
      <c r="H647" s="20">
        <v>1</v>
      </c>
      <c r="I647" s="129">
        <f t="shared" si="45"/>
        <v>0</v>
      </c>
      <c r="J647" s="52">
        <f t="shared" si="46"/>
        <v>0</v>
      </c>
      <c r="K647" s="108"/>
      <c r="L647" s="113"/>
      <c r="M647" s="4"/>
      <c r="N647" s="4"/>
      <c r="O647" s="4"/>
      <c r="P647" s="4"/>
      <c r="Q647" s="4"/>
      <c r="R647" s="4"/>
      <c r="S647" s="4"/>
      <c r="T647" s="4"/>
    </row>
    <row r="648" spans="2:20" s="1" customFormat="1" ht="12.75" customHeight="1" x14ac:dyDescent="0.15">
      <c r="B648" s="26">
        <v>7</v>
      </c>
      <c r="C648" s="17"/>
      <c r="D648" s="22"/>
      <c r="E648" s="22"/>
      <c r="F648" s="129"/>
      <c r="G648" s="20"/>
      <c r="H648" s="20">
        <v>1</v>
      </c>
      <c r="I648" s="129">
        <f t="shared" si="45"/>
        <v>0</v>
      </c>
      <c r="J648" s="27">
        <f t="shared" si="46"/>
        <v>0</v>
      </c>
      <c r="K648" s="108"/>
      <c r="L648" s="113"/>
      <c r="M648" s="4"/>
      <c r="N648" s="4"/>
      <c r="O648" s="4"/>
      <c r="P648" s="4"/>
      <c r="Q648" s="4"/>
      <c r="R648" s="4"/>
      <c r="S648" s="4"/>
      <c r="T648" s="4"/>
    </row>
    <row r="649" spans="2:20" s="1" customFormat="1" ht="12.95" customHeight="1" x14ac:dyDescent="0.15">
      <c r="B649" s="26">
        <v>8</v>
      </c>
      <c r="C649" s="17"/>
      <c r="D649" s="18"/>
      <c r="E649" s="24"/>
      <c r="F649" s="129"/>
      <c r="G649" s="20"/>
      <c r="H649" s="20">
        <v>1</v>
      </c>
      <c r="I649" s="129">
        <f t="shared" si="45"/>
        <v>0</v>
      </c>
      <c r="J649" s="52">
        <f t="shared" si="46"/>
        <v>0</v>
      </c>
      <c r="K649" s="108"/>
      <c r="L649" s="113"/>
      <c r="M649" s="4"/>
      <c r="N649" s="4"/>
      <c r="O649" s="4"/>
      <c r="P649" s="4"/>
      <c r="Q649" s="4"/>
      <c r="R649" s="4"/>
      <c r="S649" s="4"/>
      <c r="T649" s="4"/>
    </row>
    <row r="650" spans="2:20" s="1" customFormat="1" ht="12.95" customHeight="1" x14ac:dyDescent="0.15">
      <c r="B650" s="26">
        <v>9</v>
      </c>
      <c r="C650" s="17"/>
      <c r="D650" s="18"/>
      <c r="E650" s="24"/>
      <c r="F650" s="129"/>
      <c r="G650" s="20"/>
      <c r="H650" s="20">
        <v>1</v>
      </c>
      <c r="I650" s="129">
        <f t="shared" si="45"/>
        <v>0</v>
      </c>
      <c r="J650" s="52">
        <f t="shared" si="46"/>
        <v>0</v>
      </c>
      <c r="K650" s="108"/>
      <c r="L650" s="113"/>
      <c r="M650" s="4"/>
      <c r="N650" s="4"/>
      <c r="O650" s="4"/>
      <c r="P650" s="4"/>
      <c r="Q650" s="4"/>
      <c r="R650" s="4"/>
      <c r="S650" s="4"/>
      <c r="T650" s="4"/>
    </row>
    <row r="651" spans="2:20" s="1" customFormat="1" ht="12.95" customHeight="1" x14ac:dyDescent="0.15">
      <c r="B651" s="26">
        <v>10</v>
      </c>
      <c r="C651" s="17"/>
      <c r="D651" s="24"/>
      <c r="E651" s="18"/>
      <c r="F651" s="129"/>
      <c r="G651" s="20"/>
      <c r="H651" s="20">
        <v>1</v>
      </c>
      <c r="I651" s="129">
        <f t="shared" si="45"/>
        <v>0</v>
      </c>
      <c r="J651" s="52">
        <f t="shared" si="46"/>
        <v>0</v>
      </c>
      <c r="K651" s="108"/>
      <c r="L651" s="113"/>
      <c r="M651" s="4"/>
      <c r="N651" s="4"/>
      <c r="O651" s="4"/>
      <c r="P651" s="4"/>
      <c r="Q651" s="4"/>
      <c r="R651" s="4"/>
      <c r="S651" s="4"/>
      <c r="T651" s="4"/>
    </row>
    <row r="652" spans="2:20" s="1" customFormat="1" ht="12.95" customHeight="1" x14ac:dyDescent="0.15">
      <c r="B652" s="26"/>
      <c r="C652" s="17"/>
      <c r="D652" s="24"/>
      <c r="E652" s="18"/>
      <c r="F652" s="129"/>
      <c r="G652" s="20"/>
      <c r="H652" s="20"/>
      <c r="I652" s="129"/>
      <c r="J652" s="52"/>
      <c r="K652" s="108"/>
      <c r="L652" s="113"/>
      <c r="M652" s="4"/>
      <c r="N652" s="4"/>
      <c r="O652" s="4"/>
      <c r="P652" s="4"/>
      <c r="Q652" s="4"/>
      <c r="R652" s="4"/>
      <c r="S652" s="4"/>
      <c r="T652" s="4"/>
    </row>
    <row r="653" spans="2:20" s="1" customFormat="1" ht="12.95" customHeight="1" x14ac:dyDescent="0.15">
      <c r="B653" s="26"/>
      <c r="C653" s="17"/>
      <c r="D653" s="24"/>
      <c r="E653" s="18"/>
      <c r="F653" s="129"/>
      <c r="G653" s="20"/>
      <c r="H653" s="20"/>
      <c r="I653" s="129"/>
      <c r="J653" s="52"/>
      <c r="K653" s="108"/>
      <c r="L653" s="113"/>
      <c r="M653" s="4"/>
      <c r="N653" s="4"/>
      <c r="O653" s="4"/>
      <c r="P653" s="4"/>
      <c r="Q653" s="4"/>
      <c r="R653" s="4"/>
      <c r="S653" s="4"/>
      <c r="T653" s="4"/>
    </row>
    <row r="654" spans="2:20" s="1" customFormat="1" ht="12.95" customHeight="1" x14ac:dyDescent="0.15">
      <c r="B654" s="26"/>
      <c r="C654" s="22" t="s">
        <v>153</v>
      </c>
      <c r="D654" s="24"/>
      <c r="E654" s="18"/>
      <c r="F654" s="129"/>
      <c r="G654" s="20"/>
      <c r="H654" s="20"/>
      <c r="I654" s="129"/>
      <c r="J654" s="52"/>
      <c r="K654" s="108"/>
      <c r="L654" s="113"/>
      <c r="M654" s="4"/>
      <c r="N654" s="4"/>
      <c r="O654" s="4"/>
      <c r="P654" s="4"/>
      <c r="Q654" s="4"/>
      <c r="R654" s="4"/>
      <c r="S654" s="4"/>
      <c r="T654" s="4"/>
    </row>
    <row r="655" spans="2:20" s="1" customFormat="1" ht="12.95" customHeight="1" x14ac:dyDescent="0.15">
      <c r="B655" s="26">
        <v>1</v>
      </c>
      <c r="C655" s="17"/>
      <c r="D655" s="24"/>
      <c r="E655" s="24"/>
      <c r="F655" s="129"/>
      <c r="G655" s="20"/>
      <c r="H655" s="20">
        <v>1</v>
      </c>
      <c r="I655" s="129">
        <f t="shared" si="45"/>
        <v>0</v>
      </c>
      <c r="J655" s="52">
        <f t="shared" si="46"/>
        <v>0</v>
      </c>
      <c r="K655" s="108"/>
      <c r="L655" s="113"/>
      <c r="M655" s="4"/>
      <c r="N655" s="4"/>
      <c r="O655" s="4"/>
      <c r="P655" s="4"/>
      <c r="Q655" s="4"/>
      <c r="R655" s="4"/>
      <c r="S655" s="4"/>
      <c r="T655" s="4"/>
    </row>
    <row r="656" spans="2:20" s="1" customFormat="1" ht="12.95" customHeight="1" x14ac:dyDescent="0.15">
      <c r="B656" s="26">
        <v>2</v>
      </c>
      <c r="C656" s="17"/>
      <c r="D656" s="24"/>
      <c r="E656" s="24"/>
      <c r="F656" s="129"/>
      <c r="G656" s="20"/>
      <c r="H656" s="20">
        <v>1</v>
      </c>
      <c r="I656" s="129">
        <f t="shared" si="45"/>
        <v>0</v>
      </c>
      <c r="J656" s="52">
        <f>(F656*G656*H656)/$C$32</f>
        <v>0</v>
      </c>
      <c r="K656" s="108"/>
      <c r="L656" s="113"/>
      <c r="M656" s="4"/>
      <c r="N656" s="4"/>
      <c r="O656" s="4"/>
      <c r="P656" s="4"/>
      <c r="Q656" s="4"/>
      <c r="R656" s="4"/>
      <c r="S656" s="4"/>
      <c r="T656" s="4"/>
    </row>
    <row r="657" spans="2:20" s="1" customFormat="1" ht="12.95" customHeight="1" x14ac:dyDescent="0.15">
      <c r="B657" s="26">
        <v>3</v>
      </c>
      <c r="C657" s="24"/>
      <c r="D657" s="24"/>
      <c r="E657" s="24"/>
      <c r="F657" s="129"/>
      <c r="G657" s="20"/>
      <c r="H657" s="20">
        <v>1</v>
      </c>
      <c r="I657" s="129">
        <f t="shared" si="45"/>
        <v>0</v>
      </c>
      <c r="J657" s="52">
        <f>(F657*G657*H657)/$C$32</f>
        <v>0</v>
      </c>
      <c r="K657" s="108"/>
      <c r="L657" s="113"/>
      <c r="M657" s="4"/>
      <c r="N657" s="4"/>
      <c r="O657" s="4"/>
      <c r="P657" s="4"/>
      <c r="Q657" s="4"/>
      <c r="R657" s="4"/>
      <c r="S657" s="4"/>
      <c r="T657" s="4"/>
    </row>
    <row r="658" spans="2:20" s="1" customFormat="1" ht="12.95" customHeight="1" x14ac:dyDescent="0.15">
      <c r="B658" s="26">
        <v>4</v>
      </c>
      <c r="C658" s="24"/>
      <c r="D658" s="24"/>
      <c r="E658" s="24"/>
      <c r="F658" s="129"/>
      <c r="G658" s="20"/>
      <c r="H658" s="20">
        <v>1</v>
      </c>
      <c r="I658" s="129">
        <f t="shared" si="45"/>
        <v>0</v>
      </c>
      <c r="J658" s="52">
        <f t="shared" ref="J658:J659" si="47">(F658*G658*H658)/$C$32</f>
        <v>0</v>
      </c>
      <c r="K658" s="108"/>
      <c r="L658" s="113"/>
      <c r="M658" s="4"/>
      <c r="N658" s="4"/>
      <c r="O658" s="4"/>
      <c r="P658" s="4"/>
      <c r="Q658" s="4"/>
      <c r="R658" s="4"/>
      <c r="S658" s="4"/>
      <c r="T658" s="4"/>
    </row>
    <row r="659" spans="2:20" s="1" customFormat="1" ht="12.95" customHeight="1" x14ac:dyDescent="0.15">
      <c r="B659" s="26">
        <v>5</v>
      </c>
      <c r="C659" s="17"/>
      <c r="D659" s="18"/>
      <c r="E659" s="18"/>
      <c r="F659" s="129"/>
      <c r="G659" s="20"/>
      <c r="H659" s="20">
        <v>1</v>
      </c>
      <c r="I659" s="129">
        <f>J659*$C$32</f>
        <v>0</v>
      </c>
      <c r="J659" s="27">
        <f t="shared" si="47"/>
        <v>0</v>
      </c>
      <c r="K659" s="108"/>
      <c r="L659" s="113"/>
      <c r="M659" s="4"/>
      <c r="N659" s="4"/>
      <c r="O659" s="4"/>
      <c r="P659" s="4"/>
      <c r="Q659" s="4"/>
      <c r="R659" s="4"/>
      <c r="S659" s="4"/>
      <c r="T659" s="4"/>
    </row>
    <row r="660" spans="2:20" s="1" customFormat="1" ht="12.95" customHeight="1" x14ac:dyDescent="0.15">
      <c r="B660" s="26">
        <v>6</v>
      </c>
      <c r="C660" s="17"/>
      <c r="D660" s="24"/>
      <c r="E660" s="24"/>
      <c r="F660" s="129"/>
      <c r="G660" s="20"/>
      <c r="H660" s="20">
        <v>1</v>
      </c>
      <c r="I660" s="129">
        <f t="shared" ref="I660" si="48">J660*$C$32</f>
        <v>0</v>
      </c>
      <c r="J660" s="54">
        <f>(F660*G660*H660)/$C$32</f>
        <v>0</v>
      </c>
      <c r="K660" s="108"/>
      <c r="L660" s="113"/>
      <c r="M660" s="4"/>
      <c r="N660" s="4"/>
      <c r="O660" s="4"/>
      <c r="P660" s="4"/>
      <c r="Q660" s="4"/>
      <c r="R660" s="4"/>
      <c r="S660" s="4"/>
      <c r="T660" s="4"/>
    </row>
    <row r="661" spans="2:20" s="1" customFormat="1" ht="12.95" customHeight="1" x14ac:dyDescent="0.15">
      <c r="B661" s="26">
        <v>7</v>
      </c>
      <c r="C661" s="17"/>
      <c r="D661" s="24"/>
      <c r="E661" s="24"/>
      <c r="F661" s="129"/>
      <c r="G661" s="20"/>
      <c r="H661" s="20">
        <v>1</v>
      </c>
      <c r="I661" s="129">
        <f>J661*$C$32</f>
        <v>0</v>
      </c>
      <c r="J661" s="54">
        <f>(F661*G661*H661)/$C$32</f>
        <v>0</v>
      </c>
      <c r="K661" s="108"/>
      <c r="L661" s="113"/>
      <c r="M661" s="4"/>
      <c r="N661" s="4"/>
      <c r="O661" s="4"/>
      <c r="P661" s="4"/>
      <c r="Q661" s="4"/>
      <c r="R661" s="4"/>
      <c r="S661" s="4"/>
      <c r="T661" s="4"/>
    </row>
    <row r="662" spans="2:20" s="1" customFormat="1" ht="14.85" customHeight="1" x14ac:dyDescent="0.15">
      <c r="B662" s="26">
        <v>8</v>
      </c>
      <c r="C662" s="17"/>
      <c r="D662" s="24"/>
      <c r="E662" s="24"/>
      <c r="F662" s="129"/>
      <c r="G662" s="20"/>
      <c r="H662" s="20">
        <v>1</v>
      </c>
      <c r="I662" s="129">
        <f t="shared" ref="I662:I674" si="49">J662*$C$32</f>
        <v>0</v>
      </c>
      <c r="J662" s="52">
        <f t="shared" ref="J662:J674" si="50">(F662*G662*H662)/$C$32</f>
        <v>0</v>
      </c>
      <c r="K662" s="108"/>
      <c r="L662" s="113"/>
      <c r="M662" s="4"/>
      <c r="N662" s="4"/>
      <c r="O662" s="4"/>
      <c r="P662" s="4"/>
      <c r="Q662" s="4"/>
      <c r="R662" s="4"/>
      <c r="S662" s="4"/>
      <c r="T662" s="4"/>
    </row>
    <row r="663" spans="2:20" s="1" customFormat="1" ht="12.95" customHeight="1" x14ac:dyDescent="0.15">
      <c r="B663" s="26">
        <v>9</v>
      </c>
      <c r="C663" s="17"/>
      <c r="D663" s="24"/>
      <c r="E663" s="24"/>
      <c r="F663" s="129"/>
      <c r="G663" s="20"/>
      <c r="H663" s="20">
        <v>1</v>
      </c>
      <c r="I663" s="129">
        <f t="shared" si="49"/>
        <v>0</v>
      </c>
      <c r="J663" s="52">
        <f t="shared" si="50"/>
        <v>0</v>
      </c>
      <c r="K663" s="108"/>
      <c r="L663" s="113"/>
      <c r="M663" s="4"/>
      <c r="N663" s="4"/>
      <c r="O663" s="4"/>
      <c r="P663" s="4"/>
      <c r="Q663" s="4"/>
      <c r="R663" s="4"/>
      <c r="S663" s="4"/>
      <c r="T663" s="4"/>
    </row>
    <row r="664" spans="2:20" s="1" customFormat="1" ht="12.95" customHeight="1" x14ac:dyDescent="0.15">
      <c r="B664" s="26">
        <v>10</v>
      </c>
      <c r="C664" s="17"/>
      <c r="D664" s="24"/>
      <c r="E664" s="24"/>
      <c r="F664" s="129"/>
      <c r="G664" s="20"/>
      <c r="H664" s="20">
        <v>1</v>
      </c>
      <c r="I664" s="129">
        <f t="shared" si="49"/>
        <v>0</v>
      </c>
      <c r="J664" s="52">
        <f t="shared" si="50"/>
        <v>0</v>
      </c>
      <c r="K664" s="108"/>
      <c r="L664" s="113"/>
      <c r="M664" s="4"/>
      <c r="N664" s="4"/>
      <c r="O664" s="4"/>
      <c r="P664" s="4"/>
      <c r="Q664" s="4"/>
      <c r="R664" s="4"/>
      <c r="S664" s="4"/>
      <c r="T664" s="4"/>
    </row>
    <row r="665" spans="2:20" s="1" customFormat="1" ht="12.95" customHeight="1" x14ac:dyDescent="0.15">
      <c r="B665" s="26">
        <v>11</v>
      </c>
      <c r="C665" s="17"/>
      <c r="D665" s="24"/>
      <c r="E665" s="24"/>
      <c r="F665" s="129"/>
      <c r="G665" s="20"/>
      <c r="H665" s="20">
        <v>1</v>
      </c>
      <c r="I665" s="129">
        <f t="shared" si="49"/>
        <v>0</v>
      </c>
      <c r="J665" s="52">
        <f t="shared" si="50"/>
        <v>0</v>
      </c>
      <c r="K665" s="108"/>
      <c r="L665" s="113"/>
      <c r="M665" s="4"/>
      <c r="N665" s="4"/>
      <c r="O665" s="4"/>
      <c r="P665" s="4"/>
      <c r="Q665" s="4"/>
      <c r="R665" s="4"/>
      <c r="S665" s="4"/>
      <c r="T665" s="4"/>
    </row>
    <row r="666" spans="2:20" s="1" customFormat="1" ht="12.95" customHeight="1" x14ac:dyDescent="0.15">
      <c r="B666" s="26">
        <v>12</v>
      </c>
      <c r="C666" s="17"/>
      <c r="D666" s="18"/>
      <c r="E666" s="18"/>
      <c r="F666" s="129"/>
      <c r="G666" s="20"/>
      <c r="H666" s="20">
        <v>1</v>
      </c>
      <c r="I666" s="129">
        <f t="shared" si="49"/>
        <v>0</v>
      </c>
      <c r="J666" s="52">
        <f t="shared" si="50"/>
        <v>0</v>
      </c>
      <c r="K666" s="108"/>
      <c r="L666" s="113"/>
      <c r="M666" s="4"/>
      <c r="N666" s="4"/>
      <c r="O666" s="4"/>
      <c r="P666" s="4"/>
      <c r="Q666" s="4"/>
      <c r="R666" s="4"/>
      <c r="S666" s="4"/>
      <c r="T666" s="4"/>
    </row>
    <row r="667" spans="2:20" s="1" customFormat="1" ht="12.95" customHeight="1" x14ac:dyDescent="0.15">
      <c r="B667" s="26">
        <v>13</v>
      </c>
      <c r="C667" s="17"/>
      <c r="D667" s="18"/>
      <c r="E667" s="18"/>
      <c r="F667" s="129"/>
      <c r="G667" s="20"/>
      <c r="H667" s="20">
        <v>1</v>
      </c>
      <c r="I667" s="129">
        <f t="shared" si="49"/>
        <v>0</v>
      </c>
      <c r="J667" s="52">
        <f t="shared" si="50"/>
        <v>0</v>
      </c>
      <c r="K667" s="108"/>
      <c r="L667" s="113"/>
      <c r="M667" s="4"/>
      <c r="N667" s="4"/>
      <c r="O667" s="4"/>
      <c r="P667" s="4"/>
      <c r="Q667" s="4"/>
      <c r="R667" s="4"/>
      <c r="S667" s="4"/>
      <c r="T667" s="4"/>
    </row>
    <row r="668" spans="2:20" s="1" customFormat="1" ht="12.95" customHeight="1" x14ac:dyDescent="0.15">
      <c r="B668" s="26">
        <v>14</v>
      </c>
      <c r="C668" s="17"/>
      <c r="D668" s="18"/>
      <c r="E668" s="18"/>
      <c r="F668" s="129"/>
      <c r="G668" s="20"/>
      <c r="H668" s="20">
        <v>1</v>
      </c>
      <c r="I668" s="129">
        <f t="shared" si="49"/>
        <v>0</v>
      </c>
      <c r="J668" s="52">
        <f t="shared" si="50"/>
        <v>0</v>
      </c>
      <c r="K668" s="108"/>
      <c r="L668" s="113"/>
      <c r="M668" s="4"/>
      <c r="N668" s="4"/>
      <c r="O668" s="4"/>
      <c r="P668" s="4"/>
      <c r="Q668" s="4"/>
      <c r="R668" s="4"/>
      <c r="S668" s="4"/>
      <c r="T668" s="4"/>
    </row>
    <row r="669" spans="2:20" s="1" customFormat="1" ht="12.95" customHeight="1" x14ac:dyDescent="0.15">
      <c r="B669" s="26">
        <v>15</v>
      </c>
      <c r="C669" s="11"/>
      <c r="D669" s="18"/>
      <c r="E669" s="18"/>
      <c r="F669" s="129"/>
      <c r="G669" s="20"/>
      <c r="H669" s="20">
        <v>1</v>
      </c>
      <c r="I669" s="126">
        <f t="shared" si="49"/>
        <v>0</v>
      </c>
      <c r="J669" s="21">
        <f t="shared" si="50"/>
        <v>0</v>
      </c>
      <c r="K669" s="108"/>
      <c r="L669" s="113"/>
      <c r="M669" s="4"/>
      <c r="N669" s="4"/>
      <c r="O669" s="4"/>
      <c r="P669" s="4"/>
      <c r="Q669" s="4"/>
      <c r="R669" s="4"/>
      <c r="S669" s="4"/>
      <c r="T669" s="4"/>
    </row>
    <row r="670" spans="2:20" s="1" customFormat="1" ht="12.95" customHeight="1" x14ac:dyDescent="0.15">
      <c r="B670" s="26">
        <v>16</v>
      </c>
      <c r="C670" s="23"/>
      <c r="D670" s="49"/>
      <c r="E670" s="49"/>
      <c r="F670" s="126"/>
      <c r="G670" s="50"/>
      <c r="H670" s="20">
        <v>1</v>
      </c>
      <c r="I670" s="126">
        <f t="shared" si="49"/>
        <v>0</v>
      </c>
      <c r="J670" s="21">
        <f t="shared" si="50"/>
        <v>0</v>
      </c>
      <c r="K670" s="108"/>
      <c r="L670" s="113"/>
      <c r="M670" s="4"/>
      <c r="N670" s="4"/>
      <c r="O670" s="4"/>
      <c r="P670" s="4"/>
      <c r="Q670" s="4"/>
      <c r="R670" s="4"/>
      <c r="S670" s="4"/>
      <c r="T670" s="4"/>
    </row>
    <row r="671" spans="2:20" s="1" customFormat="1" ht="12.95" customHeight="1" x14ac:dyDescent="0.15">
      <c r="B671" s="26">
        <v>17</v>
      </c>
      <c r="C671" s="23"/>
      <c r="D671" s="48"/>
      <c r="E671" s="48"/>
      <c r="F671" s="126"/>
      <c r="G671" s="50"/>
      <c r="H671" s="20">
        <v>1</v>
      </c>
      <c r="I671" s="126">
        <f t="shared" si="49"/>
        <v>0</v>
      </c>
      <c r="J671" s="21">
        <f t="shared" si="50"/>
        <v>0</v>
      </c>
      <c r="K671" s="108"/>
      <c r="L671" s="113"/>
      <c r="M671" s="4"/>
      <c r="N671" s="4"/>
      <c r="O671" s="4"/>
      <c r="P671" s="4"/>
      <c r="Q671" s="4"/>
      <c r="R671" s="4"/>
      <c r="S671" s="4"/>
      <c r="T671" s="4"/>
    </row>
    <row r="672" spans="2:20" s="1" customFormat="1" ht="12.95" customHeight="1" x14ac:dyDescent="0.15">
      <c r="B672" s="26">
        <v>18</v>
      </c>
      <c r="C672" s="23"/>
      <c r="D672" s="48"/>
      <c r="E672" s="48"/>
      <c r="F672" s="126"/>
      <c r="G672" s="50"/>
      <c r="H672" s="20">
        <v>1</v>
      </c>
      <c r="I672" s="126">
        <f t="shared" si="49"/>
        <v>0</v>
      </c>
      <c r="J672" s="21">
        <f t="shared" si="50"/>
        <v>0</v>
      </c>
      <c r="K672" s="108"/>
      <c r="L672" s="113"/>
      <c r="M672" s="4"/>
      <c r="N672" s="4"/>
      <c r="O672" s="4"/>
      <c r="P672" s="4"/>
      <c r="Q672" s="4"/>
      <c r="R672" s="4"/>
      <c r="S672" s="4"/>
      <c r="T672" s="4"/>
    </row>
    <row r="673" spans="2:20" s="1" customFormat="1" ht="12.95" customHeight="1" x14ac:dyDescent="0.15">
      <c r="B673" s="26">
        <v>19</v>
      </c>
      <c r="C673" s="23"/>
      <c r="D673" s="48"/>
      <c r="E673" s="48"/>
      <c r="F673" s="126"/>
      <c r="G673" s="50"/>
      <c r="H673" s="20">
        <v>1</v>
      </c>
      <c r="I673" s="126">
        <f t="shared" si="49"/>
        <v>0</v>
      </c>
      <c r="J673" s="21">
        <f t="shared" si="50"/>
        <v>0</v>
      </c>
      <c r="K673" s="108"/>
      <c r="L673" s="113"/>
      <c r="M673" s="4"/>
      <c r="N673" s="4"/>
      <c r="O673" s="4"/>
      <c r="P673" s="4"/>
      <c r="Q673" s="4"/>
      <c r="R673" s="4"/>
      <c r="S673" s="4"/>
      <c r="T673" s="4"/>
    </row>
    <row r="674" spans="2:20" s="1" customFormat="1" ht="12.95" customHeight="1" x14ac:dyDescent="0.15">
      <c r="B674" s="26">
        <v>20</v>
      </c>
      <c r="C674" s="23"/>
      <c r="D674" s="48"/>
      <c r="E674" s="48"/>
      <c r="F674" s="126"/>
      <c r="G674" s="50"/>
      <c r="H674" s="20">
        <v>1</v>
      </c>
      <c r="I674" s="126">
        <f t="shared" si="49"/>
        <v>0</v>
      </c>
      <c r="J674" s="21">
        <f t="shared" si="50"/>
        <v>0</v>
      </c>
      <c r="K674" s="108"/>
      <c r="L674" s="113"/>
      <c r="M674" s="4"/>
      <c r="N674" s="4"/>
      <c r="O674" s="4"/>
      <c r="P674" s="4"/>
      <c r="Q674" s="4"/>
      <c r="R674" s="4"/>
      <c r="S674" s="4"/>
      <c r="T674" s="4"/>
    </row>
    <row r="675" spans="2:20" s="1" customFormat="1" ht="12.95" customHeight="1" x14ac:dyDescent="0.15">
      <c r="B675" s="26"/>
      <c r="C675" s="23"/>
      <c r="D675" s="48"/>
      <c r="E675" s="48"/>
      <c r="F675" s="126"/>
      <c r="G675" s="50"/>
      <c r="H675" s="50"/>
      <c r="I675" s="126"/>
      <c r="J675" s="38"/>
      <c r="K675" s="108"/>
      <c r="L675" s="113"/>
      <c r="M675" s="4"/>
      <c r="N675" s="4"/>
      <c r="O675" s="4"/>
      <c r="P675" s="4"/>
      <c r="Q675" s="4"/>
      <c r="R675" s="4"/>
      <c r="S675" s="4"/>
      <c r="T675" s="4"/>
    </row>
    <row r="676" spans="2:20" s="1" customFormat="1" ht="12.95" customHeight="1" x14ac:dyDescent="0.15">
      <c r="B676" s="26"/>
      <c r="C676" s="23"/>
      <c r="D676" s="48"/>
      <c r="E676" s="48"/>
      <c r="F676" s="126"/>
      <c r="G676" s="50"/>
      <c r="H676" s="50"/>
      <c r="I676" s="126"/>
      <c r="J676" s="38"/>
      <c r="K676" s="108"/>
      <c r="L676" s="113"/>
      <c r="M676" s="4"/>
      <c r="N676" s="4"/>
      <c r="O676" s="4"/>
      <c r="P676" s="4"/>
      <c r="Q676" s="4"/>
      <c r="R676" s="4"/>
      <c r="S676" s="4"/>
      <c r="T676" s="4"/>
    </row>
    <row r="677" spans="2:20" s="1" customFormat="1" ht="12.95" customHeight="1" x14ac:dyDescent="0.15">
      <c r="B677" s="26"/>
      <c r="C677" s="95" t="s">
        <v>132</v>
      </c>
      <c r="D677" s="49"/>
      <c r="E677" s="49"/>
      <c r="F677" s="126"/>
      <c r="G677" s="50"/>
      <c r="H677" s="50"/>
      <c r="I677" s="126"/>
      <c r="J677" s="21"/>
      <c r="K677" s="108"/>
      <c r="L677" s="113"/>
      <c r="M677" s="57"/>
      <c r="N677" s="57"/>
      <c r="O677" s="57"/>
      <c r="P677" s="57"/>
      <c r="Q677" s="58"/>
      <c r="R677" s="57"/>
      <c r="S677" s="4"/>
      <c r="T677" s="57"/>
    </row>
    <row r="678" spans="2:20" s="1" customFormat="1" ht="12.95" customHeight="1" x14ac:dyDescent="0.15">
      <c r="B678" s="26">
        <v>1</v>
      </c>
      <c r="C678" s="60"/>
      <c r="D678" s="49"/>
      <c r="E678" s="49"/>
      <c r="F678" s="126"/>
      <c r="G678" s="50"/>
      <c r="H678" s="50">
        <v>1</v>
      </c>
      <c r="I678" s="126">
        <f>J678*$C$32</f>
        <v>0</v>
      </c>
      <c r="J678" s="21">
        <f t="shared" ref="J678:J697" si="51">(F678*G678*H678)/$C$32</f>
        <v>0</v>
      </c>
      <c r="K678" s="108"/>
      <c r="L678" s="113"/>
      <c r="M678" s="57"/>
      <c r="N678" s="57"/>
      <c r="O678" s="57"/>
      <c r="P678" s="57"/>
      <c r="Q678" s="58"/>
      <c r="R678" s="57"/>
      <c r="S678" s="4"/>
      <c r="T678" s="57"/>
    </row>
    <row r="679" spans="2:20" s="1" customFormat="1" ht="12.95" customHeight="1" x14ac:dyDescent="0.15">
      <c r="B679" s="26">
        <v>2</v>
      </c>
      <c r="C679" s="59"/>
      <c r="D679" s="49"/>
      <c r="E679" s="49"/>
      <c r="F679" s="126"/>
      <c r="G679" s="50"/>
      <c r="H679" s="50">
        <v>1</v>
      </c>
      <c r="I679" s="126">
        <f t="shared" ref="I679:I697" si="52">J679*$C$32</f>
        <v>0</v>
      </c>
      <c r="J679" s="21">
        <f t="shared" si="51"/>
        <v>0</v>
      </c>
      <c r="K679" s="108"/>
      <c r="L679" s="113"/>
      <c r="M679" s="57"/>
      <c r="N679" s="57"/>
      <c r="O679" s="57"/>
      <c r="P679" s="57"/>
      <c r="Q679" s="58"/>
      <c r="R679" s="57"/>
      <c r="S679" s="4"/>
      <c r="T679" s="57"/>
    </row>
    <row r="680" spans="2:20" s="1" customFormat="1" ht="12.95" customHeight="1" x14ac:dyDescent="0.15">
      <c r="B680" s="26">
        <v>3</v>
      </c>
      <c r="C680" s="61"/>
      <c r="D680" s="49"/>
      <c r="E680" s="49"/>
      <c r="F680" s="126"/>
      <c r="G680" s="50"/>
      <c r="H680" s="50">
        <v>1</v>
      </c>
      <c r="I680" s="126">
        <f t="shared" si="52"/>
        <v>0</v>
      </c>
      <c r="J680" s="21">
        <f t="shared" si="51"/>
        <v>0</v>
      </c>
      <c r="K680" s="108"/>
      <c r="L680" s="113"/>
      <c r="M680" s="57"/>
      <c r="N680" s="57"/>
      <c r="O680" s="57"/>
      <c r="P680" s="57"/>
      <c r="Q680" s="58"/>
      <c r="R680" s="57"/>
      <c r="S680" s="4"/>
      <c r="T680" s="57"/>
    </row>
    <row r="681" spans="2:20" s="1" customFormat="1" ht="12.95" customHeight="1" x14ac:dyDescent="0.15">
      <c r="B681" s="16">
        <v>4</v>
      </c>
      <c r="C681" s="11"/>
      <c r="D681" s="18"/>
      <c r="E681" s="18"/>
      <c r="F681" s="129"/>
      <c r="G681" s="20"/>
      <c r="H681" s="20">
        <v>1</v>
      </c>
      <c r="I681" s="126">
        <f t="shared" si="52"/>
        <v>0</v>
      </c>
      <c r="J681" s="21">
        <f t="shared" si="51"/>
        <v>0</v>
      </c>
      <c r="K681" s="80"/>
      <c r="L681" s="82"/>
      <c r="M681" s="10"/>
      <c r="N681" s="10"/>
      <c r="O681" s="10"/>
      <c r="P681" s="10"/>
      <c r="Q681" s="43"/>
      <c r="R681" s="10"/>
      <c r="T681" s="10"/>
    </row>
    <row r="682" spans="2:20" s="1" customFormat="1" ht="12.95" customHeight="1" x14ac:dyDescent="0.15">
      <c r="B682" s="16">
        <v>5</v>
      </c>
      <c r="C682" s="46"/>
      <c r="D682" s="18"/>
      <c r="E682" s="18"/>
      <c r="F682" s="129"/>
      <c r="G682" s="20"/>
      <c r="H682" s="20">
        <v>1</v>
      </c>
      <c r="I682" s="126">
        <f t="shared" si="52"/>
        <v>0</v>
      </c>
      <c r="J682" s="21">
        <f t="shared" si="51"/>
        <v>0</v>
      </c>
      <c r="K682" s="80"/>
      <c r="L682" s="82"/>
      <c r="M682" s="10"/>
      <c r="N682" s="10"/>
      <c r="O682" s="10"/>
      <c r="P682" s="10"/>
      <c r="Q682" s="43"/>
      <c r="R682" s="10"/>
      <c r="T682" s="10"/>
    </row>
    <row r="683" spans="2:20" s="1" customFormat="1" ht="12.95" customHeight="1" x14ac:dyDescent="0.15">
      <c r="B683" s="16">
        <v>6</v>
      </c>
      <c r="C683" s="11"/>
      <c r="D683" s="18"/>
      <c r="E683" s="18"/>
      <c r="F683" s="129"/>
      <c r="G683" s="20"/>
      <c r="H683" s="20">
        <v>1</v>
      </c>
      <c r="I683" s="126">
        <f t="shared" si="52"/>
        <v>0</v>
      </c>
      <c r="J683" s="21">
        <f t="shared" si="51"/>
        <v>0</v>
      </c>
      <c r="K683" s="80"/>
      <c r="L683" s="82"/>
      <c r="M683" s="10"/>
      <c r="N683" s="10"/>
      <c r="O683" s="10"/>
      <c r="P683" s="10"/>
      <c r="Q683" s="43"/>
      <c r="R683" s="10"/>
      <c r="T683" s="10"/>
    </row>
    <row r="684" spans="2:20" s="1" customFormat="1" ht="12.95" customHeight="1" x14ac:dyDescent="0.15">
      <c r="B684" s="16">
        <v>7</v>
      </c>
      <c r="C684" s="11"/>
      <c r="D684" s="18"/>
      <c r="E684" s="18"/>
      <c r="F684" s="129"/>
      <c r="G684" s="20"/>
      <c r="H684" s="20">
        <v>1</v>
      </c>
      <c r="I684" s="126">
        <f t="shared" si="52"/>
        <v>0</v>
      </c>
      <c r="J684" s="21">
        <f t="shared" si="51"/>
        <v>0</v>
      </c>
      <c r="K684" s="80"/>
      <c r="L684" s="82"/>
      <c r="M684" s="10"/>
      <c r="N684" s="10"/>
      <c r="O684" s="10"/>
      <c r="P684" s="10"/>
      <c r="Q684" s="43"/>
      <c r="R684" s="10"/>
      <c r="T684" s="10"/>
    </row>
    <row r="685" spans="2:20" s="1" customFormat="1" ht="12.95" customHeight="1" x14ac:dyDescent="0.15">
      <c r="B685" s="16">
        <v>8</v>
      </c>
      <c r="C685" s="11"/>
      <c r="D685" s="18"/>
      <c r="E685" s="18"/>
      <c r="F685" s="129"/>
      <c r="G685" s="20"/>
      <c r="H685" s="20">
        <v>1</v>
      </c>
      <c r="I685" s="126">
        <f t="shared" si="52"/>
        <v>0</v>
      </c>
      <c r="J685" s="21">
        <f t="shared" si="51"/>
        <v>0</v>
      </c>
      <c r="K685" s="80"/>
      <c r="L685" s="82"/>
      <c r="M685" s="10"/>
      <c r="N685" s="10"/>
      <c r="O685" s="10"/>
      <c r="P685" s="10"/>
      <c r="Q685" s="43"/>
      <c r="R685" s="10"/>
      <c r="T685" s="10"/>
    </row>
    <row r="686" spans="2:20" s="1" customFormat="1" ht="12.95" customHeight="1" x14ac:dyDescent="0.15">
      <c r="B686" s="16">
        <v>9</v>
      </c>
      <c r="C686" s="11"/>
      <c r="D686" s="18"/>
      <c r="E686" s="18"/>
      <c r="F686" s="129"/>
      <c r="G686" s="20"/>
      <c r="H686" s="20">
        <v>1</v>
      </c>
      <c r="I686" s="126">
        <f t="shared" si="52"/>
        <v>0</v>
      </c>
      <c r="J686" s="21">
        <f t="shared" si="51"/>
        <v>0</v>
      </c>
      <c r="K686" s="80"/>
      <c r="L686" s="82"/>
      <c r="M686" s="10"/>
      <c r="N686" s="10"/>
      <c r="O686" s="10"/>
      <c r="P686" s="10"/>
      <c r="Q686" s="43"/>
      <c r="R686" s="10"/>
      <c r="T686" s="10"/>
    </row>
    <row r="687" spans="2:20" s="1" customFormat="1" ht="12.95" customHeight="1" x14ac:dyDescent="0.15">
      <c r="B687" s="16">
        <v>10</v>
      </c>
      <c r="C687" s="11"/>
      <c r="D687" s="18"/>
      <c r="E687" s="18"/>
      <c r="F687" s="129"/>
      <c r="G687" s="20"/>
      <c r="H687" s="20">
        <v>1</v>
      </c>
      <c r="I687" s="126">
        <f t="shared" si="52"/>
        <v>0</v>
      </c>
      <c r="J687" s="21">
        <f t="shared" si="51"/>
        <v>0</v>
      </c>
      <c r="K687" s="80"/>
      <c r="L687" s="82"/>
      <c r="M687" s="10"/>
      <c r="N687" s="10"/>
      <c r="O687" s="10"/>
      <c r="P687" s="10"/>
      <c r="Q687" s="43"/>
      <c r="R687" s="10"/>
      <c r="T687" s="10"/>
    </row>
    <row r="688" spans="2:20" s="1" customFormat="1" ht="12.95" customHeight="1" x14ac:dyDescent="0.15">
      <c r="B688" s="16">
        <v>11</v>
      </c>
      <c r="C688" s="11"/>
      <c r="D688" s="18"/>
      <c r="E688" s="18"/>
      <c r="F688" s="129"/>
      <c r="G688" s="20"/>
      <c r="H688" s="20">
        <v>1</v>
      </c>
      <c r="I688" s="126">
        <f t="shared" si="52"/>
        <v>0</v>
      </c>
      <c r="J688" s="21">
        <f t="shared" si="51"/>
        <v>0</v>
      </c>
      <c r="K688" s="80"/>
      <c r="L688" s="82"/>
      <c r="M688" s="10"/>
      <c r="N688" s="10"/>
      <c r="O688" s="10"/>
      <c r="P688" s="10"/>
      <c r="Q688" s="43"/>
      <c r="R688" s="10"/>
      <c r="T688" s="10"/>
    </row>
    <row r="689" spans="2:20" s="1" customFormat="1" ht="12.95" customHeight="1" x14ac:dyDescent="0.15">
      <c r="B689" s="16">
        <v>12</v>
      </c>
      <c r="C689" s="11"/>
      <c r="D689" s="18"/>
      <c r="E689" s="18"/>
      <c r="F689" s="129"/>
      <c r="G689" s="20"/>
      <c r="H689" s="20">
        <v>1</v>
      </c>
      <c r="I689" s="126">
        <f t="shared" si="52"/>
        <v>0</v>
      </c>
      <c r="J689" s="21">
        <f t="shared" si="51"/>
        <v>0</v>
      </c>
      <c r="K689" s="80"/>
      <c r="L689" s="82"/>
      <c r="M689" s="10"/>
      <c r="N689" s="10"/>
      <c r="O689" s="10"/>
      <c r="P689" s="10"/>
      <c r="Q689" s="43"/>
      <c r="R689" s="10"/>
      <c r="T689" s="10"/>
    </row>
    <row r="690" spans="2:20" s="1" customFormat="1" ht="12.95" customHeight="1" x14ac:dyDescent="0.15">
      <c r="B690" s="16">
        <v>13</v>
      </c>
      <c r="C690" s="11"/>
      <c r="D690" s="18"/>
      <c r="E690" s="18"/>
      <c r="F690" s="129"/>
      <c r="G690" s="20"/>
      <c r="H690" s="20">
        <v>1</v>
      </c>
      <c r="I690" s="126">
        <f t="shared" si="52"/>
        <v>0</v>
      </c>
      <c r="J690" s="21">
        <f t="shared" si="51"/>
        <v>0</v>
      </c>
      <c r="K690" s="80"/>
      <c r="L690" s="82"/>
      <c r="M690" s="10"/>
      <c r="N690" s="10"/>
      <c r="O690" s="10"/>
      <c r="P690" s="10"/>
      <c r="Q690" s="43"/>
      <c r="R690" s="10"/>
      <c r="T690" s="10"/>
    </row>
    <row r="691" spans="2:20" s="1" customFormat="1" ht="12.95" customHeight="1" x14ac:dyDescent="0.15">
      <c r="B691" s="16">
        <v>14</v>
      </c>
      <c r="C691" s="11"/>
      <c r="D691" s="18"/>
      <c r="E691" s="18"/>
      <c r="F691" s="129"/>
      <c r="G691" s="20"/>
      <c r="H691" s="20">
        <v>1</v>
      </c>
      <c r="I691" s="126">
        <f t="shared" si="52"/>
        <v>0</v>
      </c>
      <c r="J691" s="21">
        <f t="shared" si="51"/>
        <v>0</v>
      </c>
      <c r="K691" s="80"/>
      <c r="L691" s="82"/>
      <c r="M691" s="10"/>
      <c r="N691" s="10"/>
      <c r="O691" s="10"/>
      <c r="P691" s="10"/>
      <c r="Q691" s="43"/>
      <c r="R691" s="10"/>
      <c r="T691" s="10"/>
    </row>
    <row r="692" spans="2:20" s="1" customFormat="1" ht="12.95" customHeight="1" x14ac:dyDescent="0.15">
      <c r="B692" s="16">
        <v>15</v>
      </c>
      <c r="C692" s="11"/>
      <c r="D692" s="18"/>
      <c r="E692" s="18"/>
      <c r="F692" s="129"/>
      <c r="G692" s="20"/>
      <c r="H692" s="20">
        <v>1</v>
      </c>
      <c r="I692" s="126">
        <f t="shared" si="52"/>
        <v>0</v>
      </c>
      <c r="J692" s="21">
        <f t="shared" si="51"/>
        <v>0</v>
      </c>
      <c r="K692" s="80"/>
      <c r="L692" s="82"/>
      <c r="M692" s="10"/>
      <c r="N692" s="10"/>
      <c r="O692" s="10"/>
      <c r="P692" s="10"/>
      <c r="Q692" s="43"/>
      <c r="R692" s="10"/>
      <c r="T692" s="10"/>
    </row>
    <row r="693" spans="2:20" s="1" customFormat="1" ht="12.95" customHeight="1" x14ac:dyDescent="0.15">
      <c r="B693" s="16">
        <v>16</v>
      </c>
      <c r="C693" s="11"/>
      <c r="D693" s="18"/>
      <c r="E693" s="18"/>
      <c r="F693" s="129"/>
      <c r="G693" s="20"/>
      <c r="H693" s="20">
        <v>1</v>
      </c>
      <c r="I693" s="126">
        <f t="shared" si="52"/>
        <v>0</v>
      </c>
      <c r="J693" s="21">
        <f t="shared" si="51"/>
        <v>0</v>
      </c>
      <c r="K693" s="80"/>
      <c r="L693" s="82"/>
      <c r="M693" s="10"/>
      <c r="N693" s="10"/>
      <c r="O693" s="10"/>
      <c r="P693" s="10"/>
      <c r="Q693" s="43"/>
      <c r="R693" s="10"/>
      <c r="T693" s="10"/>
    </row>
    <row r="694" spans="2:20" s="1" customFormat="1" ht="12.95" customHeight="1" x14ac:dyDescent="0.15">
      <c r="B694" s="16">
        <v>17</v>
      </c>
      <c r="C694" s="11"/>
      <c r="D694" s="18"/>
      <c r="E694" s="18"/>
      <c r="F694" s="129"/>
      <c r="G694" s="20"/>
      <c r="H694" s="20">
        <v>1</v>
      </c>
      <c r="I694" s="126">
        <f t="shared" si="52"/>
        <v>0</v>
      </c>
      <c r="J694" s="21">
        <f t="shared" si="51"/>
        <v>0</v>
      </c>
      <c r="K694" s="80"/>
      <c r="L694" s="82"/>
      <c r="M694" s="10"/>
      <c r="N694" s="10"/>
      <c r="O694" s="10"/>
      <c r="P694" s="10"/>
      <c r="Q694" s="43"/>
      <c r="R694" s="10"/>
      <c r="T694" s="10"/>
    </row>
    <row r="695" spans="2:20" s="1" customFormat="1" ht="12.95" customHeight="1" x14ac:dyDescent="0.15">
      <c r="B695" s="16">
        <v>18</v>
      </c>
      <c r="C695" s="11"/>
      <c r="D695" s="18"/>
      <c r="E695" s="18"/>
      <c r="F695" s="129"/>
      <c r="G695" s="20"/>
      <c r="H695" s="20">
        <v>1</v>
      </c>
      <c r="I695" s="126">
        <f t="shared" si="52"/>
        <v>0</v>
      </c>
      <c r="J695" s="21">
        <f t="shared" si="51"/>
        <v>0</v>
      </c>
      <c r="K695" s="111"/>
      <c r="L695" s="119"/>
      <c r="M695" s="10"/>
      <c r="N695" s="10"/>
      <c r="O695" s="10"/>
      <c r="P695" s="10"/>
      <c r="Q695" s="43"/>
      <c r="R695" s="10"/>
      <c r="T695" s="10"/>
    </row>
    <row r="696" spans="2:20" s="1" customFormat="1" ht="12.95" customHeight="1" x14ac:dyDescent="0.15">
      <c r="B696" s="16">
        <v>19</v>
      </c>
      <c r="C696" s="16"/>
      <c r="D696" s="18"/>
      <c r="E696" s="18"/>
      <c r="F696" s="129"/>
      <c r="G696" s="20"/>
      <c r="H696" s="20">
        <v>1</v>
      </c>
      <c r="I696" s="126">
        <f t="shared" si="52"/>
        <v>0</v>
      </c>
      <c r="J696" s="259">
        <f t="shared" si="51"/>
        <v>0</v>
      </c>
      <c r="K696" s="82"/>
      <c r="L696" s="82"/>
      <c r="M696" s="10"/>
      <c r="N696" s="10"/>
      <c r="O696" s="10"/>
      <c r="P696" s="10"/>
      <c r="Q696" s="43"/>
      <c r="R696" s="10"/>
      <c r="T696" s="10"/>
    </row>
    <row r="697" spans="2:20" s="1" customFormat="1" ht="12.95" customHeight="1" x14ac:dyDescent="0.15">
      <c r="B697" s="16">
        <v>20</v>
      </c>
      <c r="C697" s="11"/>
      <c r="D697" s="18"/>
      <c r="E697" s="18"/>
      <c r="F697" s="129"/>
      <c r="G697" s="20"/>
      <c r="H697" s="20">
        <v>1</v>
      </c>
      <c r="I697" s="126">
        <f t="shared" si="52"/>
        <v>0</v>
      </c>
      <c r="J697" s="260">
        <f t="shared" si="51"/>
        <v>0</v>
      </c>
      <c r="K697" s="82"/>
      <c r="L697" s="82"/>
      <c r="M697" s="10"/>
      <c r="N697" s="10"/>
      <c r="O697" s="10"/>
      <c r="P697" s="10"/>
      <c r="Q697" s="43"/>
      <c r="R697" s="10"/>
      <c r="T697" s="10"/>
    </row>
    <row r="698" spans="2:20" s="1" customFormat="1" ht="12.95" customHeight="1" x14ac:dyDescent="0.15">
      <c r="B698" s="16"/>
      <c r="C698" s="17"/>
      <c r="D698" s="62"/>
      <c r="E698" s="63"/>
      <c r="F698" s="129"/>
      <c r="G698" s="20"/>
      <c r="H698" s="20"/>
      <c r="I698" s="254"/>
      <c r="J698" s="261"/>
      <c r="K698" s="82"/>
      <c r="L698" s="82"/>
    </row>
    <row r="699" spans="2:20" s="1" customFormat="1" ht="13.15" customHeight="1" x14ac:dyDescent="0.15">
      <c r="B699" s="83"/>
      <c r="C699" s="98"/>
      <c r="D699" s="99"/>
      <c r="E699" s="98"/>
      <c r="F699" s="127">
        <f>SUM(F640:F698)</f>
        <v>0</v>
      </c>
      <c r="G699" s="100"/>
      <c r="H699" s="101"/>
      <c r="I699" s="258">
        <f>SUM(I640:I698)</f>
        <v>0</v>
      </c>
      <c r="J699" s="106">
        <f>SUM(J642:J678)</f>
        <v>0</v>
      </c>
    </row>
    <row r="700" spans="2:20" s="1" customFormat="1" ht="13.15" customHeight="1" x14ac:dyDescent="0.15">
      <c r="B700" s="82"/>
      <c r="C700" s="102"/>
      <c r="D700" s="103"/>
      <c r="E700" s="102" t="s">
        <v>147</v>
      </c>
      <c r="F700" s="128">
        <f>100/115*F699</f>
        <v>0</v>
      </c>
      <c r="G700" s="104"/>
      <c r="H700" s="105" t="s">
        <v>147</v>
      </c>
      <c r="I700" s="256">
        <f>100/115*I699</f>
        <v>0</v>
      </c>
      <c r="J700" s="106">
        <f>SUM(J643:J679)</f>
        <v>0</v>
      </c>
    </row>
    <row r="701" spans="2:20" s="1" customFormat="1" ht="13.15" customHeight="1" x14ac:dyDescent="0.15">
      <c r="I701" s="135"/>
    </row>
    <row r="702" spans="2:20" s="1" customFormat="1" ht="13.15" customHeight="1" x14ac:dyDescent="0.15">
      <c r="I702" s="135"/>
    </row>
    <row r="703" spans="2:20" s="1" customFormat="1" ht="13.15" customHeight="1" x14ac:dyDescent="0.15">
      <c r="I703" s="135"/>
    </row>
    <row r="704" spans="2:20" s="1" customFormat="1" ht="13.15" customHeight="1" x14ac:dyDescent="0.15">
      <c r="I704" s="135"/>
    </row>
    <row r="705" spans="2:13" s="247" customFormat="1" ht="32.25" x14ac:dyDescent="0.4">
      <c r="B705" s="248"/>
      <c r="C705" s="380" t="s">
        <v>112</v>
      </c>
      <c r="D705" s="380"/>
      <c r="E705" s="428" t="s">
        <v>164</v>
      </c>
      <c r="F705" s="428"/>
      <c r="G705" s="428"/>
      <c r="H705" s="428"/>
      <c r="I705" s="428"/>
      <c r="J705" s="382">
        <v>2026</v>
      </c>
      <c r="K705" s="382"/>
      <c r="L705" s="382"/>
    </row>
    <row r="706" spans="2:13" s="1" customFormat="1" ht="39.6" customHeight="1" x14ac:dyDescent="0.15">
      <c r="B706" s="82"/>
      <c r="C706" s="102" t="s">
        <v>114</v>
      </c>
      <c r="D706" s="388" t="s">
        <v>115</v>
      </c>
      <c r="E706" s="388"/>
      <c r="F706" s="102" t="s">
        <v>116</v>
      </c>
      <c r="G706" s="102" t="s">
        <v>117</v>
      </c>
      <c r="H706" s="102" t="s">
        <v>118</v>
      </c>
      <c r="I706" s="141" t="s">
        <v>119</v>
      </c>
      <c r="J706" s="102" t="s">
        <v>120</v>
      </c>
      <c r="K706" s="82"/>
      <c r="L706" s="82"/>
    </row>
    <row r="707" spans="2:13" s="1" customFormat="1" ht="13.15" customHeight="1" x14ac:dyDescent="0.15">
      <c r="B707" s="82"/>
      <c r="C707" s="66">
        <f>C637</f>
        <v>250</v>
      </c>
      <c r="D707" s="389">
        <v>20</v>
      </c>
      <c r="E707" s="389"/>
      <c r="F707" s="13">
        <f>F637</f>
        <v>0.75</v>
      </c>
      <c r="G707" s="14">
        <f>G637</f>
        <v>8</v>
      </c>
      <c r="H707" s="142">
        <f>D707*G707*F707</f>
        <v>120</v>
      </c>
      <c r="I707" s="66">
        <f>I769</f>
        <v>0</v>
      </c>
      <c r="J707" s="143">
        <f>H707-J769</f>
        <v>120</v>
      </c>
      <c r="K707" s="82"/>
      <c r="L707" s="82"/>
    </row>
    <row r="708" spans="2:13" s="1" customFormat="1" ht="66" customHeight="1" x14ac:dyDescent="0.15">
      <c r="B708" s="84"/>
      <c r="C708" s="136" t="s">
        <v>121</v>
      </c>
      <c r="D708" s="420" t="s">
        <v>122</v>
      </c>
      <c r="E708" s="421"/>
      <c r="F708" s="137" t="s">
        <v>123</v>
      </c>
      <c r="G708" s="138" t="s">
        <v>124</v>
      </c>
      <c r="H708" s="139" t="s">
        <v>125</v>
      </c>
      <c r="I708" s="140" t="s">
        <v>126</v>
      </c>
      <c r="J708" s="138" t="s">
        <v>127</v>
      </c>
      <c r="K708" s="122" t="s">
        <v>128</v>
      </c>
      <c r="L708" s="123" t="s">
        <v>129</v>
      </c>
    </row>
    <row r="709" spans="2:13" s="1" customFormat="1" ht="12.95" customHeight="1" x14ac:dyDescent="0.15">
      <c r="B709" s="16"/>
      <c r="C709" s="17"/>
      <c r="D709" s="422"/>
      <c r="E709" s="423"/>
      <c r="F709" s="36"/>
      <c r="G709" s="20"/>
      <c r="H709" s="20"/>
      <c r="I709" s="126"/>
      <c r="J709" s="21"/>
      <c r="K709" s="80"/>
      <c r="L709" s="82"/>
    </row>
    <row r="710" spans="2:13" s="1" customFormat="1" ht="12.95" customHeight="1" x14ac:dyDescent="0.15">
      <c r="B710" s="16"/>
      <c r="C710" s="37" t="s">
        <v>130</v>
      </c>
      <c r="D710" s="24"/>
      <c r="E710" s="24"/>
      <c r="F710" s="129"/>
      <c r="G710" s="20"/>
      <c r="H710" s="20"/>
      <c r="I710" s="126"/>
      <c r="J710" s="38"/>
      <c r="K710" s="80"/>
      <c r="L710" s="82"/>
    </row>
    <row r="711" spans="2:13" s="1" customFormat="1" ht="12.75" customHeight="1" x14ac:dyDescent="0.15">
      <c r="B711" s="16"/>
      <c r="C711" s="72" t="s">
        <v>149</v>
      </c>
      <c r="D711" s="24"/>
      <c r="E711" s="24"/>
      <c r="F711" s="129"/>
      <c r="G711" s="20"/>
      <c r="H711" s="20"/>
      <c r="I711" s="126"/>
      <c r="J711" s="38"/>
      <c r="K711" s="80"/>
      <c r="L711" s="82"/>
    </row>
    <row r="712" spans="2:13" s="1" customFormat="1" ht="16.5" x14ac:dyDescent="0.15">
      <c r="B712" s="16">
        <v>1</v>
      </c>
      <c r="C712" s="23"/>
      <c r="D712" s="48"/>
      <c r="E712" s="48"/>
      <c r="F712" s="126"/>
      <c r="G712" s="50"/>
      <c r="H712" s="20">
        <v>1</v>
      </c>
      <c r="I712" s="126">
        <f t="shared" ref="I712:I734" si="53">J712*$C$32</f>
        <v>0</v>
      </c>
      <c r="J712" s="38">
        <f t="shared" ref="J712:J728" si="54">(F712*G712*H712)/$C$32</f>
        <v>0</v>
      </c>
      <c r="K712" s="80"/>
      <c r="L712" s="82"/>
      <c r="M712" s="133"/>
    </row>
    <row r="713" spans="2:13" s="1" customFormat="1" ht="12.75" customHeight="1" x14ac:dyDescent="0.15">
      <c r="B713" s="16">
        <v>2</v>
      </c>
      <c r="C713" s="23"/>
      <c r="D713" s="97"/>
      <c r="E713" s="97"/>
      <c r="F713" s="126"/>
      <c r="G713" s="50"/>
      <c r="H713" s="20">
        <v>1</v>
      </c>
      <c r="I713" s="126">
        <f t="shared" si="53"/>
        <v>0</v>
      </c>
      <c r="J713" s="38">
        <f t="shared" si="54"/>
        <v>0</v>
      </c>
      <c r="K713" s="80"/>
      <c r="L713" s="82"/>
      <c r="M713" s="134"/>
    </row>
    <row r="714" spans="2:13" s="1" customFormat="1" ht="12.75" customHeight="1" x14ac:dyDescent="0.15">
      <c r="B714" s="16">
        <v>3</v>
      </c>
      <c r="C714" s="23"/>
      <c r="D714" s="48"/>
      <c r="E714" s="48"/>
      <c r="F714" s="126"/>
      <c r="G714" s="50"/>
      <c r="H714" s="20">
        <v>1</v>
      </c>
      <c r="I714" s="126">
        <f t="shared" si="53"/>
        <v>0</v>
      </c>
      <c r="J714" s="38">
        <f t="shared" si="54"/>
        <v>0</v>
      </c>
      <c r="K714" s="80"/>
      <c r="L714" s="82"/>
    </row>
    <row r="715" spans="2:13" s="1" customFormat="1" ht="12.75" x14ac:dyDescent="0.15">
      <c r="B715" s="16">
        <v>4</v>
      </c>
      <c r="C715" s="26"/>
      <c r="D715" s="49"/>
      <c r="E715" s="49"/>
      <c r="F715" s="126"/>
      <c r="G715" s="50"/>
      <c r="H715" s="20">
        <v>1</v>
      </c>
      <c r="I715" s="126">
        <f t="shared" si="53"/>
        <v>0</v>
      </c>
      <c r="J715" s="38">
        <f t="shared" si="54"/>
        <v>0</v>
      </c>
      <c r="K715" s="80"/>
      <c r="L715" s="82"/>
    </row>
    <row r="716" spans="2:13" s="1" customFormat="1" ht="12.75" customHeight="1" x14ac:dyDescent="0.15">
      <c r="B716" s="16">
        <v>5</v>
      </c>
      <c r="C716" s="23"/>
      <c r="D716" s="48"/>
      <c r="E716" s="48"/>
      <c r="F716" s="126"/>
      <c r="G716" s="50"/>
      <c r="H716" s="20">
        <v>1</v>
      </c>
      <c r="I716" s="126">
        <f t="shared" si="53"/>
        <v>0</v>
      </c>
      <c r="J716" s="38">
        <f t="shared" si="54"/>
        <v>0</v>
      </c>
      <c r="K716" s="80"/>
      <c r="L716" s="82"/>
    </row>
    <row r="717" spans="2:13" s="1" customFormat="1" ht="12.95" customHeight="1" x14ac:dyDescent="0.15">
      <c r="B717" s="16">
        <v>6</v>
      </c>
      <c r="C717" s="23"/>
      <c r="D717" s="48"/>
      <c r="E717" s="48"/>
      <c r="F717" s="126"/>
      <c r="G717" s="50"/>
      <c r="H717" s="20">
        <v>1</v>
      </c>
      <c r="I717" s="126">
        <f t="shared" si="53"/>
        <v>0</v>
      </c>
      <c r="J717" s="38">
        <f t="shared" si="54"/>
        <v>0</v>
      </c>
      <c r="K717" s="80"/>
      <c r="L717" s="82"/>
    </row>
    <row r="718" spans="2:13" s="1" customFormat="1" ht="12.95" customHeight="1" x14ac:dyDescent="0.15">
      <c r="B718" s="16">
        <v>7</v>
      </c>
      <c r="C718" s="23"/>
      <c r="D718" s="48"/>
      <c r="E718" s="48"/>
      <c r="F718" s="126"/>
      <c r="G718" s="50"/>
      <c r="H718" s="20">
        <v>1</v>
      </c>
      <c r="I718" s="126">
        <f t="shared" si="53"/>
        <v>0</v>
      </c>
      <c r="J718" s="38">
        <f t="shared" si="54"/>
        <v>0</v>
      </c>
      <c r="K718" s="80"/>
      <c r="L718" s="82"/>
    </row>
    <row r="719" spans="2:13" s="1" customFormat="1" ht="12.95" customHeight="1" x14ac:dyDescent="0.15">
      <c r="B719" s="16">
        <v>8</v>
      </c>
      <c r="C719" s="23"/>
      <c r="D719" s="48"/>
      <c r="E719" s="48"/>
      <c r="F719" s="126"/>
      <c r="G719" s="50"/>
      <c r="H719" s="20">
        <v>1</v>
      </c>
      <c r="I719" s="126">
        <f t="shared" si="53"/>
        <v>0</v>
      </c>
      <c r="J719" s="38">
        <f t="shared" si="54"/>
        <v>0</v>
      </c>
      <c r="K719" s="80"/>
      <c r="L719" s="82"/>
    </row>
    <row r="720" spans="2:13" s="1" customFormat="1" ht="12.95" customHeight="1" x14ac:dyDescent="0.15">
      <c r="B720" s="16">
        <v>9</v>
      </c>
      <c r="C720" s="23"/>
      <c r="D720" s="48"/>
      <c r="E720" s="48"/>
      <c r="F720" s="126"/>
      <c r="G720" s="50"/>
      <c r="H720" s="20">
        <v>1</v>
      </c>
      <c r="I720" s="126">
        <f t="shared" si="53"/>
        <v>0</v>
      </c>
      <c r="J720" s="38">
        <f t="shared" si="54"/>
        <v>0</v>
      </c>
      <c r="K720" s="80"/>
      <c r="L720" s="82"/>
    </row>
    <row r="721" spans="2:20" s="1" customFormat="1" ht="12.95" customHeight="1" x14ac:dyDescent="0.15">
      <c r="B721" s="16">
        <v>10</v>
      </c>
      <c r="C721" s="23"/>
      <c r="D721" s="49"/>
      <c r="E721" s="48"/>
      <c r="F721" s="126"/>
      <c r="G721" s="50"/>
      <c r="H721" s="20">
        <v>1</v>
      </c>
      <c r="I721" s="126">
        <f t="shared" si="53"/>
        <v>0</v>
      </c>
      <c r="J721" s="38">
        <f t="shared" si="54"/>
        <v>0</v>
      </c>
      <c r="K721" s="80"/>
      <c r="L721" s="82"/>
    </row>
    <row r="722" spans="2:20" s="1" customFormat="1" ht="12.95" customHeight="1" x14ac:dyDescent="0.15">
      <c r="B722" s="16"/>
      <c r="C722" s="23"/>
      <c r="D722" s="49"/>
      <c r="E722" s="48"/>
      <c r="F722" s="126"/>
      <c r="G722" s="50"/>
      <c r="H722" s="20"/>
      <c r="I722" s="126"/>
      <c r="J722" s="38"/>
      <c r="K722" s="80"/>
      <c r="L722" s="82"/>
    </row>
    <row r="723" spans="2:20" s="1" customFormat="1" ht="12.95" customHeight="1" x14ac:dyDescent="0.15">
      <c r="B723" s="16"/>
      <c r="C723" s="23"/>
      <c r="D723" s="48"/>
      <c r="E723" s="49"/>
      <c r="F723" s="126"/>
      <c r="G723" s="50"/>
      <c r="H723" s="20"/>
      <c r="I723" s="126"/>
      <c r="J723" s="38"/>
      <c r="K723" s="80"/>
      <c r="L723" s="82"/>
    </row>
    <row r="724" spans="2:20" s="1" customFormat="1" ht="12.95" customHeight="1" x14ac:dyDescent="0.15">
      <c r="B724" s="16"/>
      <c r="C724" s="22" t="s">
        <v>156</v>
      </c>
      <c r="D724" s="24"/>
      <c r="E724" s="18"/>
      <c r="F724" s="129"/>
      <c r="G724" s="20"/>
      <c r="H724" s="20"/>
      <c r="I724" s="126"/>
      <c r="J724" s="38"/>
      <c r="K724" s="80"/>
      <c r="L724" s="82"/>
    </row>
    <row r="725" spans="2:20" s="1" customFormat="1" ht="12.95" customHeight="1" x14ac:dyDescent="0.15">
      <c r="B725" s="16">
        <v>1</v>
      </c>
      <c r="C725" s="17"/>
      <c r="D725" s="24"/>
      <c r="E725" s="18"/>
      <c r="F725" s="129"/>
      <c r="G725" s="20"/>
      <c r="H725" s="20">
        <v>1</v>
      </c>
      <c r="I725" s="126">
        <f t="shared" si="53"/>
        <v>0</v>
      </c>
      <c r="J725" s="38">
        <f t="shared" si="54"/>
        <v>0</v>
      </c>
      <c r="K725" s="80"/>
      <c r="L725" s="82"/>
    </row>
    <row r="726" spans="2:20" s="1" customFormat="1" ht="12.95" customHeight="1" x14ac:dyDescent="0.15">
      <c r="B726" s="16">
        <v>2</v>
      </c>
      <c r="C726" s="17"/>
      <c r="D726" s="24"/>
      <c r="E726" s="18"/>
      <c r="F726" s="129"/>
      <c r="G726" s="20"/>
      <c r="H726" s="20">
        <v>1</v>
      </c>
      <c r="I726" s="126">
        <f t="shared" si="53"/>
        <v>0</v>
      </c>
      <c r="J726" s="38">
        <f t="shared" si="54"/>
        <v>0</v>
      </c>
      <c r="K726" s="80"/>
      <c r="L726" s="82"/>
    </row>
    <row r="727" spans="2:20" s="1" customFormat="1" ht="12.95" customHeight="1" x14ac:dyDescent="0.15">
      <c r="B727" s="16">
        <v>3</v>
      </c>
      <c r="C727" s="17"/>
      <c r="D727" s="24"/>
      <c r="E727" s="18"/>
      <c r="F727" s="129"/>
      <c r="G727" s="20"/>
      <c r="H727" s="20">
        <v>1</v>
      </c>
      <c r="I727" s="126">
        <f t="shared" si="53"/>
        <v>0</v>
      </c>
      <c r="J727" s="38">
        <f t="shared" si="54"/>
        <v>0</v>
      </c>
      <c r="K727" s="80"/>
      <c r="L727" s="82"/>
    </row>
    <row r="728" spans="2:20" s="1" customFormat="1" ht="12.95" customHeight="1" x14ac:dyDescent="0.15">
      <c r="B728" s="16">
        <v>4</v>
      </c>
      <c r="C728" s="17"/>
      <c r="D728" s="24"/>
      <c r="E728" s="24"/>
      <c r="F728" s="129"/>
      <c r="G728" s="20"/>
      <c r="H728" s="20">
        <v>1</v>
      </c>
      <c r="I728" s="126">
        <f t="shared" si="53"/>
        <v>0</v>
      </c>
      <c r="J728" s="38">
        <f t="shared" si="54"/>
        <v>0</v>
      </c>
      <c r="K728" s="80"/>
      <c r="L728" s="82"/>
    </row>
    <row r="729" spans="2:20" s="1" customFormat="1" ht="12.95" customHeight="1" x14ac:dyDescent="0.15">
      <c r="B729" s="16">
        <v>5</v>
      </c>
      <c r="C729" s="17"/>
      <c r="D729" s="24"/>
      <c r="E729" s="24"/>
      <c r="F729" s="129"/>
      <c r="G729" s="20"/>
      <c r="H729" s="20">
        <v>1</v>
      </c>
      <c r="I729" s="126">
        <f t="shared" si="53"/>
        <v>0</v>
      </c>
      <c r="J729" s="38">
        <f>(F729*G729*H729)/$C$32</f>
        <v>0</v>
      </c>
      <c r="K729" s="80"/>
      <c r="L729" s="82"/>
    </row>
    <row r="730" spans="2:20" s="1" customFormat="1" ht="12.95" customHeight="1" x14ac:dyDescent="0.15">
      <c r="B730" s="16">
        <v>6</v>
      </c>
      <c r="C730" s="17"/>
      <c r="D730" s="24"/>
      <c r="E730" s="24"/>
      <c r="F730" s="129"/>
      <c r="G730" s="20"/>
      <c r="H730" s="20">
        <v>1</v>
      </c>
      <c r="I730" s="126">
        <f t="shared" si="53"/>
        <v>0</v>
      </c>
      <c r="J730" s="38">
        <f>(F730*G730*H730)/$C$32</f>
        <v>0</v>
      </c>
      <c r="K730" s="80"/>
      <c r="L730" s="82"/>
    </row>
    <row r="731" spans="2:20" s="1" customFormat="1" ht="12.95" customHeight="1" x14ac:dyDescent="0.15">
      <c r="B731" s="16">
        <v>7</v>
      </c>
      <c r="C731" s="17"/>
      <c r="D731" s="24"/>
      <c r="E731" s="24"/>
      <c r="F731" s="129"/>
      <c r="G731" s="20"/>
      <c r="H731" s="20">
        <v>1</v>
      </c>
      <c r="I731" s="126">
        <f t="shared" si="53"/>
        <v>0</v>
      </c>
      <c r="J731" s="21">
        <f t="shared" ref="J731:J767" si="55">(F731*G731*H731)/$C$32</f>
        <v>0</v>
      </c>
      <c r="K731" s="80"/>
      <c r="L731" s="82"/>
    </row>
    <row r="732" spans="2:20" s="1" customFormat="1" ht="12.95" customHeight="1" x14ac:dyDescent="0.15">
      <c r="B732" s="16">
        <v>8</v>
      </c>
      <c r="C732" s="17"/>
      <c r="D732" s="24"/>
      <c r="E732" s="24"/>
      <c r="F732" s="129"/>
      <c r="G732" s="20"/>
      <c r="H732" s="20">
        <v>1</v>
      </c>
      <c r="I732" s="126">
        <f t="shared" si="53"/>
        <v>0</v>
      </c>
      <c r="J732" s="38">
        <f t="shared" si="55"/>
        <v>0</v>
      </c>
      <c r="K732" s="80"/>
      <c r="L732" s="82"/>
    </row>
    <row r="733" spans="2:20" s="1" customFormat="1" ht="12.95" customHeight="1" x14ac:dyDescent="0.15">
      <c r="B733" s="16">
        <v>9</v>
      </c>
      <c r="C733" s="17"/>
      <c r="D733" s="24"/>
      <c r="E733" s="24"/>
      <c r="F733" s="129"/>
      <c r="G733" s="20"/>
      <c r="H733" s="20">
        <v>1</v>
      </c>
      <c r="I733" s="126">
        <f t="shared" si="53"/>
        <v>0</v>
      </c>
      <c r="J733" s="38">
        <f t="shared" si="55"/>
        <v>0</v>
      </c>
      <c r="K733" s="80"/>
      <c r="L733" s="82"/>
    </row>
    <row r="734" spans="2:20" s="1" customFormat="1" ht="12.95" customHeight="1" x14ac:dyDescent="0.15">
      <c r="B734" s="16">
        <v>10</v>
      </c>
      <c r="C734" s="44"/>
      <c r="D734" s="18"/>
      <c r="E734" s="18"/>
      <c r="F734" s="129"/>
      <c r="G734" s="20"/>
      <c r="H734" s="20">
        <v>1</v>
      </c>
      <c r="I734" s="126">
        <f t="shared" si="53"/>
        <v>0</v>
      </c>
      <c r="J734" s="21">
        <f t="shared" si="55"/>
        <v>0</v>
      </c>
      <c r="K734" s="80"/>
      <c r="L734" s="82"/>
      <c r="M734" s="10"/>
      <c r="N734" s="10"/>
      <c r="O734" s="10"/>
      <c r="P734" s="10"/>
      <c r="Q734" s="43"/>
      <c r="R734" s="10"/>
      <c r="T734" s="10"/>
    </row>
    <row r="735" spans="2:20" s="1" customFormat="1" ht="12.95" customHeight="1" x14ac:dyDescent="0.15">
      <c r="B735" s="16">
        <v>11</v>
      </c>
      <c r="C735" s="45"/>
      <c r="D735" s="18"/>
      <c r="E735" s="18"/>
      <c r="F735" s="130"/>
      <c r="G735" s="20"/>
      <c r="H735" s="20">
        <v>1</v>
      </c>
      <c r="I735" s="126">
        <f>J735*$C$32</f>
        <v>0</v>
      </c>
      <c r="J735" s="21">
        <f t="shared" si="55"/>
        <v>0</v>
      </c>
      <c r="K735" s="80"/>
      <c r="L735" s="82"/>
      <c r="M735" s="10"/>
      <c r="N735" s="10"/>
      <c r="O735" s="10"/>
      <c r="P735" s="10"/>
      <c r="Q735" s="43"/>
      <c r="R735" s="10"/>
      <c r="T735" s="10"/>
    </row>
    <row r="736" spans="2:20" s="1" customFormat="1" ht="12.95" customHeight="1" x14ac:dyDescent="0.15">
      <c r="B736" s="16">
        <v>12</v>
      </c>
      <c r="C736" s="44"/>
      <c r="D736" s="18"/>
      <c r="E736" s="18"/>
      <c r="F736" s="129"/>
      <c r="G736" s="20"/>
      <c r="H736" s="20">
        <v>1</v>
      </c>
      <c r="I736" s="126">
        <f t="shared" ref="I736:I767" si="56">J736*$C$32</f>
        <v>0</v>
      </c>
      <c r="J736" s="21">
        <f t="shared" si="55"/>
        <v>0</v>
      </c>
      <c r="K736" s="80"/>
      <c r="L736" s="82"/>
      <c r="M736" s="10"/>
      <c r="N736" s="10"/>
      <c r="O736" s="10"/>
      <c r="P736" s="10"/>
      <c r="Q736" s="43"/>
      <c r="R736" s="10"/>
      <c r="T736" s="10"/>
    </row>
    <row r="737" spans="2:20" s="1" customFormat="1" ht="12.95" customHeight="1" x14ac:dyDescent="0.15">
      <c r="B737" s="16">
        <v>13</v>
      </c>
      <c r="C737" s="11"/>
      <c r="D737" s="18"/>
      <c r="E737" s="18"/>
      <c r="F737" s="129"/>
      <c r="G737" s="20"/>
      <c r="H737" s="20">
        <v>1</v>
      </c>
      <c r="I737" s="126">
        <f t="shared" si="56"/>
        <v>0</v>
      </c>
      <c r="J737" s="21">
        <f t="shared" si="55"/>
        <v>0</v>
      </c>
      <c r="K737" s="80"/>
      <c r="L737" s="82"/>
      <c r="M737" s="10"/>
      <c r="N737" s="10"/>
      <c r="O737" s="10"/>
      <c r="P737" s="10"/>
      <c r="Q737" s="43"/>
      <c r="R737" s="10"/>
      <c r="T737" s="10"/>
    </row>
    <row r="738" spans="2:20" s="1" customFormat="1" ht="12.95" customHeight="1" x14ac:dyDescent="0.15">
      <c r="B738" s="16">
        <v>14</v>
      </c>
      <c r="C738" s="11"/>
      <c r="D738" s="18"/>
      <c r="E738" s="18"/>
      <c r="F738" s="129"/>
      <c r="G738" s="20"/>
      <c r="H738" s="20">
        <v>1</v>
      </c>
      <c r="I738" s="126">
        <f t="shared" si="56"/>
        <v>0</v>
      </c>
      <c r="J738" s="21">
        <f t="shared" si="55"/>
        <v>0</v>
      </c>
      <c r="K738" s="80"/>
      <c r="L738" s="82"/>
      <c r="M738" s="10"/>
      <c r="N738" s="10"/>
      <c r="O738" s="10"/>
      <c r="P738" s="10"/>
      <c r="Q738" s="43"/>
      <c r="R738" s="10"/>
      <c r="T738" s="10"/>
    </row>
    <row r="739" spans="2:20" s="1" customFormat="1" ht="12.95" customHeight="1" x14ac:dyDescent="0.15">
      <c r="B739" s="16">
        <v>15</v>
      </c>
      <c r="C739" s="11"/>
      <c r="D739" s="18"/>
      <c r="E739" s="18"/>
      <c r="F739" s="129"/>
      <c r="G739" s="20"/>
      <c r="H739" s="20">
        <v>1</v>
      </c>
      <c r="I739" s="126">
        <f t="shared" si="56"/>
        <v>0</v>
      </c>
      <c r="J739" s="21">
        <f t="shared" si="55"/>
        <v>0</v>
      </c>
      <c r="K739" s="80"/>
      <c r="L739" s="82"/>
      <c r="M739" s="10"/>
      <c r="N739" s="10"/>
      <c r="O739" s="10"/>
      <c r="P739" s="10"/>
      <c r="Q739" s="43"/>
      <c r="R739" s="10"/>
      <c r="T739" s="10"/>
    </row>
    <row r="740" spans="2:20" s="1" customFormat="1" ht="12.95" customHeight="1" x14ac:dyDescent="0.15">
      <c r="B740" s="16">
        <v>16</v>
      </c>
      <c r="C740" s="11"/>
      <c r="D740" s="18"/>
      <c r="E740" s="18"/>
      <c r="F740" s="129"/>
      <c r="G740" s="20"/>
      <c r="H740" s="20">
        <v>1</v>
      </c>
      <c r="I740" s="126">
        <f t="shared" si="56"/>
        <v>0</v>
      </c>
      <c r="J740" s="21">
        <f t="shared" si="55"/>
        <v>0</v>
      </c>
      <c r="K740" s="80"/>
      <c r="L740" s="82"/>
      <c r="M740" s="10"/>
      <c r="N740" s="10"/>
      <c r="O740" s="10"/>
      <c r="P740" s="10"/>
      <c r="Q740" s="43"/>
      <c r="R740" s="10"/>
      <c r="T740" s="10"/>
    </row>
    <row r="741" spans="2:20" s="1" customFormat="1" ht="12.95" customHeight="1" x14ac:dyDescent="0.15">
      <c r="B741" s="16">
        <v>17</v>
      </c>
      <c r="C741" s="11"/>
      <c r="D741" s="18"/>
      <c r="E741" s="18"/>
      <c r="F741" s="129"/>
      <c r="G741" s="20"/>
      <c r="H741" s="20">
        <v>1</v>
      </c>
      <c r="I741" s="126">
        <f t="shared" si="56"/>
        <v>0</v>
      </c>
      <c r="J741" s="21">
        <f t="shared" si="55"/>
        <v>0</v>
      </c>
      <c r="K741" s="80"/>
      <c r="L741" s="82"/>
      <c r="M741" s="10"/>
      <c r="N741" s="10"/>
      <c r="O741" s="10"/>
      <c r="P741" s="10"/>
      <c r="Q741" s="43"/>
      <c r="R741" s="10"/>
      <c r="T741" s="10"/>
    </row>
    <row r="742" spans="2:20" s="1" customFormat="1" ht="12.95" customHeight="1" x14ac:dyDescent="0.15">
      <c r="B742" s="16">
        <v>18</v>
      </c>
      <c r="C742" s="11"/>
      <c r="D742" s="18"/>
      <c r="E742" s="18"/>
      <c r="F742" s="129"/>
      <c r="G742" s="20"/>
      <c r="H742" s="20">
        <v>1</v>
      </c>
      <c r="I742" s="126">
        <f t="shared" si="56"/>
        <v>0</v>
      </c>
      <c r="J742" s="21">
        <f t="shared" si="55"/>
        <v>0</v>
      </c>
      <c r="K742" s="80"/>
      <c r="L742" s="82"/>
      <c r="M742" s="10"/>
      <c r="N742" s="10"/>
      <c r="O742" s="10"/>
      <c r="P742" s="10"/>
      <c r="Q742" s="43"/>
      <c r="R742" s="10"/>
      <c r="T742" s="10"/>
    </row>
    <row r="743" spans="2:20" s="1" customFormat="1" ht="12.95" customHeight="1" x14ac:dyDescent="0.15">
      <c r="B743" s="16">
        <v>19</v>
      </c>
      <c r="C743" s="11"/>
      <c r="D743" s="18"/>
      <c r="E743" s="18"/>
      <c r="F743" s="129"/>
      <c r="G743" s="20"/>
      <c r="H743" s="20">
        <v>1</v>
      </c>
      <c r="I743" s="126">
        <f t="shared" si="56"/>
        <v>0</v>
      </c>
      <c r="J743" s="21">
        <f t="shared" si="55"/>
        <v>0</v>
      </c>
      <c r="K743" s="80"/>
      <c r="L743" s="82"/>
      <c r="M743" s="10"/>
      <c r="N743" s="10"/>
      <c r="O743" s="10"/>
      <c r="P743" s="10"/>
      <c r="Q743" s="43"/>
      <c r="R743" s="10"/>
      <c r="T743" s="10"/>
    </row>
    <row r="744" spans="2:20" s="1" customFormat="1" ht="12.95" customHeight="1" x14ac:dyDescent="0.15">
      <c r="B744" s="16">
        <v>20</v>
      </c>
      <c r="C744" s="11"/>
      <c r="D744" s="18"/>
      <c r="E744" s="18"/>
      <c r="F744" s="129"/>
      <c r="G744" s="20"/>
      <c r="H744" s="20">
        <v>1</v>
      </c>
      <c r="I744" s="126">
        <f t="shared" si="56"/>
        <v>0</v>
      </c>
      <c r="J744" s="21">
        <f t="shared" si="55"/>
        <v>0</v>
      </c>
      <c r="K744" s="80"/>
      <c r="L744" s="82"/>
      <c r="M744" s="10"/>
      <c r="N744" s="10"/>
      <c r="O744" s="10"/>
      <c r="P744" s="10"/>
      <c r="Q744" s="43"/>
      <c r="R744" s="10"/>
      <c r="T744" s="10"/>
    </row>
    <row r="745" spans="2:20" s="1" customFormat="1" ht="12.95" customHeight="1" x14ac:dyDescent="0.15">
      <c r="B745" s="16"/>
      <c r="C745" s="11"/>
      <c r="D745" s="18"/>
      <c r="E745" s="18"/>
      <c r="F745" s="129"/>
      <c r="G745" s="20"/>
      <c r="H745" s="20"/>
      <c r="I745" s="126"/>
      <c r="J745" s="21"/>
      <c r="K745" s="80"/>
      <c r="L745" s="82"/>
      <c r="M745" s="10"/>
      <c r="N745" s="10"/>
      <c r="O745" s="10"/>
      <c r="P745" s="10"/>
      <c r="Q745" s="43"/>
      <c r="R745" s="10"/>
      <c r="T745" s="10"/>
    </row>
    <row r="746" spans="2:20" s="1" customFormat="1" ht="12.95" customHeight="1" x14ac:dyDescent="0.15">
      <c r="B746" s="16"/>
      <c r="C746" s="11"/>
      <c r="D746" s="18"/>
      <c r="E746" s="18"/>
      <c r="F746" s="129"/>
      <c r="G746" s="20"/>
      <c r="H746" s="20"/>
      <c r="I746" s="126"/>
      <c r="J746" s="21"/>
      <c r="K746" s="80"/>
      <c r="L746" s="82"/>
      <c r="M746" s="10"/>
      <c r="N746" s="10"/>
      <c r="O746" s="10"/>
      <c r="P746" s="10"/>
      <c r="Q746" s="43"/>
      <c r="R746" s="10"/>
      <c r="T746" s="10"/>
    </row>
    <row r="747" spans="2:20" s="1" customFormat="1" ht="12.95" customHeight="1" x14ac:dyDescent="0.15">
      <c r="B747" s="16"/>
      <c r="C747" s="96" t="s">
        <v>132</v>
      </c>
      <c r="D747" s="18"/>
      <c r="E747" s="18"/>
      <c r="F747" s="129"/>
      <c r="G747" s="20"/>
      <c r="H747" s="20"/>
      <c r="I747" s="126"/>
      <c r="J747" s="21"/>
      <c r="K747" s="80"/>
      <c r="L747" s="82"/>
      <c r="M747" s="10"/>
      <c r="N747" s="10"/>
      <c r="O747" s="10"/>
      <c r="P747" s="10"/>
      <c r="Q747" s="43"/>
      <c r="R747" s="10"/>
      <c r="T747" s="10"/>
    </row>
    <row r="748" spans="2:20" s="1" customFormat="1" ht="12.95" customHeight="1" x14ac:dyDescent="0.15">
      <c r="B748" s="16">
        <v>1</v>
      </c>
      <c r="C748" s="11"/>
      <c r="D748" s="18"/>
      <c r="E748" s="18"/>
      <c r="F748" s="129"/>
      <c r="G748" s="20"/>
      <c r="H748" s="20">
        <v>1</v>
      </c>
      <c r="I748" s="126">
        <f t="shared" si="56"/>
        <v>0</v>
      </c>
      <c r="J748" s="21">
        <f t="shared" si="55"/>
        <v>0</v>
      </c>
      <c r="K748" s="80"/>
      <c r="L748" s="82"/>
      <c r="M748" s="10"/>
      <c r="N748" s="10"/>
      <c r="O748" s="10"/>
      <c r="P748" s="10"/>
      <c r="Q748" s="43"/>
      <c r="R748" s="10"/>
      <c r="T748" s="10"/>
    </row>
    <row r="749" spans="2:20" s="1" customFormat="1" ht="12.95" customHeight="1" x14ac:dyDescent="0.15">
      <c r="B749" s="16">
        <v>2</v>
      </c>
      <c r="C749" s="11"/>
      <c r="D749" s="18"/>
      <c r="E749" s="18"/>
      <c r="F749" s="129"/>
      <c r="G749" s="20"/>
      <c r="H749" s="20">
        <v>1</v>
      </c>
      <c r="I749" s="126">
        <f t="shared" si="56"/>
        <v>0</v>
      </c>
      <c r="J749" s="21">
        <f t="shared" si="55"/>
        <v>0</v>
      </c>
      <c r="K749" s="80"/>
      <c r="L749" s="82"/>
      <c r="M749" s="10"/>
      <c r="N749" s="10"/>
      <c r="O749" s="10"/>
      <c r="P749" s="10"/>
      <c r="Q749" s="43"/>
      <c r="R749" s="10"/>
      <c r="T749" s="10"/>
    </row>
    <row r="750" spans="2:20" s="1" customFormat="1" ht="12.95" customHeight="1" x14ac:dyDescent="0.15">
      <c r="B750" s="16">
        <v>3</v>
      </c>
      <c r="C750" s="11"/>
      <c r="D750" s="18"/>
      <c r="E750" s="18"/>
      <c r="F750" s="129"/>
      <c r="G750" s="20"/>
      <c r="H750" s="20">
        <v>1</v>
      </c>
      <c r="I750" s="126">
        <f t="shared" si="56"/>
        <v>0</v>
      </c>
      <c r="J750" s="21">
        <f t="shared" si="55"/>
        <v>0</v>
      </c>
      <c r="K750" s="80"/>
      <c r="L750" s="82"/>
      <c r="M750" s="10"/>
      <c r="N750" s="10"/>
      <c r="O750" s="10"/>
      <c r="P750" s="10"/>
      <c r="Q750" s="43"/>
      <c r="R750" s="10"/>
      <c r="T750" s="10"/>
    </row>
    <row r="751" spans="2:20" s="1" customFormat="1" ht="12.95" customHeight="1" x14ac:dyDescent="0.15">
      <c r="B751" s="16">
        <v>4</v>
      </c>
      <c r="C751" s="11"/>
      <c r="D751" s="18"/>
      <c r="E751" s="18"/>
      <c r="F751" s="129"/>
      <c r="G751" s="20"/>
      <c r="H751" s="20">
        <v>1</v>
      </c>
      <c r="I751" s="126">
        <f t="shared" si="56"/>
        <v>0</v>
      </c>
      <c r="J751" s="21">
        <f t="shared" si="55"/>
        <v>0</v>
      </c>
      <c r="K751" s="80"/>
      <c r="L751" s="82"/>
      <c r="M751" s="10"/>
      <c r="N751" s="10"/>
      <c r="O751" s="10"/>
      <c r="P751" s="10"/>
      <c r="Q751" s="43"/>
      <c r="R751" s="10"/>
      <c r="T751" s="10"/>
    </row>
    <row r="752" spans="2:20" s="1" customFormat="1" ht="12.95" customHeight="1" x14ac:dyDescent="0.15">
      <c r="B752" s="16">
        <v>5</v>
      </c>
      <c r="C752" s="11"/>
      <c r="D752" s="18"/>
      <c r="E752" s="18"/>
      <c r="F752" s="129"/>
      <c r="G752" s="20"/>
      <c r="H752" s="20">
        <v>1</v>
      </c>
      <c r="I752" s="126">
        <f t="shared" si="56"/>
        <v>0</v>
      </c>
      <c r="J752" s="21">
        <f t="shared" si="55"/>
        <v>0</v>
      </c>
      <c r="K752" s="80"/>
      <c r="L752" s="82"/>
      <c r="M752" s="10"/>
      <c r="N752" s="10"/>
      <c r="O752" s="10"/>
      <c r="P752" s="10"/>
      <c r="Q752" s="43"/>
      <c r="R752" s="10"/>
      <c r="T752" s="10"/>
    </row>
    <row r="753" spans="2:20" s="1" customFormat="1" ht="12.95" customHeight="1" x14ac:dyDescent="0.15">
      <c r="B753" s="16">
        <v>6</v>
      </c>
      <c r="C753" s="11"/>
      <c r="D753" s="18"/>
      <c r="E753" s="18"/>
      <c r="F753" s="129"/>
      <c r="G753" s="20"/>
      <c r="H753" s="20">
        <v>1</v>
      </c>
      <c r="I753" s="126">
        <f t="shared" si="56"/>
        <v>0</v>
      </c>
      <c r="J753" s="21">
        <f t="shared" si="55"/>
        <v>0</v>
      </c>
      <c r="K753" s="80"/>
      <c r="L753" s="82"/>
      <c r="M753" s="10"/>
      <c r="N753" s="10"/>
      <c r="O753" s="10"/>
      <c r="P753" s="10"/>
      <c r="Q753" s="43"/>
      <c r="R753" s="10"/>
      <c r="T753" s="10"/>
    </row>
    <row r="754" spans="2:20" s="1" customFormat="1" ht="12.95" customHeight="1" x14ac:dyDescent="0.15">
      <c r="B754" s="16">
        <v>7</v>
      </c>
      <c r="C754" s="11"/>
      <c r="D754" s="18"/>
      <c r="E754" s="18"/>
      <c r="F754" s="129"/>
      <c r="G754" s="20"/>
      <c r="H754" s="20">
        <v>1</v>
      </c>
      <c r="I754" s="126">
        <f t="shared" si="56"/>
        <v>0</v>
      </c>
      <c r="J754" s="21">
        <f t="shared" si="55"/>
        <v>0</v>
      </c>
      <c r="K754" s="80"/>
      <c r="L754" s="82"/>
      <c r="M754" s="10"/>
      <c r="N754" s="10"/>
      <c r="O754" s="10"/>
      <c r="P754" s="10"/>
      <c r="Q754" s="43"/>
      <c r="R754" s="10"/>
      <c r="T754" s="10"/>
    </row>
    <row r="755" spans="2:20" s="1" customFormat="1" ht="12.95" customHeight="1" x14ac:dyDescent="0.15">
      <c r="B755" s="16">
        <v>8</v>
      </c>
      <c r="C755" s="11"/>
      <c r="D755" s="18"/>
      <c r="E755" s="18"/>
      <c r="F755" s="129"/>
      <c r="G755" s="20"/>
      <c r="H755" s="20">
        <v>1</v>
      </c>
      <c r="I755" s="126">
        <f t="shared" si="56"/>
        <v>0</v>
      </c>
      <c r="J755" s="21">
        <f t="shared" si="55"/>
        <v>0</v>
      </c>
      <c r="K755" s="80"/>
      <c r="L755" s="82"/>
      <c r="M755" s="10"/>
      <c r="N755" s="10"/>
      <c r="O755" s="10"/>
      <c r="P755" s="10"/>
      <c r="Q755" s="43"/>
      <c r="R755" s="10"/>
      <c r="T755" s="10"/>
    </row>
    <row r="756" spans="2:20" s="1" customFormat="1" ht="12.95" customHeight="1" x14ac:dyDescent="0.15">
      <c r="B756" s="16">
        <v>9</v>
      </c>
      <c r="C756" s="11"/>
      <c r="D756" s="18"/>
      <c r="E756" s="18"/>
      <c r="F756" s="129"/>
      <c r="G756" s="20"/>
      <c r="H756" s="20">
        <v>1</v>
      </c>
      <c r="I756" s="126">
        <f t="shared" si="56"/>
        <v>0</v>
      </c>
      <c r="J756" s="21">
        <f t="shared" si="55"/>
        <v>0</v>
      </c>
      <c r="K756" s="80"/>
      <c r="L756" s="82"/>
      <c r="M756" s="10"/>
      <c r="N756" s="10"/>
      <c r="O756" s="10"/>
      <c r="P756" s="10"/>
      <c r="Q756" s="43"/>
      <c r="R756" s="10"/>
      <c r="T756" s="10"/>
    </row>
    <row r="757" spans="2:20" s="1" customFormat="1" ht="12.95" customHeight="1" x14ac:dyDescent="0.15">
      <c r="B757" s="16">
        <v>10</v>
      </c>
      <c r="C757" s="11"/>
      <c r="D757" s="18"/>
      <c r="E757" s="18"/>
      <c r="F757" s="129"/>
      <c r="G757" s="20"/>
      <c r="H757" s="20">
        <v>1</v>
      </c>
      <c r="I757" s="126">
        <f t="shared" si="56"/>
        <v>0</v>
      </c>
      <c r="J757" s="21">
        <f t="shared" si="55"/>
        <v>0</v>
      </c>
      <c r="K757" s="80"/>
      <c r="L757" s="82"/>
      <c r="M757" s="10"/>
      <c r="N757" s="10"/>
      <c r="O757" s="10"/>
      <c r="P757" s="10"/>
      <c r="Q757" s="43"/>
      <c r="R757" s="10"/>
      <c r="T757" s="10"/>
    </row>
    <row r="758" spans="2:20" s="1" customFormat="1" ht="12.95" customHeight="1" x14ac:dyDescent="0.15">
      <c r="B758" s="16">
        <v>11</v>
      </c>
      <c r="C758" s="12" t="s">
        <v>165</v>
      </c>
      <c r="D758" s="18"/>
      <c r="E758" s="18"/>
      <c r="F758" s="129"/>
      <c r="G758" s="20"/>
      <c r="H758" s="20">
        <v>1</v>
      </c>
      <c r="I758" s="126">
        <f t="shared" si="56"/>
        <v>0</v>
      </c>
      <c r="J758" s="21">
        <f t="shared" si="55"/>
        <v>0</v>
      </c>
      <c r="K758" s="80"/>
      <c r="L758" s="82"/>
      <c r="M758" s="10"/>
      <c r="N758" s="10"/>
      <c r="O758" s="10"/>
      <c r="P758" s="10"/>
      <c r="Q758" s="43"/>
      <c r="R758" s="10"/>
      <c r="T758" s="10"/>
    </row>
    <row r="759" spans="2:20" s="1" customFormat="1" ht="12.95" customHeight="1" x14ac:dyDescent="0.15">
      <c r="B759" s="16">
        <v>12</v>
      </c>
      <c r="C759" s="12"/>
      <c r="D759" s="18"/>
      <c r="E759" s="18"/>
      <c r="F759" s="129"/>
      <c r="G759" s="20"/>
      <c r="H759" s="20">
        <v>1</v>
      </c>
      <c r="I759" s="126">
        <f t="shared" si="56"/>
        <v>0</v>
      </c>
      <c r="J759" s="21">
        <f t="shared" si="55"/>
        <v>0</v>
      </c>
      <c r="K759" s="80"/>
      <c r="L759" s="82"/>
      <c r="M759" s="10"/>
      <c r="N759" s="10"/>
      <c r="O759" s="10"/>
      <c r="P759" s="10"/>
      <c r="Q759" s="43"/>
      <c r="R759" s="10"/>
      <c r="T759" s="10"/>
    </row>
    <row r="760" spans="2:20" s="1" customFormat="1" ht="12.95" customHeight="1" x14ac:dyDescent="0.15">
      <c r="B760" s="16">
        <v>13</v>
      </c>
      <c r="C760" s="12"/>
      <c r="D760" s="18"/>
      <c r="E760" s="18"/>
      <c r="F760" s="129"/>
      <c r="G760" s="20"/>
      <c r="H760" s="20">
        <v>1</v>
      </c>
      <c r="I760" s="126">
        <f t="shared" si="56"/>
        <v>0</v>
      </c>
      <c r="J760" s="21">
        <f t="shared" si="55"/>
        <v>0</v>
      </c>
      <c r="K760" s="80"/>
      <c r="L760" s="82"/>
      <c r="M760" s="10"/>
      <c r="N760" s="10"/>
      <c r="O760" s="10"/>
      <c r="P760" s="10"/>
      <c r="Q760" s="43"/>
      <c r="R760" s="10"/>
      <c r="T760" s="10"/>
    </row>
    <row r="761" spans="2:20" s="1" customFormat="1" ht="12.95" customHeight="1" x14ac:dyDescent="0.15">
      <c r="B761" s="16">
        <v>14</v>
      </c>
      <c r="C761" s="12"/>
      <c r="D761" s="18"/>
      <c r="E761" s="18"/>
      <c r="F761" s="129"/>
      <c r="G761" s="20"/>
      <c r="H761" s="20">
        <v>1</v>
      </c>
      <c r="I761" s="126">
        <f t="shared" si="56"/>
        <v>0</v>
      </c>
      <c r="J761" s="21">
        <f t="shared" si="55"/>
        <v>0</v>
      </c>
      <c r="K761" s="80"/>
      <c r="L761" s="82"/>
      <c r="M761" s="10"/>
      <c r="N761" s="10"/>
      <c r="O761" s="10"/>
      <c r="P761" s="10"/>
      <c r="Q761" s="43"/>
      <c r="R761" s="10"/>
      <c r="T761" s="10"/>
    </row>
    <row r="762" spans="2:20" s="1" customFormat="1" ht="12.95" customHeight="1" x14ac:dyDescent="0.15">
      <c r="B762" s="16">
        <v>15</v>
      </c>
      <c r="C762" s="12"/>
      <c r="D762" s="18"/>
      <c r="E762" s="18"/>
      <c r="F762" s="129"/>
      <c r="G762" s="20"/>
      <c r="H762" s="20">
        <v>1</v>
      </c>
      <c r="I762" s="126">
        <f t="shared" si="56"/>
        <v>0</v>
      </c>
      <c r="J762" s="21">
        <f t="shared" si="55"/>
        <v>0</v>
      </c>
      <c r="K762" s="80"/>
      <c r="L762" s="82"/>
      <c r="M762" s="10"/>
      <c r="N762" s="10"/>
      <c r="O762" s="10"/>
      <c r="P762" s="10"/>
      <c r="Q762" s="43"/>
      <c r="R762" s="10"/>
      <c r="T762" s="10"/>
    </row>
    <row r="763" spans="2:20" s="1" customFormat="1" ht="12.95" customHeight="1" x14ac:dyDescent="0.15">
      <c r="B763" s="16">
        <v>16</v>
      </c>
      <c r="C763" s="12"/>
      <c r="D763" s="18"/>
      <c r="E763" s="18"/>
      <c r="F763" s="129"/>
      <c r="G763" s="20"/>
      <c r="H763" s="20">
        <v>1</v>
      </c>
      <c r="I763" s="126">
        <f t="shared" si="56"/>
        <v>0</v>
      </c>
      <c r="J763" s="21">
        <f t="shared" si="55"/>
        <v>0</v>
      </c>
      <c r="K763" s="80"/>
      <c r="L763" s="82"/>
      <c r="M763" s="10"/>
      <c r="N763" s="10"/>
      <c r="O763" s="10"/>
      <c r="P763" s="10"/>
      <c r="Q763" s="43"/>
      <c r="R763" s="10"/>
      <c r="T763" s="10"/>
    </row>
    <row r="764" spans="2:20" s="1" customFormat="1" ht="12.95" customHeight="1" x14ac:dyDescent="0.15">
      <c r="B764" s="16">
        <v>17</v>
      </c>
      <c r="C764" s="12"/>
      <c r="D764" s="18"/>
      <c r="E764" s="18"/>
      <c r="F764" s="129"/>
      <c r="G764" s="20"/>
      <c r="H764" s="20">
        <v>1</v>
      </c>
      <c r="I764" s="126">
        <f t="shared" si="56"/>
        <v>0</v>
      </c>
      <c r="J764" s="21">
        <f t="shared" si="55"/>
        <v>0</v>
      </c>
      <c r="K764" s="80"/>
      <c r="L764" s="82"/>
      <c r="M764" s="10"/>
      <c r="N764" s="10"/>
      <c r="O764" s="10"/>
      <c r="P764" s="10"/>
      <c r="Q764" s="43"/>
      <c r="R764" s="10"/>
      <c r="T764" s="10"/>
    </row>
    <row r="765" spans="2:20" s="1" customFormat="1" ht="12.95" customHeight="1" x14ac:dyDescent="0.15">
      <c r="B765" s="16">
        <v>18</v>
      </c>
      <c r="C765" s="12"/>
      <c r="D765" s="18"/>
      <c r="E765" s="18"/>
      <c r="F765" s="129"/>
      <c r="G765" s="20"/>
      <c r="H765" s="20">
        <v>1</v>
      </c>
      <c r="I765" s="126">
        <f t="shared" si="56"/>
        <v>0</v>
      </c>
      <c r="J765" s="78">
        <f t="shared" si="55"/>
        <v>0</v>
      </c>
      <c r="K765" s="111"/>
      <c r="L765" s="119"/>
      <c r="M765" s="10"/>
      <c r="N765" s="10"/>
      <c r="O765" s="10"/>
      <c r="P765" s="10"/>
      <c r="Q765" s="43"/>
      <c r="R765" s="10"/>
      <c r="T765" s="10"/>
    </row>
    <row r="766" spans="2:20" s="1" customFormat="1" ht="12.95" customHeight="1" x14ac:dyDescent="0.15">
      <c r="B766" s="16">
        <v>19</v>
      </c>
      <c r="C766" s="12"/>
      <c r="D766" s="18"/>
      <c r="E766" s="18"/>
      <c r="F766" s="129"/>
      <c r="G766" s="20"/>
      <c r="H766" s="20">
        <v>1</v>
      </c>
      <c r="I766" s="254">
        <f t="shared" si="56"/>
        <v>0</v>
      </c>
      <c r="J766" s="94">
        <f t="shared" si="55"/>
        <v>0</v>
      </c>
      <c r="K766" s="82"/>
      <c r="L766" s="82"/>
      <c r="M766" s="10"/>
      <c r="N766" s="10"/>
      <c r="O766" s="10"/>
      <c r="P766" s="10"/>
      <c r="Q766" s="43"/>
      <c r="R766" s="10"/>
      <c r="T766" s="10"/>
    </row>
    <row r="767" spans="2:20" s="1" customFormat="1" ht="12.95" customHeight="1" x14ac:dyDescent="0.15">
      <c r="B767" s="16">
        <v>20</v>
      </c>
      <c r="C767" s="12"/>
      <c r="D767" s="18"/>
      <c r="E767" s="18"/>
      <c r="F767" s="129"/>
      <c r="G767" s="20"/>
      <c r="H767" s="20">
        <v>1</v>
      </c>
      <c r="I767" s="254">
        <f t="shared" si="56"/>
        <v>0</v>
      </c>
      <c r="J767" s="94">
        <f t="shared" si="55"/>
        <v>0</v>
      </c>
      <c r="K767" s="82"/>
      <c r="L767" s="82"/>
      <c r="M767" s="10"/>
      <c r="N767" s="10"/>
      <c r="O767" s="10"/>
      <c r="P767" s="10"/>
      <c r="Q767" s="43"/>
      <c r="R767" s="10"/>
      <c r="T767" s="10"/>
    </row>
    <row r="768" spans="2:20" s="1" customFormat="1" ht="12.95" customHeight="1" x14ac:dyDescent="0.15">
      <c r="B768" s="83"/>
      <c r="C768" s="74"/>
      <c r="D768" s="75"/>
      <c r="E768" s="75"/>
      <c r="F768" s="132"/>
      <c r="G768" s="77"/>
      <c r="H768" s="77"/>
      <c r="I768" s="255"/>
      <c r="J768" s="94"/>
      <c r="K768" s="82"/>
      <c r="L768" s="82"/>
      <c r="M768" s="10"/>
      <c r="N768" s="10"/>
      <c r="O768" s="10"/>
      <c r="P768" s="10"/>
      <c r="Q768" s="43"/>
      <c r="R768" s="10"/>
      <c r="T768" s="10"/>
    </row>
    <row r="769" spans="2:12" s="1" customFormat="1" ht="12.75" x14ac:dyDescent="0.15">
      <c r="B769" s="82"/>
      <c r="C769" s="102"/>
      <c r="D769" s="103"/>
      <c r="E769" s="102"/>
      <c r="F769" s="128">
        <f>SUM(F709:F768)</f>
        <v>0</v>
      </c>
      <c r="G769" s="104"/>
      <c r="H769" s="105"/>
      <c r="I769" s="128">
        <f>SUM(I709:I768)</f>
        <v>0</v>
      </c>
      <c r="J769" s="257">
        <f>SUM(J709:J768)</f>
        <v>0</v>
      </c>
    </row>
    <row r="770" spans="2:12" s="1" customFormat="1" ht="12.75" x14ac:dyDescent="0.15">
      <c r="B770" s="82"/>
      <c r="C770" s="102"/>
      <c r="D770" s="103"/>
      <c r="E770" s="102" t="s">
        <v>147</v>
      </c>
      <c r="F770" s="128">
        <f>100/115*F769</f>
        <v>0</v>
      </c>
      <c r="G770" s="104"/>
      <c r="H770" s="105" t="s">
        <v>147</v>
      </c>
      <c r="I770" s="128">
        <f>100/115*I769</f>
        <v>0</v>
      </c>
      <c r="J770" s="106"/>
    </row>
    <row r="771" spans="2:12" s="1" customFormat="1" ht="12.75" x14ac:dyDescent="0.15"/>
    <row r="772" spans="2:12" s="1" customFormat="1" ht="12.75" x14ac:dyDescent="0.15"/>
    <row r="773" spans="2:12" s="1" customFormat="1" ht="12.75" x14ac:dyDescent="0.15"/>
    <row r="774" spans="2:12" s="1" customFormat="1" ht="12.75" x14ac:dyDescent="0.15"/>
    <row r="775" spans="2:12" s="247" customFormat="1" ht="32.25" x14ac:dyDescent="0.4">
      <c r="B775" s="251"/>
      <c r="C775" s="424" t="s">
        <v>166</v>
      </c>
      <c r="D775" s="424"/>
      <c r="E775" s="425" t="s">
        <v>167</v>
      </c>
      <c r="F775" s="426"/>
      <c r="G775" s="426"/>
      <c r="H775" s="426"/>
      <c r="I775" s="427"/>
      <c r="J775" s="415">
        <v>2026</v>
      </c>
      <c r="K775" s="416"/>
      <c r="L775" s="417"/>
    </row>
    <row r="776" spans="2:12" s="1" customFormat="1" ht="22.5" x14ac:dyDescent="0.15">
      <c r="B776" s="16"/>
      <c r="C776" s="28" t="s">
        <v>114</v>
      </c>
      <c r="D776" s="418" t="s">
        <v>115</v>
      </c>
      <c r="E776" s="418"/>
      <c r="F776" s="28" t="s">
        <v>116</v>
      </c>
      <c r="G776" s="28" t="s">
        <v>117</v>
      </c>
      <c r="H776" s="28" t="s">
        <v>118</v>
      </c>
      <c r="I776" s="28" t="s">
        <v>119</v>
      </c>
      <c r="J776" s="64" t="s">
        <v>120</v>
      </c>
      <c r="K776" s="82"/>
      <c r="L776" s="82"/>
    </row>
    <row r="777" spans="2:12" s="1" customFormat="1" ht="12.75" x14ac:dyDescent="0.15">
      <c r="B777" s="16"/>
      <c r="C777" s="124">
        <f>C707</f>
        <v>250</v>
      </c>
      <c r="D777" s="419">
        <v>20</v>
      </c>
      <c r="E777" s="419"/>
      <c r="F777" s="29">
        <f>F707</f>
        <v>0.75</v>
      </c>
      <c r="G777" s="30">
        <f>G707</f>
        <v>8</v>
      </c>
      <c r="H777" s="31">
        <f>D777*G777*F777</f>
        <v>120</v>
      </c>
      <c r="I777" s="124">
        <f>I839</f>
        <v>0</v>
      </c>
      <c r="J777" s="121">
        <f>H777-J839</f>
        <v>120</v>
      </c>
      <c r="K777" s="82"/>
      <c r="L777" s="82"/>
    </row>
    <row r="778" spans="2:12" s="1" customFormat="1" ht="33.75" x14ac:dyDescent="0.15">
      <c r="B778" s="16"/>
      <c r="C778" s="22" t="s">
        <v>121</v>
      </c>
      <c r="D778" s="413" t="s">
        <v>122</v>
      </c>
      <c r="E778" s="413"/>
      <c r="F778" s="33" t="s">
        <v>123</v>
      </c>
      <c r="G778" s="34" t="s">
        <v>124</v>
      </c>
      <c r="H778" s="35" t="s">
        <v>125</v>
      </c>
      <c r="I778" s="125" t="s">
        <v>126</v>
      </c>
      <c r="J778" s="34" t="s">
        <v>127</v>
      </c>
      <c r="K778" s="122" t="s">
        <v>128</v>
      </c>
      <c r="L778" s="123" t="s">
        <v>168</v>
      </c>
    </row>
    <row r="779" spans="2:12" s="1" customFormat="1" ht="12.75" x14ac:dyDescent="0.15">
      <c r="B779" s="16"/>
      <c r="C779" s="22"/>
      <c r="D779" s="32"/>
      <c r="E779" s="32"/>
      <c r="F779" s="33"/>
      <c r="G779" s="34"/>
      <c r="H779" s="35"/>
      <c r="I779" s="125"/>
      <c r="J779" s="34"/>
      <c r="K779" s="110"/>
      <c r="L779" s="117"/>
    </row>
    <row r="780" spans="2:12" s="1" customFormat="1" ht="12.75" x14ac:dyDescent="0.15">
      <c r="B780" s="16"/>
      <c r="C780" s="22" t="s">
        <v>130</v>
      </c>
      <c r="D780" s="32"/>
      <c r="E780" s="32"/>
      <c r="F780" s="33"/>
      <c r="G780" s="34"/>
      <c r="H780" s="35"/>
      <c r="I780" s="125"/>
      <c r="J780" s="34"/>
      <c r="K780" s="110"/>
      <c r="L780" s="117"/>
    </row>
    <row r="781" spans="2:12" s="1" customFormat="1" ht="12.75" customHeight="1" x14ac:dyDescent="0.15">
      <c r="B781" s="16"/>
      <c r="C781" s="37" t="s">
        <v>149</v>
      </c>
      <c r="D781" s="24"/>
      <c r="E781" s="24"/>
      <c r="F781" s="19"/>
      <c r="G781" s="20"/>
      <c r="H781" s="20"/>
      <c r="I781" s="126"/>
      <c r="J781" s="38"/>
      <c r="K781" s="80"/>
      <c r="L781" s="82"/>
    </row>
    <row r="782" spans="2:12" s="1" customFormat="1" ht="12.75" x14ac:dyDescent="0.15">
      <c r="B782" s="16">
        <v>1</v>
      </c>
      <c r="C782" s="23"/>
      <c r="D782" s="24"/>
      <c r="E782" s="24"/>
      <c r="F782" s="129"/>
      <c r="G782" s="20"/>
      <c r="H782" s="20">
        <v>1</v>
      </c>
      <c r="I782" s="126">
        <f t="shared" ref="I782:I791" si="57">J782*$C$32</f>
        <v>0</v>
      </c>
      <c r="J782" s="38">
        <f t="shared" ref="J782:J791" si="58">(F782*G782*H782)/$C$32</f>
        <v>0</v>
      </c>
      <c r="K782" s="80"/>
      <c r="L782" s="82"/>
    </row>
    <row r="783" spans="2:12" s="1" customFormat="1" ht="12.75" customHeight="1" x14ac:dyDescent="0.15">
      <c r="B783" s="16">
        <v>2</v>
      </c>
      <c r="C783" s="23"/>
      <c r="D783" s="24"/>
      <c r="E783" s="24"/>
      <c r="F783" s="126"/>
      <c r="G783" s="20"/>
      <c r="H783" s="20">
        <v>1</v>
      </c>
      <c r="I783" s="126">
        <f t="shared" si="57"/>
        <v>0</v>
      </c>
      <c r="J783" s="38">
        <f t="shared" si="58"/>
        <v>0</v>
      </c>
      <c r="K783" s="80"/>
      <c r="L783" s="82"/>
    </row>
    <row r="784" spans="2:12" s="1" customFormat="1" ht="12.75" customHeight="1" x14ac:dyDescent="0.15">
      <c r="B784" s="16">
        <v>3</v>
      </c>
      <c r="C784" s="23"/>
      <c r="D784" s="25"/>
      <c r="E784" s="25"/>
      <c r="F784" s="129"/>
      <c r="G784" s="20"/>
      <c r="H784" s="20">
        <v>1</v>
      </c>
      <c r="I784" s="126">
        <f t="shared" si="57"/>
        <v>0</v>
      </c>
      <c r="J784" s="38">
        <f t="shared" si="58"/>
        <v>0</v>
      </c>
      <c r="K784" s="80"/>
      <c r="L784" s="82"/>
    </row>
    <row r="785" spans="2:12" s="1" customFormat="1" ht="12.95" customHeight="1" x14ac:dyDescent="0.15">
      <c r="B785" s="16">
        <v>4</v>
      </c>
      <c r="C785" s="23"/>
      <c r="D785" s="24"/>
      <c r="E785" s="24"/>
      <c r="F785" s="129"/>
      <c r="G785" s="20"/>
      <c r="H785" s="20">
        <v>1</v>
      </c>
      <c r="I785" s="126">
        <f t="shared" si="57"/>
        <v>0</v>
      </c>
      <c r="J785" s="38">
        <f t="shared" si="58"/>
        <v>0</v>
      </c>
      <c r="K785" s="80"/>
      <c r="L785" s="82"/>
    </row>
    <row r="786" spans="2:12" s="1" customFormat="1" ht="14.1" customHeight="1" x14ac:dyDescent="0.15">
      <c r="B786" s="16">
        <v>5</v>
      </c>
      <c r="C786" s="16"/>
      <c r="D786" s="18"/>
      <c r="E786" s="18"/>
      <c r="F786" s="129"/>
      <c r="G786" s="20"/>
      <c r="H786" s="20">
        <v>1</v>
      </c>
      <c r="I786" s="126">
        <f t="shared" si="57"/>
        <v>0</v>
      </c>
      <c r="J786" s="38">
        <f t="shared" si="58"/>
        <v>0</v>
      </c>
      <c r="K786" s="80"/>
      <c r="L786" s="82"/>
    </row>
    <row r="787" spans="2:12" s="1" customFormat="1" ht="12.95" customHeight="1" x14ac:dyDescent="0.15">
      <c r="B787" s="16">
        <v>6</v>
      </c>
      <c r="C787" s="17"/>
      <c r="D787" s="24"/>
      <c r="E787" s="24"/>
      <c r="F787" s="129"/>
      <c r="G787" s="20"/>
      <c r="H787" s="20">
        <v>1</v>
      </c>
      <c r="I787" s="126">
        <f t="shared" si="57"/>
        <v>0</v>
      </c>
      <c r="J787" s="38">
        <f t="shared" si="58"/>
        <v>0</v>
      </c>
      <c r="K787" s="80"/>
      <c r="L787" s="82"/>
    </row>
    <row r="788" spans="2:12" s="1" customFormat="1" ht="12.95" customHeight="1" x14ac:dyDescent="0.15">
      <c r="B788" s="16">
        <v>7</v>
      </c>
      <c r="C788" s="17"/>
      <c r="D788" s="24"/>
      <c r="E788" s="24"/>
      <c r="F788" s="129"/>
      <c r="G788" s="20"/>
      <c r="H788" s="20">
        <v>1</v>
      </c>
      <c r="I788" s="126">
        <f t="shared" si="57"/>
        <v>0</v>
      </c>
      <c r="J788" s="38">
        <f t="shared" si="58"/>
        <v>0</v>
      </c>
      <c r="K788" s="80"/>
      <c r="L788" s="82"/>
    </row>
    <row r="789" spans="2:12" s="1" customFormat="1" ht="12.95" customHeight="1" x14ac:dyDescent="0.15">
      <c r="B789" s="16">
        <v>8</v>
      </c>
      <c r="C789" s="17"/>
      <c r="D789" s="24"/>
      <c r="E789" s="24"/>
      <c r="F789" s="129"/>
      <c r="G789" s="20"/>
      <c r="H789" s="20">
        <v>1</v>
      </c>
      <c r="I789" s="126">
        <f t="shared" si="57"/>
        <v>0</v>
      </c>
      <c r="J789" s="38">
        <f t="shared" si="58"/>
        <v>0</v>
      </c>
      <c r="K789" s="80"/>
      <c r="L789" s="82"/>
    </row>
    <row r="790" spans="2:12" s="1" customFormat="1" ht="12.95" customHeight="1" x14ac:dyDescent="0.15">
      <c r="B790" s="16">
        <v>9</v>
      </c>
      <c r="C790" s="17"/>
      <c r="D790" s="24"/>
      <c r="E790" s="24"/>
      <c r="F790" s="129"/>
      <c r="G790" s="20"/>
      <c r="H790" s="20">
        <v>1</v>
      </c>
      <c r="I790" s="126">
        <f t="shared" si="57"/>
        <v>0</v>
      </c>
      <c r="J790" s="38">
        <f t="shared" si="58"/>
        <v>0</v>
      </c>
      <c r="K790" s="80"/>
      <c r="L790" s="82"/>
    </row>
    <row r="791" spans="2:12" s="1" customFormat="1" ht="12.95" customHeight="1" x14ac:dyDescent="0.15">
      <c r="B791" s="16">
        <v>10</v>
      </c>
      <c r="C791" s="17"/>
      <c r="D791" s="24"/>
      <c r="E791" s="24"/>
      <c r="F791" s="129"/>
      <c r="G791" s="20"/>
      <c r="H791" s="20">
        <v>1</v>
      </c>
      <c r="I791" s="126">
        <f t="shared" si="57"/>
        <v>0</v>
      </c>
      <c r="J791" s="38">
        <f t="shared" si="58"/>
        <v>0</v>
      </c>
      <c r="K791" s="80"/>
      <c r="L791" s="82"/>
    </row>
    <row r="792" spans="2:12" s="1" customFormat="1" ht="12.95" customHeight="1" x14ac:dyDescent="0.15">
      <c r="B792" s="16"/>
      <c r="C792" s="17"/>
      <c r="D792" s="18"/>
      <c r="E792" s="24"/>
      <c r="F792" s="129"/>
      <c r="G792" s="20"/>
      <c r="H792" s="20"/>
      <c r="I792" s="126"/>
      <c r="J792" s="38"/>
      <c r="K792" s="80"/>
      <c r="L792" s="82"/>
    </row>
    <row r="793" spans="2:12" s="1" customFormat="1" ht="12.95" customHeight="1" x14ac:dyDescent="0.15">
      <c r="B793" s="16"/>
      <c r="C793" s="17"/>
      <c r="D793" s="18"/>
      <c r="E793" s="24"/>
      <c r="F793" s="129"/>
      <c r="G793" s="20"/>
      <c r="H793" s="20"/>
      <c r="I793" s="126"/>
      <c r="J793" s="38"/>
      <c r="K793" s="80"/>
      <c r="L793" s="82"/>
    </row>
    <row r="794" spans="2:12" s="1" customFormat="1" ht="12.95" customHeight="1" x14ac:dyDescent="0.15">
      <c r="B794" s="16"/>
      <c r="C794" s="22" t="s">
        <v>153</v>
      </c>
      <c r="D794" s="24"/>
      <c r="E794" s="18"/>
      <c r="F794" s="129"/>
      <c r="G794" s="20"/>
      <c r="H794" s="20"/>
      <c r="I794" s="126"/>
      <c r="J794" s="38"/>
      <c r="K794" s="80"/>
      <c r="L794" s="82"/>
    </row>
    <row r="795" spans="2:12" s="1" customFormat="1" ht="12.95" customHeight="1" x14ac:dyDescent="0.15">
      <c r="B795" s="16">
        <v>1</v>
      </c>
      <c r="C795" s="17"/>
      <c r="D795" s="24"/>
      <c r="E795" s="18"/>
      <c r="F795" s="129"/>
      <c r="G795" s="20"/>
      <c r="H795" s="20">
        <v>1</v>
      </c>
      <c r="I795" s="126">
        <f t="shared" ref="I795:I814" si="59">J795*$C$32</f>
        <v>0</v>
      </c>
      <c r="J795" s="38">
        <f t="shared" ref="J795:J814" si="60">(F795*G795*H795)/$C$32</f>
        <v>0</v>
      </c>
      <c r="K795" s="80"/>
      <c r="L795" s="82"/>
    </row>
    <row r="796" spans="2:12" s="1" customFormat="1" ht="12.95" customHeight="1" x14ac:dyDescent="0.15">
      <c r="B796" s="16">
        <v>2</v>
      </c>
      <c r="C796" s="17"/>
      <c r="D796" s="24"/>
      <c r="E796" s="18"/>
      <c r="F796" s="129"/>
      <c r="G796" s="20"/>
      <c r="H796" s="20">
        <v>1</v>
      </c>
      <c r="I796" s="126">
        <f t="shared" si="59"/>
        <v>0</v>
      </c>
      <c r="J796" s="38">
        <f t="shared" si="60"/>
        <v>0</v>
      </c>
      <c r="K796" s="80"/>
      <c r="L796" s="82"/>
    </row>
    <row r="797" spans="2:12" s="1" customFormat="1" ht="12.95" customHeight="1" x14ac:dyDescent="0.15">
      <c r="B797" s="16">
        <v>3</v>
      </c>
      <c r="C797" s="17"/>
      <c r="D797" s="24"/>
      <c r="E797" s="18"/>
      <c r="F797" s="129"/>
      <c r="G797" s="20"/>
      <c r="H797" s="20">
        <v>1</v>
      </c>
      <c r="I797" s="126">
        <f t="shared" si="59"/>
        <v>0</v>
      </c>
      <c r="J797" s="38">
        <f t="shared" si="60"/>
        <v>0</v>
      </c>
      <c r="K797" s="80"/>
      <c r="L797" s="82"/>
    </row>
    <row r="798" spans="2:12" s="1" customFormat="1" ht="12.95" customHeight="1" x14ac:dyDescent="0.15">
      <c r="B798" s="16">
        <v>4</v>
      </c>
      <c r="C798" s="17"/>
      <c r="D798" s="24"/>
      <c r="E798" s="18"/>
      <c r="F798" s="129"/>
      <c r="G798" s="20"/>
      <c r="H798" s="20">
        <v>1</v>
      </c>
      <c r="I798" s="126">
        <f t="shared" si="59"/>
        <v>0</v>
      </c>
      <c r="J798" s="38">
        <f t="shared" si="60"/>
        <v>0</v>
      </c>
      <c r="K798" s="80"/>
      <c r="L798" s="82"/>
    </row>
    <row r="799" spans="2:12" s="1" customFormat="1" ht="12.95" customHeight="1" x14ac:dyDescent="0.15">
      <c r="B799" s="16">
        <v>5</v>
      </c>
      <c r="C799" s="17"/>
      <c r="D799" s="24"/>
      <c r="E799" s="18"/>
      <c r="F799" s="129"/>
      <c r="G799" s="20"/>
      <c r="H799" s="20">
        <v>1</v>
      </c>
      <c r="I799" s="126">
        <f t="shared" si="59"/>
        <v>0</v>
      </c>
      <c r="J799" s="38">
        <f t="shared" si="60"/>
        <v>0</v>
      </c>
      <c r="K799" s="80"/>
      <c r="L799" s="82"/>
    </row>
    <row r="800" spans="2:12" s="1" customFormat="1" ht="12.95" customHeight="1" x14ac:dyDescent="0.15">
      <c r="B800" s="16">
        <v>6</v>
      </c>
      <c r="C800" s="17"/>
      <c r="D800" s="24"/>
      <c r="E800" s="18"/>
      <c r="F800" s="129"/>
      <c r="G800" s="20"/>
      <c r="H800" s="20">
        <v>1</v>
      </c>
      <c r="I800" s="126">
        <f t="shared" si="59"/>
        <v>0</v>
      </c>
      <c r="J800" s="38">
        <f t="shared" si="60"/>
        <v>0</v>
      </c>
      <c r="K800" s="80"/>
      <c r="L800" s="82"/>
    </row>
    <row r="801" spans="2:12" s="1" customFormat="1" ht="12.95" customHeight="1" x14ac:dyDescent="0.15">
      <c r="B801" s="16">
        <v>7</v>
      </c>
      <c r="C801" s="17"/>
      <c r="D801" s="24"/>
      <c r="E801" s="18"/>
      <c r="F801" s="129"/>
      <c r="G801" s="20"/>
      <c r="H801" s="20">
        <v>1</v>
      </c>
      <c r="I801" s="126">
        <f t="shared" si="59"/>
        <v>0</v>
      </c>
      <c r="J801" s="38">
        <f t="shared" si="60"/>
        <v>0</v>
      </c>
      <c r="K801" s="80"/>
      <c r="L801" s="82"/>
    </row>
    <row r="802" spans="2:12" s="1" customFormat="1" ht="12.95" customHeight="1" x14ac:dyDescent="0.15">
      <c r="B802" s="16">
        <v>8</v>
      </c>
      <c r="C802" s="17"/>
      <c r="D802" s="24"/>
      <c r="E802" s="18"/>
      <c r="F802" s="129"/>
      <c r="G802" s="20"/>
      <c r="H802" s="20">
        <v>1</v>
      </c>
      <c r="I802" s="126">
        <f t="shared" si="59"/>
        <v>0</v>
      </c>
      <c r="J802" s="21">
        <f t="shared" si="60"/>
        <v>0</v>
      </c>
      <c r="K802" s="80"/>
      <c r="L802" s="82"/>
    </row>
    <row r="803" spans="2:12" s="1" customFormat="1" ht="12.95" customHeight="1" x14ac:dyDescent="0.15">
      <c r="B803" s="16">
        <v>9</v>
      </c>
      <c r="C803" s="17"/>
      <c r="D803" s="24"/>
      <c r="E803" s="18"/>
      <c r="F803" s="129"/>
      <c r="G803" s="20"/>
      <c r="H803" s="20">
        <v>1</v>
      </c>
      <c r="I803" s="126">
        <f t="shared" si="59"/>
        <v>0</v>
      </c>
      <c r="J803" s="38">
        <f t="shared" si="60"/>
        <v>0</v>
      </c>
      <c r="K803" s="80"/>
      <c r="L803" s="82"/>
    </row>
    <row r="804" spans="2:12" s="1" customFormat="1" ht="12.95" customHeight="1" x14ac:dyDescent="0.15">
      <c r="B804" s="16">
        <v>10</v>
      </c>
      <c r="C804" s="17"/>
      <c r="D804" s="24"/>
      <c r="E804" s="18"/>
      <c r="F804" s="129"/>
      <c r="G804" s="20"/>
      <c r="H804" s="20">
        <v>1</v>
      </c>
      <c r="I804" s="126">
        <f t="shared" si="59"/>
        <v>0</v>
      </c>
      <c r="J804" s="38">
        <f t="shared" si="60"/>
        <v>0</v>
      </c>
      <c r="K804" s="80"/>
      <c r="L804" s="82"/>
    </row>
    <row r="805" spans="2:12" s="1" customFormat="1" ht="12.95" customHeight="1" x14ac:dyDescent="0.15">
      <c r="B805" s="16">
        <v>11</v>
      </c>
      <c r="C805" s="17"/>
      <c r="D805" s="24"/>
      <c r="E805" s="18"/>
      <c r="F805" s="129"/>
      <c r="G805" s="20"/>
      <c r="H805" s="20">
        <v>1</v>
      </c>
      <c r="I805" s="126">
        <f t="shared" si="59"/>
        <v>0</v>
      </c>
      <c r="J805" s="38">
        <f t="shared" si="60"/>
        <v>0</v>
      </c>
      <c r="K805" s="80"/>
      <c r="L805" s="82"/>
    </row>
    <row r="806" spans="2:12" s="1" customFormat="1" ht="12.95" customHeight="1" x14ac:dyDescent="0.15">
      <c r="B806" s="16">
        <v>12</v>
      </c>
      <c r="C806" s="17"/>
      <c r="D806" s="24"/>
      <c r="E806" s="18"/>
      <c r="F806" s="129"/>
      <c r="G806" s="20"/>
      <c r="H806" s="20">
        <v>1</v>
      </c>
      <c r="I806" s="126">
        <f t="shared" si="59"/>
        <v>0</v>
      </c>
      <c r="J806" s="38">
        <f t="shared" si="60"/>
        <v>0</v>
      </c>
      <c r="K806" s="80"/>
      <c r="L806" s="82"/>
    </row>
    <row r="807" spans="2:12" s="1" customFormat="1" ht="12.95" customHeight="1" x14ac:dyDescent="0.15">
      <c r="B807" s="16">
        <v>13</v>
      </c>
      <c r="C807" s="17"/>
      <c r="D807" s="24"/>
      <c r="E807" s="24"/>
      <c r="F807" s="129"/>
      <c r="G807" s="20"/>
      <c r="H807" s="20">
        <v>1</v>
      </c>
      <c r="I807" s="126">
        <f t="shared" si="59"/>
        <v>0</v>
      </c>
      <c r="J807" s="38">
        <f t="shared" si="60"/>
        <v>0</v>
      </c>
      <c r="K807" s="80"/>
      <c r="L807" s="82"/>
    </row>
    <row r="808" spans="2:12" s="1" customFormat="1" ht="12.95" customHeight="1" x14ac:dyDescent="0.15">
      <c r="B808" s="16">
        <v>14</v>
      </c>
      <c r="C808" s="17"/>
      <c r="D808" s="24"/>
      <c r="E808" s="24"/>
      <c r="F808" s="129"/>
      <c r="G808" s="20"/>
      <c r="H808" s="20">
        <v>1</v>
      </c>
      <c r="I808" s="126">
        <f t="shared" si="59"/>
        <v>0</v>
      </c>
      <c r="J808" s="38">
        <f t="shared" si="60"/>
        <v>0</v>
      </c>
      <c r="K808" s="80"/>
      <c r="L808" s="82"/>
    </row>
    <row r="809" spans="2:12" s="1" customFormat="1" ht="12.95" customHeight="1" x14ac:dyDescent="0.15">
      <c r="B809" s="16">
        <v>15</v>
      </c>
      <c r="C809" s="17"/>
      <c r="D809" s="24"/>
      <c r="E809" s="24"/>
      <c r="F809" s="129"/>
      <c r="G809" s="20"/>
      <c r="H809" s="20">
        <v>1</v>
      </c>
      <c r="I809" s="126">
        <f t="shared" si="59"/>
        <v>0</v>
      </c>
      <c r="J809" s="38">
        <f t="shared" si="60"/>
        <v>0</v>
      </c>
      <c r="K809" s="80"/>
      <c r="L809" s="82"/>
    </row>
    <row r="810" spans="2:12" s="1" customFormat="1" ht="12.95" customHeight="1" x14ac:dyDescent="0.15">
      <c r="B810" s="16">
        <v>16</v>
      </c>
      <c r="C810" s="17"/>
      <c r="D810" s="24"/>
      <c r="E810" s="24"/>
      <c r="F810" s="129"/>
      <c r="G810" s="20"/>
      <c r="H810" s="20">
        <v>1</v>
      </c>
      <c r="I810" s="126">
        <f t="shared" si="59"/>
        <v>0</v>
      </c>
      <c r="J810" s="38">
        <f t="shared" si="60"/>
        <v>0</v>
      </c>
      <c r="K810" s="80"/>
      <c r="L810" s="82"/>
    </row>
    <row r="811" spans="2:12" s="1" customFormat="1" ht="12.95" customHeight="1" x14ac:dyDescent="0.15">
      <c r="B811" s="16">
        <v>17</v>
      </c>
      <c r="C811" s="17"/>
      <c r="D811" s="24"/>
      <c r="E811" s="24"/>
      <c r="F811" s="129"/>
      <c r="G811" s="20"/>
      <c r="H811" s="20">
        <v>1</v>
      </c>
      <c r="I811" s="126">
        <f t="shared" si="59"/>
        <v>0</v>
      </c>
      <c r="J811" s="38">
        <f t="shared" si="60"/>
        <v>0</v>
      </c>
      <c r="K811" s="80"/>
      <c r="L811" s="82"/>
    </row>
    <row r="812" spans="2:12" s="1" customFormat="1" ht="12.95" customHeight="1" x14ac:dyDescent="0.15">
      <c r="B812" s="16">
        <v>18</v>
      </c>
      <c r="C812" s="17"/>
      <c r="D812" s="24"/>
      <c r="E812" s="24"/>
      <c r="F812" s="129"/>
      <c r="G812" s="20"/>
      <c r="H812" s="20">
        <v>1</v>
      </c>
      <c r="I812" s="126">
        <f t="shared" si="59"/>
        <v>0</v>
      </c>
      <c r="J812" s="38">
        <f t="shared" si="60"/>
        <v>0</v>
      </c>
      <c r="K812" s="80"/>
      <c r="L812" s="82"/>
    </row>
    <row r="813" spans="2:12" s="1" customFormat="1" ht="12.95" customHeight="1" x14ac:dyDescent="0.15">
      <c r="B813" s="16">
        <v>19</v>
      </c>
      <c r="C813" s="17"/>
      <c r="D813" s="24"/>
      <c r="E813" s="24"/>
      <c r="F813" s="129"/>
      <c r="G813" s="20"/>
      <c r="H813" s="20">
        <v>1</v>
      </c>
      <c r="I813" s="126">
        <f t="shared" si="59"/>
        <v>0</v>
      </c>
      <c r="J813" s="38">
        <f t="shared" si="60"/>
        <v>0</v>
      </c>
      <c r="K813" s="80"/>
      <c r="L813" s="82"/>
    </row>
    <row r="814" spans="2:12" s="1" customFormat="1" ht="12.95" customHeight="1" x14ac:dyDescent="0.15">
      <c r="B814" s="16">
        <v>20</v>
      </c>
      <c r="C814" s="17"/>
      <c r="D814" s="24"/>
      <c r="E814" s="24"/>
      <c r="F814" s="129"/>
      <c r="G814" s="20"/>
      <c r="H814" s="20">
        <v>1</v>
      </c>
      <c r="I814" s="126">
        <f t="shared" si="59"/>
        <v>0</v>
      </c>
      <c r="J814" s="38">
        <f t="shared" si="60"/>
        <v>0</v>
      </c>
      <c r="K814" s="80"/>
      <c r="L814" s="82"/>
    </row>
    <row r="815" spans="2:12" s="1" customFormat="1" ht="12.95" customHeight="1" x14ac:dyDescent="0.15">
      <c r="B815" s="16"/>
      <c r="C815" s="17"/>
      <c r="D815" s="24"/>
      <c r="E815" s="24"/>
      <c r="F815" s="129"/>
      <c r="G815" s="20"/>
      <c r="H815" s="20"/>
      <c r="I815" s="126"/>
      <c r="J815" s="38"/>
      <c r="K815" s="80"/>
      <c r="L815" s="82"/>
    </row>
    <row r="816" spans="2:12" s="1" customFormat="1" ht="12.95" customHeight="1" x14ac:dyDescent="0.15">
      <c r="B816" s="16"/>
      <c r="C816" s="17"/>
      <c r="D816" s="24"/>
      <c r="E816" s="24"/>
      <c r="F816" s="129"/>
      <c r="G816" s="20"/>
      <c r="H816" s="20"/>
      <c r="I816" s="126"/>
      <c r="J816" s="38"/>
      <c r="K816" s="80"/>
      <c r="L816" s="82"/>
    </row>
    <row r="817" spans="2:20" s="1" customFormat="1" ht="12.95" customHeight="1" x14ac:dyDescent="0.15">
      <c r="B817" s="16"/>
      <c r="C817" s="22" t="s">
        <v>132</v>
      </c>
      <c r="D817" s="24"/>
      <c r="E817" s="24"/>
      <c r="F817" s="129"/>
      <c r="G817" s="20"/>
      <c r="H817" s="20"/>
      <c r="I817" s="126"/>
      <c r="J817" s="38"/>
      <c r="K817" s="80"/>
      <c r="L817" s="82"/>
    </row>
    <row r="818" spans="2:20" s="1" customFormat="1" ht="12.95" customHeight="1" x14ac:dyDescent="0.15">
      <c r="B818" s="16">
        <v>1</v>
      </c>
      <c r="C818" s="17"/>
      <c r="D818" s="24"/>
      <c r="E818" s="24"/>
      <c r="F818" s="129"/>
      <c r="G818" s="20"/>
      <c r="H818" s="20">
        <v>1</v>
      </c>
      <c r="I818" s="126">
        <f t="shared" ref="I818:I830" si="61">J818*$C$32</f>
        <v>0</v>
      </c>
      <c r="J818" s="38">
        <f t="shared" ref="J818:J830" si="62">(F818*G818*H818)/$C$32</f>
        <v>0</v>
      </c>
      <c r="K818" s="80"/>
      <c r="L818" s="82"/>
    </row>
    <row r="819" spans="2:20" s="1" customFormat="1" ht="12.95" customHeight="1" x14ac:dyDescent="0.15">
      <c r="B819" s="16">
        <v>2</v>
      </c>
      <c r="C819" s="17"/>
      <c r="D819" s="24"/>
      <c r="E819" s="24"/>
      <c r="F819" s="129"/>
      <c r="G819" s="20"/>
      <c r="H819" s="20">
        <v>1</v>
      </c>
      <c r="I819" s="126">
        <f t="shared" si="61"/>
        <v>0</v>
      </c>
      <c r="J819" s="38">
        <f t="shared" si="62"/>
        <v>0</v>
      </c>
      <c r="K819" s="80"/>
      <c r="L819" s="82"/>
    </row>
    <row r="820" spans="2:20" s="1" customFormat="1" ht="12.95" customHeight="1" x14ac:dyDescent="0.15">
      <c r="B820" s="16">
        <v>3</v>
      </c>
      <c r="C820" s="17"/>
      <c r="D820" s="24"/>
      <c r="E820" s="24"/>
      <c r="F820" s="129"/>
      <c r="G820" s="20"/>
      <c r="H820" s="20">
        <v>1</v>
      </c>
      <c r="I820" s="126">
        <f t="shared" si="61"/>
        <v>0</v>
      </c>
      <c r="J820" s="38">
        <f t="shared" si="62"/>
        <v>0</v>
      </c>
      <c r="K820" s="80"/>
      <c r="L820" s="82"/>
    </row>
    <row r="821" spans="2:20" s="1" customFormat="1" ht="12.95" customHeight="1" x14ac:dyDescent="0.15">
      <c r="B821" s="16">
        <v>4</v>
      </c>
      <c r="C821" s="17"/>
      <c r="D821" s="24"/>
      <c r="E821" s="24"/>
      <c r="F821" s="129"/>
      <c r="G821" s="20"/>
      <c r="H821" s="20">
        <v>1</v>
      </c>
      <c r="I821" s="126">
        <f t="shared" si="61"/>
        <v>0</v>
      </c>
      <c r="J821" s="38">
        <f t="shared" si="62"/>
        <v>0</v>
      </c>
      <c r="K821" s="80"/>
      <c r="L821" s="82"/>
    </row>
    <row r="822" spans="2:20" s="1" customFormat="1" ht="12.95" customHeight="1" x14ac:dyDescent="0.15">
      <c r="B822" s="16">
        <v>5</v>
      </c>
      <c r="C822" s="17"/>
      <c r="D822" s="24"/>
      <c r="E822" s="24"/>
      <c r="F822" s="129"/>
      <c r="G822" s="20"/>
      <c r="H822" s="20">
        <v>1</v>
      </c>
      <c r="I822" s="126">
        <f t="shared" si="61"/>
        <v>0</v>
      </c>
      <c r="J822" s="38">
        <f t="shared" si="62"/>
        <v>0</v>
      </c>
      <c r="K822" s="80"/>
      <c r="L822" s="82"/>
    </row>
    <row r="823" spans="2:20" s="1" customFormat="1" ht="12.95" customHeight="1" x14ac:dyDescent="0.15">
      <c r="B823" s="16">
        <v>6</v>
      </c>
      <c r="C823" s="17"/>
      <c r="D823" s="24"/>
      <c r="E823" s="24"/>
      <c r="F823" s="129"/>
      <c r="G823" s="20"/>
      <c r="H823" s="20">
        <v>1</v>
      </c>
      <c r="I823" s="126">
        <f t="shared" si="61"/>
        <v>0</v>
      </c>
      <c r="J823" s="38">
        <f t="shared" si="62"/>
        <v>0</v>
      </c>
      <c r="K823" s="80"/>
      <c r="L823" s="82"/>
    </row>
    <row r="824" spans="2:20" s="1" customFormat="1" ht="12.95" customHeight="1" x14ac:dyDescent="0.15">
      <c r="B824" s="16">
        <v>7</v>
      </c>
      <c r="C824" s="17"/>
      <c r="D824" s="24"/>
      <c r="E824" s="24"/>
      <c r="F824" s="129"/>
      <c r="G824" s="20"/>
      <c r="H824" s="20">
        <v>1</v>
      </c>
      <c r="I824" s="126">
        <f t="shared" si="61"/>
        <v>0</v>
      </c>
      <c r="J824" s="38">
        <f t="shared" si="62"/>
        <v>0</v>
      </c>
      <c r="K824" s="80"/>
      <c r="L824" s="82"/>
    </row>
    <row r="825" spans="2:20" s="1" customFormat="1" ht="12.95" customHeight="1" x14ac:dyDescent="0.15">
      <c r="B825" s="16">
        <v>8</v>
      </c>
      <c r="C825" s="17"/>
      <c r="D825" s="24"/>
      <c r="E825" s="24"/>
      <c r="F825" s="129"/>
      <c r="G825" s="20"/>
      <c r="H825" s="20">
        <v>1</v>
      </c>
      <c r="I825" s="126">
        <f t="shared" si="61"/>
        <v>0</v>
      </c>
      <c r="J825" s="38">
        <f t="shared" si="62"/>
        <v>0</v>
      </c>
      <c r="K825" s="80"/>
      <c r="L825" s="82"/>
    </row>
    <row r="826" spans="2:20" s="1" customFormat="1" ht="12.95" customHeight="1" x14ac:dyDescent="0.15">
      <c r="B826" s="16">
        <v>9</v>
      </c>
      <c r="C826" s="17"/>
      <c r="D826" s="24"/>
      <c r="E826" s="24"/>
      <c r="F826" s="129"/>
      <c r="G826" s="20"/>
      <c r="H826" s="20">
        <v>1</v>
      </c>
      <c r="I826" s="126">
        <f t="shared" si="61"/>
        <v>0</v>
      </c>
      <c r="J826" s="38">
        <f t="shared" si="62"/>
        <v>0</v>
      </c>
      <c r="K826" s="80"/>
      <c r="L826" s="82"/>
    </row>
    <row r="827" spans="2:20" s="1" customFormat="1" ht="12.95" customHeight="1" x14ac:dyDescent="0.15">
      <c r="B827" s="16">
        <v>10</v>
      </c>
      <c r="C827" s="17"/>
      <c r="D827" s="24"/>
      <c r="E827" s="24"/>
      <c r="F827" s="129"/>
      <c r="G827" s="20"/>
      <c r="H827" s="20">
        <v>1</v>
      </c>
      <c r="I827" s="126">
        <f t="shared" si="61"/>
        <v>0</v>
      </c>
      <c r="J827" s="38">
        <f t="shared" si="62"/>
        <v>0</v>
      </c>
      <c r="K827" s="80"/>
      <c r="L827" s="82"/>
    </row>
    <row r="828" spans="2:20" s="1" customFormat="1" ht="12.95" customHeight="1" x14ac:dyDescent="0.15">
      <c r="B828" s="16">
        <v>11</v>
      </c>
      <c r="C828" s="44"/>
      <c r="D828" s="18"/>
      <c r="E828" s="18"/>
      <c r="F828" s="129"/>
      <c r="G828" s="20"/>
      <c r="H828" s="20">
        <v>1</v>
      </c>
      <c r="I828" s="126">
        <f t="shared" si="61"/>
        <v>0</v>
      </c>
      <c r="J828" s="21">
        <f t="shared" si="62"/>
        <v>0</v>
      </c>
      <c r="K828" s="80"/>
      <c r="L828" s="82"/>
      <c r="M828" s="10"/>
      <c r="N828" s="10"/>
      <c r="O828" s="10"/>
      <c r="P828" s="10"/>
      <c r="Q828" s="43"/>
      <c r="R828" s="10"/>
      <c r="T828" s="10" t="s">
        <v>169</v>
      </c>
    </row>
    <row r="829" spans="2:20" s="1" customFormat="1" ht="12.95" customHeight="1" x14ac:dyDescent="0.15">
      <c r="B829" s="16">
        <v>12</v>
      </c>
      <c r="C829" s="45"/>
      <c r="D829" s="18"/>
      <c r="E829" s="18"/>
      <c r="F829" s="130"/>
      <c r="G829" s="20"/>
      <c r="H829" s="20">
        <v>1</v>
      </c>
      <c r="I829" s="126">
        <f t="shared" si="61"/>
        <v>0</v>
      </c>
      <c r="J829" s="21">
        <f t="shared" si="62"/>
        <v>0</v>
      </c>
      <c r="K829" s="80"/>
      <c r="L829" s="82"/>
      <c r="M829" s="10"/>
      <c r="N829" s="10"/>
      <c r="O829" s="10"/>
      <c r="P829" s="10"/>
      <c r="Q829" s="43"/>
      <c r="R829" s="10"/>
      <c r="T829" s="10" t="s">
        <v>170</v>
      </c>
    </row>
    <row r="830" spans="2:20" s="1" customFormat="1" ht="12.95" customHeight="1" x14ac:dyDescent="0.15">
      <c r="B830" s="16">
        <v>13</v>
      </c>
      <c r="C830" s="44"/>
      <c r="D830" s="18"/>
      <c r="E830" s="18"/>
      <c r="F830" s="129"/>
      <c r="G830" s="20"/>
      <c r="H830" s="20">
        <v>1</v>
      </c>
      <c r="I830" s="126">
        <f t="shared" si="61"/>
        <v>0</v>
      </c>
      <c r="J830" s="21">
        <f t="shared" si="62"/>
        <v>0</v>
      </c>
      <c r="K830" s="80"/>
      <c r="L830" s="82"/>
      <c r="M830" s="10"/>
      <c r="N830" s="10"/>
      <c r="O830" s="10"/>
      <c r="P830" s="10"/>
      <c r="Q830" s="43"/>
      <c r="R830" s="10"/>
      <c r="T830" s="10" t="s">
        <v>171</v>
      </c>
    </row>
    <row r="831" spans="2:20" s="1" customFormat="1" ht="12.95" customHeight="1" x14ac:dyDescent="0.15">
      <c r="B831" s="16">
        <v>14</v>
      </c>
      <c r="C831" s="44"/>
      <c r="D831" s="18"/>
      <c r="E831" s="18"/>
      <c r="F831" s="129"/>
      <c r="G831" s="20"/>
      <c r="H831" s="20">
        <v>1</v>
      </c>
      <c r="I831" s="126">
        <f t="shared" ref="I831:I837" si="63">J831*$C$32</f>
        <v>0</v>
      </c>
      <c r="J831" s="21">
        <f t="shared" ref="J831:J837" si="64">(F831*G831*H831)/$C$32</f>
        <v>0</v>
      </c>
      <c r="K831" s="80"/>
      <c r="L831" s="82"/>
      <c r="M831" s="10"/>
      <c r="N831" s="10"/>
      <c r="O831" s="10"/>
      <c r="P831" s="10"/>
      <c r="Q831" s="43"/>
      <c r="R831" s="10"/>
      <c r="T831" s="10"/>
    </row>
    <row r="832" spans="2:20" s="1" customFormat="1" ht="12.95" customHeight="1" x14ac:dyDescent="0.15">
      <c r="B832" s="16">
        <v>15</v>
      </c>
      <c r="C832" s="44"/>
      <c r="D832" s="18"/>
      <c r="E832" s="18"/>
      <c r="F832" s="129"/>
      <c r="G832" s="20"/>
      <c r="H832" s="20">
        <v>1</v>
      </c>
      <c r="I832" s="126">
        <f t="shared" si="63"/>
        <v>0</v>
      </c>
      <c r="J832" s="21">
        <f t="shared" si="64"/>
        <v>0</v>
      </c>
      <c r="K832" s="80"/>
      <c r="L832" s="82"/>
      <c r="M832" s="10"/>
      <c r="N832" s="10"/>
      <c r="O832" s="10"/>
      <c r="P832" s="10"/>
      <c r="Q832" s="43"/>
      <c r="R832" s="10"/>
      <c r="T832" s="10"/>
    </row>
    <row r="833" spans="2:20" s="1" customFormat="1" ht="12.95" customHeight="1" x14ac:dyDescent="0.15">
      <c r="B833" s="16">
        <v>16</v>
      </c>
      <c r="C833" s="44"/>
      <c r="D833" s="18"/>
      <c r="E833" s="18"/>
      <c r="F833" s="129"/>
      <c r="G833" s="20"/>
      <c r="H833" s="20">
        <v>1</v>
      </c>
      <c r="I833" s="126">
        <f t="shared" si="63"/>
        <v>0</v>
      </c>
      <c r="J833" s="21">
        <f t="shared" si="64"/>
        <v>0</v>
      </c>
      <c r="K833" s="80"/>
      <c r="L833" s="82"/>
      <c r="M833" s="10"/>
      <c r="N833" s="10"/>
      <c r="O833" s="10"/>
      <c r="P833" s="10"/>
      <c r="Q833" s="43"/>
      <c r="R833" s="10"/>
      <c r="T833" s="10"/>
    </row>
    <row r="834" spans="2:20" s="1" customFormat="1" ht="12.95" customHeight="1" x14ac:dyDescent="0.15">
      <c r="B834" s="16">
        <v>17</v>
      </c>
      <c r="C834" s="44"/>
      <c r="D834" s="18"/>
      <c r="E834" s="18"/>
      <c r="F834" s="129"/>
      <c r="G834" s="20"/>
      <c r="H834" s="20">
        <v>1</v>
      </c>
      <c r="I834" s="126">
        <f t="shared" si="63"/>
        <v>0</v>
      </c>
      <c r="J834" s="21">
        <f t="shared" si="64"/>
        <v>0</v>
      </c>
      <c r="K834" s="80"/>
      <c r="L834" s="82"/>
      <c r="M834" s="10"/>
      <c r="N834" s="10"/>
      <c r="O834" s="10"/>
      <c r="P834" s="10"/>
      <c r="Q834" s="43"/>
      <c r="R834" s="10"/>
      <c r="T834" s="10"/>
    </row>
    <row r="835" spans="2:20" s="1" customFormat="1" ht="12.95" customHeight="1" x14ac:dyDescent="0.15">
      <c r="B835" s="16">
        <v>18</v>
      </c>
      <c r="C835" s="44"/>
      <c r="D835" s="18"/>
      <c r="E835" s="18"/>
      <c r="F835" s="129"/>
      <c r="G835" s="20"/>
      <c r="H835" s="20">
        <v>1</v>
      </c>
      <c r="I835" s="126">
        <f t="shared" si="63"/>
        <v>0</v>
      </c>
      <c r="J835" s="78">
        <f t="shared" si="64"/>
        <v>0</v>
      </c>
      <c r="K835" s="111"/>
      <c r="L835" s="119"/>
      <c r="M835" s="10"/>
      <c r="N835" s="10"/>
      <c r="O835" s="10"/>
      <c r="P835" s="10"/>
      <c r="Q835" s="43"/>
      <c r="R835" s="10"/>
      <c r="T835" s="10"/>
    </row>
    <row r="836" spans="2:20" s="1" customFormat="1" ht="12.95" customHeight="1" x14ac:dyDescent="0.15">
      <c r="B836" s="16">
        <v>19</v>
      </c>
      <c r="C836" s="44"/>
      <c r="D836" s="18"/>
      <c r="E836" s="18"/>
      <c r="F836" s="129"/>
      <c r="G836" s="20"/>
      <c r="H836" s="20">
        <v>1</v>
      </c>
      <c r="I836" s="254">
        <f t="shared" si="63"/>
        <v>0</v>
      </c>
      <c r="J836" s="94">
        <f t="shared" si="64"/>
        <v>0</v>
      </c>
      <c r="K836" s="82"/>
      <c r="L836" s="82"/>
      <c r="M836" s="10"/>
      <c r="N836" s="10"/>
      <c r="O836" s="10"/>
      <c r="P836" s="10"/>
      <c r="Q836" s="43"/>
      <c r="R836" s="10"/>
      <c r="T836" s="10"/>
    </row>
    <row r="837" spans="2:20" s="1" customFormat="1" ht="12.95" customHeight="1" x14ac:dyDescent="0.15">
      <c r="B837" s="16">
        <v>20</v>
      </c>
      <c r="C837" s="44"/>
      <c r="D837" s="18"/>
      <c r="E837" s="18"/>
      <c r="F837" s="129"/>
      <c r="G837" s="20"/>
      <c r="H837" s="20">
        <v>1</v>
      </c>
      <c r="I837" s="254">
        <f t="shared" si="63"/>
        <v>0</v>
      </c>
      <c r="J837" s="94">
        <f t="shared" si="64"/>
        <v>0</v>
      </c>
      <c r="K837" s="82"/>
      <c r="L837" s="82"/>
      <c r="M837" s="10"/>
      <c r="N837" s="10"/>
      <c r="O837" s="10"/>
      <c r="P837" s="10"/>
      <c r="Q837" s="43"/>
      <c r="R837" s="10"/>
      <c r="T837" s="10"/>
    </row>
    <row r="838" spans="2:20" s="1" customFormat="1" ht="12.95" customHeight="1" x14ac:dyDescent="0.15">
      <c r="B838" s="16"/>
      <c r="C838" s="11"/>
      <c r="D838" s="18"/>
      <c r="E838" s="18"/>
      <c r="F838" s="129"/>
      <c r="G838" s="20"/>
      <c r="H838" s="20"/>
      <c r="I838" s="255"/>
      <c r="J838" s="94"/>
      <c r="K838" s="82"/>
      <c r="L838" s="82"/>
      <c r="M838" s="10"/>
      <c r="N838" s="10"/>
      <c r="O838" s="10"/>
      <c r="P838" s="10"/>
      <c r="Q838" s="43"/>
      <c r="R838" s="10"/>
      <c r="T838" s="10"/>
    </row>
    <row r="839" spans="2:20" s="1" customFormat="1" ht="12.75" x14ac:dyDescent="0.15">
      <c r="B839" s="83"/>
      <c r="C839" s="98"/>
      <c r="D839" s="99"/>
      <c r="E839" s="98"/>
      <c r="F839" s="127">
        <f>SUM(F780:F838)</f>
        <v>0</v>
      </c>
      <c r="G839" s="100"/>
      <c r="H839" s="252"/>
      <c r="I839" s="256">
        <f>SUM(I781:I838)</f>
        <v>0</v>
      </c>
      <c r="J839" s="257">
        <f>SUM(J781:J838)</f>
        <v>0</v>
      </c>
    </row>
    <row r="840" spans="2:20" s="1" customFormat="1" ht="12.75" x14ac:dyDescent="0.15">
      <c r="B840" s="82"/>
      <c r="C840" s="102"/>
      <c r="D840" s="103"/>
      <c r="E840" s="102" t="s">
        <v>147</v>
      </c>
      <c r="F840" s="128">
        <f>100/115*F839</f>
        <v>0</v>
      </c>
      <c r="G840" s="104"/>
      <c r="H840" s="253" t="s">
        <v>147</v>
      </c>
      <c r="I840" s="128">
        <f>100/115*I839</f>
        <v>0</v>
      </c>
      <c r="J840" s="106"/>
    </row>
    <row r="841" spans="2:20" s="1" customFormat="1" ht="12.75" x14ac:dyDescent="0.15"/>
    <row r="842" spans="2:20" s="1" customFormat="1" ht="12.75" x14ac:dyDescent="0.15"/>
    <row r="843" spans="2:20" s="1" customFormat="1" ht="12.75" x14ac:dyDescent="0.15"/>
    <row r="844" spans="2:20" s="1" customFormat="1" ht="12.75" x14ac:dyDescent="0.15"/>
    <row r="845" spans="2:20" s="1" customFormat="1" ht="12.75" x14ac:dyDescent="0.15"/>
    <row r="846" spans="2:20" s="1" customFormat="1" ht="12.75" x14ac:dyDescent="0.15"/>
    <row r="847" spans="2:20" s="1" customFormat="1" ht="12.75" x14ac:dyDescent="0.15"/>
    <row r="848" spans="2:20" s="1" customFormat="1" ht="12.75" x14ac:dyDescent="0.15"/>
    <row r="849" s="1" customFormat="1" ht="12.75" x14ac:dyDescent="0.15"/>
    <row r="850" s="1" customFormat="1" ht="12.75" x14ac:dyDescent="0.15"/>
    <row r="851" s="1" customFormat="1" ht="12.75" x14ac:dyDescent="0.15"/>
    <row r="852" s="1" customFormat="1" ht="12.75" x14ac:dyDescent="0.15"/>
    <row r="853" s="1" customFormat="1" ht="12.75" x14ac:dyDescent="0.15"/>
    <row r="854" s="1" customFormat="1" ht="12.75" x14ac:dyDescent="0.15"/>
    <row r="855" s="1" customFormat="1" ht="12.75" x14ac:dyDescent="0.15"/>
    <row r="856" s="1" customFormat="1" ht="12.75" x14ac:dyDescent="0.15"/>
    <row r="857" s="1" customFormat="1" ht="12.75" x14ac:dyDescent="0.15"/>
    <row r="858" s="1" customFormat="1" ht="12.75" x14ac:dyDescent="0.15"/>
    <row r="859" s="1" customFormat="1" ht="12.75" x14ac:dyDescent="0.15"/>
    <row r="860" s="1" customFormat="1" ht="12.75" x14ac:dyDescent="0.15"/>
    <row r="861" s="1" customFormat="1" ht="12.75" x14ac:dyDescent="0.15"/>
    <row r="862" s="1" customFormat="1" ht="12.75" x14ac:dyDescent="0.15"/>
    <row r="863" s="1" customFormat="1" ht="12.75" x14ac:dyDescent="0.15"/>
    <row r="864" s="1" customFormat="1" ht="12.75" x14ac:dyDescent="0.15"/>
    <row r="865" s="1" customFormat="1" ht="12.75" x14ac:dyDescent="0.15"/>
    <row r="866" s="1" customFormat="1" ht="12.75" x14ac:dyDescent="0.15"/>
    <row r="867" s="1" customFormat="1" ht="12.75" x14ac:dyDescent="0.15"/>
    <row r="868" s="1" customFormat="1" ht="12.75" x14ac:dyDescent="0.15"/>
    <row r="869" s="1" customFormat="1" ht="12.75" x14ac:dyDescent="0.15"/>
    <row r="870" s="1" customFormat="1" ht="12.75" x14ac:dyDescent="0.15"/>
    <row r="871" s="1" customFormat="1" ht="12.75" x14ac:dyDescent="0.15"/>
    <row r="872" s="1" customFormat="1" ht="12.75" x14ac:dyDescent="0.15"/>
    <row r="873" s="1" customFormat="1" ht="12.75" x14ac:dyDescent="0.15"/>
    <row r="874" s="1" customFormat="1" ht="12.75" x14ac:dyDescent="0.15"/>
    <row r="875" s="1" customFormat="1" ht="12.75" x14ac:dyDescent="0.15"/>
    <row r="876" s="1" customFormat="1" ht="12.75" x14ac:dyDescent="0.15"/>
    <row r="877" s="1" customFormat="1" ht="12.75" x14ac:dyDescent="0.15"/>
    <row r="878" s="1" customFormat="1" ht="12.75" x14ac:dyDescent="0.15"/>
    <row r="879" s="1" customFormat="1" ht="12.75" x14ac:dyDescent="0.15"/>
    <row r="880" s="1" customFormat="1" ht="12.75" x14ac:dyDescent="0.15"/>
    <row r="881" s="1" customFormat="1" ht="12.75" x14ac:dyDescent="0.15"/>
    <row r="882" s="1" customFormat="1" ht="12.75" x14ac:dyDescent="0.15"/>
    <row r="883" s="1" customFormat="1" ht="12.75" x14ac:dyDescent="0.15"/>
    <row r="884" s="1" customFormat="1" ht="12.75" x14ac:dyDescent="0.15"/>
    <row r="885" s="1" customFormat="1" ht="12.75" x14ac:dyDescent="0.15"/>
    <row r="886" s="1" customFormat="1" ht="12.75" x14ac:dyDescent="0.15"/>
    <row r="887" s="1" customFormat="1" ht="12.75" x14ac:dyDescent="0.15"/>
    <row r="888" s="1" customFormat="1" ht="12.75" x14ac:dyDescent="0.15"/>
    <row r="889" s="1" customFormat="1" ht="12.75" x14ac:dyDescent="0.15"/>
    <row r="890" s="1" customFormat="1" ht="12.75" x14ac:dyDescent="0.15"/>
    <row r="891" s="1" customFormat="1" ht="12.75" x14ac:dyDescent="0.15"/>
    <row r="892" s="1" customFormat="1" ht="12.75" x14ac:dyDescent="0.15"/>
    <row r="893" s="1" customFormat="1" ht="12.75" x14ac:dyDescent="0.15"/>
    <row r="894" s="1" customFormat="1" ht="12.75" x14ac:dyDescent="0.15"/>
    <row r="895" s="1" customFormat="1" ht="12.75" x14ac:dyDescent="0.15"/>
    <row r="896" s="1" customFormat="1" ht="12.75" x14ac:dyDescent="0.15"/>
    <row r="897" spans="12:12" s="1" customFormat="1" ht="12.75" x14ac:dyDescent="0.15"/>
    <row r="898" spans="12:12" s="1" customFormat="1" ht="12.75" x14ac:dyDescent="0.15"/>
    <row r="899" spans="12:12" s="1" customFormat="1" ht="12.75" x14ac:dyDescent="0.15"/>
    <row r="900" spans="12:12" s="1" customFormat="1" ht="12.75" x14ac:dyDescent="0.15"/>
    <row r="901" spans="12:12" s="1" customFormat="1" ht="12.75" x14ac:dyDescent="0.15"/>
    <row r="902" spans="12:12" s="1" customFormat="1" ht="12.75" x14ac:dyDescent="0.15"/>
    <row r="903" spans="12:12" x14ac:dyDescent="0.2">
      <c r="L903"/>
    </row>
    <row r="904" spans="12:12" x14ac:dyDescent="0.2">
      <c r="L904"/>
    </row>
    <row r="905" spans="12:12" x14ac:dyDescent="0.2">
      <c r="L905"/>
    </row>
    <row r="906" spans="12:12" x14ac:dyDescent="0.2">
      <c r="L906"/>
    </row>
    <row r="907" spans="12:12" x14ac:dyDescent="0.2">
      <c r="L907"/>
    </row>
    <row r="908" spans="12:12" x14ac:dyDescent="0.2">
      <c r="L908"/>
    </row>
    <row r="909" spans="12:12" x14ac:dyDescent="0.2">
      <c r="L909"/>
    </row>
    <row r="910" spans="12:12" x14ac:dyDescent="0.2">
      <c r="L910"/>
    </row>
    <row r="911" spans="12:12" x14ac:dyDescent="0.2">
      <c r="L911"/>
    </row>
    <row r="912" spans="12:12" x14ac:dyDescent="0.2">
      <c r="L912"/>
    </row>
    <row r="913" spans="12:12" x14ac:dyDescent="0.2">
      <c r="L913"/>
    </row>
    <row r="914" spans="12:12" x14ac:dyDescent="0.2">
      <c r="L914"/>
    </row>
    <row r="915" spans="12:12" x14ac:dyDescent="0.2">
      <c r="L915"/>
    </row>
    <row r="916" spans="12:12" x14ac:dyDescent="0.2">
      <c r="L916"/>
    </row>
    <row r="917" spans="12:12" x14ac:dyDescent="0.2">
      <c r="L917"/>
    </row>
    <row r="918" spans="12:12" x14ac:dyDescent="0.2">
      <c r="L918"/>
    </row>
    <row r="919" spans="12:12" x14ac:dyDescent="0.2">
      <c r="L919"/>
    </row>
    <row r="920" spans="12:12" x14ac:dyDescent="0.2">
      <c r="L920"/>
    </row>
    <row r="921" spans="12:12" x14ac:dyDescent="0.2">
      <c r="L921"/>
    </row>
    <row r="922" spans="12:12" x14ac:dyDescent="0.2">
      <c r="L922"/>
    </row>
    <row r="923" spans="12:12" x14ac:dyDescent="0.2">
      <c r="L923"/>
    </row>
    <row r="924" spans="12:12" x14ac:dyDescent="0.2">
      <c r="L924"/>
    </row>
    <row r="925" spans="12:12" x14ac:dyDescent="0.2">
      <c r="L925"/>
    </row>
    <row r="926" spans="12:12" x14ac:dyDescent="0.2">
      <c r="L926"/>
    </row>
    <row r="927" spans="12:12" x14ac:dyDescent="0.2">
      <c r="L927"/>
    </row>
    <row r="928" spans="12:12" x14ac:dyDescent="0.2">
      <c r="L928"/>
    </row>
    <row r="929" spans="12:12" x14ac:dyDescent="0.2">
      <c r="L929"/>
    </row>
    <row r="930" spans="12:12" x14ac:dyDescent="0.2">
      <c r="L930"/>
    </row>
    <row r="931" spans="12:12" x14ac:dyDescent="0.2">
      <c r="L931"/>
    </row>
    <row r="932" spans="12:12" x14ac:dyDescent="0.2">
      <c r="L932"/>
    </row>
    <row r="933" spans="12:12" x14ac:dyDescent="0.2">
      <c r="L933"/>
    </row>
    <row r="934" spans="12:12" x14ac:dyDescent="0.2">
      <c r="L934"/>
    </row>
    <row r="935" spans="12:12" x14ac:dyDescent="0.2">
      <c r="L935"/>
    </row>
    <row r="936" spans="12:12" x14ac:dyDescent="0.2">
      <c r="L936"/>
    </row>
    <row r="937" spans="12:12" x14ac:dyDescent="0.2">
      <c r="L937"/>
    </row>
    <row r="938" spans="12:12" x14ac:dyDescent="0.2">
      <c r="L938"/>
    </row>
    <row r="939" spans="12:12" x14ac:dyDescent="0.2">
      <c r="L939"/>
    </row>
    <row r="940" spans="12:12" x14ac:dyDescent="0.2">
      <c r="L940"/>
    </row>
    <row r="941" spans="12:12" x14ac:dyDescent="0.2">
      <c r="L941"/>
    </row>
    <row r="942" spans="12:12" x14ac:dyDescent="0.2">
      <c r="L942"/>
    </row>
    <row r="943" spans="12:12" x14ac:dyDescent="0.2">
      <c r="L943"/>
    </row>
    <row r="944" spans="12:12" x14ac:dyDescent="0.2">
      <c r="L944"/>
    </row>
    <row r="945" spans="12:12" x14ac:dyDescent="0.2">
      <c r="L945"/>
    </row>
    <row r="946" spans="12:12" x14ac:dyDescent="0.2">
      <c r="L946"/>
    </row>
    <row r="947" spans="12:12" x14ac:dyDescent="0.2">
      <c r="L947"/>
    </row>
    <row r="948" spans="12:12" x14ac:dyDescent="0.2">
      <c r="L948"/>
    </row>
    <row r="949" spans="12:12" x14ac:dyDescent="0.2">
      <c r="L949"/>
    </row>
    <row r="950" spans="12:12" x14ac:dyDescent="0.2">
      <c r="L950"/>
    </row>
    <row r="951" spans="12:12" x14ac:dyDescent="0.2">
      <c r="L951"/>
    </row>
    <row r="952" spans="12:12" x14ac:dyDescent="0.2">
      <c r="L952"/>
    </row>
    <row r="953" spans="12:12" x14ac:dyDescent="0.2">
      <c r="L953"/>
    </row>
    <row r="954" spans="12:12" x14ac:dyDescent="0.2">
      <c r="L954"/>
    </row>
    <row r="955" spans="12:12" x14ac:dyDescent="0.2">
      <c r="L955"/>
    </row>
    <row r="956" spans="12:12" x14ac:dyDescent="0.2">
      <c r="L956"/>
    </row>
    <row r="957" spans="12:12" x14ac:dyDescent="0.2">
      <c r="L957"/>
    </row>
    <row r="958" spans="12:12" x14ac:dyDescent="0.2">
      <c r="L958"/>
    </row>
    <row r="959" spans="12:12" x14ac:dyDescent="0.2">
      <c r="L959"/>
    </row>
    <row r="960" spans="12:12" x14ac:dyDescent="0.2">
      <c r="L960"/>
    </row>
    <row r="961" spans="12:12" x14ac:dyDescent="0.2">
      <c r="L961"/>
    </row>
    <row r="962" spans="12:12" x14ac:dyDescent="0.2">
      <c r="L962"/>
    </row>
    <row r="963" spans="12:12" x14ac:dyDescent="0.2">
      <c r="L963"/>
    </row>
    <row r="964" spans="12:12" x14ac:dyDescent="0.2">
      <c r="L964"/>
    </row>
    <row r="965" spans="12:12" x14ac:dyDescent="0.2">
      <c r="L965"/>
    </row>
    <row r="966" spans="12:12" x14ac:dyDescent="0.2">
      <c r="L966"/>
    </row>
    <row r="967" spans="12:12" x14ac:dyDescent="0.2">
      <c r="L967"/>
    </row>
    <row r="968" spans="12:12" x14ac:dyDescent="0.2">
      <c r="L968"/>
    </row>
    <row r="969" spans="12:12" x14ac:dyDescent="0.2">
      <c r="L969"/>
    </row>
    <row r="970" spans="12:12" x14ac:dyDescent="0.2">
      <c r="L970"/>
    </row>
    <row r="971" spans="12:12" x14ac:dyDescent="0.2">
      <c r="L971"/>
    </row>
    <row r="972" spans="12:12" x14ac:dyDescent="0.2">
      <c r="L972"/>
    </row>
    <row r="973" spans="12:12" x14ac:dyDescent="0.2">
      <c r="L973"/>
    </row>
    <row r="974" spans="12:12" x14ac:dyDescent="0.2">
      <c r="L974"/>
    </row>
    <row r="975" spans="12:12" x14ac:dyDescent="0.2">
      <c r="L975"/>
    </row>
    <row r="976" spans="12:12" x14ac:dyDescent="0.2">
      <c r="L976"/>
    </row>
    <row r="977" spans="12:12" x14ac:dyDescent="0.2">
      <c r="L977"/>
    </row>
    <row r="978" spans="12:12" x14ac:dyDescent="0.2">
      <c r="L978"/>
    </row>
    <row r="979" spans="12:12" x14ac:dyDescent="0.2">
      <c r="L979"/>
    </row>
    <row r="980" spans="12:12" x14ac:dyDescent="0.2">
      <c r="L980"/>
    </row>
    <row r="981" spans="12:12" x14ac:dyDescent="0.2">
      <c r="L981"/>
    </row>
    <row r="982" spans="12:12" x14ac:dyDescent="0.2">
      <c r="L982"/>
    </row>
    <row r="983" spans="12:12" x14ac:dyDescent="0.2">
      <c r="L983"/>
    </row>
    <row r="984" spans="12:12" x14ac:dyDescent="0.2">
      <c r="L984"/>
    </row>
    <row r="985" spans="12:12" x14ac:dyDescent="0.2">
      <c r="L985"/>
    </row>
    <row r="986" spans="12:12" x14ac:dyDescent="0.2">
      <c r="L986"/>
    </row>
    <row r="987" spans="12:12" x14ac:dyDescent="0.2">
      <c r="L987"/>
    </row>
    <row r="988" spans="12:12" x14ac:dyDescent="0.2">
      <c r="L988"/>
    </row>
    <row r="989" spans="12:12" x14ac:dyDescent="0.2">
      <c r="L989"/>
    </row>
    <row r="990" spans="12:12" x14ac:dyDescent="0.2">
      <c r="L990"/>
    </row>
    <row r="991" spans="12:12" x14ac:dyDescent="0.2">
      <c r="L991"/>
    </row>
    <row r="992" spans="12:12" x14ac:dyDescent="0.2">
      <c r="L992"/>
    </row>
    <row r="993" spans="12:12" x14ac:dyDescent="0.2">
      <c r="L993"/>
    </row>
    <row r="994" spans="12:12" x14ac:dyDescent="0.2">
      <c r="L994"/>
    </row>
    <row r="995" spans="12:12" x14ac:dyDescent="0.2">
      <c r="L995"/>
    </row>
    <row r="996" spans="12:12" x14ac:dyDescent="0.2">
      <c r="L996"/>
    </row>
    <row r="997" spans="12:12" x14ac:dyDescent="0.2">
      <c r="L997"/>
    </row>
    <row r="998" spans="12:12" x14ac:dyDescent="0.2">
      <c r="L998"/>
    </row>
    <row r="999" spans="12:12" x14ac:dyDescent="0.2">
      <c r="L999"/>
    </row>
    <row r="1000" spans="12:12" x14ac:dyDescent="0.2">
      <c r="L1000"/>
    </row>
    <row r="1001" spans="12:12" x14ac:dyDescent="0.2">
      <c r="L1001"/>
    </row>
    <row r="1002" spans="12:12" x14ac:dyDescent="0.2">
      <c r="L1002"/>
    </row>
    <row r="1003" spans="12:12" x14ac:dyDescent="0.2">
      <c r="L1003"/>
    </row>
    <row r="1004" spans="12:12" x14ac:dyDescent="0.2">
      <c r="L1004"/>
    </row>
    <row r="1005" spans="12:12" x14ac:dyDescent="0.2">
      <c r="L1005"/>
    </row>
    <row r="1006" spans="12:12" x14ac:dyDescent="0.2">
      <c r="L1006"/>
    </row>
    <row r="1007" spans="12:12" x14ac:dyDescent="0.2">
      <c r="L1007"/>
    </row>
    <row r="1008" spans="12:12" x14ac:dyDescent="0.2">
      <c r="L1008"/>
    </row>
    <row r="1009" spans="12:12" x14ac:dyDescent="0.2">
      <c r="L1009"/>
    </row>
    <row r="1010" spans="12:12" x14ac:dyDescent="0.2">
      <c r="L1010"/>
    </row>
    <row r="1011" spans="12:12" x14ac:dyDescent="0.2">
      <c r="L1011"/>
    </row>
    <row r="1012" spans="12:12" x14ac:dyDescent="0.2">
      <c r="L1012"/>
    </row>
    <row r="1013" spans="12:12" x14ac:dyDescent="0.2">
      <c r="L1013"/>
    </row>
    <row r="1014" spans="12:12" x14ac:dyDescent="0.2">
      <c r="L1014"/>
    </row>
    <row r="1015" spans="12:12" x14ac:dyDescent="0.2">
      <c r="L1015"/>
    </row>
    <row r="1016" spans="12:12" x14ac:dyDescent="0.2">
      <c r="L1016"/>
    </row>
    <row r="1017" spans="12:12" x14ac:dyDescent="0.2">
      <c r="L1017"/>
    </row>
    <row r="1018" spans="12:12" x14ac:dyDescent="0.2">
      <c r="L1018"/>
    </row>
    <row r="1019" spans="12:12" x14ac:dyDescent="0.2">
      <c r="L1019"/>
    </row>
    <row r="1020" spans="12:12" x14ac:dyDescent="0.2">
      <c r="L1020"/>
    </row>
    <row r="1021" spans="12:12" x14ac:dyDescent="0.2">
      <c r="L1021"/>
    </row>
    <row r="1022" spans="12:12" x14ac:dyDescent="0.2">
      <c r="L1022"/>
    </row>
    <row r="1023" spans="12:12" x14ac:dyDescent="0.2">
      <c r="L1023"/>
    </row>
    <row r="1024" spans="12:12" x14ac:dyDescent="0.2">
      <c r="L1024"/>
    </row>
    <row r="1025" spans="12:12" x14ac:dyDescent="0.2">
      <c r="L1025"/>
    </row>
    <row r="1026" spans="12:12" x14ac:dyDescent="0.2">
      <c r="L1026"/>
    </row>
    <row r="1027" spans="12:12" x14ac:dyDescent="0.2">
      <c r="L1027"/>
    </row>
    <row r="1028" spans="12:12" x14ac:dyDescent="0.2">
      <c r="L1028"/>
    </row>
    <row r="1029" spans="12:12" x14ac:dyDescent="0.2">
      <c r="L1029"/>
    </row>
    <row r="1030" spans="12:12" x14ac:dyDescent="0.2">
      <c r="L1030"/>
    </row>
    <row r="1031" spans="12:12" x14ac:dyDescent="0.2">
      <c r="L1031"/>
    </row>
    <row r="1032" spans="12:12" x14ac:dyDescent="0.2">
      <c r="L1032"/>
    </row>
    <row r="1033" spans="12:12" x14ac:dyDescent="0.2">
      <c r="L1033"/>
    </row>
    <row r="1034" spans="12:12" x14ac:dyDescent="0.2">
      <c r="L1034"/>
    </row>
    <row r="1035" spans="12:12" x14ac:dyDescent="0.2">
      <c r="L1035"/>
    </row>
    <row r="1036" spans="12:12" x14ac:dyDescent="0.2">
      <c r="L1036"/>
    </row>
    <row r="1037" spans="12:12" x14ac:dyDescent="0.2">
      <c r="L1037"/>
    </row>
    <row r="1038" spans="12:12" x14ac:dyDescent="0.2">
      <c r="L1038"/>
    </row>
    <row r="1039" spans="12:12" x14ac:dyDescent="0.2">
      <c r="L1039"/>
    </row>
    <row r="1040" spans="12:12" x14ac:dyDescent="0.2">
      <c r="L1040"/>
    </row>
    <row r="1041" spans="12:12" x14ac:dyDescent="0.2">
      <c r="L1041"/>
    </row>
    <row r="1042" spans="12:12" x14ac:dyDescent="0.2">
      <c r="L1042"/>
    </row>
    <row r="1043" spans="12:12" x14ac:dyDescent="0.2">
      <c r="L1043"/>
    </row>
    <row r="1044" spans="12:12" x14ac:dyDescent="0.2">
      <c r="L1044"/>
    </row>
    <row r="1045" spans="12:12" x14ac:dyDescent="0.2">
      <c r="L1045"/>
    </row>
    <row r="1046" spans="12:12" x14ac:dyDescent="0.2">
      <c r="L1046"/>
    </row>
    <row r="1047" spans="12:12" x14ac:dyDescent="0.2">
      <c r="L1047"/>
    </row>
    <row r="1048" spans="12:12" x14ac:dyDescent="0.2">
      <c r="L1048"/>
    </row>
    <row r="1049" spans="12:12" x14ac:dyDescent="0.2">
      <c r="L1049"/>
    </row>
    <row r="1050" spans="12:12" x14ac:dyDescent="0.2">
      <c r="L1050"/>
    </row>
    <row r="1051" spans="12:12" x14ac:dyDescent="0.2">
      <c r="L1051"/>
    </row>
    <row r="1052" spans="12:12" x14ac:dyDescent="0.2">
      <c r="L1052"/>
    </row>
    <row r="1053" spans="12:12" x14ac:dyDescent="0.2">
      <c r="L1053"/>
    </row>
    <row r="1054" spans="12:12" x14ac:dyDescent="0.2">
      <c r="L1054"/>
    </row>
    <row r="1055" spans="12:12" x14ac:dyDescent="0.2">
      <c r="L1055"/>
    </row>
    <row r="1056" spans="12:12" x14ac:dyDescent="0.2">
      <c r="L1056"/>
    </row>
    <row r="1057" spans="12:12" x14ac:dyDescent="0.2">
      <c r="L1057"/>
    </row>
    <row r="1058" spans="12:12" x14ac:dyDescent="0.2">
      <c r="L1058"/>
    </row>
    <row r="1059" spans="12:12" x14ac:dyDescent="0.2">
      <c r="L1059"/>
    </row>
    <row r="1060" spans="12:12" x14ac:dyDescent="0.2">
      <c r="L1060"/>
    </row>
    <row r="1061" spans="12:12" x14ac:dyDescent="0.2">
      <c r="L1061"/>
    </row>
    <row r="1062" spans="12:12" x14ac:dyDescent="0.2">
      <c r="L1062"/>
    </row>
    <row r="1063" spans="12:12" x14ac:dyDescent="0.2">
      <c r="L1063"/>
    </row>
    <row r="1064" spans="12:12" x14ac:dyDescent="0.2">
      <c r="L1064"/>
    </row>
    <row r="1065" spans="12:12" x14ac:dyDescent="0.2">
      <c r="L1065"/>
    </row>
    <row r="1066" spans="12:12" x14ac:dyDescent="0.2">
      <c r="L1066"/>
    </row>
    <row r="1067" spans="12:12" x14ac:dyDescent="0.2">
      <c r="L1067"/>
    </row>
    <row r="1068" spans="12:12" x14ac:dyDescent="0.2">
      <c r="L1068"/>
    </row>
    <row r="1069" spans="12:12" x14ac:dyDescent="0.2">
      <c r="L1069"/>
    </row>
    <row r="1070" spans="12:12" x14ac:dyDescent="0.2">
      <c r="L1070"/>
    </row>
    <row r="1071" spans="12:12" x14ac:dyDescent="0.2">
      <c r="L1071"/>
    </row>
    <row r="1072" spans="12:12" x14ac:dyDescent="0.2">
      <c r="L1072"/>
    </row>
    <row r="1073" spans="12:12" x14ac:dyDescent="0.2">
      <c r="L1073"/>
    </row>
    <row r="1074" spans="12:12" x14ac:dyDescent="0.2">
      <c r="L1074"/>
    </row>
    <row r="1075" spans="12:12" x14ac:dyDescent="0.2">
      <c r="L1075"/>
    </row>
    <row r="1076" spans="12:12" x14ac:dyDescent="0.2">
      <c r="L1076"/>
    </row>
    <row r="1077" spans="12:12" x14ac:dyDescent="0.2">
      <c r="L1077"/>
    </row>
    <row r="1078" spans="12:12" x14ac:dyDescent="0.2">
      <c r="L1078"/>
    </row>
    <row r="1079" spans="12:12" x14ac:dyDescent="0.2">
      <c r="L1079"/>
    </row>
    <row r="1080" spans="12:12" x14ac:dyDescent="0.2">
      <c r="L1080"/>
    </row>
    <row r="1081" spans="12:12" x14ac:dyDescent="0.2">
      <c r="L1081"/>
    </row>
    <row r="1082" spans="12:12" x14ac:dyDescent="0.2">
      <c r="L1082"/>
    </row>
    <row r="1083" spans="12:12" x14ac:dyDescent="0.2">
      <c r="L1083"/>
    </row>
    <row r="1084" spans="12:12" x14ac:dyDescent="0.2">
      <c r="L1084"/>
    </row>
    <row r="1085" spans="12:12" x14ac:dyDescent="0.2">
      <c r="L1085"/>
    </row>
    <row r="1086" spans="12:12" x14ac:dyDescent="0.2">
      <c r="L1086"/>
    </row>
    <row r="1087" spans="12:12" x14ac:dyDescent="0.2">
      <c r="L1087"/>
    </row>
    <row r="1088" spans="12:12" x14ac:dyDescent="0.2">
      <c r="L1088"/>
    </row>
    <row r="1089" spans="12:12" x14ac:dyDescent="0.2">
      <c r="L1089"/>
    </row>
    <row r="1090" spans="12:12" x14ac:dyDescent="0.2">
      <c r="L1090"/>
    </row>
    <row r="1091" spans="12:12" x14ac:dyDescent="0.2">
      <c r="L1091"/>
    </row>
    <row r="1092" spans="12:12" x14ac:dyDescent="0.2">
      <c r="L1092"/>
    </row>
    <row r="1093" spans="12:12" x14ac:dyDescent="0.2">
      <c r="L1093"/>
    </row>
    <row r="1094" spans="12:12" x14ac:dyDescent="0.2">
      <c r="L1094"/>
    </row>
    <row r="1095" spans="12:12" x14ac:dyDescent="0.2">
      <c r="L1095"/>
    </row>
    <row r="1096" spans="12:12" x14ac:dyDescent="0.2">
      <c r="L1096"/>
    </row>
    <row r="1097" spans="12:12" x14ac:dyDescent="0.2">
      <c r="L1097"/>
    </row>
    <row r="1098" spans="12:12" x14ac:dyDescent="0.2">
      <c r="L1098"/>
    </row>
    <row r="1099" spans="12:12" x14ac:dyDescent="0.2">
      <c r="L1099"/>
    </row>
    <row r="1100" spans="12:12" x14ac:dyDescent="0.2">
      <c r="L1100"/>
    </row>
    <row r="1101" spans="12:12" x14ac:dyDescent="0.2">
      <c r="L1101"/>
    </row>
    <row r="1102" spans="12:12" x14ac:dyDescent="0.2">
      <c r="L1102"/>
    </row>
    <row r="1103" spans="12:12" x14ac:dyDescent="0.2">
      <c r="L1103"/>
    </row>
    <row r="1104" spans="12:12" x14ac:dyDescent="0.2">
      <c r="L1104"/>
    </row>
    <row r="1105" spans="12:12" x14ac:dyDescent="0.2">
      <c r="L1105"/>
    </row>
    <row r="1106" spans="12:12" x14ac:dyDescent="0.2">
      <c r="L1106"/>
    </row>
    <row r="1107" spans="12:12" x14ac:dyDescent="0.2">
      <c r="L1107"/>
    </row>
    <row r="1108" spans="12:12" x14ac:dyDescent="0.2">
      <c r="L1108"/>
    </row>
    <row r="1109" spans="12:12" x14ac:dyDescent="0.2">
      <c r="L1109"/>
    </row>
    <row r="1110" spans="12:12" x14ac:dyDescent="0.2">
      <c r="L1110"/>
    </row>
    <row r="1111" spans="12:12" x14ac:dyDescent="0.2">
      <c r="L1111"/>
    </row>
    <row r="1112" spans="12:12" x14ac:dyDescent="0.2">
      <c r="L1112"/>
    </row>
    <row r="1113" spans="12:12" x14ac:dyDescent="0.2">
      <c r="L1113"/>
    </row>
    <row r="1114" spans="12:12" x14ac:dyDescent="0.2">
      <c r="L1114"/>
    </row>
    <row r="1115" spans="12:12" x14ac:dyDescent="0.2">
      <c r="L1115"/>
    </row>
    <row r="1116" spans="12:12" x14ac:dyDescent="0.2">
      <c r="L1116"/>
    </row>
    <row r="1117" spans="12:12" x14ac:dyDescent="0.2">
      <c r="L1117"/>
    </row>
    <row r="1118" spans="12:12" x14ac:dyDescent="0.2">
      <c r="L1118"/>
    </row>
    <row r="1119" spans="12:12" x14ac:dyDescent="0.2">
      <c r="L1119"/>
    </row>
    <row r="1120" spans="12:12" x14ac:dyDescent="0.2">
      <c r="L1120"/>
    </row>
    <row r="1121" spans="12:12" x14ac:dyDescent="0.2">
      <c r="L1121"/>
    </row>
    <row r="1122" spans="12:12" x14ac:dyDescent="0.2">
      <c r="L1122"/>
    </row>
    <row r="1123" spans="12:12" x14ac:dyDescent="0.2">
      <c r="L1123"/>
    </row>
    <row r="1124" spans="12:12" x14ac:dyDescent="0.2">
      <c r="L1124"/>
    </row>
    <row r="1125" spans="12:12" x14ac:dyDescent="0.2">
      <c r="L1125"/>
    </row>
    <row r="1126" spans="12:12" x14ac:dyDescent="0.2">
      <c r="L1126"/>
    </row>
    <row r="1127" spans="12:12" x14ac:dyDescent="0.2">
      <c r="L1127"/>
    </row>
    <row r="1128" spans="12:12" x14ac:dyDescent="0.2">
      <c r="L1128"/>
    </row>
    <row r="1129" spans="12:12" x14ac:dyDescent="0.2">
      <c r="L1129"/>
    </row>
    <row r="1130" spans="12:12" x14ac:dyDescent="0.2">
      <c r="L1130"/>
    </row>
    <row r="1131" spans="12:12" x14ac:dyDescent="0.2">
      <c r="L1131"/>
    </row>
    <row r="1132" spans="12:12" x14ac:dyDescent="0.2">
      <c r="L1132"/>
    </row>
    <row r="1133" spans="12:12" x14ac:dyDescent="0.2">
      <c r="L1133"/>
    </row>
    <row r="1134" spans="12:12" x14ac:dyDescent="0.2">
      <c r="L1134"/>
    </row>
    <row r="1135" spans="12:12" x14ac:dyDescent="0.2">
      <c r="L1135"/>
    </row>
    <row r="1136" spans="12:12" x14ac:dyDescent="0.2">
      <c r="L1136"/>
    </row>
    <row r="1137" spans="12:12" x14ac:dyDescent="0.2">
      <c r="L1137"/>
    </row>
    <row r="1138" spans="12:12" x14ac:dyDescent="0.2">
      <c r="L1138"/>
    </row>
    <row r="1139" spans="12:12" x14ac:dyDescent="0.2">
      <c r="L1139"/>
    </row>
    <row r="1140" spans="12:12" x14ac:dyDescent="0.2">
      <c r="L1140"/>
    </row>
    <row r="1141" spans="12:12" x14ac:dyDescent="0.2">
      <c r="L1141"/>
    </row>
    <row r="1142" spans="12:12" x14ac:dyDescent="0.2">
      <c r="L1142"/>
    </row>
    <row r="1143" spans="12:12" x14ac:dyDescent="0.2">
      <c r="L1143"/>
    </row>
    <row r="1144" spans="12:12" x14ac:dyDescent="0.2">
      <c r="L1144"/>
    </row>
    <row r="1145" spans="12:12" x14ac:dyDescent="0.2">
      <c r="L1145"/>
    </row>
    <row r="1146" spans="12:12" x14ac:dyDescent="0.2">
      <c r="L1146"/>
    </row>
    <row r="1147" spans="12:12" x14ac:dyDescent="0.2">
      <c r="L1147"/>
    </row>
    <row r="1148" spans="12:12" x14ac:dyDescent="0.2">
      <c r="L1148"/>
    </row>
    <row r="1149" spans="12:12" x14ac:dyDescent="0.2">
      <c r="L1149"/>
    </row>
    <row r="1150" spans="12:12" x14ac:dyDescent="0.2">
      <c r="L1150"/>
    </row>
    <row r="1151" spans="12:12" x14ac:dyDescent="0.2">
      <c r="L1151"/>
    </row>
    <row r="1152" spans="12:12" x14ac:dyDescent="0.2">
      <c r="L1152"/>
    </row>
    <row r="1153" spans="12:12" x14ac:dyDescent="0.2">
      <c r="L1153"/>
    </row>
    <row r="1154" spans="12:12" x14ac:dyDescent="0.2">
      <c r="L1154"/>
    </row>
    <row r="1155" spans="12:12" x14ac:dyDescent="0.2">
      <c r="L1155"/>
    </row>
    <row r="1156" spans="12:12" x14ac:dyDescent="0.2">
      <c r="L1156"/>
    </row>
    <row r="1157" spans="12:12" x14ac:dyDescent="0.2">
      <c r="L1157"/>
    </row>
    <row r="1158" spans="12:12" x14ac:dyDescent="0.2">
      <c r="L1158"/>
    </row>
    <row r="1159" spans="12:12" x14ac:dyDescent="0.2">
      <c r="L1159"/>
    </row>
    <row r="1160" spans="12:12" x14ac:dyDescent="0.2">
      <c r="L1160"/>
    </row>
    <row r="1161" spans="12:12" x14ac:dyDescent="0.2">
      <c r="L1161"/>
    </row>
    <row r="1162" spans="12:12" x14ac:dyDescent="0.2">
      <c r="L1162"/>
    </row>
    <row r="1163" spans="12:12" x14ac:dyDescent="0.2">
      <c r="L1163"/>
    </row>
    <row r="1164" spans="12:12" x14ac:dyDescent="0.2">
      <c r="L1164"/>
    </row>
    <row r="1165" spans="12:12" x14ac:dyDescent="0.2">
      <c r="L1165"/>
    </row>
    <row r="1166" spans="12:12" x14ac:dyDescent="0.2">
      <c r="L1166"/>
    </row>
    <row r="1167" spans="12:12" x14ac:dyDescent="0.2">
      <c r="L1167"/>
    </row>
    <row r="1168" spans="12:12" x14ac:dyDescent="0.2">
      <c r="L1168"/>
    </row>
    <row r="1169" spans="12:12" x14ac:dyDescent="0.2">
      <c r="L1169"/>
    </row>
    <row r="1170" spans="12:12" x14ac:dyDescent="0.2">
      <c r="L1170"/>
    </row>
    <row r="1171" spans="12:12" x14ac:dyDescent="0.2">
      <c r="L1171"/>
    </row>
    <row r="1172" spans="12:12" x14ac:dyDescent="0.2">
      <c r="L1172"/>
    </row>
    <row r="1173" spans="12:12" x14ac:dyDescent="0.2">
      <c r="L1173"/>
    </row>
    <row r="1174" spans="12:12" x14ac:dyDescent="0.2">
      <c r="L1174"/>
    </row>
    <row r="1175" spans="12:12" x14ac:dyDescent="0.2">
      <c r="L1175"/>
    </row>
    <row r="1176" spans="12:12" x14ac:dyDescent="0.2">
      <c r="L1176"/>
    </row>
    <row r="1177" spans="12:12" x14ac:dyDescent="0.2">
      <c r="L1177"/>
    </row>
    <row r="1178" spans="12:12" x14ac:dyDescent="0.2">
      <c r="L1178"/>
    </row>
    <row r="1179" spans="12:12" x14ac:dyDescent="0.2">
      <c r="L1179"/>
    </row>
    <row r="1180" spans="12:12" x14ac:dyDescent="0.2">
      <c r="L1180"/>
    </row>
    <row r="1181" spans="12:12" x14ac:dyDescent="0.2">
      <c r="L1181"/>
    </row>
    <row r="1182" spans="12:12" x14ac:dyDescent="0.2">
      <c r="L1182"/>
    </row>
    <row r="1183" spans="12:12" x14ac:dyDescent="0.2">
      <c r="L1183"/>
    </row>
    <row r="1184" spans="12:12" x14ac:dyDescent="0.2">
      <c r="L1184"/>
    </row>
    <row r="1185" spans="12:12" x14ac:dyDescent="0.2">
      <c r="L1185"/>
    </row>
    <row r="1186" spans="12:12" x14ac:dyDescent="0.2">
      <c r="L1186"/>
    </row>
    <row r="1187" spans="12:12" x14ac:dyDescent="0.2">
      <c r="L1187"/>
    </row>
    <row r="1188" spans="12:12" x14ac:dyDescent="0.2">
      <c r="L1188"/>
    </row>
    <row r="1189" spans="12:12" x14ac:dyDescent="0.2">
      <c r="L1189"/>
    </row>
    <row r="1190" spans="12:12" x14ac:dyDescent="0.2">
      <c r="L1190"/>
    </row>
    <row r="1191" spans="12:12" x14ac:dyDescent="0.2">
      <c r="L1191"/>
    </row>
    <row r="1192" spans="12:12" x14ac:dyDescent="0.2">
      <c r="L1192"/>
    </row>
    <row r="1193" spans="12:12" x14ac:dyDescent="0.2">
      <c r="L1193"/>
    </row>
    <row r="1194" spans="12:12" x14ac:dyDescent="0.2">
      <c r="L1194"/>
    </row>
    <row r="1195" spans="12:12" x14ac:dyDescent="0.2">
      <c r="L1195"/>
    </row>
    <row r="1196" spans="12:12" x14ac:dyDescent="0.2">
      <c r="L1196"/>
    </row>
    <row r="1197" spans="12:12" x14ac:dyDescent="0.2">
      <c r="L1197"/>
    </row>
    <row r="1198" spans="12:12" x14ac:dyDescent="0.2">
      <c r="L1198"/>
    </row>
    <row r="1199" spans="12:12" x14ac:dyDescent="0.2">
      <c r="L1199"/>
    </row>
    <row r="1200" spans="12:12" x14ac:dyDescent="0.2">
      <c r="L1200"/>
    </row>
    <row r="1201" spans="12:12" x14ac:dyDescent="0.2">
      <c r="L1201"/>
    </row>
    <row r="1202" spans="12:12" x14ac:dyDescent="0.2">
      <c r="L1202"/>
    </row>
    <row r="1203" spans="12:12" x14ac:dyDescent="0.2">
      <c r="L1203"/>
    </row>
    <row r="1204" spans="12:12" x14ac:dyDescent="0.2">
      <c r="L1204"/>
    </row>
    <row r="1205" spans="12:12" x14ac:dyDescent="0.2">
      <c r="L1205"/>
    </row>
    <row r="1206" spans="12:12" x14ac:dyDescent="0.2">
      <c r="L1206"/>
    </row>
    <row r="1207" spans="12:12" x14ac:dyDescent="0.2">
      <c r="L1207"/>
    </row>
    <row r="1208" spans="12:12" x14ac:dyDescent="0.2">
      <c r="L1208"/>
    </row>
    <row r="1209" spans="12:12" x14ac:dyDescent="0.2">
      <c r="L1209"/>
    </row>
    <row r="1210" spans="12:12" x14ac:dyDescent="0.2">
      <c r="L1210"/>
    </row>
    <row r="1211" spans="12:12" x14ac:dyDescent="0.2">
      <c r="L1211"/>
    </row>
    <row r="1212" spans="12:12" x14ac:dyDescent="0.2">
      <c r="L1212"/>
    </row>
    <row r="1213" spans="12:12" x14ac:dyDescent="0.2">
      <c r="L1213"/>
    </row>
    <row r="1214" spans="12:12" x14ac:dyDescent="0.2">
      <c r="L1214"/>
    </row>
    <row r="1215" spans="12:12" x14ac:dyDescent="0.2">
      <c r="L1215"/>
    </row>
    <row r="1216" spans="12:12" x14ac:dyDescent="0.2">
      <c r="L1216"/>
    </row>
    <row r="1217" spans="12:12" x14ac:dyDescent="0.2">
      <c r="L1217"/>
    </row>
    <row r="1218" spans="12:12" x14ac:dyDescent="0.2">
      <c r="L1218"/>
    </row>
    <row r="1219" spans="12:12" x14ac:dyDescent="0.2">
      <c r="L1219"/>
    </row>
    <row r="1220" spans="12:12" x14ac:dyDescent="0.2">
      <c r="L1220"/>
    </row>
    <row r="1221" spans="12:12" x14ac:dyDescent="0.2">
      <c r="L1221"/>
    </row>
    <row r="1222" spans="12:12" x14ac:dyDescent="0.2">
      <c r="L1222"/>
    </row>
    <row r="1223" spans="12:12" x14ac:dyDescent="0.2">
      <c r="L1223"/>
    </row>
    <row r="1224" spans="12:12" x14ac:dyDescent="0.2">
      <c r="L1224"/>
    </row>
    <row r="1225" spans="12:12" x14ac:dyDescent="0.2">
      <c r="L1225"/>
    </row>
    <row r="1226" spans="12:12" x14ac:dyDescent="0.2">
      <c r="L1226"/>
    </row>
    <row r="1227" spans="12:12" x14ac:dyDescent="0.2">
      <c r="L1227"/>
    </row>
    <row r="1228" spans="12:12" x14ac:dyDescent="0.2">
      <c r="L1228"/>
    </row>
    <row r="1229" spans="12:12" x14ac:dyDescent="0.2">
      <c r="L1229"/>
    </row>
    <row r="1230" spans="12:12" x14ac:dyDescent="0.2">
      <c r="L1230"/>
    </row>
    <row r="1231" spans="12:12" x14ac:dyDescent="0.2">
      <c r="L1231"/>
    </row>
    <row r="1232" spans="12:12" x14ac:dyDescent="0.2">
      <c r="L1232"/>
    </row>
    <row r="1233" spans="12:12" x14ac:dyDescent="0.2">
      <c r="L1233"/>
    </row>
    <row r="1234" spans="12:12" x14ac:dyDescent="0.2">
      <c r="L1234"/>
    </row>
    <row r="1235" spans="12:12" x14ac:dyDescent="0.2">
      <c r="L1235"/>
    </row>
    <row r="1236" spans="12:12" x14ac:dyDescent="0.2">
      <c r="L1236"/>
    </row>
    <row r="1237" spans="12:12" x14ac:dyDescent="0.2">
      <c r="L1237"/>
    </row>
    <row r="1238" spans="12:12" x14ac:dyDescent="0.2">
      <c r="L1238"/>
    </row>
    <row r="1239" spans="12:12" x14ac:dyDescent="0.2">
      <c r="L1239"/>
    </row>
    <row r="1240" spans="12:12" x14ac:dyDescent="0.2">
      <c r="L1240"/>
    </row>
    <row r="1241" spans="12:12" x14ac:dyDescent="0.2">
      <c r="L1241"/>
    </row>
    <row r="1242" spans="12:12" x14ac:dyDescent="0.2">
      <c r="L1242"/>
    </row>
    <row r="1243" spans="12:12" x14ac:dyDescent="0.2">
      <c r="L1243"/>
    </row>
    <row r="1244" spans="12:12" x14ac:dyDescent="0.2">
      <c r="L1244"/>
    </row>
    <row r="1245" spans="12:12" x14ac:dyDescent="0.2">
      <c r="L1245"/>
    </row>
    <row r="1246" spans="12:12" x14ac:dyDescent="0.2">
      <c r="L1246"/>
    </row>
    <row r="1247" spans="12:12" x14ac:dyDescent="0.2">
      <c r="L1247"/>
    </row>
    <row r="1248" spans="12:12" x14ac:dyDescent="0.2">
      <c r="L1248"/>
    </row>
    <row r="1249" spans="12:12" x14ac:dyDescent="0.2">
      <c r="L1249"/>
    </row>
    <row r="1250" spans="12:12" x14ac:dyDescent="0.2">
      <c r="L1250"/>
    </row>
    <row r="1251" spans="12:12" x14ac:dyDescent="0.2">
      <c r="L1251"/>
    </row>
    <row r="1252" spans="12:12" x14ac:dyDescent="0.2">
      <c r="L1252"/>
    </row>
    <row r="1253" spans="12:12" x14ac:dyDescent="0.2">
      <c r="L1253"/>
    </row>
    <row r="1254" spans="12:12" x14ac:dyDescent="0.2">
      <c r="L1254"/>
    </row>
    <row r="1255" spans="12:12" x14ac:dyDescent="0.2">
      <c r="L1255"/>
    </row>
    <row r="1256" spans="12:12" x14ac:dyDescent="0.2">
      <c r="L1256"/>
    </row>
    <row r="1257" spans="12:12" x14ac:dyDescent="0.2">
      <c r="L1257"/>
    </row>
    <row r="1258" spans="12:12" x14ac:dyDescent="0.2">
      <c r="L1258"/>
    </row>
    <row r="1259" spans="12:12" x14ac:dyDescent="0.2">
      <c r="L1259"/>
    </row>
    <row r="1260" spans="12:12" x14ac:dyDescent="0.2">
      <c r="L1260"/>
    </row>
    <row r="1261" spans="12:12" x14ac:dyDescent="0.2">
      <c r="L1261"/>
    </row>
    <row r="1262" spans="12:12" x14ac:dyDescent="0.2">
      <c r="L1262"/>
    </row>
    <row r="1263" spans="12:12" x14ac:dyDescent="0.2">
      <c r="L1263"/>
    </row>
    <row r="1264" spans="12:12" x14ac:dyDescent="0.2">
      <c r="L1264"/>
    </row>
    <row r="1265" spans="12:12" x14ac:dyDescent="0.2">
      <c r="L1265"/>
    </row>
    <row r="1266" spans="12:12" x14ac:dyDescent="0.2">
      <c r="L1266"/>
    </row>
    <row r="1267" spans="12:12" x14ac:dyDescent="0.2">
      <c r="L1267"/>
    </row>
    <row r="1268" spans="12:12" x14ac:dyDescent="0.2">
      <c r="L1268"/>
    </row>
    <row r="1269" spans="12:12" x14ac:dyDescent="0.2">
      <c r="L1269"/>
    </row>
    <row r="1270" spans="12:12" x14ac:dyDescent="0.2">
      <c r="L1270"/>
    </row>
    <row r="1271" spans="12:12" x14ac:dyDescent="0.2">
      <c r="L1271"/>
    </row>
    <row r="1272" spans="12:12" x14ac:dyDescent="0.2">
      <c r="L1272"/>
    </row>
    <row r="1273" spans="12:12" x14ac:dyDescent="0.2">
      <c r="L1273"/>
    </row>
    <row r="1274" spans="12:12" x14ac:dyDescent="0.2">
      <c r="L1274"/>
    </row>
    <row r="1275" spans="12:12" x14ac:dyDescent="0.2">
      <c r="L1275"/>
    </row>
    <row r="1276" spans="12:12" x14ac:dyDescent="0.2">
      <c r="L1276"/>
    </row>
    <row r="1277" spans="12:12" x14ac:dyDescent="0.2">
      <c r="L1277"/>
    </row>
    <row r="1278" spans="12:12" x14ac:dyDescent="0.2">
      <c r="L1278"/>
    </row>
    <row r="1279" spans="12:12" x14ac:dyDescent="0.2">
      <c r="L1279"/>
    </row>
    <row r="1280" spans="12:12" x14ac:dyDescent="0.2">
      <c r="L1280"/>
    </row>
    <row r="1281" spans="12:12" x14ac:dyDescent="0.2">
      <c r="L1281"/>
    </row>
    <row r="1282" spans="12:12" x14ac:dyDescent="0.2">
      <c r="L1282"/>
    </row>
    <row r="1283" spans="12:12" x14ac:dyDescent="0.2">
      <c r="L1283"/>
    </row>
    <row r="1284" spans="12:12" x14ac:dyDescent="0.2">
      <c r="L1284"/>
    </row>
    <row r="1285" spans="12:12" x14ac:dyDescent="0.2">
      <c r="L1285"/>
    </row>
    <row r="1286" spans="12:12" x14ac:dyDescent="0.2">
      <c r="L1286"/>
    </row>
    <row r="1287" spans="12:12" x14ac:dyDescent="0.2">
      <c r="L1287"/>
    </row>
    <row r="1288" spans="12:12" x14ac:dyDescent="0.2">
      <c r="L1288"/>
    </row>
    <row r="1289" spans="12:12" x14ac:dyDescent="0.2">
      <c r="L1289"/>
    </row>
    <row r="1290" spans="12:12" x14ac:dyDescent="0.2">
      <c r="L1290"/>
    </row>
    <row r="1291" spans="12:12" x14ac:dyDescent="0.2">
      <c r="L1291"/>
    </row>
    <row r="1292" spans="12:12" x14ac:dyDescent="0.2">
      <c r="L1292"/>
    </row>
    <row r="1293" spans="12:12" x14ac:dyDescent="0.2">
      <c r="L1293"/>
    </row>
    <row r="1294" spans="12:12" x14ac:dyDescent="0.2">
      <c r="L1294"/>
    </row>
    <row r="1295" spans="12:12" x14ac:dyDescent="0.2">
      <c r="L1295"/>
    </row>
    <row r="1296" spans="12:12" x14ac:dyDescent="0.2">
      <c r="L1296"/>
    </row>
    <row r="1297" spans="12:12" x14ac:dyDescent="0.2">
      <c r="L1297"/>
    </row>
    <row r="1298" spans="12:12" x14ac:dyDescent="0.2">
      <c r="L1298"/>
    </row>
    <row r="1299" spans="12:12" x14ac:dyDescent="0.2">
      <c r="L1299"/>
    </row>
    <row r="1300" spans="12:12" x14ac:dyDescent="0.2">
      <c r="L1300"/>
    </row>
    <row r="1301" spans="12:12" x14ac:dyDescent="0.2">
      <c r="L1301"/>
    </row>
    <row r="1302" spans="12:12" x14ac:dyDescent="0.2">
      <c r="L1302"/>
    </row>
    <row r="1303" spans="12:12" x14ac:dyDescent="0.2">
      <c r="L1303"/>
    </row>
    <row r="1304" spans="12:12" x14ac:dyDescent="0.2">
      <c r="L1304"/>
    </row>
    <row r="1305" spans="12:12" x14ac:dyDescent="0.2">
      <c r="L1305"/>
    </row>
    <row r="1306" spans="12:12" x14ac:dyDescent="0.2">
      <c r="L1306"/>
    </row>
    <row r="1307" spans="12:12" x14ac:dyDescent="0.2">
      <c r="L1307"/>
    </row>
    <row r="1308" spans="12:12" x14ac:dyDescent="0.2">
      <c r="L1308"/>
    </row>
    <row r="1309" spans="12:12" x14ac:dyDescent="0.2">
      <c r="L1309"/>
    </row>
    <row r="1310" spans="12:12" x14ac:dyDescent="0.2">
      <c r="L1310"/>
    </row>
    <row r="1311" spans="12:12" x14ac:dyDescent="0.2">
      <c r="L1311"/>
    </row>
    <row r="1312" spans="12:12" x14ac:dyDescent="0.2">
      <c r="L1312"/>
    </row>
    <row r="1313" spans="12:12" x14ac:dyDescent="0.2">
      <c r="L1313"/>
    </row>
    <row r="1314" spans="12:12" x14ac:dyDescent="0.2">
      <c r="L1314"/>
    </row>
    <row r="1315" spans="12:12" x14ac:dyDescent="0.2">
      <c r="L1315"/>
    </row>
    <row r="1316" spans="12:12" x14ac:dyDescent="0.2">
      <c r="L1316"/>
    </row>
    <row r="1317" spans="12:12" x14ac:dyDescent="0.2">
      <c r="L1317"/>
    </row>
    <row r="1318" spans="12:12" x14ac:dyDescent="0.2">
      <c r="L1318"/>
    </row>
    <row r="1319" spans="12:12" x14ac:dyDescent="0.2">
      <c r="L1319"/>
    </row>
    <row r="1320" spans="12:12" x14ac:dyDescent="0.2">
      <c r="L1320"/>
    </row>
    <row r="1321" spans="12:12" x14ac:dyDescent="0.2">
      <c r="L1321"/>
    </row>
    <row r="1322" spans="12:12" x14ac:dyDescent="0.2">
      <c r="L1322"/>
    </row>
    <row r="1323" spans="12:12" x14ac:dyDescent="0.2">
      <c r="L1323"/>
    </row>
    <row r="1324" spans="12:12" x14ac:dyDescent="0.2">
      <c r="L1324"/>
    </row>
    <row r="1325" spans="12:12" x14ac:dyDescent="0.2">
      <c r="L1325"/>
    </row>
    <row r="1326" spans="12:12" x14ac:dyDescent="0.2">
      <c r="L1326"/>
    </row>
    <row r="1327" spans="12:12" x14ac:dyDescent="0.2">
      <c r="L1327"/>
    </row>
    <row r="1328" spans="12:12" x14ac:dyDescent="0.2">
      <c r="L1328"/>
    </row>
    <row r="1329" spans="12:12" x14ac:dyDescent="0.2">
      <c r="L1329"/>
    </row>
    <row r="1330" spans="12:12" x14ac:dyDescent="0.2">
      <c r="L1330"/>
    </row>
    <row r="1331" spans="12:12" x14ac:dyDescent="0.2">
      <c r="L1331"/>
    </row>
    <row r="1332" spans="12:12" x14ac:dyDescent="0.2">
      <c r="L1332"/>
    </row>
    <row r="1333" spans="12:12" x14ac:dyDescent="0.2">
      <c r="L1333"/>
    </row>
    <row r="1334" spans="12:12" x14ac:dyDescent="0.2">
      <c r="L1334"/>
    </row>
    <row r="1335" spans="12:12" x14ac:dyDescent="0.2">
      <c r="L1335"/>
    </row>
    <row r="1336" spans="12:12" x14ac:dyDescent="0.2">
      <c r="L1336"/>
    </row>
    <row r="1337" spans="12:12" x14ac:dyDescent="0.2">
      <c r="L1337"/>
    </row>
    <row r="1338" spans="12:12" x14ac:dyDescent="0.2">
      <c r="L1338"/>
    </row>
    <row r="1339" spans="12:12" x14ac:dyDescent="0.2">
      <c r="L1339"/>
    </row>
    <row r="1340" spans="12:12" x14ac:dyDescent="0.2">
      <c r="L1340"/>
    </row>
    <row r="1341" spans="12:12" x14ac:dyDescent="0.2">
      <c r="L1341"/>
    </row>
    <row r="1342" spans="12:12" x14ac:dyDescent="0.2">
      <c r="L1342"/>
    </row>
    <row r="1343" spans="12:12" x14ac:dyDescent="0.2">
      <c r="L1343"/>
    </row>
    <row r="1344" spans="12:12" x14ac:dyDescent="0.2">
      <c r="L1344"/>
    </row>
    <row r="1345" spans="12:12" x14ac:dyDescent="0.2">
      <c r="L1345"/>
    </row>
    <row r="1346" spans="12:12" x14ac:dyDescent="0.2">
      <c r="L1346"/>
    </row>
    <row r="1347" spans="12:12" x14ac:dyDescent="0.2">
      <c r="L1347"/>
    </row>
    <row r="1348" spans="12:12" x14ac:dyDescent="0.2">
      <c r="L1348"/>
    </row>
    <row r="1349" spans="12:12" x14ac:dyDescent="0.2">
      <c r="L1349"/>
    </row>
    <row r="1350" spans="12:12" x14ac:dyDescent="0.2">
      <c r="L1350"/>
    </row>
    <row r="1351" spans="12:12" x14ac:dyDescent="0.2">
      <c r="L1351"/>
    </row>
    <row r="1352" spans="12:12" x14ac:dyDescent="0.2">
      <c r="L1352"/>
    </row>
    <row r="1353" spans="12:12" x14ac:dyDescent="0.2">
      <c r="L1353"/>
    </row>
    <row r="1354" spans="12:12" x14ac:dyDescent="0.2">
      <c r="L1354"/>
    </row>
    <row r="1355" spans="12:12" x14ac:dyDescent="0.2">
      <c r="L1355"/>
    </row>
    <row r="1356" spans="12:12" x14ac:dyDescent="0.2">
      <c r="L1356"/>
    </row>
    <row r="1357" spans="12:12" x14ac:dyDescent="0.2">
      <c r="L1357"/>
    </row>
    <row r="1358" spans="12:12" x14ac:dyDescent="0.2">
      <c r="L1358"/>
    </row>
    <row r="1359" spans="12:12" x14ac:dyDescent="0.2">
      <c r="L1359"/>
    </row>
    <row r="1360" spans="12:12" x14ac:dyDescent="0.2">
      <c r="L1360"/>
    </row>
    <row r="1361" spans="12:12" x14ac:dyDescent="0.2">
      <c r="L1361"/>
    </row>
    <row r="1362" spans="12:12" x14ac:dyDescent="0.2">
      <c r="L1362"/>
    </row>
    <row r="1363" spans="12:12" x14ac:dyDescent="0.2">
      <c r="L1363"/>
    </row>
    <row r="1364" spans="12:12" x14ac:dyDescent="0.2">
      <c r="L1364"/>
    </row>
    <row r="1365" spans="12:12" x14ac:dyDescent="0.2">
      <c r="L1365"/>
    </row>
    <row r="1366" spans="12:12" x14ac:dyDescent="0.2">
      <c r="L1366"/>
    </row>
    <row r="1367" spans="12:12" x14ac:dyDescent="0.2">
      <c r="L1367"/>
    </row>
    <row r="1368" spans="12:12" x14ac:dyDescent="0.2">
      <c r="L1368"/>
    </row>
    <row r="1369" spans="12:12" x14ac:dyDescent="0.2">
      <c r="L1369"/>
    </row>
    <row r="1370" spans="12:12" x14ac:dyDescent="0.2">
      <c r="L1370"/>
    </row>
    <row r="1371" spans="12:12" x14ac:dyDescent="0.2">
      <c r="L1371"/>
    </row>
    <row r="1372" spans="12:12" x14ac:dyDescent="0.2">
      <c r="L1372"/>
    </row>
    <row r="1373" spans="12:12" x14ac:dyDescent="0.2">
      <c r="L1373"/>
    </row>
    <row r="1374" spans="12:12" x14ac:dyDescent="0.2">
      <c r="L1374"/>
    </row>
    <row r="1375" spans="12:12" x14ac:dyDescent="0.2">
      <c r="L1375"/>
    </row>
    <row r="1376" spans="12:12" x14ac:dyDescent="0.2">
      <c r="L1376"/>
    </row>
    <row r="1377" spans="12:12" x14ac:dyDescent="0.2">
      <c r="L1377"/>
    </row>
    <row r="1378" spans="12:12" x14ac:dyDescent="0.2">
      <c r="L1378"/>
    </row>
    <row r="1379" spans="12:12" x14ac:dyDescent="0.2">
      <c r="L1379"/>
    </row>
    <row r="1380" spans="12:12" x14ac:dyDescent="0.2">
      <c r="L1380"/>
    </row>
    <row r="1381" spans="12:12" x14ac:dyDescent="0.2">
      <c r="L1381"/>
    </row>
    <row r="1382" spans="12:12" x14ac:dyDescent="0.2">
      <c r="L1382"/>
    </row>
    <row r="1383" spans="12:12" x14ac:dyDescent="0.2">
      <c r="L1383"/>
    </row>
    <row r="1384" spans="12:12" x14ac:dyDescent="0.2">
      <c r="L1384"/>
    </row>
    <row r="1385" spans="12:12" x14ac:dyDescent="0.2">
      <c r="L1385"/>
    </row>
    <row r="1386" spans="12:12" x14ac:dyDescent="0.2">
      <c r="L1386"/>
    </row>
    <row r="1387" spans="12:12" x14ac:dyDescent="0.2">
      <c r="L1387"/>
    </row>
    <row r="1388" spans="12:12" x14ac:dyDescent="0.2">
      <c r="L1388"/>
    </row>
    <row r="1389" spans="12:12" x14ac:dyDescent="0.2">
      <c r="L1389"/>
    </row>
    <row r="1390" spans="12:12" x14ac:dyDescent="0.2">
      <c r="L1390"/>
    </row>
    <row r="1391" spans="12:12" x14ac:dyDescent="0.2">
      <c r="L1391"/>
    </row>
    <row r="1392" spans="12:12" x14ac:dyDescent="0.2">
      <c r="L1392"/>
    </row>
    <row r="1393" spans="12:12" x14ac:dyDescent="0.2">
      <c r="L1393"/>
    </row>
    <row r="1394" spans="12:12" x14ac:dyDescent="0.2">
      <c r="L1394"/>
    </row>
    <row r="1395" spans="12:12" x14ac:dyDescent="0.2">
      <c r="L1395"/>
    </row>
    <row r="1396" spans="12:12" x14ac:dyDescent="0.2">
      <c r="L1396"/>
    </row>
    <row r="1397" spans="12:12" x14ac:dyDescent="0.2">
      <c r="L1397"/>
    </row>
    <row r="1398" spans="12:12" x14ac:dyDescent="0.2">
      <c r="L1398"/>
    </row>
    <row r="1399" spans="12:12" x14ac:dyDescent="0.2">
      <c r="L1399"/>
    </row>
    <row r="1400" spans="12:12" x14ac:dyDescent="0.2">
      <c r="L1400"/>
    </row>
    <row r="1401" spans="12:12" x14ac:dyDescent="0.2">
      <c r="L1401"/>
    </row>
    <row r="1402" spans="12:12" x14ac:dyDescent="0.2">
      <c r="L1402"/>
    </row>
    <row r="1403" spans="12:12" x14ac:dyDescent="0.2">
      <c r="L1403"/>
    </row>
    <row r="1404" spans="12:12" x14ac:dyDescent="0.2">
      <c r="L1404"/>
    </row>
    <row r="1405" spans="12:12" x14ac:dyDescent="0.2">
      <c r="L1405"/>
    </row>
    <row r="1406" spans="12:12" x14ac:dyDescent="0.2">
      <c r="L1406"/>
    </row>
    <row r="1407" spans="12:12" x14ac:dyDescent="0.2">
      <c r="L1407"/>
    </row>
    <row r="1408" spans="12:12" x14ac:dyDescent="0.2">
      <c r="L1408"/>
    </row>
    <row r="1409" spans="12:12" x14ac:dyDescent="0.2">
      <c r="L1409"/>
    </row>
    <row r="1410" spans="12:12" x14ac:dyDescent="0.2">
      <c r="L1410"/>
    </row>
    <row r="1411" spans="12:12" x14ac:dyDescent="0.2">
      <c r="L1411"/>
    </row>
    <row r="1412" spans="12:12" x14ac:dyDescent="0.2">
      <c r="L1412"/>
    </row>
    <row r="1413" spans="12:12" x14ac:dyDescent="0.2">
      <c r="L1413"/>
    </row>
    <row r="1414" spans="12:12" x14ac:dyDescent="0.2">
      <c r="L1414"/>
    </row>
    <row r="1415" spans="12:12" x14ac:dyDescent="0.2">
      <c r="L1415"/>
    </row>
    <row r="1416" spans="12:12" x14ac:dyDescent="0.2">
      <c r="L1416"/>
    </row>
    <row r="1417" spans="12:12" x14ac:dyDescent="0.2">
      <c r="L1417"/>
    </row>
    <row r="1418" spans="12:12" x14ac:dyDescent="0.2">
      <c r="L1418"/>
    </row>
    <row r="1419" spans="12:12" x14ac:dyDescent="0.2">
      <c r="L1419"/>
    </row>
    <row r="1420" spans="12:12" x14ac:dyDescent="0.2">
      <c r="L1420"/>
    </row>
    <row r="1421" spans="12:12" x14ac:dyDescent="0.2">
      <c r="L1421"/>
    </row>
    <row r="1422" spans="12:12" x14ac:dyDescent="0.2">
      <c r="L1422"/>
    </row>
    <row r="1423" spans="12:12" x14ac:dyDescent="0.2">
      <c r="L1423"/>
    </row>
    <row r="1424" spans="12:12" x14ac:dyDescent="0.2">
      <c r="L1424"/>
    </row>
    <row r="1425" spans="12:12" x14ac:dyDescent="0.2">
      <c r="L1425"/>
    </row>
    <row r="1426" spans="12:12" x14ac:dyDescent="0.2">
      <c r="L1426"/>
    </row>
    <row r="1427" spans="12:12" x14ac:dyDescent="0.2">
      <c r="L1427"/>
    </row>
    <row r="1428" spans="12:12" x14ac:dyDescent="0.2">
      <c r="L1428"/>
    </row>
    <row r="1429" spans="12:12" x14ac:dyDescent="0.2">
      <c r="L1429"/>
    </row>
    <row r="1430" spans="12:12" x14ac:dyDescent="0.2">
      <c r="L1430"/>
    </row>
    <row r="1431" spans="12:12" x14ac:dyDescent="0.2">
      <c r="L1431"/>
    </row>
    <row r="1432" spans="12:12" x14ac:dyDescent="0.2">
      <c r="L1432"/>
    </row>
    <row r="1433" spans="12:12" x14ac:dyDescent="0.2">
      <c r="L1433"/>
    </row>
    <row r="1434" spans="12:12" x14ac:dyDescent="0.2">
      <c r="L1434"/>
    </row>
    <row r="1435" spans="12:12" x14ac:dyDescent="0.2">
      <c r="L1435"/>
    </row>
    <row r="1436" spans="12:12" x14ac:dyDescent="0.2">
      <c r="L1436"/>
    </row>
    <row r="1437" spans="12:12" x14ac:dyDescent="0.2">
      <c r="L1437"/>
    </row>
    <row r="1438" spans="12:12" x14ac:dyDescent="0.2">
      <c r="L1438"/>
    </row>
    <row r="1439" spans="12:12" x14ac:dyDescent="0.2">
      <c r="L1439"/>
    </row>
    <row r="1440" spans="12:12" x14ac:dyDescent="0.2">
      <c r="L1440"/>
    </row>
    <row r="1441" spans="12:12" x14ac:dyDescent="0.2">
      <c r="L1441"/>
    </row>
    <row r="1442" spans="12:12" x14ac:dyDescent="0.2">
      <c r="L1442"/>
    </row>
    <row r="1443" spans="12:12" x14ac:dyDescent="0.2">
      <c r="L1443"/>
    </row>
    <row r="1444" spans="12:12" x14ac:dyDescent="0.2">
      <c r="L1444"/>
    </row>
    <row r="1445" spans="12:12" x14ac:dyDescent="0.2">
      <c r="L1445"/>
    </row>
    <row r="1446" spans="12:12" x14ac:dyDescent="0.2">
      <c r="L1446"/>
    </row>
    <row r="1447" spans="12:12" x14ac:dyDescent="0.2">
      <c r="L1447"/>
    </row>
    <row r="1448" spans="12:12" x14ac:dyDescent="0.2">
      <c r="L1448"/>
    </row>
    <row r="1449" spans="12:12" x14ac:dyDescent="0.2">
      <c r="L1449"/>
    </row>
    <row r="1450" spans="12:12" x14ac:dyDescent="0.2">
      <c r="L1450"/>
    </row>
    <row r="1451" spans="12:12" x14ac:dyDescent="0.2">
      <c r="L1451"/>
    </row>
    <row r="1452" spans="12:12" x14ac:dyDescent="0.2">
      <c r="L1452"/>
    </row>
    <row r="1453" spans="12:12" x14ac:dyDescent="0.2">
      <c r="L1453"/>
    </row>
    <row r="1454" spans="12:12" x14ac:dyDescent="0.2">
      <c r="L1454"/>
    </row>
    <row r="1455" spans="12:12" x14ac:dyDescent="0.2">
      <c r="L1455"/>
    </row>
    <row r="1456" spans="12:12" x14ac:dyDescent="0.2">
      <c r="L1456"/>
    </row>
    <row r="1457" spans="12:12" x14ac:dyDescent="0.2">
      <c r="L1457"/>
    </row>
    <row r="1458" spans="12:12" x14ac:dyDescent="0.2">
      <c r="L1458"/>
    </row>
    <row r="1459" spans="12:12" x14ac:dyDescent="0.2">
      <c r="L1459"/>
    </row>
    <row r="1460" spans="12:12" x14ac:dyDescent="0.2">
      <c r="L1460"/>
    </row>
    <row r="1461" spans="12:12" x14ac:dyDescent="0.2">
      <c r="L1461"/>
    </row>
    <row r="1462" spans="12:12" x14ac:dyDescent="0.2">
      <c r="L1462"/>
    </row>
    <row r="1463" spans="12:12" x14ac:dyDescent="0.2">
      <c r="L1463"/>
    </row>
    <row r="1464" spans="12:12" x14ac:dyDescent="0.2">
      <c r="L1464"/>
    </row>
    <row r="1465" spans="12:12" x14ac:dyDescent="0.2">
      <c r="L1465"/>
    </row>
    <row r="1466" spans="12:12" x14ac:dyDescent="0.2">
      <c r="L1466"/>
    </row>
    <row r="1467" spans="12:12" x14ac:dyDescent="0.2">
      <c r="L1467"/>
    </row>
    <row r="1468" spans="12:12" x14ac:dyDescent="0.2">
      <c r="L1468"/>
    </row>
    <row r="1469" spans="12:12" x14ac:dyDescent="0.2">
      <c r="L1469"/>
    </row>
    <row r="1470" spans="12:12" x14ac:dyDescent="0.2">
      <c r="L1470"/>
    </row>
    <row r="1471" spans="12:12" x14ac:dyDescent="0.2">
      <c r="L1471"/>
    </row>
    <row r="1472" spans="12:12" x14ac:dyDescent="0.2">
      <c r="L1472"/>
    </row>
    <row r="1473" spans="12:12" x14ac:dyDescent="0.2">
      <c r="L1473"/>
    </row>
    <row r="1474" spans="12:12" x14ac:dyDescent="0.2">
      <c r="L1474"/>
    </row>
    <row r="1475" spans="12:12" x14ac:dyDescent="0.2">
      <c r="L1475"/>
    </row>
    <row r="1476" spans="12:12" x14ac:dyDescent="0.2">
      <c r="L1476"/>
    </row>
    <row r="1477" spans="12:12" x14ac:dyDescent="0.2">
      <c r="L1477"/>
    </row>
    <row r="1478" spans="12:12" x14ac:dyDescent="0.2">
      <c r="L1478"/>
    </row>
    <row r="1479" spans="12:12" x14ac:dyDescent="0.2">
      <c r="L1479"/>
    </row>
    <row r="1480" spans="12:12" x14ac:dyDescent="0.2">
      <c r="L1480"/>
    </row>
    <row r="1481" spans="12:12" x14ac:dyDescent="0.2">
      <c r="L1481"/>
    </row>
    <row r="1482" spans="12:12" x14ac:dyDescent="0.2">
      <c r="L1482"/>
    </row>
    <row r="1483" spans="12:12" x14ac:dyDescent="0.2">
      <c r="L1483"/>
    </row>
    <row r="1484" spans="12:12" x14ac:dyDescent="0.2">
      <c r="L1484"/>
    </row>
    <row r="1485" spans="12:12" x14ac:dyDescent="0.2">
      <c r="L1485"/>
    </row>
    <row r="1486" spans="12:12" x14ac:dyDescent="0.2">
      <c r="L1486"/>
    </row>
    <row r="1487" spans="12:12" x14ac:dyDescent="0.2">
      <c r="L1487"/>
    </row>
    <row r="1488" spans="12:12" x14ac:dyDescent="0.2">
      <c r="L1488"/>
    </row>
    <row r="1489" spans="12:12" x14ac:dyDescent="0.2">
      <c r="L1489"/>
    </row>
    <row r="1490" spans="12:12" x14ac:dyDescent="0.2">
      <c r="L1490"/>
    </row>
    <row r="1491" spans="12:12" x14ac:dyDescent="0.2">
      <c r="L1491"/>
    </row>
    <row r="1492" spans="12:12" x14ac:dyDescent="0.2">
      <c r="L1492"/>
    </row>
    <row r="1493" spans="12:12" x14ac:dyDescent="0.2">
      <c r="L1493"/>
    </row>
    <row r="1494" spans="12:12" x14ac:dyDescent="0.2">
      <c r="L1494"/>
    </row>
    <row r="1495" spans="12:12" x14ac:dyDescent="0.2">
      <c r="L1495"/>
    </row>
    <row r="1496" spans="12:12" x14ac:dyDescent="0.2">
      <c r="L1496"/>
    </row>
  </sheetData>
  <mergeCells count="144">
    <mergeCell ref="J775:L775"/>
    <mergeCell ref="D776:E776"/>
    <mergeCell ref="D777:E777"/>
    <mergeCell ref="D778:E778"/>
    <mergeCell ref="D706:E706"/>
    <mergeCell ref="D707:E707"/>
    <mergeCell ref="D708:E708"/>
    <mergeCell ref="D709:E709"/>
    <mergeCell ref="C775:D775"/>
    <mergeCell ref="E775:I775"/>
    <mergeCell ref="D636:E636"/>
    <mergeCell ref="D637:E637"/>
    <mergeCell ref="D638:E638"/>
    <mergeCell ref="C705:D705"/>
    <mergeCell ref="E705:I705"/>
    <mergeCell ref="J705:L705"/>
    <mergeCell ref="J565:L565"/>
    <mergeCell ref="D566:E566"/>
    <mergeCell ref="D567:E567"/>
    <mergeCell ref="D568:E568"/>
    <mergeCell ref="C635:D635"/>
    <mergeCell ref="E635:I635"/>
    <mergeCell ref="J635:L635"/>
    <mergeCell ref="D496:E496"/>
    <mergeCell ref="D497:E497"/>
    <mergeCell ref="D498:E498"/>
    <mergeCell ref="C500:E500"/>
    <mergeCell ref="C565:D565"/>
    <mergeCell ref="E565:I565"/>
    <mergeCell ref="D428:E428"/>
    <mergeCell ref="D429:E429"/>
    <mergeCell ref="C430:E430"/>
    <mergeCell ref="C495:D495"/>
    <mergeCell ref="E495:I495"/>
    <mergeCell ref="J495:L495"/>
    <mergeCell ref="C391:E391"/>
    <mergeCell ref="C425:D425"/>
    <mergeCell ref="E425:I425"/>
    <mergeCell ref="J425:L425"/>
    <mergeCell ref="D426:E426"/>
    <mergeCell ref="D427:E427"/>
    <mergeCell ref="J355:L355"/>
    <mergeCell ref="D356:E356"/>
    <mergeCell ref="D357:E357"/>
    <mergeCell ref="D358:E358"/>
    <mergeCell ref="D359:E359"/>
    <mergeCell ref="C360:E360"/>
    <mergeCell ref="D287:E287"/>
    <mergeCell ref="D288:E288"/>
    <mergeCell ref="D289:E289"/>
    <mergeCell ref="D308:E308"/>
    <mergeCell ref="C355:D355"/>
    <mergeCell ref="E355:I355"/>
    <mergeCell ref="D219:E219"/>
    <mergeCell ref="C220:E220"/>
    <mergeCell ref="C285:D285"/>
    <mergeCell ref="E285:I285"/>
    <mergeCell ref="J285:L285"/>
    <mergeCell ref="D286:E286"/>
    <mergeCell ref="C215:D215"/>
    <mergeCell ref="E215:I215"/>
    <mergeCell ref="J215:L215"/>
    <mergeCell ref="D216:E216"/>
    <mergeCell ref="D217:E217"/>
    <mergeCell ref="D218:E218"/>
    <mergeCell ref="C189:E189"/>
    <mergeCell ref="D192:E192"/>
    <mergeCell ref="C193:E193"/>
    <mergeCell ref="D194:E194"/>
    <mergeCell ref="D195:E195"/>
    <mergeCell ref="D196:E196"/>
    <mergeCell ref="D153:E153"/>
    <mergeCell ref="D154:E154"/>
    <mergeCell ref="D164:E164"/>
    <mergeCell ref="D165:E165"/>
    <mergeCell ref="D187:E187"/>
    <mergeCell ref="D188:E188"/>
    <mergeCell ref="J146:L146"/>
    <mergeCell ref="D147:E147"/>
    <mergeCell ref="D148:E148"/>
    <mergeCell ref="D149:E149"/>
    <mergeCell ref="D150:E150"/>
    <mergeCell ref="C151:E151"/>
    <mergeCell ref="D82:E82"/>
    <mergeCell ref="C83:E83"/>
    <mergeCell ref="D122:E122"/>
    <mergeCell ref="D123:E123"/>
    <mergeCell ref="C146:D146"/>
    <mergeCell ref="E146:I146"/>
    <mergeCell ref="C78:D78"/>
    <mergeCell ref="E78:I78"/>
    <mergeCell ref="J78:L78"/>
    <mergeCell ref="D79:E79"/>
    <mergeCell ref="D80:E80"/>
    <mergeCell ref="D81:E81"/>
    <mergeCell ref="D31:E31"/>
    <mergeCell ref="D32:E32"/>
    <mergeCell ref="D33:E33"/>
    <mergeCell ref="D34:E34"/>
    <mergeCell ref="C35:E35"/>
    <mergeCell ref="D50:E50"/>
    <mergeCell ref="B22:C22"/>
    <mergeCell ref="B23:C23"/>
    <mergeCell ref="B24:C24"/>
    <mergeCell ref="B25:F25"/>
    <mergeCell ref="G25:L25"/>
    <mergeCell ref="C30:D30"/>
    <mergeCell ref="E30:I30"/>
    <mergeCell ref="J30:L30"/>
    <mergeCell ref="C18:D18"/>
    <mergeCell ref="E18:F18"/>
    <mergeCell ref="G18:J18"/>
    <mergeCell ref="K18:L18"/>
    <mergeCell ref="B20:L20"/>
    <mergeCell ref="B21:C21"/>
    <mergeCell ref="C16:D16"/>
    <mergeCell ref="E16:F16"/>
    <mergeCell ref="G16:J16"/>
    <mergeCell ref="K16:L16"/>
    <mergeCell ref="C17:D17"/>
    <mergeCell ref="E17:F17"/>
    <mergeCell ref="G17:J17"/>
    <mergeCell ref="K17:L17"/>
    <mergeCell ref="B14:C14"/>
    <mergeCell ref="D14:F14"/>
    <mergeCell ref="G14:I14"/>
    <mergeCell ref="J14:L14"/>
    <mergeCell ref="C15:D15"/>
    <mergeCell ref="E15:F15"/>
    <mergeCell ref="G15:J15"/>
    <mergeCell ref="K15:L15"/>
    <mergeCell ref="B8:L8"/>
    <mergeCell ref="C9:L9"/>
    <mergeCell ref="C10:L10"/>
    <mergeCell ref="B11:F11"/>
    <mergeCell ref="G11:L11"/>
    <mergeCell ref="B12:F12"/>
    <mergeCell ref="G12:L12"/>
    <mergeCell ref="B3:E3"/>
    <mergeCell ref="F3:L7"/>
    <mergeCell ref="B4:E4"/>
    <mergeCell ref="B5:E5"/>
    <mergeCell ref="B6:E6"/>
    <mergeCell ref="B7:E7"/>
  </mergeCells>
  <dataValidations count="13">
    <dataValidation allowBlank="1" showInputMessage="1" showErrorMessage="1" promptTitle="Input The Team Name" prompt="Some Firms have team names for fun and identification. If you have a team name please enter it here." sqref="E13" xr:uid="{22CF625A-F04E-4AC3-903D-5DA1B26C4256}"/>
    <dataValidation allowBlank="1" showInputMessage="1" showErrorMessage="1" promptTitle="Name" prompt="Please enter the team members name._x000a_" sqref="D14" xr:uid="{86014906-2A64-4C11-9255-26D2648F0535}"/>
    <dataValidation allowBlank="1" showInputMessage="1" showErrorMessage="1" promptTitle="Charge Out Rate" prompt="Please enter the charge out rate for this team member, per your capacity plan." sqref="C32 C80 C148 C217 C287 C357 C427 C497 C567 C637 C707 C777" xr:uid="{E1A6CBA1-DF88-4C91-99BD-4BC19051D941}"/>
    <dataValidation allowBlank="1" showInputMessage="1" showErrorMessage="1" promptTitle="Working Days In Month" prompt="Please enter the working days for this month, taking into account any annual leave, public holidays or training days away from working days." sqref="D32:E32 D80:E80 D148:E148 D217:E217 D287:E287 D357:E357 D427:E427 D497:E497 D567:E567 D637:E637 D707:E707 D777:E777" xr:uid="{6AC7F035-ACB8-42B8-8FB0-F2A12D889248}"/>
    <dataValidation allowBlank="1" showInputMessage="1" showErrorMessage="1" promptTitle="Productivity %" prompt="Please enter this team members productivity %." sqref="F32 F80 F148 F217 F287 F357 F427 F497 F567 F637 F707 F777" xr:uid="{2EC079A9-026E-4B0C-BCE3-81696B18991B}"/>
    <dataValidation allowBlank="1" showInputMessage="1" showErrorMessage="1" promptTitle="Hours Per Day" prompt="Please enter the hours per day this team member works" sqref="G32 G80 G148 G217 G287 G357 G427 G497 G567 G637 G707 G777" xr:uid="{34D7F3BA-1595-460E-867A-C8290B2799E1}"/>
    <dataValidation allowBlank="1" showInputMessage="1" showErrorMessage="1" promptTitle="Month" prompt="Enter the first month of your financial year" sqref="E30 E78 E146 E215 E285 E355 E425 E495 E565 E635 E705 E775" xr:uid="{09B5C8F4-0521-48A3-9CAE-519B6C063DD1}"/>
    <dataValidation allowBlank="1" showInputMessage="1" showErrorMessage="1" promptTitle="Entity Group or Client Name" prompt="Enter the Entity Group name or the Client Name or Job name." sqref="C66 C194:C208 C192 C297:C301 C172 C34 C150 C219 C289 C359 C429 C698 C709 C37:C48 C82 C437:C453 C527:C536 C235:C252 C628 C104 C716:C730 C129:C132 C134:C138 C259 C597:C600 C230 C263:C278 C463:C478 C367:C381 C579:C588 C541:C558 C348 C509:C518 C507 C577 C666:C670 C649:C657 C647 C85:C96 C106:C120 C153:C164 C174:C188 C254:C257 C787:C806 C50:C64" xr:uid="{E64027B6-55D2-4D80-B11A-5E461F6A296F}"/>
    <dataValidation allowBlank="1" showInputMessage="1" showErrorMessage="1" promptTitle="Job Price or Fees Charged" prompt="Enter the job price or Fees charged to the client." sqref="F124:F126 F830:F838 F507 F307 F458:F478 F386:F418 F359:F384 F429:F456 F509:F536 F499:F505 F571:F575 F577 F628 F647 F642:F645 F34:F36 F781:F828 F82:F122 F150:F208 F219:F278 F289:F305 F309:F348 F540:F558 F579:F623 F649:F698 F709:F734 F736:F768 F50:F70" xr:uid="{05B16AF8-F80F-4128-B828-B45B8E8F86AE}"/>
    <dataValidation allowBlank="1" showInputMessage="1" showErrorMessage="1" promptTitle="Team Member Completion %" prompt="This will be 100% if the team member can complete all the job without help. 80% if most of it. This will depend on the job complexity, the team member's ability and experience, whether or not they have done it before and the quality of the bookkeeping. " sqref="H522 G359:G418 H592 G628 H661 G781:G838 G82:G139 G150:G208 G219:G278 G289:G348 G429:G488 G499:G558 G571:G623 G642:G698 G709:G768 G34:G70" xr:uid="{E51C14CB-6190-4207-B1A4-2A8502C0202C}"/>
    <dataValidation allowBlank="1" showInputMessage="1" showErrorMessage="1" promptTitle="Pricing or Efficiency Override" prompt="Some jobs are priced high &amp; others the bookkeeping maybe done by your firm and be well prepared. So to complete them based on a charge out rate would allow far too many hours. To reduce hours drop below100%. Training on the job,would increase above 100%." sqref="H523:H558 H289:H348 H499:H521 H571:H591 H642:H660 H781:H838 H82:H139 H150:H208 H219:H278 H359:H418 H429:H488 H593:H628 H662:H698 H709:H768 H34:H70" xr:uid="{9F6937BA-6FBF-4034-9F5A-2E83AABF7ABD}"/>
    <dataValidation allowBlank="1" showInputMessage="1" showErrorMessage="1" promptTitle="Notes" prompt="Make any notes about this job. For example if training is needed for the Team Member or the level of quality of the bookkeeping." sqref="D194:E208 D192:E192 D828:E838 D34:E34 D150:E150 D219:E219 D359:E359 D429:E429 D709:E730 D82:E82 D499:E499 D520:E520 D223:E252 D431:E453 D289:E301 D361:E381 D597:E600 D608:E623 D734:E768 D527:E558 D392:E418 D509:E518 D501:E505 D507:E507 D628:E628 D571:E575 D590:E590 D579:E588 D577:E577 D666:E670 D642:E645 D659:E659 D649:E657 D647:E647 D85:E122 D153:E188 D254:E278 D305:E348 D463:E488 D677:E698 D781:E806 D37:E70" xr:uid="{A8A8A5DB-BD62-456D-98BB-C4E7EA8FF049}"/>
    <dataValidation allowBlank="1" showInputMessage="1" showErrorMessage="1" promptTitle="Annual Fees Budget" prompt="Enter the team members annual fees budget. Get this from your Capacity Planner (Wize Step 7.)" sqref="E16" xr:uid="{CE7FEC17-2130-4F34-84A1-6BC1A2CBA362}"/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11E3-F307-485D-8C0A-A96F44AD7FCA}">
  <sheetPr>
    <tabColor rgb="FFFF66FF"/>
  </sheetPr>
  <dimension ref="A1:T1495"/>
  <sheetViews>
    <sheetView topLeftCell="A30" workbookViewId="0">
      <selection activeCell="G40" sqref="G40"/>
    </sheetView>
  </sheetViews>
  <sheetFormatPr defaultRowHeight="15" x14ac:dyDescent="0.2"/>
  <cols>
    <col min="2" max="2" width="3.765625" bestFit="1" customWidth="1"/>
    <col min="3" max="3" width="19.234375" customWidth="1"/>
    <col min="4" max="4" width="11.97265625" customWidth="1"/>
    <col min="5" max="5" width="13.1796875" customWidth="1"/>
    <col min="6" max="6" width="17.62109375" bestFit="1" customWidth="1"/>
    <col min="7" max="7" width="12.375" customWidth="1"/>
    <col min="8" max="8" width="13.5859375" customWidth="1"/>
    <col min="9" max="9" width="15.87109375" customWidth="1"/>
    <col min="10" max="10" width="11.97265625" customWidth="1"/>
    <col min="11" max="11" width="14.125" customWidth="1"/>
    <col min="12" max="12" width="19.50390625" style="118" customWidth="1"/>
  </cols>
  <sheetData>
    <row r="1" spans="2:12" x14ac:dyDescent="0.2">
      <c r="L1"/>
    </row>
    <row r="2" spans="2:12" s="1" customFormat="1" ht="12.75" x14ac:dyDescent="0.15"/>
    <row r="3" spans="2:12" s="1" customFormat="1" ht="22.5" customHeight="1" x14ac:dyDescent="0.15">
      <c r="B3" s="347"/>
      <c r="C3" s="347"/>
      <c r="D3" s="347"/>
      <c r="E3" s="347"/>
      <c r="F3" s="348" t="s">
        <v>79</v>
      </c>
      <c r="G3" s="349"/>
      <c r="H3" s="349"/>
      <c r="I3" s="349"/>
      <c r="J3" s="349"/>
      <c r="K3" s="349"/>
      <c r="L3" s="350"/>
    </row>
    <row r="4" spans="2:12" s="1" customFormat="1" ht="13.35" customHeight="1" x14ac:dyDescent="0.15">
      <c r="B4" s="357"/>
      <c r="C4" s="358"/>
      <c r="D4" s="358"/>
      <c r="E4" s="359"/>
      <c r="F4" s="351"/>
      <c r="G4" s="352"/>
      <c r="H4" s="352"/>
      <c r="I4" s="352"/>
      <c r="J4" s="352"/>
      <c r="K4" s="352"/>
      <c r="L4" s="353"/>
    </row>
    <row r="5" spans="2:12" s="1" customFormat="1" ht="13.35" customHeight="1" x14ac:dyDescent="0.15">
      <c r="B5" s="357"/>
      <c r="C5" s="358"/>
      <c r="D5" s="358"/>
      <c r="E5" s="359"/>
      <c r="F5" s="351"/>
      <c r="G5" s="352"/>
      <c r="H5" s="352"/>
      <c r="I5" s="352"/>
      <c r="J5" s="352"/>
      <c r="K5" s="352"/>
      <c r="L5" s="353"/>
    </row>
    <row r="6" spans="2:12" s="1" customFormat="1" ht="13.35" customHeight="1" x14ac:dyDescent="0.15">
      <c r="B6" s="357"/>
      <c r="C6" s="358"/>
      <c r="D6" s="358"/>
      <c r="E6" s="359"/>
      <c r="F6" s="351"/>
      <c r="G6" s="352"/>
      <c r="H6" s="352"/>
      <c r="I6" s="352"/>
      <c r="J6" s="352"/>
      <c r="K6" s="352"/>
      <c r="L6" s="353"/>
    </row>
    <row r="7" spans="2:12" s="1" customFormat="1" ht="27.75" customHeight="1" x14ac:dyDescent="0.15">
      <c r="B7" s="360"/>
      <c r="C7" s="361"/>
      <c r="D7" s="361"/>
      <c r="E7" s="362"/>
      <c r="F7" s="354"/>
      <c r="G7" s="355"/>
      <c r="H7" s="355"/>
      <c r="I7" s="355"/>
      <c r="J7" s="355"/>
      <c r="K7" s="355"/>
      <c r="L7" s="356"/>
    </row>
    <row r="8" spans="2:12" s="1" customFormat="1" ht="25.5" x14ac:dyDescent="0.15">
      <c r="B8" s="331" t="s">
        <v>80</v>
      </c>
      <c r="C8" s="332"/>
      <c r="D8" s="332"/>
      <c r="E8" s="332"/>
      <c r="F8" s="332"/>
      <c r="G8" s="332"/>
      <c r="H8" s="332"/>
      <c r="I8" s="332"/>
      <c r="J8" s="332"/>
      <c r="K8" s="332"/>
      <c r="L8" s="333"/>
    </row>
    <row r="9" spans="2:12" s="1" customFormat="1" ht="25.5" x14ac:dyDescent="0.15">
      <c r="B9" s="3"/>
      <c r="C9" s="334"/>
      <c r="D9" s="334"/>
      <c r="E9" s="334"/>
      <c r="F9" s="334"/>
      <c r="G9" s="334"/>
      <c r="H9" s="334"/>
      <c r="I9" s="334"/>
      <c r="J9" s="334"/>
      <c r="K9" s="334"/>
      <c r="L9" s="335"/>
    </row>
    <row r="10" spans="2:12" s="4" customFormat="1" ht="25.5" x14ac:dyDescent="0.15">
      <c r="B10" s="3"/>
      <c r="C10" s="336" t="s">
        <v>81</v>
      </c>
      <c r="D10" s="336"/>
      <c r="E10" s="336"/>
      <c r="F10" s="336"/>
      <c r="G10" s="336"/>
      <c r="H10" s="336"/>
      <c r="I10" s="336"/>
      <c r="J10" s="336"/>
      <c r="K10" s="337"/>
      <c r="L10" s="338"/>
    </row>
    <row r="11" spans="2:12" s="5" customFormat="1" ht="16.350000000000001" customHeight="1" x14ac:dyDescent="0.2">
      <c r="B11" s="339" t="s">
        <v>82</v>
      </c>
      <c r="C11" s="340"/>
      <c r="D11" s="340"/>
      <c r="E11" s="340"/>
      <c r="F11" s="341"/>
      <c r="G11" s="342" t="s">
        <v>221</v>
      </c>
      <c r="H11" s="343"/>
      <c r="I11" s="343"/>
      <c r="J11" s="343"/>
      <c r="K11" s="343"/>
      <c r="L11" s="344"/>
    </row>
    <row r="12" spans="2:12" s="5" customFormat="1" ht="16.350000000000001" customHeight="1" x14ac:dyDescent="0.2">
      <c r="B12" s="345" t="s">
        <v>84</v>
      </c>
      <c r="C12" s="345"/>
      <c r="D12" s="345"/>
      <c r="E12" s="345"/>
      <c r="F12" s="345"/>
      <c r="G12" s="346" t="s">
        <v>277</v>
      </c>
      <c r="H12" s="346"/>
      <c r="I12" s="346"/>
      <c r="J12" s="346"/>
      <c r="K12" s="346"/>
      <c r="L12" s="346"/>
    </row>
    <row r="13" spans="2:12" s="5" customFormat="1" ht="16.350000000000001" customHeight="1" x14ac:dyDescent="0.2">
      <c r="B13" s="240"/>
      <c r="C13" s="237"/>
      <c r="D13" s="237"/>
      <c r="E13" s="238"/>
      <c r="F13" s="238"/>
      <c r="G13" s="238"/>
      <c r="H13" s="238"/>
      <c r="I13" s="238"/>
      <c r="J13" s="238"/>
      <c r="L13" s="241"/>
    </row>
    <row r="14" spans="2:12" s="5" customFormat="1" ht="15.4" customHeight="1" x14ac:dyDescent="0.2">
      <c r="B14" s="373" t="s">
        <v>86</v>
      </c>
      <c r="C14" s="373"/>
      <c r="D14" s="374" t="s">
        <v>278</v>
      </c>
      <c r="E14" s="374"/>
      <c r="F14" s="374"/>
      <c r="G14" s="373" t="s">
        <v>88</v>
      </c>
      <c r="H14" s="373"/>
      <c r="I14" s="373"/>
      <c r="J14" s="374" t="s">
        <v>274</v>
      </c>
      <c r="K14" s="374"/>
      <c r="L14" s="374"/>
    </row>
    <row r="15" spans="2:12" s="1" customFormat="1" ht="14.25" customHeight="1" x14ac:dyDescent="0.15">
      <c r="B15" s="236"/>
      <c r="C15" s="375" t="s">
        <v>90</v>
      </c>
      <c r="D15" s="375"/>
      <c r="E15" s="376" t="s">
        <v>91</v>
      </c>
      <c r="F15" s="376"/>
      <c r="G15" s="377" t="s">
        <v>90</v>
      </c>
      <c r="H15" s="377"/>
      <c r="I15" s="377"/>
      <c r="J15" s="377"/>
      <c r="K15" s="378" t="s">
        <v>92</v>
      </c>
      <c r="L15" s="378"/>
    </row>
    <row r="16" spans="2:12" s="1" customFormat="1" ht="13.5" customHeight="1" x14ac:dyDescent="0.15">
      <c r="B16" s="82"/>
      <c r="C16" s="363" t="s">
        <v>93</v>
      </c>
      <c r="D16" s="364"/>
      <c r="E16" s="365">
        <f>50512*12</f>
        <v>606144</v>
      </c>
      <c r="F16" s="366"/>
      <c r="G16" s="363" t="s">
        <v>94</v>
      </c>
      <c r="H16" s="367"/>
      <c r="I16" s="367"/>
      <c r="J16" s="364"/>
      <c r="K16" s="368">
        <f>E16/C32</f>
        <v>2424.576</v>
      </c>
      <c r="L16" s="369"/>
    </row>
    <row r="17" spans="2:12" s="1" customFormat="1" ht="13.5" customHeight="1" x14ac:dyDescent="0.15">
      <c r="B17" s="82"/>
      <c r="C17" s="370" t="s">
        <v>95</v>
      </c>
      <c r="D17" s="370"/>
      <c r="E17" s="371">
        <f>+I70+I139+I208+I278+I348+I418+I488+I558+I628+I698+I768+I838</f>
        <v>14675.769608695653</v>
      </c>
      <c r="F17" s="371"/>
      <c r="G17" s="370" t="s">
        <v>96</v>
      </c>
      <c r="H17" s="370"/>
      <c r="I17" s="370"/>
      <c r="J17" s="370"/>
      <c r="K17" s="372">
        <f>+J70+J139+J208+J278+J348+J418+J488+J558+J628+J698+J768+J838</f>
        <v>58.703078434782611</v>
      </c>
      <c r="L17" s="372"/>
    </row>
    <row r="18" spans="2:12" s="1" customFormat="1" ht="12.75" customHeight="1" x14ac:dyDescent="0.15">
      <c r="B18" s="82"/>
      <c r="C18" s="370" t="s">
        <v>97</v>
      </c>
      <c r="D18" s="370"/>
      <c r="E18" s="383">
        <f>E17-E16</f>
        <v>-591468.23039130436</v>
      </c>
      <c r="F18" s="383"/>
      <c r="G18" s="370" t="s">
        <v>97</v>
      </c>
      <c r="H18" s="370"/>
      <c r="I18" s="370"/>
      <c r="J18" s="370"/>
      <c r="K18" s="384">
        <f>K17-K16</f>
        <v>-2365.8729215652174</v>
      </c>
      <c r="L18" s="384"/>
    </row>
    <row r="19" spans="2:12" s="1" customFormat="1" ht="12.75" x14ac:dyDescent="0.15">
      <c r="B19" s="244"/>
      <c r="C19" s="225"/>
      <c r="D19" s="243"/>
      <c r="G19" s="225"/>
      <c r="H19" s="225"/>
      <c r="I19" s="225"/>
      <c r="J19" s="228"/>
      <c r="L19" s="246"/>
    </row>
    <row r="20" spans="2:12" s="1" customFormat="1" ht="14.25" customHeight="1" x14ac:dyDescent="0.15">
      <c r="B20" s="385" t="s">
        <v>98</v>
      </c>
      <c r="C20" s="385"/>
      <c r="D20" s="385"/>
      <c r="E20" s="385"/>
      <c r="F20" s="385"/>
      <c r="G20" s="385"/>
      <c r="H20" s="385"/>
      <c r="I20" s="385"/>
      <c r="J20" s="385"/>
      <c r="K20" s="385"/>
      <c r="L20" s="385"/>
    </row>
    <row r="21" spans="2:12" s="1" customFormat="1" ht="12.75" x14ac:dyDescent="0.15">
      <c r="B21" s="386"/>
      <c r="C21" s="387"/>
      <c r="D21" s="245" t="s">
        <v>99</v>
      </c>
      <c r="E21" s="6">
        <f>J32</f>
        <v>67.296921565217389</v>
      </c>
      <c r="F21" s="234" t="s">
        <v>100</v>
      </c>
      <c r="G21" s="6">
        <f>+J216</f>
        <v>114</v>
      </c>
      <c r="H21" s="234" t="s">
        <v>101</v>
      </c>
      <c r="I21" s="6">
        <f>+J426</f>
        <v>126</v>
      </c>
      <c r="J21" s="234" t="s">
        <v>102</v>
      </c>
      <c r="K21" s="6">
        <f>+J636</f>
        <v>138</v>
      </c>
      <c r="L21" s="82"/>
    </row>
    <row r="22" spans="2:12" s="1" customFormat="1" ht="12.75" x14ac:dyDescent="0.15">
      <c r="B22" s="386"/>
      <c r="C22" s="387"/>
      <c r="D22" s="235" t="s">
        <v>103</v>
      </c>
      <c r="E22" s="6">
        <f>+J79</f>
        <v>120</v>
      </c>
      <c r="F22" s="234" t="s">
        <v>104</v>
      </c>
      <c r="G22" s="6">
        <f>+J286</f>
        <v>132</v>
      </c>
      <c r="H22" s="234" t="s">
        <v>105</v>
      </c>
      <c r="I22" s="6">
        <f>J496</f>
        <v>126</v>
      </c>
      <c r="J22" s="234" t="s">
        <v>106</v>
      </c>
      <c r="K22" s="6">
        <f>+J706</f>
        <v>120</v>
      </c>
      <c r="L22" s="82"/>
    </row>
    <row r="23" spans="2:12" s="1" customFormat="1" ht="12.75" x14ac:dyDescent="0.15">
      <c r="B23" s="386"/>
      <c r="C23" s="387"/>
      <c r="D23" s="235" t="s">
        <v>107</v>
      </c>
      <c r="E23" s="6">
        <f>+J147</f>
        <v>126</v>
      </c>
      <c r="F23" s="234" t="s">
        <v>108</v>
      </c>
      <c r="G23" s="6">
        <f>+J356</f>
        <v>120</v>
      </c>
      <c r="H23" s="234" t="s">
        <v>109</v>
      </c>
      <c r="I23" s="6">
        <f>+J566</f>
        <v>126</v>
      </c>
      <c r="J23" s="234" t="s">
        <v>110</v>
      </c>
      <c r="K23" s="6">
        <f>+J776</f>
        <v>120</v>
      </c>
      <c r="L23" s="82"/>
    </row>
    <row r="24" spans="2:12" s="1" customFormat="1" ht="12.75" x14ac:dyDescent="0.15">
      <c r="B24" s="386"/>
      <c r="C24" s="387"/>
      <c r="D24" s="235"/>
      <c r="E24" s="6"/>
      <c r="F24" s="234"/>
      <c r="G24" s="6"/>
      <c r="H24" s="234"/>
      <c r="I24" s="6"/>
      <c r="J24" s="234"/>
      <c r="K24" s="6"/>
      <c r="L24" s="82"/>
    </row>
    <row r="25" spans="2:12" s="1" customFormat="1" ht="13.5" customHeight="1" x14ac:dyDescent="0.15">
      <c r="B25" s="385" t="s">
        <v>111</v>
      </c>
      <c r="C25" s="385"/>
      <c r="D25" s="385"/>
      <c r="E25" s="385"/>
      <c r="F25" s="385"/>
      <c r="G25" s="379">
        <f>SUM(E21:E23)+SUM(G21:G23)+SUM(I21:I23)+SUM(K21:K23)</f>
        <v>1435.2969215652174</v>
      </c>
      <c r="H25" s="379"/>
      <c r="I25" s="379"/>
      <c r="J25" s="379"/>
      <c r="K25" s="379"/>
      <c r="L25" s="379"/>
    </row>
    <row r="26" spans="2:12" s="1" customFormat="1" ht="13.5" customHeight="1" x14ac:dyDescent="0.15">
      <c r="C26" s="225"/>
      <c r="D26" s="226"/>
      <c r="G26" s="227"/>
      <c r="H26" s="227"/>
      <c r="I26" s="227"/>
      <c r="J26" s="228"/>
    </row>
    <row r="27" spans="2:12" s="1" customFormat="1" ht="13.5" customHeight="1" x14ac:dyDescent="0.15">
      <c r="C27" s="225"/>
      <c r="D27" s="226"/>
      <c r="G27" s="227"/>
      <c r="H27" s="227"/>
      <c r="I27" s="227"/>
      <c r="J27" s="228"/>
    </row>
    <row r="28" spans="2:12" s="1" customFormat="1" ht="13.5" customHeight="1" x14ac:dyDescent="0.15">
      <c r="C28" s="225"/>
      <c r="D28" s="226"/>
      <c r="G28" s="227"/>
      <c r="H28" s="227"/>
      <c r="I28" s="227"/>
      <c r="J28" s="228"/>
    </row>
    <row r="29" spans="2:12" s="1" customFormat="1" ht="13.5" customHeight="1" x14ac:dyDescent="0.15">
      <c r="C29" s="225"/>
      <c r="D29" s="226"/>
      <c r="G29" s="227"/>
      <c r="H29" s="227"/>
      <c r="I29" s="227"/>
      <c r="J29" s="228"/>
    </row>
    <row r="30" spans="2:12" s="247" customFormat="1" ht="32.25" x14ac:dyDescent="0.4">
      <c r="B30" s="248"/>
      <c r="C30" s="380" t="s">
        <v>112</v>
      </c>
      <c r="D30" s="380"/>
      <c r="E30" s="381" t="s">
        <v>113</v>
      </c>
      <c r="F30" s="381"/>
      <c r="G30" s="381"/>
      <c r="H30" s="381"/>
      <c r="I30" s="381"/>
      <c r="J30" s="382">
        <v>2026</v>
      </c>
      <c r="K30" s="382"/>
      <c r="L30" s="382"/>
    </row>
    <row r="31" spans="2:12" s="1" customFormat="1" ht="22.5" x14ac:dyDescent="0.15">
      <c r="B31" s="82"/>
      <c r="C31" s="102" t="s">
        <v>114</v>
      </c>
      <c r="D31" s="388" t="s">
        <v>115</v>
      </c>
      <c r="E31" s="388"/>
      <c r="F31" s="102" t="s">
        <v>116</v>
      </c>
      <c r="G31" s="102" t="s">
        <v>117</v>
      </c>
      <c r="H31" s="102" t="s">
        <v>118</v>
      </c>
      <c r="I31" s="102" t="s">
        <v>119</v>
      </c>
      <c r="J31" s="102" t="s">
        <v>120</v>
      </c>
      <c r="K31" s="82"/>
      <c r="L31" s="82"/>
    </row>
    <row r="32" spans="2:12" s="1" customFormat="1" ht="12.75" x14ac:dyDescent="0.15">
      <c r="B32" s="82"/>
      <c r="C32" s="229">
        <v>250</v>
      </c>
      <c r="D32" s="389">
        <v>21</v>
      </c>
      <c r="E32" s="389"/>
      <c r="F32" s="7">
        <v>0.75</v>
      </c>
      <c r="G32" s="8">
        <v>8</v>
      </c>
      <c r="H32" s="142">
        <f>D32*G32*F32</f>
        <v>126</v>
      </c>
      <c r="I32" s="66">
        <f>I70</f>
        <v>14675.769608695653</v>
      </c>
      <c r="J32" s="143">
        <f>H32-J70</f>
        <v>67.296921565217389</v>
      </c>
      <c r="K32" s="82"/>
      <c r="L32" s="82"/>
    </row>
    <row r="33" spans="1:12" s="1" customFormat="1" ht="33.75" x14ac:dyDescent="0.15">
      <c r="B33" s="120"/>
      <c r="C33" s="230" t="s">
        <v>121</v>
      </c>
      <c r="D33" s="390" t="s">
        <v>122</v>
      </c>
      <c r="E33" s="390"/>
      <c r="F33" s="231" t="s">
        <v>123</v>
      </c>
      <c r="G33" s="232" t="s">
        <v>124</v>
      </c>
      <c r="H33" s="233" t="s">
        <v>125</v>
      </c>
      <c r="I33" s="233" t="s">
        <v>126</v>
      </c>
      <c r="J33" s="232" t="s">
        <v>127</v>
      </c>
      <c r="K33" s="123" t="s">
        <v>128</v>
      </c>
      <c r="L33" s="114" t="s">
        <v>129</v>
      </c>
    </row>
    <row r="34" spans="1:12" s="1" customFormat="1" ht="12.75" x14ac:dyDescent="0.15">
      <c r="B34" s="82"/>
      <c r="C34" s="89"/>
      <c r="D34" s="391"/>
      <c r="E34" s="391"/>
      <c r="F34" s="184"/>
      <c r="G34" s="92"/>
      <c r="H34" s="92"/>
      <c r="I34" s="93"/>
      <c r="J34" s="94"/>
      <c r="K34" s="82"/>
      <c r="L34" s="82"/>
    </row>
    <row r="35" spans="1:12" s="1" customFormat="1" ht="12.75" x14ac:dyDescent="0.15">
      <c r="B35" s="82"/>
      <c r="C35" s="392" t="s">
        <v>130</v>
      </c>
      <c r="D35" s="392"/>
      <c r="E35" s="392"/>
      <c r="F35" s="184"/>
      <c r="G35" s="92"/>
      <c r="H35" s="92"/>
      <c r="I35" s="93"/>
      <c r="J35" s="94"/>
      <c r="K35" s="82"/>
      <c r="L35" s="82"/>
    </row>
    <row r="36" spans="1:12" s="1" customFormat="1" ht="12.75" x14ac:dyDescent="0.15">
      <c r="B36" s="82"/>
      <c r="C36" s="167" t="s">
        <v>131</v>
      </c>
      <c r="D36" s="167"/>
      <c r="E36" s="167"/>
      <c r="F36" s="184"/>
      <c r="G36" s="92"/>
      <c r="H36" s="92"/>
      <c r="I36" s="93"/>
      <c r="J36" s="94"/>
      <c r="K36" s="82"/>
      <c r="L36" s="82"/>
    </row>
    <row r="37" spans="1:12" s="1" customFormat="1" ht="12.75" customHeight="1" x14ac:dyDescent="0.15">
      <c r="B37" s="313">
        <v>1</v>
      </c>
      <c r="C37" s="203" t="s">
        <v>19</v>
      </c>
      <c r="D37" s="90"/>
      <c r="E37" s="90"/>
      <c r="F37" s="65">
        <f>'Work Component  Split'!F12</f>
        <v>24734.36</v>
      </c>
      <c r="G37" s="92">
        <f>'Work Component  Split'!I12</f>
        <v>0.49999994375013757</v>
      </c>
      <c r="H37" s="92">
        <v>1</v>
      </c>
      <c r="I37" s="218">
        <f>J37*$C$32</f>
        <v>12367.178608695653</v>
      </c>
      <c r="J37" s="271">
        <f>(F37*G37*H37)/$C$32</f>
        <v>49.468714434782612</v>
      </c>
      <c r="K37" s="82"/>
      <c r="L37" s="82"/>
    </row>
    <row r="38" spans="1:12" s="1" customFormat="1" ht="12.75" customHeight="1" x14ac:dyDescent="0.15">
      <c r="B38" s="82">
        <v>2</v>
      </c>
      <c r="C38" s="203" t="s">
        <v>270</v>
      </c>
      <c r="D38" s="90"/>
      <c r="E38" s="90"/>
      <c r="F38" s="65">
        <f>'Work Component  Split'!F10</f>
        <v>23085.91</v>
      </c>
      <c r="G38" s="92">
        <v>0.1</v>
      </c>
      <c r="H38" s="92">
        <v>1</v>
      </c>
      <c r="I38" s="218">
        <f>J38*$C$32</f>
        <v>2308.5909999999999</v>
      </c>
      <c r="J38" s="271">
        <f>(F38*G38*H38)/$C$32</f>
        <v>9.2343639999999994</v>
      </c>
      <c r="K38" s="82"/>
      <c r="L38" s="82"/>
    </row>
    <row r="39" spans="1:12" s="1" customFormat="1" ht="12.75" customHeight="1" x14ac:dyDescent="0.15">
      <c r="B39" s="82"/>
      <c r="C39" s="203"/>
      <c r="D39" s="90"/>
      <c r="E39" s="90"/>
      <c r="F39" s="65"/>
      <c r="G39" s="92"/>
      <c r="H39" s="92"/>
      <c r="I39" s="218"/>
      <c r="J39" s="271"/>
      <c r="K39" s="82"/>
      <c r="L39" s="82"/>
    </row>
    <row r="40" spans="1:12" s="1" customFormat="1" ht="12.75" customHeight="1" x14ac:dyDescent="0.15">
      <c r="B40" s="82"/>
      <c r="C40" s="203"/>
      <c r="D40" s="90"/>
      <c r="E40" s="90"/>
      <c r="F40" s="65"/>
      <c r="G40" s="92"/>
      <c r="H40" s="92"/>
      <c r="I40" s="218"/>
      <c r="J40" s="271"/>
      <c r="K40" s="82"/>
      <c r="L40" s="82"/>
    </row>
    <row r="41" spans="1:12" s="1" customFormat="1" ht="12.75" customHeight="1" x14ac:dyDescent="0.15">
      <c r="B41" s="82"/>
      <c r="C41" s="203"/>
      <c r="D41" s="90"/>
      <c r="E41" s="90"/>
      <c r="F41" s="65"/>
      <c r="G41" s="92"/>
      <c r="H41" s="92"/>
      <c r="I41" s="218"/>
      <c r="J41" s="271"/>
      <c r="K41" s="82"/>
      <c r="L41" s="82"/>
    </row>
    <row r="42" spans="1:12" s="1" customFormat="1" ht="12.75" customHeight="1" x14ac:dyDescent="0.15">
      <c r="B42" s="82"/>
      <c r="C42" s="203"/>
      <c r="D42" s="90"/>
      <c r="E42" s="90"/>
      <c r="F42" s="65"/>
      <c r="G42" s="92"/>
      <c r="H42" s="92"/>
      <c r="I42" s="218"/>
      <c r="J42" s="271"/>
      <c r="K42" s="82"/>
      <c r="L42" s="82"/>
    </row>
    <row r="43" spans="1:12" s="1" customFormat="1" ht="12.75" customHeight="1" x14ac:dyDescent="0.15">
      <c r="B43" s="82"/>
      <c r="C43" s="203"/>
      <c r="D43" s="90"/>
      <c r="E43" s="90"/>
      <c r="F43" s="65"/>
      <c r="G43" s="92"/>
      <c r="H43" s="92"/>
      <c r="I43" s="218"/>
      <c r="J43" s="271"/>
      <c r="K43" s="82"/>
      <c r="L43" s="82"/>
    </row>
    <row r="44" spans="1:12" s="1" customFormat="1" ht="12.75" customHeight="1" x14ac:dyDescent="0.15">
      <c r="B44" s="82"/>
      <c r="C44" s="203"/>
      <c r="D44" s="90"/>
      <c r="E44" s="90"/>
      <c r="F44" s="65"/>
      <c r="G44" s="92"/>
      <c r="H44" s="92"/>
      <c r="I44" s="218"/>
      <c r="J44" s="271"/>
      <c r="K44" s="82"/>
      <c r="L44" s="82"/>
    </row>
    <row r="45" spans="1:12" s="1" customFormat="1" ht="12.75" customHeight="1" x14ac:dyDescent="0.15">
      <c r="B45" s="82"/>
      <c r="C45" s="203"/>
      <c r="D45" s="90"/>
      <c r="E45" s="90"/>
      <c r="F45" s="65"/>
      <c r="G45" s="92"/>
      <c r="H45" s="92"/>
      <c r="I45" s="218"/>
      <c r="J45" s="271"/>
      <c r="K45" s="82"/>
      <c r="L45" s="82"/>
    </row>
    <row r="46" spans="1:12" s="1" customFormat="1" ht="12.75" customHeight="1" x14ac:dyDescent="0.15">
      <c r="A46" s="310"/>
      <c r="B46" s="82"/>
      <c r="C46" s="203"/>
      <c r="D46" s="90"/>
      <c r="E46" s="90"/>
      <c r="F46" s="65"/>
      <c r="G46" s="92"/>
      <c r="H46" s="92"/>
      <c r="I46" s="218"/>
      <c r="J46" s="271"/>
      <c r="K46" s="82"/>
      <c r="L46" s="82"/>
    </row>
    <row r="47" spans="1:12" s="1" customFormat="1" ht="12.75" customHeight="1" x14ac:dyDescent="0.15">
      <c r="A47" s="310"/>
      <c r="B47" s="82"/>
      <c r="C47" s="203"/>
      <c r="D47" s="90"/>
      <c r="E47" s="90"/>
      <c r="F47" s="65"/>
      <c r="G47" s="92"/>
      <c r="H47" s="92"/>
      <c r="I47" s="218"/>
      <c r="J47" s="271"/>
      <c r="K47" s="82"/>
      <c r="L47" s="82"/>
    </row>
    <row r="48" spans="1:12" s="1" customFormat="1" ht="12.75" customHeight="1" x14ac:dyDescent="0.15">
      <c r="B48" s="82"/>
      <c r="C48" s="203"/>
      <c r="D48" s="90"/>
      <c r="E48" s="90"/>
      <c r="F48" s="65"/>
      <c r="G48" s="92"/>
      <c r="H48" s="92"/>
      <c r="I48" s="218"/>
      <c r="J48" s="271"/>
      <c r="K48" s="82"/>
      <c r="L48" s="82"/>
    </row>
    <row r="49" spans="2:12" s="1" customFormat="1" ht="12.75" customHeight="1" x14ac:dyDescent="0.15">
      <c r="B49" s="82"/>
      <c r="C49" s="203"/>
      <c r="D49" s="90"/>
      <c r="E49" s="90"/>
      <c r="F49" s="223"/>
      <c r="G49" s="92"/>
      <c r="H49" s="92"/>
      <c r="I49" s="218"/>
      <c r="J49" s="271"/>
      <c r="K49" s="82"/>
      <c r="L49" s="82"/>
    </row>
    <row r="50" spans="2:12" s="1" customFormat="1" ht="12.75" customHeight="1" x14ac:dyDescent="0.15">
      <c r="B50" s="82"/>
      <c r="C50" s="203"/>
      <c r="D50" s="90"/>
      <c r="E50" s="90"/>
      <c r="F50" s="223"/>
      <c r="G50" s="92"/>
      <c r="H50" s="92"/>
      <c r="I50" s="218"/>
      <c r="J50" s="271"/>
      <c r="K50" s="82"/>
      <c r="L50" s="82"/>
    </row>
    <row r="51" spans="2:12" s="1" customFormat="1" ht="14.25" x14ac:dyDescent="0.15">
      <c r="B51" s="82"/>
      <c r="C51" s="167" t="s">
        <v>150</v>
      </c>
      <c r="D51" s="90"/>
      <c r="E51" s="90"/>
      <c r="F51" s="223"/>
      <c r="G51" s="92"/>
      <c r="H51" s="92"/>
      <c r="I51" s="168"/>
      <c r="J51" s="271"/>
      <c r="K51" s="82"/>
      <c r="L51" s="115"/>
    </row>
    <row r="52" spans="2:12" s="1" customFormat="1" ht="14.25" x14ac:dyDescent="0.15">
      <c r="B52" s="82">
        <v>1</v>
      </c>
      <c r="C52" s="89"/>
      <c r="D52" s="90"/>
      <c r="E52" s="90"/>
      <c r="F52" s="223"/>
      <c r="G52" s="92"/>
      <c r="H52" s="92">
        <v>1</v>
      </c>
      <c r="I52" s="168">
        <f t="shared" ref="I52:I68" si="0">J52*$C$32</f>
        <v>0</v>
      </c>
      <c r="J52" s="271">
        <f t="shared" ref="J52:J68" si="1">(F52*G52*H52)/$C$32</f>
        <v>0</v>
      </c>
      <c r="K52" s="82"/>
      <c r="L52" s="115"/>
    </row>
    <row r="53" spans="2:12" s="1" customFormat="1" ht="14.25" x14ac:dyDescent="0.15">
      <c r="B53" s="82">
        <v>2</v>
      </c>
      <c r="C53" s="89"/>
      <c r="D53" s="90"/>
      <c r="E53" s="90"/>
      <c r="F53" s="223"/>
      <c r="G53" s="92"/>
      <c r="H53" s="92">
        <v>1</v>
      </c>
      <c r="I53" s="168">
        <f t="shared" si="0"/>
        <v>0</v>
      </c>
      <c r="J53" s="271">
        <f t="shared" si="1"/>
        <v>0</v>
      </c>
      <c r="K53" s="82"/>
      <c r="L53" s="115"/>
    </row>
    <row r="54" spans="2:12" s="1" customFormat="1" ht="14.25" x14ac:dyDescent="0.15">
      <c r="B54" s="82">
        <v>4</v>
      </c>
      <c r="C54" s="89"/>
      <c r="D54" s="90"/>
      <c r="E54" s="90"/>
      <c r="F54" s="223"/>
      <c r="G54" s="92"/>
      <c r="H54" s="92">
        <v>1</v>
      </c>
      <c r="I54" s="168">
        <f t="shared" si="0"/>
        <v>0</v>
      </c>
      <c r="J54" s="271">
        <f t="shared" si="1"/>
        <v>0</v>
      </c>
      <c r="K54" s="82"/>
      <c r="L54" s="115"/>
    </row>
    <row r="55" spans="2:12" s="1" customFormat="1" ht="14.25" x14ac:dyDescent="0.15">
      <c r="B55" s="82">
        <v>5</v>
      </c>
      <c r="C55" s="89"/>
      <c r="D55" s="90"/>
      <c r="E55" s="90"/>
      <c r="F55" s="223"/>
      <c r="G55" s="92"/>
      <c r="H55" s="92">
        <v>1</v>
      </c>
      <c r="I55" s="168">
        <f t="shared" si="0"/>
        <v>0</v>
      </c>
      <c r="J55" s="271">
        <f t="shared" si="1"/>
        <v>0</v>
      </c>
      <c r="K55" s="82"/>
      <c r="L55" s="115"/>
    </row>
    <row r="56" spans="2:12" s="1" customFormat="1" ht="14.25" x14ac:dyDescent="0.15">
      <c r="B56" s="82">
        <v>6</v>
      </c>
      <c r="C56" s="89"/>
      <c r="D56" s="90"/>
      <c r="E56" s="90"/>
      <c r="F56" s="223"/>
      <c r="G56" s="92"/>
      <c r="H56" s="92">
        <v>1</v>
      </c>
      <c r="I56" s="168">
        <f t="shared" si="0"/>
        <v>0</v>
      </c>
      <c r="J56" s="271">
        <f t="shared" si="1"/>
        <v>0</v>
      </c>
      <c r="K56" s="82"/>
      <c r="L56" s="115"/>
    </row>
    <row r="57" spans="2:12" s="1" customFormat="1" ht="14.25" x14ac:dyDescent="0.15">
      <c r="B57" s="82">
        <v>7</v>
      </c>
      <c r="C57" s="89"/>
      <c r="D57" s="90"/>
      <c r="E57" s="90"/>
      <c r="F57" s="223"/>
      <c r="G57" s="92"/>
      <c r="H57" s="92">
        <v>1</v>
      </c>
      <c r="I57" s="168">
        <f t="shared" si="0"/>
        <v>0</v>
      </c>
      <c r="J57" s="271">
        <f t="shared" si="1"/>
        <v>0</v>
      </c>
      <c r="K57" s="82"/>
      <c r="L57" s="115"/>
    </row>
    <row r="58" spans="2:12" s="1" customFormat="1" ht="14.25" x14ac:dyDescent="0.15">
      <c r="B58" s="82">
        <v>8</v>
      </c>
      <c r="C58" s="89"/>
      <c r="D58" s="90"/>
      <c r="E58" s="90"/>
      <c r="F58" s="223"/>
      <c r="G58" s="92"/>
      <c r="H58" s="92">
        <v>1</v>
      </c>
      <c r="I58" s="168">
        <f t="shared" si="0"/>
        <v>0</v>
      </c>
      <c r="J58" s="271">
        <f t="shared" si="1"/>
        <v>0</v>
      </c>
      <c r="K58" s="82"/>
      <c r="L58" s="115"/>
    </row>
    <row r="59" spans="2:12" s="1" customFormat="1" ht="14.25" x14ac:dyDescent="0.15">
      <c r="B59" s="82">
        <v>9</v>
      </c>
      <c r="C59" s="89"/>
      <c r="D59" s="90"/>
      <c r="E59" s="90"/>
      <c r="F59" s="223"/>
      <c r="G59" s="92"/>
      <c r="H59" s="92">
        <v>1</v>
      </c>
      <c r="I59" s="168">
        <f t="shared" si="0"/>
        <v>0</v>
      </c>
      <c r="J59" s="271">
        <f t="shared" si="1"/>
        <v>0</v>
      </c>
      <c r="K59" s="82"/>
      <c r="L59" s="115"/>
    </row>
    <row r="60" spans="2:12" s="1" customFormat="1" ht="14.25" x14ac:dyDescent="0.15">
      <c r="B60" s="82">
        <v>10</v>
      </c>
      <c r="C60" s="89"/>
      <c r="D60" s="90"/>
      <c r="E60" s="90"/>
      <c r="F60" s="223"/>
      <c r="G60" s="92"/>
      <c r="H60" s="92">
        <v>1</v>
      </c>
      <c r="I60" s="168">
        <f t="shared" si="0"/>
        <v>0</v>
      </c>
      <c r="J60" s="271">
        <f t="shared" si="1"/>
        <v>0</v>
      </c>
      <c r="K60" s="82"/>
      <c r="L60" s="115"/>
    </row>
    <row r="61" spans="2:12" s="1" customFormat="1" ht="14.25" x14ac:dyDescent="0.15">
      <c r="B61" s="82">
        <v>11</v>
      </c>
      <c r="C61" s="89"/>
      <c r="D61" s="90"/>
      <c r="E61" s="90"/>
      <c r="F61" s="223"/>
      <c r="G61" s="92"/>
      <c r="H61" s="92">
        <v>1</v>
      </c>
      <c r="I61" s="168">
        <f t="shared" si="0"/>
        <v>0</v>
      </c>
      <c r="J61" s="271">
        <f t="shared" si="1"/>
        <v>0</v>
      </c>
      <c r="K61" s="82"/>
      <c r="L61" s="115"/>
    </row>
    <row r="62" spans="2:12" s="1" customFormat="1" ht="14.25" x14ac:dyDescent="0.15">
      <c r="B62" s="82">
        <v>12</v>
      </c>
      <c r="C62" s="89"/>
      <c r="D62" s="169"/>
      <c r="E62" s="169"/>
      <c r="F62" s="223"/>
      <c r="G62" s="214"/>
      <c r="H62" s="92">
        <v>1</v>
      </c>
      <c r="I62" s="218">
        <f t="shared" si="0"/>
        <v>0</v>
      </c>
      <c r="J62" s="271">
        <f t="shared" si="1"/>
        <v>0</v>
      </c>
      <c r="K62" s="82"/>
      <c r="L62" s="82"/>
    </row>
    <row r="63" spans="2:12" s="1" customFormat="1" ht="14.25" x14ac:dyDescent="0.15">
      <c r="B63" s="82">
        <v>13</v>
      </c>
      <c r="C63" s="89"/>
      <c r="D63" s="90"/>
      <c r="E63" s="90"/>
      <c r="F63" s="223"/>
      <c r="G63" s="214"/>
      <c r="H63" s="92">
        <v>1</v>
      </c>
      <c r="I63" s="218">
        <f t="shared" si="0"/>
        <v>0</v>
      </c>
      <c r="J63" s="271">
        <f t="shared" si="1"/>
        <v>0</v>
      </c>
      <c r="K63" s="82"/>
      <c r="L63" s="115"/>
    </row>
    <row r="64" spans="2:12" s="1" customFormat="1" ht="14.25" x14ac:dyDescent="0.15">
      <c r="B64" s="82">
        <v>14</v>
      </c>
      <c r="C64" s="203"/>
      <c r="D64" s="90"/>
      <c r="E64" s="90"/>
      <c r="F64" s="223"/>
      <c r="G64" s="214"/>
      <c r="H64" s="92">
        <v>1</v>
      </c>
      <c r="I64" s="218">
        <f t="shared" si="0"/>
        <v>0</v>
      </c>
      <c r="J64" s="271">
        <f t="shared" si="1"/>
        <v>0</v>
      </c>
      <c r="K64" s="82"/>
      <c r="L64" s="115"/>
    </row>
    <row r="65" spans="2:12" s="1" customFormat="1" ht="14.25" x14ac:dyDescent="0.15">
      <c r="B65" s="82">
        <v>16</v>
      </c>
      <c r="C65" s="203"/>
      <c r="D65" s="90"/>
      <c r="E65" s="90"/>
      <c r="F65" s="223"/>
      <c r="G65" s="214"/>
      <c r="H65" s="92">
        <v>1</v>
      </c>
      <c r="I65" s="218">
        <f t="shared" si="0"/>
        <v>0</v>
      </c>
      <c r="J65" s="271">
        <f t="shared" si="1"/>
        <v>0</v>
      </c>
      <c r="K65" s="82"/>
      <c r="L65" s="115"/>
    </row>
    <row r="66" spans="2:12" s="1" customFormat="1" ht="14.25" x14ac:dyDescent="0.15">
      <c r="B66" s="82">
        <v>17</v>
      </c>
      <c r="C66" s="203"/>
      <c r="D66" s="90"/>
      <c r="E66" s="90"/>
      <c r="F66" s="223"/>
      <c r="G66" s="214"/>
      <c r="H66" s="92">
        <v>1</v>
      </c>
      <c r="I66" s="218">
        <f t="shared" si="0"/>
        <v>0</v>
      </c>
      <c r="J66" s="271">
        <f t="shared" si="1"/>
        <v>0</v>
      </c>
      <c r="K66" s="82"/>
      <c r="L66" s="115"/>
    </row>
    <row r="67" spans="2:12" s="1" customFormat="1" ht="14.25" x14ac:dyDescent="0.15">
      <c r="B67" s="82">
        <v>19</v>
      </c>
      <c r="C67" s="203"/>
      <c r="D67" s="90"/>
      <c r="E67" s="90"/>
      <c r="F67" s="223"/>
      <c r="G67" s="214"/>
      <c r="H67" s="92">
        <v>1</v>
      </c>
      <c r="I67" s="218">
        <f t="shared" si="0"/>
        <v>0</v>
      </c>
      <c r="J67" s="271">
        <f t="shared" si="1"/>
        <v>0</v>
      </c>
      <c r="K67" s="82"/>
      <c r="L67" s="115"/>
    </row>
    <row r="68" spans="2:12" s="1" customFormat="1" ht="14.25" x14ac:dyDescent="0.15">
      <c r="B68" s="82">
        <v>20</v>
      </c>
      <c r="C68" s="203"/>
      <c r="D68" s="90"/>
      <c r="E68" s="90"/>
      <c r="F68" s="223"/>
      <c r="G68" s="214"/>
      <c r="H68" s="92">
        <v>1</v>
      </c>
      <c r="I68" s="218">
        <f t="shared" si="0"/>
        <v>0</v>
      </c>
      <c r="J68" s="271">
        <f t="shared" si="1"/>
        <v>0</v>
      </c>
      <c r="K68" s="82"/>
      <c r="L68" s="115"/>
    </row>
    <row r="69" spans="2:12" s="1" customFormat="1" ht="14.25" x14ac:dyDescent="0.15">
      <c r="B69" s="82"/>
      <c r="C69" s="203"/>
      <c r="D69" s="90"/>
      <c r="E69" s="90"/>
      <c r="F69" s="223"/>
      <c r="G69" s="92"/>
      <c r="H69" s="92"/>
      <c r="I69" s="168"/>
      <c r="J69" s="94"/>
      <c r="K69" s="82"/>
      <c r="L69" s="115"/>
    </row>
    <row r="70" spans="2:12" s="1" customFormat="1" ht="14.25" x14ac:dyDescent="0.15">
      <c r="B70" s="82"/>
      <c r="C70" s="102"/>
      <c r="D70" s="103"/>
      <c r="E70" s="102"/>
      <c r="F70" s="224">
        <f>SUM(F37:F69)</f>
        <v>47820.270000000004</v>
      </c>
      <c r="G70" s="104"/>
      <c r="H70" s="105"/>
      <c r="I70" s="128">
        <f>SUM(I35:I69)</f>
        <v>14675.769608695653</v>
      </c>
      <c r="J70" s="106">
        <f>SUM(J34:J69)</f>
        <v>58.703078434782611</v>
      </c>
      <c r="K70" s="82"/>
      <c r="L70" s="115"/>
    </row>
    <row r="71" spans="2:12" s="1" customFormat="1" ht="14.25" x14ac:dyDescent="0.15">
      <c r="B71" s="82"/>
      <c r="C71" s="102"/>
      <c r="D71" s="103"/>
      <c r="E71" s="102" t="s">
        <v>147</v>
      </c>
      <c r="F71" s="224">
        <f>100/115*F70</f>
        <v>41582.843478260875</v>
      </c>
      <c r="G71" s="104"/>
      <c r="H71" s="105" t="s">
        <v>147</v>
      </c>
      <c r="I71" s="128">
        <f>100/115*I70</f>
        <v>12761.538790170132</v>
      </c>
      <c r="J71" s="257"/>
      <c r="L71" s="222"/>
    </row>
    <row r="72" spans="2:12" s="1" customFormat="1" ht="14.25" x14ac:dyDescent="0.15">
      <c r="B72" s="82"/>
      <c r="C72" s="102"/>
      <c r="D72" s="103"/>
      <c r="E72" s="102"/>
      <c r="F72" s="224"/>
      <c r="G72" s="104"/>
      <c r="H72" s="105"/>
      <c r="I72" s="128"/>
      <c r="J72" s="106"/>
      <c r="L72" s="222"/>
    </row>
    <row r="73" spans="2:12" s="1" customFormat="1" ht="14.25" x14ac:dyDescent="0.15">
      <c r="L73" s="222"/>
    </row>
    <row r="74" spans="2:12" s="1" customFormat="1" ht="14.25" x14ac:dyDescent="0.15">
      <c r="L74" s="222"/>
    </row>
    <row r="75" spans="2:12" s="1" customFormat="1" ht="14.25" x14ac:dyDescent="0.15">
      <c r="L75" s="222"/>
    </row>
    <row r="76" spans="2:12" s="1" customFormat="1" ht="14.25" x14ac:dyDescent="0.15">
      <c r="L76" s="222"/>
    </row>
    <row r="77" spans="2:12" s="247" customFormat="1" ht="32.25" x14ac:dyDescent="0.4">
      <c r="B77" s="248"/>
      <c r="C77" s="380" t="s">
        <v>112</v>
      </c>
      <c r="D77" s="380"/>
      <c r="E77" s="381" t="s">
        <v>148</v>
      </c>
      <c r="F77" s="381"/>
      <c r="G77" s="381"/>
      <c r="H77" s="381"/>
      <c r="I77" s="381"/>
      <c r="J77" s="382">
        <v>2026</v>
      </c>
      <c r="K77" s="382"/>
      <c r="L77" s="382"/>
    </row>
    <row r="78" spans="2:12" s="1" customFormat="1" ht="22.5" x14ac:dyDescent="0.15">
      <c r="B78" s="82"/>
      <c r="C78" s="102" t="s">
        <v>114</v>
      </c>
      <c r="D78" s="388" t="s">
        <v>115</v>
      </c>
      <c r="E78" s="388"/>
      <c r="F78" s="102" t="s">
        <v>116</v>
      </c>
      <c r="G78" s="102" t="s">
        <v>117</v>
      </c>
      <c r="H78" s="102" t="s">
        <v>118</v>
      </c>
      <c r="I78" s="102" t="s">
        <v>119</v>
      </c>
      <c r="J78" s="102" t="s">
        <v>120</v>
      </c>
      <c r="K78" s="82"/>
      <c r="L78" s="82"/>
    </row>
    <row r="79" spans="2:12" s="1" customFormat="1" ht="12.75" x14ac:dyDescent="0.15">
      <c r="B79" s="82"/>
      <c r="C79" s="66">
        <f>C32</f>
        <v>250</v>
      </c>
      <c r="D79" s="389">
        <v>20</v>
      </c>
      <c r="E79" s="389"/>
      <c r="F79" s="13">
        <f>F32</f>
        <v>0.75</v>
      </c>
      <c r="G79" s="14">
        <f>G32</f>
        <v>8</v>
      </c>
      <c r="H79" s="142">
        <f>D79*G79*F79</f>
        <v>120</v>
      </c>
      <c r="I79" s="66">
        <f>I139</f>
        <v>0</v>
      </c>
      <c r="J79" s="143">
        <f>H79-J139</f>
        <v>120</v>
      </c>
      <c r="K79" s="82"/>
      <c r="L79" s="82"/>
    </row>
    <row r="80" spans="2:12" s="1" customFormat="1" ht="33.75" x14ac:dyDescent="0.15">
      <c r="B80" s="82"/>
      <c r="C80" s="167" t="s">
        <v>121</v>
      </c>
      <c r="D80" s="395" t="s">
        <v>122</v>
      </c>
      <c r="E80" s="395"/>
      <c r="F80" s="177" t="s">
        <v>123</v>
      </c>
      <c r="G80" s="178" t="s">
        <v>124</v>
      </c>
      <c r="H80" s="179" t="s">
        <v>125</v>
      </c>
      <c r="I80" s="180" t="s">
        <v>126</v>
      </c>
      <c r="J80" s="178" t="s">
        <v>127</v>
      </c>
      <c r="K80" s="114" t="s">
        <v>128</v>
      </c>
      <c r="L80" s="114" t="s">
        <v>129</v>
      </c>
    </row>
    <row r="81" spans="2:12" s="1" customFormat="1" ht="12.75" x14ac:dyDescent="0.15">
      <c r="B81" s="82"/>
      <c r="C81" s="89"/>
      <c r="D81" s="391"/>
      <c r="E81" s="391"/>
      <c r="F81" s="184"/>
      <c r="G81" s="92"/>
      <c r="H81" s="92"/>
      <c r="I81" s="168"/>
      <c r="J81" s="185"/>
      <c r="K81" s="82"/>
      <c r="L81" s="82"/>
    </row>
    <row r="82" spans="2:12" s="1" customFormat="1" ht="12.75" x14ac:dyDescent="0.15">
      <c r="B82" s="82"/>
      <c r="C82" s="392" t="s">
        <v>130</v>
      </c>
      <c r="D82" s="392"/>
      <c r="E82" s="392"/>
      <c r="F82" s="184"/>
      <c r="G82" s="92"/>
      <c r="H82" s="92"/>
      <c r="I82" s="168"/>
      <c r="J82" s="185"/>
      <c r="K82" s="82"/>
      <c r="L82" s="82"/>
    </row>
    <row r="83" spans="2:12" s="1" customFormat="1" ht="12.75" x14ac:dyDescent="0.15">
      <c r="B83" s="82"/>
      <c r="C83" s="167" t="s">
        <v>149</v>
      </c>
      <c r="D83" s="167"/>
      <c r="E83" s="167"/>
      <c r="F83" s="168"/>
      <c r="G83" s="92"/>
      <c r="H83" s="92"/>
      <c r="I83" s="168"/>
      <c r="J83" s="185"/>
      <c r="K83" s="82"/>
      <c r="L83" s="82"/>
    </row>
    <row r="84" spans="2:12" s="1" customFormat="1" ht="12.75" customHeight="1" x14ac:dyDescent="0.15">
      <c r="B84" s="82">
        <v>1</v>
      </c>
      <c r="C84" s="203"/>
      <c r="D84" s="90"/>
      <c r="E84" s="90"/>
      <c r="F84" s="168"/>
      <c r="G84" s="92"/>
      <c r="H84" s="92">
        <v>1</v>
      </c>
      <c r="I84" s="218">
        <f>J84*$C$32</f>
        <v>0</v>
      </c>
      <c r="J84" s="94">
        <f t="shared" ref="J84:J93" si="2">(F84*G84*H84)/$C$32</f>
        <v>0</v>
      </c>
      <c r="K84" s="82"/>
      <c r="L84" s="82"/>
    </row>
    <row r="85" spans="2:12" s="1" customFormat="1" ht="12.75" customHeight="1" x14ac:dyDescent="0.15">
      <c r="B85" s="82">
        <v>2</v>
      </c>
      <c r="C85" s="203"/>
      <c r="D85" s="90"/>
      <c r="E85" s="90"/>
      <c r="F85" s="168"/>
      <c r="G85" s="92"/>
      <c r="H85" s="92">
        <v>1</v>
      </c>
      <c r="I85" s="218">
        <f>J85*$C$32</f>
        <v>0</v>
      </c>
      <c r="J85" s="94">
        <f t="shared" si="2"/>
        <v>0</v>
      </c>
      <c r="K85" s="82"/>
      <c r="L85" s="82"/>
    </row>
    <row r="86" spans="2:12" s="1" customFormat="1" ht="12.75" customHeight="1" x14ac:dyDescent="0.15">
      <c r="B86" s="82">
        <v>3</v>
      </c>
      <c r="C86" s="203"/>
      <c r="D86" s="90"/>
      <c r="E86" s="90"/>
      <c r="F86" s="168"/>
      <c r="G86" s="92"/>
      <c r="H86" s="92">
        <v>1</v>
      </c>
      <c r="I86" s="218">
        <f t="shared" ref="I86:I93" si="3">J86*$C$32</f>
        <v>0</v>
      </c>
      <c r="J86" s="94">
        <f t="shared" si="2"/>
        <v>0</v>
      </c>
      <c r="K86" s="82"/>
      <c r="L86" s="82"/>
    </row>
    <row r="87" spans="2:12" s="1" customFormat="1" ht="12.75" customHeight="1" x14ac:dyDescent="0.15">
      <c r="B87" s="82">
        <v>4</v>
      </c>
      <c r="C87" s="203"/>
      <c r="D87" s="90"/>
      <c r="E87" s="90"/>
      <c r="F87" s="168"/>
      <c r="G87" s="92"/>
      <c r="H87" s="92">
        <v>1</v>
      </c>
      <c r="I87" s="218">
        <f t="shared" si="3"/>
        <v>0</v>
      </c>
      <c r="J87" s="94">
        <f t="shared" si="2"/>
        <v>0</v>
      </c>
      <c r="K87" s="82"/>
      <c r="L87" s="82"/>
    </row>
    <row r="88" spans="2:12" s="1" customFormat="1" ht="12.75" customHeight="1" x14ac:dyDescent="0.15">
      <c r="B88" s="82">
        <v>5</v>
      </c>
      <c r="C88" s="203"/>
      <c r="D88" s="90"/>
      <c r="E88" s="90"/>
      <c r="F88" s="168"/>
      <c r="G88" s="92"/>
      <c r="H88" s="92">
        <v>1</v>
      </c>
      <c r="I88" s="218">
        <f t="shared" si="3"/>
        <v>0</v>
      </c>
      <c r="J88" s="94">
        <f t="shared" si="2"/>
        <v>0</v>
      </c>
      <c r="K88" s="82"/>
      <c r="L88" s="82"/>
    </row>
    <row r="89" spans="2:12" s="1" customFormat="1" ht="12.75" customHeight="1" x14ac:dyDescent="0.15">
      <c r="B89" s="82">
        <v>6</v>
      </c>
      <c r="C89" s="203"/>
      <c r="D89" s="90"/>
      <c r="E89" s="90"/>
      <c r="F89" s="168"/>
      <c r="G89" s="92"/>
      <c r="H89" s="92">
        <v>1</v>
      </c>
      <c r="I89" s="218">
        <f t="shared" si="3"/>
        <v>0</v>
      </c>
      <c r="J89" s="94">
        <f t="shared" si="2"/>
        <v>0</v>
      </c>
      <c r="K89" s="82"/>
      <c r="L89" s="82"/>
    </row>
    <row r="90" spans="2:12" s="1" customFormat="1" ht="12.75" customHeight="1" x14ac:dyDescent="0.15">
      <c r="B90" s="82">
        <v>7</v>
      </c>
      <c r="C90" s="203"/>
      <c r="D90" s="90"/>
      <c r="E90" s="90"/>
      <c r="F90" s="168"/>
      <c r="G90" s="92"/>
      <c r="H90" s="92">
        <v>1</v>
      </c>
      <c r="I90" s="218">
        <f t="shared" si="3"/>
        <v>0</v>
      </c>
      <c r="J90" s="94">
        <f t="shared" si="2"/>
        <v>0</v>
      </c>
      <c r="K90" s="82"/>
      <c r="L90" s="82"/>
    </row>
    <row r="91" spans="2:12" s="1" customFormat="1" ht="12.75" customHeight="1" x14ac:dyDescent="0.15">
      <c r="B91" s="82">
        <v>8</v>
      </c>
      <c r="C91" s="203"/>
      <c r="D91" s="90"/>
      <c r="E91" s="90"/>
      <c r="F91" s="168"/>
      <c r="G91" s="92"/>
      <c r="H91" s="92">
        <v>1</v>
      </c>
      <c r="I91" s="218">
        <f t="shared" si="3"/>
        <v>0</v>
      </c>
      <c r="J91" s="94">
        <f t="shared" si="2"/>
        <v>0</v>
      </c>
      <c r="K91" s="82"/>
      <c r="L91" s="82"/>
    </row>
    <row r="92" spans="2:12" s="1" customFormat="1" ht="12.75" customHeight="1" x14ac:dyDescent="0.15">
      <c r="B92" s="82">
        <v>9</v>
      </c>
      <c r="C92" s="203"/>
      <c r="D92" s="90"/>
      <c r="E92" s="90"/>
      <c r="F92" s="168"/>
      <c r="G92" s="92"/>
      <c r="H92" s="92">
        <v>1</v>
      </c>
      <c r="I92" s="218">
        <f t="shared" si="3"/>
        <v>0</v>
      </c>
      <c r="J92" s="94">
        <f t="shared" si="2"/>
        <v>0</v>
      </c>
      <c r="K92" s="82"/>
      <c r="L92" s="82"/>
    </row>
    <row r="93" spans="2:12" s="1" customFormat="1" ht="12.75" customHeight="1" x14ac:dyDescent="0.15">
      <c r="B93" s="82">
        <v>10</v>
      </c>
      <c r="C93" s="203"/>
      <c r="D93" s="90"/>
      <c r="E93" s="90"/>
      <c r="F93" s="168"/>
      <c r="G93" s="92"/>
      <c r="H93" s="92">
        <v>1</v>
      </c>
      <c r="I93" s="218">
        <f t="shared" si="3"/>
        <v>0</v>
      </c>
      <c r="J93" s="94">
        <f t="shared" si="2"/>
        <v>0</v>
      </c>
      <c r="K93" s="82"/>
      <c r="L93" s="82"/>
    </row>
    <row r="94" spans="2:12" s="1" customFormat="1" ht="12.75" customHeight="1" x14ac:dyDescent="0.15">
      <c r="B94" s="82"/>
      <c r="C94" s="203"/>
      <c r="D94" s="90"/>
      <c r="E94" s="90"/>
      <c r="F94" s="168"/>
      <c r="G94" s="92"/>
      <c r="H94" s="92"/>
      <c r="I94" s="218"/>
      <c r="J94" s="94"/>
      <c r="K94" s="82"/>
      <c r="L94" s="82"/>
    </row>
    <row r="95" spans="2:12" s="1" customFormat="1" ht="12.75" customHeight="1" x14ac:dyDescent="0.15">
      <c r="B95" s="82"/>
      <c r="C95" s="203"/>
      <c r="D95" s="90"/>
      <c r="E95" s="90"/>
      <c r="F95" s="168"/>
      <c r="G95" s="92"/>
      <c r="H95" s="92"/>
      <c r="I95" s="218"/>
      <c r="J95" s="94"/>
      <c r="K95" s="82"/>
      <c r="L95" s="82"/>
    </row>
    <row r="96" spans="2:12" s="1" customFormat="1" ht="12.75" customHeight="1" x14ac:dyDescent="0.15">
      <c r="B96" s="82"/>
      <c r="C96" s="187" t="s">
        <v>153</v>
      </c>
      <c r="D96" s="90"/>
      <c r="E96" s="90"/>
      <c r="F96" s="168"/>
      <c r="G96" s="92"/>
      <c r="H96" s="92"/>
      <c r="I96" s="218"/>
      <c r="J96" s="94"/>
      <c r="K96" s="82"/>
      <c r="L96" s="82"/>
    </row>
    <row r="97" spans="2:12" s="1" customFormat="1" ht="12.75" x14ac:dyDescent="0.15">
      <c r="B97" s="82">
        <v>1</v>
      </c>
      <c r="C97" s="188"/>
      <c r="D97" s="204"/>
      <c r="E97" s="204"/>
      <c r="F97" s="218"/>
      <c r="G97" s="212"/>
      <c r="H97" s="92">
        <v>1</v>
      </c>
      <c r="I97" s="218">
        <f t="shared" ref="I97:I115" si="4">J97*$C$32</f>
        <v>0</v>
      </c>
      <c r="J97" s="94">
        <f t="shared" ref="J97:J115" si="5">(F97*G97*H97)/$C$32</f>
        <v>0</v>
      </c>
      <c r="K97" s="82"/>
      <c r="L97" s="82"/>
    </row>
    <row r="98" spans="2:12" s="1" customFormat="1" ht="12.75" x14ac:dyDescent="0.15">
      <c r="B98" s="82">
        <v>2</v>
      </c>
      <c r="C98" s="188"/>
      <c r="D98" s="204"/>
      <c r="E98" s="204"/>
      <c r="F98" s="218"/>
      <c r="G98" s="212"/>
      <c r="H98" s="92">
        <v>1</v>
      </c>
      <c r="I98" s="218">
        <f t="shared" si="4"/>
        <v>0</v>
      </c>
      <c r="J98" s="213">
        <f t="shared" si="5"/>
        <v>0</v>
      </c>
      <c r="K98" s="82"/>
      <c r="L98" s="82"/>
    </row>
    <row r="99" spans="2:12" s="1" customFormat="1" ht="12.75" x14ac:dyDescent="0.15">
      <c r="B99" s="82">
        <v>3</v>
      </c>
      <c r="C99" s="189"/>
      <c r="D99" s="204"/>
      <c r="E99" s="204"/>
      <c r="F99" s="218"/>
      <c r="G99" s="212"/>
      <c r="H99" s="92">
        <v>1</v>
      </c>
      <c r="I99" s="218">
        <f t="shared" si="4"/>
        <v>0</v>
      </c>
      <c r="J99" s="94">
        <f t="shared" si="5"/>
        <v>0</v>
      </c>
      <c r="K99" s="82"/>
      <c r="L99" s="82"/>
    </row>
    <row r="100" spans="2:12" s="1" customFormat="1" ht="12.75" x14ac:dyDescent="0.15">
      <c r="B100" s="82">
        <v>4</v>
      </c>
      <c r="C100" s="188"/>
      <c r="D100" s="205"/>
      <c r="E100" s="205"/>
      <c r="F100" s="218"/>
      <c r="G100" s="212"/>
      <c r="H100" s="92">
        <v>1</v>
      </c>
      <c r="I100" s="218">
        <f t="shared" si="4"/>
        <v>0</v>
      </c>
      <c r="J100" s="94">
        <f t="shared" si="5"/>
        <v>0</v>
      </c>
      <c r="K100" s="82"/>
      <c r="L100" s="82"/>
    </row>
    <row r="101" spans="2:12" s="1" customFormat="1" ht="12.75" x14ac:dyDescent="0.15">
      <c r="B101" s="82">
        <v>5</v>
      </c>
      <c r="C101" s="188"/>
      <c r="D101" s="204"/>
      <c r="E101" s="204"/>
      <c r="F101" s="218"/>
      <c r="G101" s="212"/>
      <c r="H101" s="92">
        <v>1</v>
      </c>
      <c r="I101" s="218">
        <f t="shared" si="4"/>
        <v>0</v>
      </c>
      <c r="J101" s="94">
        <f t="shared" si="5"/>
        <v>0</v>
      </c>
      <c r="K101" s="82"/>
      <c r="L101" s="82"/>
    </row>
    <row r="102" spans="2:12" s="1" customFormat="1" ht="12.75" x14ac:dyDescent="0.15">
      <c r="B102" s="82">
        <v>6</v>
      </c>
      <c r="C102" s="188"/>
      <c r="D102" s="204"/>
      <c r="E102" s="204"/>
      <c r="F102" s="218"/>
      <c r="G102" s="212"/>
      <c r="H102" s="92">
        <v>1</v>
      </c>
      <c r="I102" s="218">
        <f t="shared" si="4"/>
        <v>0</v>
      </c>
      <c r="J102" s="94">
        <f t="shared" si="5"/>
        <v>0</v>
      </c>
      <c r="K102" s="82"/>
      <c r="L102" s="82"/>
    </row>
    <row r="103" spans="2:12" s="1" customFormat="1" ht="12.75" x14ac:dyDescent="0.15">
      <c r="B103" s="82">
        <v>7</v>
      </c>
      <c r="C103" s="188"/>
      <c r="D103" s="206"/>
      <c r="E103" s="206"/>
      <c r="F103" s="218"/>
      <c r="G103" s="212"/>
      <c r="H103" s="92">
        <v>1</v>
      </c>
      <c r="I103" s="218">
        <f t="shared" si="4"/>
        <v>0</v>
      </c>
      <c r="J103" s="94">
        <f t="shared" si="5"/>
        <v>0</v>
      </c>
      <c r="K103" s="82"/>
      <c r="L103" s="82"/>
    </row>
    <row r="104" spans="2:12" s="1" customFormat="1" ht="12.75" x14ac:dyDescent="0.15">
      <c r="B104" s="82">
        <v>8</v>
      </c>
      <c r="C104" s="113"/>
      <c r="D104" s="206"/>
      <c r="E104" s="206"/>
      <c r="F104" s="218"/>
      <c r="G104" s="212"/>
      <c r="H104" s="92">
        <v>1</v>
      </c>
      <c r="I104" s="218">
        <f t="shared" si="4"/>
        <v>0</v>
      </c>
      <c r="J104" s="94">
        <f t="shared" si="5"/>
        <v>0</v>
      </c>
      <c r="K104" s="82"/>
      <c r="L104" s="82"/>
    </row>
    <row r="105" spans="2:12" s="1" customFormat="1" ht="12.75" x14ac:dyDescent="0.15">
      <c r="B105" s="82">
        <v>9</v>
      </c>
      <c r="C105" s="188"/>
      <c r="D105" s="204"/>
      <c r="E105" s="204"/>
      <c r="F105" s="218"/>
      <c r="G105" s="212"/>
      <c r="H105" s="92">
        <v>1</v>
      </c>
      <c r="I105" s="218">
        <f t="shared" si="4"/>
        <v>0</v>
      </c>
      <c r="J105" s="94">
        <f t="shared" si="5"/>
        <v>0</v>
      </c>
      <c r="K105" s="82"/>
      <c r="L105" s="82"/>
    </row>
    <row r="106" spans="2:12" s="1" customFormat="1" ht="12.75" x14ac:dyDescent="0.15">
      <c r="B106" s="82">
        <v>10</v>
      </c>
      <c r="C106" s="188"/>
      <c r="D106" s="204"/>
      <c r="E106" s="204"/>
      <c r="F106" s="218"/>
      <c r="G106" s="212"/>
      <c r="H106" s="92">
        <v>1</v>
      </c>
      <c r="I106" s="218">
        <f t="shared" si="4"/>
        <v>0</v>
      </c>
      <c r="J106" s="94">
        <f t="shared" si="5"/>
        <v>0</v>
      </c>
      <c r="K106" s="82"/>
      <c r="L106" s="82"/>
    </row>
    <row r="107" spans="2:12" s="1" customFormat="1" ht="12.75" x14ac:dyDescent="0.15">
      <c r="B107" s="82">
        <v>11</v>
      </c>
      <c r="C107" s="188"/>
      <c r="D107" s="204"/>
      <c r="E107" s="204"/>
      <c r="F107" s="218"/>
      <c r="G107" s="212"/>
      <c r="H107" s="92">
        <v>1</v>
      </c>
      <c r="I107" s="218">
        <f t="shared" si="4"/>
        <v>0</v>
      </c>
      <c r="J107" s="94">
        <f t="shared" si="5"/>
        <v>0</v>
      </c>
      <c r="K107" s="82"/>
      <c r="L107" s="82"/>
    </row>
    <row r="108" spans="2:12" s="1" customFormat="1" ht="12.75" x14ac:dyDescent="0.15">
      <c r="B108" s="82">
        <v>12</v>
      </c>
      <c r="C108" s="188"/>
      <c r="D108" s="204"/>
      <c r="E108" s="204"/>
      <c r="F108" s="218"/>
      <c r="G108" s="212"/>
      <c r="H108" s="92">
        <v>1</v>
      </c>
      <c r="I108" s="218">
        <f t="shared" si="4"/>
        <v>0</v>
      </c>
      <c r="J108" s="94">
        <f t="shared" si="5"/>
        <v>0</v>
      </c>
      <c r="K108" s="82"/>
      <c r="L108" s="82"/>
    </row>
    <row r="109" spans="2:12" s="1" customFormat="1" ht="14.25" x14ac:dyDescent="0.15">
      <c r="B109" s="82">
        <v>13</v>
      </c>
      <c r="C109" s="188"/>
      <c r="D109" s="204"/>
      <c r="E109" s="204"/>
      <c r="F109" s="218"/>
      <c r="G109" s="212"/>
      <c r="H109" s="92">
        <v>1</v>
      </c>
      <c r="I109" s="218">
        <f t="shared" si="4"/>
        <v>0</v>
      </c>
      <c r="J109" s="94">
        <f t="shared" si="5"/>
        <v>0</v>
      </c>
      <c r="K109" s="82"/>
      <c r="L109" s="115"/>
    </row>
    <row r="110" spans="2:12" s="1" customFormat="1" ht="14.25" x14ac:dyDescent="0.15">
      <c r="B110" s="82">
        <v>14</v>
      </c>
      <c r="C110" s="189"/>
      <c r="D110" s="204"/>
      <c r="E110" s="206"/>
      <c r="F110" s="218"/>
      <c r="G110" s="212"/>
      <c r="H110" s="92">
        <v>1</v>
      </c>
      <c r="I110" s="218">
        <f t="shared" si="4"/>
        <v>0</v>
      </c>
      <c r="J110" s="94">
        <f t="shared" si="5"/>
        <v>0</v>
      </c>
      <c r="K110" s="82"/>
      <c r="L110" s="115"/>
    </row>
    <row r="111" spans="2:12" s="1" customFormat="1" ht="14.25" x14ac:dyDescent="0.15">
      <c r="B111" s="82">
        <v>15</v>
      </c>
      <c r="C111" s="189"/>
      <c r="D111" s="206"/>
      <c r="E111" s="206"/>
      <c r="F111" s="218"/>
      <c r="G111" s="212"/>
      <c r="H111" s="92">
        <v>1</v>
      </c>
      <c r="I111" s="218">
        <f t="shared" si="4"/>
        <v>0</v>
      </c>
      <c r="J111" s="94">
        <f t="shared" si="5"/>
        <v>0</v>
      </c>
      <c r="K111" s="82"/>
      <c r="L111" s="115"/>
    </row>
    <row r="112" spans="2:12" s="1" customFormat="1" ht="14.25" x14ac:dyDescent="0.15">
      <c r="B112" s="82">
        <v>16</v>
      </c>
      <c r="C112" s="189"/>
      <c r="D112" s="206"/>
      <c r="E112" s="206"/>
      <c r="F112" s="221"/>
      <c r="G112" s="212"/>
      <c r="H112" s="92">
        <v>1</v>
      </c>
      <c r="I112" s="218">
        <f t="shared" si="4"/>
        <v>0</v>
      </c>
      <c r="J112" s="94">
        <f t="shared" si="5"/>
        <v>0</v>
      </c>
      <c r="K112" s="82"/>
      <c r="L112" s="115"/>
    </row>
    <row r="113" spans="2:12" s="1" customFormat="1" ht="14.25" x14ac:dyDescent="0.15">
      <c r="B113" s="82">
        <v>17</v>
      </c>
      <c r="C113" s="189"/>
      <c r="D113" s="206"/>
      <c r="E113" s="206"/>
      <c r="F113" s="218"/>
      <c r="G113" s="212"/>
      <c r="H113" s="92">
        <v>1</v>
      </c>
      <c r="I113" s="218">
        <f t="shared" si="4"/>
        <v>0</v>
      </c>
      <c r="J113" s="94">
        <f t="shared" si="5"/>
        <v>0</v>
      </c>
      <c r="K113" s="82"/>
      <c r="L113" s="115"/>
    </row>
    <row r="114" spans="2:12" s="1" customFormat="1" ht="14.25" x14ac:dyDescent="0.15">
      <c r="B114" s="82">
        <v>18</v>
      </c>
      <c r="C114" s="189"/>
      <c r="D114" s="206"/>
      <c r="E114" s="206"/>
      <c r="F114" s="218"/>
      <c r="G114" s="212"/>
      <c r="H114" s="92">
        <v>1</v>
      </c>
      <c r="I114" s="218">
        <f t="shared" si="4"/>
        <v>0</v>
      </c>
      <c r="J114" s="94">
        <f t="shared" si="5"/>
        <v>0</v>
      </c>
      <c r="K114" s="82"/>
      <c r="L114" s="115"/>
    </row>
    <row r="115" spans="2:12" s="1" customFormat="1" ht="14.25" x14ac:dyDescent="0.15">
      <c r="B115" s="82">
        <v>19</v>
      </c>
      <c r="C115" s="189"/>
      <c r="D115" s="206"/>
      <c r="E115" s="206"/>
      <c r="F115" s="218"/>
      <c r="G115" s="212"/>
      <c r="H115" s="92">
        <v>1</v>
      </c>
      <c r="I115" s="168">
        <f t="shared" si="4"/>
        <v>0</v>
      </c>
      <c r="J115" s="94">
        <f t="shared" si="5"/>
        <v>0</v>
      </c>
      <c r="K115" s="82"/>
      <c r="L115" s="115"/>
    </row>
    <row r="116" spans="2:12" s="1" customFormat="1" ht="14.25" x14ac:dyDescent="0.15">
      <c r="B116" s="82">
        <v>20</v>
      </c>
      <c r="C116" s="189"/>
      <c r="D116" s="206"/>
      <c r="E116" s="206"/>
      <c r="F116" s="218"/>
      <c r="G116" s="212"/>
      <c r="H116" s="92">
        <v>1</v>
      </c>
      <c r="I116" s="168">
        <f>J116*$C$32</f>
        <v>0</v>
      </c>
      <c r="J116" s="94">
        <f>(F116*G116*H116)/$C$32</f>
        <v>0</v>
      </c>
      <c r="K116" s="82"/>
      <c r="L116" s="115"/>
    </row>
    <row r="117" spans="2:12" s="1" customFormat="1" ht="14.25" x14ac:dyDescent="0.15">
      <c r="B117" s="82"/>
      <c r="C117" s="188"/>
      <c r="D117" s="206"/>
      <c r="E117" s="206"/>
      <c r="F117" s="218"/>
      <c r="G117" s="212"/>
      <c r="H117" s="92"/>
      <c r="I117" s="168"/>
      <c r="J117" s="94"/>
      <c r="K117" s="82"/>
      <c r="L117" s="115"/>
    </row>
    <row r="118" spans="2:12" s="1" customFormat="1" ht="14.25" x14ac:dyDescent="0.15">
      <c r="B118" s="82"/>
      <c r="C118" s="188"/>
      <c r="D118" s="206"/>
      <c r="E118" s="206"/>
      <c r="F118" s="218"/>
      <c r="G118" s="212"/>
      <c r="H118" s="92"/>
      <c r="I118" s="168"/>
      <c r="J118" s="94"/>
      <c r="K118" s="82"/>
      <c r="L118" s="115"/>
    </row>
    <row r="119" spans="2:12" s="1" customFormat="1" ht="14.25" x14ac:dyDescent="0.15">
      <c r="B119" s="82"/>
      <c r="C119" s="167" t="s">
        <v>150</v>
      </c>
      <c r="D119" s="90"/>
      <c r="E119" s="90"/>
      <c r="F119" s="168"/>
      <c r="G119" s="92"/>
      <c r="H119" s="92"/>
      <c r="I119" s="168"/>
      <c r="J119" s="94"/>
      <c r="K119" s="82"/>
      <c r="L119" s="115"/>
    </row>
    <row r="120" spans="2:12" s="1" customFormat="1" ht="14.25" x14ac:dyDescent="0.15">
      <c r="B120" s="82">
        <v>1</v>
      </c>
      <c r="C120" s="189"/>
      <c r="D120" s="206"/>
      <c r="E120" s="206"/>
      <c r="F120" s="168"/>
      <c r="G120" s="214"/>
      <c r="H120" s="92">
        <v>1</v>
      </c>
      <c r="I120" s="218">
        <f t="shared" ref="I120:I128" si="6">J120*$C$32</f>
        <v>0</v>
      </c>
      <c r="J120" s="94">
        <f>(F120*G120*H120)/$C$32</f>
        <v>0</v>
      </c>
      <c r="K120" s="82"/>
      <c r="L120" s="115"/>
    </row>
    <row r="121" spans="2:12" s="1" customFormat="1" ht="12.75" x14ac:dyDescent="0.15">
      <c r="B121" s="82">
        <v>2</v>
      </c>
      <c r="C121" s="189"/>
      <c r="D121" s="393"/>
      <c r="E121" s="393"/>
      <c r="F121" s="168"/>
      <c r="G121" s="92"/>
      <c r="H121" s="92">
        <v>1</v>
      </c>
      <c r="I121" s="168">
        <f t="shared" si="6"/>
        <v>0</v>
      </c>
      <c r="J121" s="185">
        <f t="shared" ref="J121:J128" si="7">(F121*G121*H121)/$C$32</f>
        <v>0</v>
      </c>
      <c r="K121" s="82"/>
      <c r="L121" s="82"/>
    </row>
    <row r="122" spans="2:12" s="1" customFormat="1" ht="12.75" x14ac:dyDescent="0.15">
      <c r="B122" s="82">
        <v>3</v>
      </c>
      <c r="C122" s="189"/>
      <c r="D122" s="394"/>
      <c r="E122" s="394"/>
      <c r="F122" s="168"/>
      <c r="G122" s="92"/>
      <c r="H122" s="92">
        <v>1</v>
      </c>
      <c r="I122" s="168">
        <f t="shared" si="6"/>
        <v>0</v>
      </c>
      <c r="J122" s="185">
        <f t="shared" si="7"/>
        <v>0</v>
      </c>
      <c r="K122" s="82"/>
      <c r="L122" s="82"/>
    </row>
    <row r="123" spans="2:12" s="1" customFormat="1" ht="12.75" x14ac:dyDescent="0.15">
      <c r="B123" s="82">
        <v>4</v>
      </c>
      <c r="C123" s="189"/>
      <c r="D123" s="206"/>
      <c r="E123" s="206"/>
      <c r="F123" s="168"/>
      <c r="G123" s="92"/>
      <c r="H123" s="92">
        <v>1</v>
      </c>
      <c r="I123" s="168">
        <f t="shared" si="6"/>
        <v>0</v>
      </c>
      <c r="J123" s="185">
        <f t="shared" si="7"/>
        <v>0</v>
      </c>
      <c r="K123" s="82"/>
      <c r="L123" s="82"/>
    </row>
    <row r="124" spans="2:12" s="1" customFormat="1" ht="12.75" x14ac:dyDescent="0.15">
      <c r="B124" s="82">
        <v>5</v>
      </c>
      <c r="C124" s="189"/>
      <c r="D124" s="206"/>
      <c r="E124" s="206"/>
      <c r="F124" s="168"/>
      <c r="G124" s="92"/>
      <c r="H124" s="92">
        <v>1</v>
      </c>
      <c r="I124" s="168">
        <f t="shared" si="6"/>
        <v>0</v>
      </c>
      <c r="J124" s="185">
        <f t="shared" si="7"/>
        <v>0</v>
      </c>
      <c r="K124" s="82"/>
      <c r="L124" s="82"/>
    </row>
    <row r="125" spans="2:12" s="1" customFormat="1" ht="12.75" x14ac:dyDescent="0.15">
      <c r="B125" s="82">
        <v>7</v>
      </c>
      <c r="C125" s="189"/>
      <c r="D125" s="206"/>
      <c r="E125" s="206"/>
      <c r="F125" s="168"/>
      <c r="G125" s="92"/>
      <c r="H125" s="92">
        <v>1</v>
      </c>
      <c r="I125" s="168">
        <f t="shared" si="6"/>
        <v>0</v>
      </c>
      <c r="J125" s="185">
        <f t="shared" si="7"/>
        <v>0</v>
      </c>
      <c r="K125" s="82"/>
      <c r="L125" s="82"/>
    </row>
    <row r="126" spans="2:12" s="1" customFormat="1" ht="12.75" x14ac:dyDescent="0.15">
      <c r="B126" s="82">
        <v>8</v>
      </c>
      <c r="C126" s="189"/>
      <c r="D126" s="206"/>
      <c r="E126" s="206"/>
      <c r="F126" s="168"/>
      <c r="G126" s="92"/>
      <c r="H126" s="92">
        <v>1</v>
      </c>
      <c r="I126" s="168">
        <f t="shared" si="6"/>
        <v>0</v>
      </c>
      <c r="J126" s="185">
        <f t="shared" si="7"/>
        <v>0</v>
      </c>
      <c r="K126" s="82"/>
      <c r="L126" s="82"/>
    </row>
    <row r="127" spans="2:12" s="1" customFormat="1" ht="12.75" x14ac:dyDescent="0.15">
      <c r="B127" s="82">
        <v>9</v>
      </c>
      <c r="C127" s="189"/>
      <c r="D127" s="206"/>
      <c r="E127" s="206"/>
      <c r="F127" s="168"/>
      <c r="G127" s="92"/>
      <c r="H127" s="92">
        <v>1</v>
      </c>
      <c r="I127" s="168">
        <f t="shared" si="6"/>
        <v>0</v>
      </c>
      <c r="J127" s="185">
        <f t="shared" si="7"/>
        <v>0</v>
      </c>
      <c r="K127" s="82"/>
      <c r="L127" s="82"/>
    </row>
    <row r="128" spans="2:12" s="1" customFormat="1" ht="12.75" x14ac:dyDescent="0.15">
      <c r="B128" s="82">
        <v>10</v>
      </c>
      <c r="C128" s="189"/>
      <c r="D128" s="206"/>
      <c r="E128" s="206"/>
      <c r="F128" s="168"/>
      <c r="G128" s="92"/>
      <c r="H128" s="92">
        <v>1</v>
      </c>
      <c r="I128" s="168">
        <f t="shared" si="6"/>
        <v>0</v>
      </c>
      <c r="J128" s="185">
        <f t="shared" si="7"/>
        <v>0</v>
      </c>
      <c r="K128" s="82"/>
      <c r="L128" s="82"/>
    </row>
    <row r="129" spans="2:12" s="1" customFormat="1" ht="12.75" x14ac:dyDescent="0.15">
      <c r="B129" s="82">
        <v>11</v>
      </c>
      <c r="C129" s="189"/>
      <c r="D129" s="206"/>
      <c r="E129" s="206"/>
      <c r="F129" s="168"/>
      <c r="G129" s="92"/>
      <c r="H129" s="92">
        <v>1</v>
      </c>
      <c r="I129" s="168"/>
      <c r="J129" s="185"/>
      <c r="K129" s="82"/>
      <c r="L129" s="82"/>
    </row>
    <row r="130" spans="2:12" s="1" customFormat="1" ht="12.75" x14ac:dyDescent="0.15">
      <c r="B130" s="82">
        <v>12</v>
      </c>
      <c r="C130" s="189"/>
      <c r="D130" s="206"/>
      <c r="E130" s="206"/>
      <c r="F130" s="168"/>
      <c r="G130" s="92"/>
      <c r="H130" s="92">
        <v>1</v>
      </c>
      <c r="I130" s="168"/>
      <c r="J130" s="185"/>
      <c r="K130" s="82"/>
      <c r="L130" s="82"/>
    </row>
    <row r="131" spans="2:12" s="1" customFormat="1" ht="12.75" x14ac:dyDescent="0.15">
      <c r="B131" s="82">
        <v>14</v>
      </c>
      <c r="C131" s="189"/>
      <c r="D131" s="206"/>
      <c r="E131" s="206"/>
      <c r="F131" s="168"/>
      <c r="G131" s="92"/>
      <c r="H131" s="92">
        <v>1</v>
      </c>
      <c r="I131" s="168">
        <f t="shared" ref="I131:I137" si="8">J131*$C$32</f>
        <v>0</v>
      </c>
      <c r="J131" s="185">
        <f t="shared" ref="J131:J132" si="9">(F131*G131*H131)/$C$32</f>
        <v>0</v>
      </c>
      <c r="K131" s="82"/>
      <c r="L131" s="82"/>
    </row>
    <row r="132" spans="2:12" s="1" customFormat="1" ht="12.75" x14ac:dyDescent="0.15">
      <c r="B132" s="82">
        <v>15</v>
      </c>
      <c r="C132" s="189"/>
      <c r="D132" s="206"/>
      <c r="E132" s="206"/>
      <c r="F132" s="168"/>
      <c r="G132" s="92"/>
      <c r="H132" s="92">
        <v>1</v>
      </c>
      <c r="I132" s="168">
        <f t="shared" si="8"/>
        <v>0</v>
      </c>
      <c r="J132" s="185">
        <f t="shared" si="9"/>
        <v>0</v>
      </c>
      <c r="K132" s="82"/>
      <c r="L132" s="82"/>
    </row>
    <row r="133" spans="2:12" s="1" customFormat="1" ht="12.75" x14ac:dyDescent="0.15">
      <c r="B133" s="82">
        <v>16</v>
      </c>
      <c r="C133" s="189"/>
      <c r="D133" s="206"/>
      <c r="E133" s="206"/>
      <c r="F133" s="168"/>
      <c r="G133" s="92"/>
      <c r="H133" s="92">
        <v>1</v>
      </c>
      <c r="I133" s="168">
        <f t="shared" si="8"/>
        <v>0</v>
      </c>
      <c r="J133" s="185">
        <f>(F133*G133*H133)/$C$32</f>
        <v>0</v>
      </c>
      <c r="K133" s="82"/>
      <c r="L133" s="82"/>
    </row>
    <row r="134" spans="2:12" s="1" customFormat="1" ht="12.75" x14ac:dyDescent="0.15">
      <c r="B134" s="82">
        <v>17</v>
      </c>
      <c r="C134" s="189"/>
      <c r="D134" s="206"/>
      <c r="E134" s="206"/>
      <c r="F134" s="168"/>
      <c r="G134" s="92"/>
      <c r="H134" s="92">
        <v>1</v>
      </c>
      <c r="I134" s="168">
        <f t="shared" si="8"/>
        <v>0</v>
      </c>
      <c r="J134" s="185">
        <f>(F134*G134*H134)/$C$32</f>
        <v>0</v>
      </c>
      <c r="K134" s="82"/>
      <c r="L134" s="82"/>
    </row>
    <row r="135" spans="2:12" s="1" customFormat="1" ht="12.75" x14ac:dyDescent="0.15">
      <c r="B135" s="82">
        <v>18</v>
      </c>
      <c r="C135" s="189"/>
      <c r="D135" s="206"/>
      <c r="E135" s="206"/>
      <c r="F135" s="168"/>
      <c r="G135" s="92"/>
      <c r="H135" s="92">
        <v>1</v>
      </c>
      <c r="I135" s="168">
        <f t="shared" si="8"/>
        <v>0</v>
      </c>
      <c r="J135" s="185">
        <f>(F135*G135*H135)/$C$32</f>
        <v>0</v>
      </c>
      <c r="K135" s="242"/>
      <c r="L135" s="82"/>
    </row>
    <row r="136" spans="2:12" s="1" customFormat="1" ht="12.75" x14ac:dyDescent="0.15">
      <c r="B136" s="82">
        <v>19</v>
      </c>
      <c r="C136" s="189"/>
      <c r="D136" s="206"/>
      <c r="E136" s="206"/>
      <c r="F136" s="168"/>
      <c r="G136" s="92"/>
      <c r="H136" s="92">
        <v>1</v>
      </c>
      <c r="I136" s="168">
        <f t="shared" si="8"/>
        <v>0</v>
      </c>
      <c r="J136" s="185">
        <f>(F136*G136*H136)/$C$32</f>
        <v>0</v>
      </c>
      <c r="K136" s="215"/>
      <c r="L136" s="82"/>
    </row>
    <row r="137" spans="2:12" s="1" customFormat="1" ht="12.75" x14ac:dyDescent="0.15">
      <c r="B137" s="82">
        <v>20</v>
      </c>
      <c r="C137" s="189"/>
      <c r="D137" s="206"/>
      <c r="E137" s="206"/>
      <c r="F137" s="168"/>
      <c r="G137" s="92"/>
      <c r="H137" s="92">
        <v>1</v>
      </c>
      <c r="I137" s="168">
        <f t="shared" si="8"/>
        <v>0</v>
      </c>
      <c r="J137" s="185">
        <f>(F137*G137*H137)/$C$32</f>
        <v>0</v>
      </c>
      <c r="K137" s="82"/>
      <c r="L137" s="82"/>
    </row>
    <row r="138" spans="2:12" s="1" customFormat="1" ht="12.75" x14ac:dyDescent="0.15">
      <c r="B138" s="82"/>
      <c r="C138" s="189"/>
      <c r="D138" s="206"/>
      <c r="E138" s="206"/>
      <c r="F138" s="168"/>
      <c r="G138" s="92"/>
      <c r="H138" s="92"/>
      <c r="I138" s="168"/>
      <c r="J138" s="185"/>
      <c r="K138" s="82"/>
      <c r="L138" s="82"/>
    </row>
    <row r="139" spans="2:12" s="1" customFormat="1" ht="12.75" x14ac:dyDescent="0.15">
      <c r="B139" s="82"/>
      <c r="C139" s="102"/>
      <c r="D139" s="103"/>
      <c r="E139" s="102"/>
      <c r="F139" s="128">
        <f>SUM(F82:F138)</f>
        <v>0</v>
      </c>
      <c r="G139" s="104"/>
      <c r="H139" s="105"/>
      <c r="I139" s="128">
        <f>SUM(I84:I138)</f>
        <v>0</v>
      </c>
      <c r="J139" s="257">
        <f>SUM(J81:J138)</f>
        <v>0</v>
      </c>
    </row>
    <row r="140" spans="2:12" s="1" customFormat="1" ht="12.75" x14ac:dyDescent="0.15">
      <c r="B140" s="82"/>
      <c r="C140" s="102"/>
      <c r="D140" s="103"/>
      <c r="E140" s="102" t="s">
        <v>147</v>
      </c>
      <c r="F140" s="128">
        <f>100/115*F139</f>
        <v>0</v>
      </c>
      <c r="G140" s="104"/>
      <c r="H140" s="105" t="s">
        <v>147</v>
      </c>
      <c r="I140" s="128">
        <f>100/115*I139</f>
        <v>0</v>
      </c>
      <c r="J140" s="106"/>
    </row>
    <row r="141" spans="2:12" s="1" customFormat="1" ht="12.75" x14ac:dyDescent="0.15"/>
    <row r="142" spans="2:12" s="1" customFormat="1" ht="12.75" x14ac:dyDescent="0.15"/>
    <row r="143" spans="2:12" s="1" customFormat="1" ht="12.75" x14ac:dyDescent="0.15"/>
    <row r="144" spans="2:12" s="1" customFormat="1" ht="12.75" x14ac:dyDescent="0.15"/>
    <row r="145" spans="2:12" s="247" customFormat="1" ht="32.25" x14ac:dyDescent="0.4">
      <c r="B145" s="248"/>
      <c r="C145" s="380" t="s">
        <v>112</v>
      </c>
      <c r="D145" s="380"/>
      <c r="E145" s="428" t="s">
        <v>151</v>
      </c>
      <c r="F145" s="428"/>
      <c r="G145" s="428"/>
      <c r="H145" s="428"/>
      <c r="I145" s="428"/>
      <c r="J145" s="382">
        <v>2026</v>
      </c>
      <c r="K145" s="382"/>
      <c r="L145" s="382"/>
    </row>
    <row r="146" spans="2:12" s="1" customFormat="1" ht="22.5" x14ac:dyDescent="0.15">
      <c r="B146" s="82"/>
      <c r="C146" s="102" t="s">
        <v>114</v>
      </c>
      <c r="D146" s="388" t="s">
        <v>115</v>
      </c>
      <c r="E146" s="388"/>
      <c r="F146" s="102" t="s">
        <v>116</v>
      </c>
      <c r="G146" s="102" t="s">
        <v>117</v>
      </c>
      <c r="H146" s="102" t="s">
        <v>118</v>
      </c>
      <c r="I146" s="102" t="s">
        <v>119</v>
      </c>
      <c r="J146" s="102" t="s">
        <v>120</v>
      </c>
      <c r="K146" s="82"/>
      <c r="L146" s="82"/>
    </row>
    <row r="147" spans="2:12" s="1" customFormat="1" ht="12.75" x14ac:dyDescent="0.15">
      <c r="B147" s="2"/>
      <c r="C147" s="220">
        <f>C79</f>
        <v>250</v>
      </c>
      <c r="D147" s="399">
        <v>21</v>
      </c>
      <c r="E147" s="399"/>
      <c r="F147" s="208">
        <f>F79</f>
        <v>0.75</v>
      </c>
      <c r="G147" s="209">
        <f>G79</f>
        <v>8</v>
      </c>
      <c r="H147" s="210">
        <f>D147*G147*F147</f>
        <v>126</v>
      </c>
      <c r="I147" s="216">
        <f>I208</f>
        <v>0</v>
      </c>
      <c r="J147" s="211">
        <f>H147-J208</f>
        <v>126</v>
      </c>
      <c r="K147" s="120"/>
      <c r="L147" s="120"/>
    </row>
    <row r="148" spans="2:12" s="1" customFormat="1" ht="33.75" x14ac:dyDescent="0.15">
      <c r="B148" s="2"/>
      <c r="C148" s="167" t="s">
        <v>121</v>
      </c>
      <c r="D148" s="395" t="s">
        <v>122</v>
      </c>
      <c r="E148" s="395"/>
      <c r="F148" s="177" t="s">
        <v>123</v>
      </c>
      <c r="G148" s="198" t="s">
        <v>124</v>
      </c>
      <c r="H148" s="15" t="s">
        <v>125</v>
      </c>
      <c r="I148" s="217" t="s">
        <v>126</v>
      </c>
      <c r="J148" s="178" t="s">
        <v>127</v>
      </c>
      <c r="K148" s="114" t="s">
        <v>128</v>
      </c>
      <c r="L148" s="114" t="s">
        <v>129</v>
      </c>
    </row>
    <row r="149" spans="2:12" s="1" customFormat="1" ht="12.75" x14ac:dyDescent="0.15">
      <c r="B149" s="2"/>
      <c r="C149" s="89"/>
      <c r="D149" s="391"/>
      <c r="E149" s="391"/>
      <c r="F149" s="91"/>
      <c r="G149" s="199"/>
      <c r="H149" s="9"/>
      <c r="I149" s="218"/>
      <c r="J149" s="94"/>
      <c r="K149" s="82"/>
      <c r="L149" s="82"/>
    </row>
    <row r="150" spans="2:12" s="1" customFormat="1" ht="13.35" customHeight="1" x14ac:dyDescent="0.15">
      <c r="B150" s="2"/>
      <c r="C150" s="392" t="s">
        <v>130</v>
      </c>
      <c r="D150" s="392"/>
      <c r="E150" s="392"/>
      <c r="F150" s="184"/>
      <c r="G150" s="200"/>
      <c r="H150" s="9"/>
      <c r="I150" s="218"/>
      <c r="J150" s="94"/>
      <c r="K150" s="82"/>
      <c r="L150" s="82"/>
    </row>
    <row r="151" spans="2:12" s="1" customFormat="1" ht="13.35" customHeight="1" x14ac:dyDescent="0.15">
      <c r="B151" s="2"/>
      <c r="C151" s="167" t="s">
        <v>152</v>
      </c>
      <c r="D151" s="167"/>
      <c r="E151" s="167"/>
      <c r="F151" s="168"/>
      <c r="G151" s="200"/>
      <c r="H151" s="9"/>
      <c r="I151" s="218"/>
      <c r="J151" s="94"/>
      <c r="K151" s="82"/>
      <c r="L151" s="82"/>
    </row>
    <row r="152" spans="2:12" s="1" customFormat="1" ht="12.75" customHeight="1" x14ac:dyDescent="0.15">
      <c r="B152" s="2">
        <v>1</v>
      </c>
      <c r="C152" s="203"/>
      <c r="D152" s="391"/>
      <c r="E152" s="391"/>
      <c r="F152" s="168"/>
      <c r="G152" s="200"/>
      <c r="H152" s="9">
        <v>1</v>
      </c>
      <c r="I152" s="218">
        <f>J152*$C$32</f>
        <v>0</v>
      </c>
      <c r="J152" s="94">
        <f t="shared" ref="J152:J206" si="10">(F152*G152*H152)/$C$32</f>
        <v>0</v>
      </c>
      <c r="K152" s="82"/>
      <c r="L152" s="82"/>
    </row>
    <row r="153" spans="2:12" s="1" customFormat="1" ht="12.75" customHeight="1" x14ac:dyDescent="0.15">
      <c r="B153" s="2">
        <v>2</v>
      </c>
      <c r="C153" s="203"/>
      <c r="D153" s="391"/>
      <c r="E153" s="391"/>
      <c r="F153" s="168"/>
      <c r="G153" s="200"/>
      <c r="H153" s="9">
        <v>1</v>
      </c>
      <c r="I153" s="218">
        <f>J153*$C$32</f>
        <v>0</v>
      </c>
      <c r="J153" s="94">
        <f t="shared" si="10"/>
        <v>0</v>
      </c>
      <c r="K153" s="82"/>
      <c r="L153" s="82"/>
    </row>
    <row r="154" spans="2:12" s="1" customFormat="1" ht="12.75" customHeight="1" x14ac:dyDescent="0.15">
      <c r="B154" s="2">
        <v>3</v>
      </c>
      <c r="C154" s="203"/>
      <c r="D154" s="90"/>
      <c r="E154" s="90"/>
      <c r="F154" s="168"/>
      <c r="G154" s="200"/>
      <c r="H154" s="9">
        <v>1</v>
      </c>
      <c r="I154" s="218">
        <f t="shared" ref="I154:I206" si="11">J154*$C$32</f>
        <v>0</v>
      </c>
      <c r="J154" s="94">
        <f t="shared" si="10"/>
        <v>0</v>
      </c>
      <c r="K154" s="82"/>
      <c r="L154" s="82"/>
    </row>
    <row r="155" spans="2:12" s="1" customFormat="1" ht="12.75" customHeight="1" x14ac:dyDescent="0.15">
      <c r="B155" s="2">
        <v>4</v>
      </c>
      <c r="C155" s="203"/>
      <c r="D155" s="90"/>
      <c r="E155" s="90"/>
      <c r="F155" s="168"/>
      <c r="G155" s="200"/>
      <c r="H155" s="9">
        <v>1</v>
      </c>
      <c r="I155" s="218">
        <f t="shared" si="11"/>
        <v>0</v>
      </c>
      <c r="J155" s="94">
        <f t="shared" si="10"/>
        <v>0</v>
      </c>
      <c r="K155" s="82"/>
      <c r="L155" s="82"/>
    </row>
    <row r="156" spans="2:12" s="1" customFormat="1" ht="12.75" customHeight="1" x14ac:dyDescent="0.15">
      <c r="B156" s="2">
        <v>5</v>
      </c>
      <c r="C156" s="203"/>
      <c r="D156" s="90"/>
      <c r="E156" s="90"/>
      <c r="F156" s="168"/>
      <c r="G156" s="200"/>
      <c r="H156" s="9">
        <v>1</v>
      </c>
      <c r="I156" s="218">
        <f t="shared" si="11"/>
        <v>0</v>
      </c>
      <c r="J156" s="94">
        <f t="shared" si="10"/>
        <v>0</v>
      </c>
      <c r="K156" s="82"/>
      <c r="L156" s="82"/>
    </row>
    <row r="157" spans="2:12" s="1" customFormat="1" ht="12.75" customHeight="1" x14ac:dyDescent="0.15">
      <c r="B157" s="2">
        <v>6</v>
      </c>
      <c r="C157" s="203"/>
      <c r="D157" s="90"/>
      <c r="E157" s="90"/>
      <c r="F157" s="168"/>
      <c r="G157" s="200"/>
      <c r="H157" s="9">
        <v>1</v>
      </c>
      <c r="I157" s="218">
        <f t="shared" si="11"/>
        <v>0</v>
      </c>
      <c r="J157" s="94">
        <f t="shared" si="10"/>
        <v>0</v>
      </c>
      <c r="K157" s="82"/>
      <c r="L157" s="82"/>
    </row>
    <row r="158" spans="2:12" s="1" customFormat="1" ht="12.75" customHeight="1" x14ac:dyDescent="0.15">
      <c r="B158" s="2">
        <v>7</v>
      </c>
      <c r="C158" s="203"/>
      <c r="D158" s="90"/>
      <c r="E158" s="90"/>
      <c r="F158" s="168"/>
      <c r="G158" s="200"/>
      <c r="H158" s="9">
        <v>1</v>
      </c>
      <c r="I158" s="218">
        <f t="shared" si="11"/>
        <v>0</v>
      </c>
      <c r="J158" s="94">
        <f t="shared" si="10"/>
        <v>0</v>
      </c>
      <c r="K158" s="82"/>
      <c r="L158" s="82"/>
    </row>
    <row r="159" spans="2:12" s="1" customFormat="1" ht="12.75" customHeight="1" x14ac:dyDescent="0.15">
      <c r="B159" s="2">
        <v>8</v>
      </c>
      <c r="C159" s="203"/>
      <c r="D159" s="90"/>
      <c r="E159" s="90"/>
      <c r="F159" s="168"/>
      <c r="G159" s="200"/>
      <c r="H159" s="9">
        <v>1</v>
      </c>
      <c r="I159" s="218">
        <f t="shared" si="11"/>
        <v>0</v>
      </c>
      <c r="J159" s="94">
        <f t="shared" si="10"/>
        <v>0</v>
      </c>
      <c r="K159" s="82"/>
      <c r="L159" s="82"/>
    </row>
    <row r="160" spans="2:12" s="1" customFormat="1" ht="12.75" customHeight="1" x14ac:dyDescent="0.15">
      <c r="B160" s="2">
        <v>9</v>
      </c>
      <c r="C160" s="203"/>
      <c r="D160" s="90"/>
      <c r="E160" s="90"/>
      <c r="F160" s="168"/>
      <c r="G160" s="200"/>
      <c r="H160" s="9">
        <v>1</v>
      </c>
      <c r="I160" s="218">
        <f t="shared" si="11"/>
        <v>0</v>
      </c>
      <c r="J160" s="94">
        <f t="shared" si="10"/>
        <v>0</v>
      </c>
      <c r="K160" s="82"/>
      <c r="L160" s="82"/>
    </row>
    <row r="161" spans="2:12" s="1" customFormat="1" ht="12.75" customHeight="1" x14ac:dyDescent="0.15">
      <c r="B161" s="2">
        <v>10</v>
      </c>
      <c r="C161" s="203"/>
      <c r="D161" s="90"/>
      <c r="E161" s="90"/>
      <c r="F161" s="168"/>
      <c r="G161" s="200"/>
      <c r="H161" s="9">
        <v>1</v>
      </c>
      <c r="I161" s="218">
        <f t="shared" si="11"/>
        <v>0</v>
      </c>
      <c r="J161" s="94">
        <f t="shared" si="10"/>
        <v>0</v>
      </c>
      <c r="K161" s="82"/>
      <c r="L161" s="82"/>
    </row>
    <row r="162" spans="2:12" s="1" customFormat="1" ht="12.75" customHeight="1" x14ac:dyDescent="0.15">
      <c r="B162" s="2"/>
      <c r="C162" s="203"/>
      <c r="D162" s="90"/>
      <c r="E162" s="90"/>
      <c r="F162" s="168"/>
      <c r="G162" s="200"/>
      <c r="H162" s="9">
        <v>1</v>
      </c>
      <c r="I162" s="218">
        <f t="shared" si="11"/>
        <v>0</v>
      </c>
      <c r="J162" s="94">
        <f t="shared" si="10"/>
        <v>0</v>
      </c>
      <c r="K162" s="82"/>
      <c r="L162" s="82"/>
    </row>
    <row r="163" spans="2:12" s="1" customFormat="1" ht="12.75" customHeight="1" x14ac:dyDescent="0.15">
      <c r="B163" s="2"/>
      <c r="C163" s="203"/>
      <c r="D163" s="391"/>
      <c r="E163" s="391"/>
      <c r="F163" s="168"/>
      <c r="G163" s="200"/>
      <c r="H163" s="9"/>
      <c r="I163" s="218"/>
      <c r="J163" s="94"/>
      <c r="K163" s="82"/>
      <c r="L163" s="82"/>
    </row>
    <row r="164" spans="2:12" s="1" customFormat="1" ht="12.75" customHeight="1" x14ac:dyDescent="0.15">
      <c r="B164" s="2"/>
      <c r="C164" s="187" t="s">
        <v>153</v>
      </c>
      <c r="D164" s="391"/>
      <c r="E164" s="391"/>
      <c r="F164" s="168"/>
      <c r="G164" s="200"/>
      <c r="H164" s="9"/>
      <c r="I164" s="218"/>
      <c r="J164" s="94"/>
      <c r="K164" s="82"/>
      <c r="L164" s="82"/>
    </row>
    <row r="165" spans="2:12" s="1" customFormat="1" ht="15" customHeight="1" x14ac:dyDescent="0.15">
      <c r="B165" s="2">
        <v>1</v>
      </c>
      <c r="C165" s="188"/>
      <c r="D165" s="204"/>
      <c r="E165" s="204"/>
      <c r="F165" s="168"/>
      <c r="G165" s="200"/>
      <c r="H165" s="9">
        <v>1</v>
      </c>
      <c r="I165" s="218">
        <f t="shared" si="11"/>
        <v>0</v>
      </c>
      <c r="J165" s="94">
        <f t="shared" si="10"/>
        <v>0</v>
      </c>
      <c r="K165" s="82"/>
      <c r="L165" s="82"/>
    </row>
    <row r="166" spans="2:12" s="1" customFormat="1" ht="13.35" customHeight="1" x14ac:dyDescent="0.15">
      <c r="B166" s="2">
        <v>2</v>
      </c>
      <c r="C166" s="188"/>
      <c r="D166" s="204"/>
      <c r="E166" s="204"/>
      <c r="F166" s="168"/>
      <c r="G166" s="200"/>
      <c r="H166" s="9">
        <v>1</v>
      </c>
      <c r="I166" s="218">
        <f t="shared" si="11"/>
        <v>0</v>
      </c>
      <c r="J166" s="94">
        <f t="shared" si="10"/>
        <v>0</v>
      </c>
      <c r="K166" s="82"/>
      <c r="L166" s="82"/>
    </row>
    <row r="167" spans="2:12" s="1" customFormat="1" ht="13.35" customHeight="1" x14ac:dyDescent="0.15">
      <c r="B167" s="2">
        <v>3</v>
      </c>
      <c r="C167" s="189"/>
      <c r="D167" s="204"/>
      <c r="E167" s="204"/>
      <c r="F167" s="168"/>
      <c r="G167" s="200"/>
      <c r="H167" s="9">
        <v>1</v>
      </c>
      <c r="I167" s="218">
        <f t="shared" si="11"/>
        <v>0</v>
      </c>
      <c r="J167" s="94">
        <f t="shared" si="10"/>
        <v>0</v>
      </c>
      <c r="K167" s="82"/>
      <c r="L167" s="82"/>
    </row>
    <row r="168" spans="2:12" s="1" customFormat="1" ht="13.35" customHeight="1" x14ac:dyDescent="0.15">
      <c r="B168" s="2">
        <v>5</v>
      </c>
      <c r="C168" s="188"/>
      <c r="D168" s="205"/>
      <c r="E168" s="205"/>
      <c r="F168" s="168"/>
      <c r="G168" s="200"/>
      <c r="H168" s="9">
        <v>1</v>
      </c>
      <c r="I168" s="218">
        <f t="shared" si="11"/>
        <v>0</v>
      </c>
      <c r="J168" s="94">
        <f t="shared" si="10"/>
        <v>0</v>
      </c>
      <c r="K168" s="82"/>
      <c r="L168" s="82"/>
    </row>
    <row r="169" spans="2:12" s="1" customFormat="1" ht="13.35" customHeight="1" x14ac:dyDescent="0.15">
      <c r="B169" s="2">
        <v>6</v>
      </c>
      <c r="C169" s="188"/>
      <c r="D169" s="204"/>
      <c r="E169" s="204"/>
      <c r="F169" s="168"/>
      <c r="G169" s="200"/>
      <c r="H169" s="9">
        <v>1</v>
      </c>
      <c r="I169" s="218">
        <f t="shared" si="11"/>
        <v>0</v>
      </c>
      <c r="J169" s="94">
        <f t="shared" si="10"/>
        <v>0</v>
      </c>
      <c r="K169" s="82"/>
      <c r="L169" s="82"/>
    </row>
    <row r="170" spans="2:12" s="1" customFormat="1" ht="13.35" customHeight="1" x14ac:dyDescent="0.15">
      <c r="B170" s="2">
        <v>7</v>
      </c>
      <c r="C170" s="188"/>
      <c r="D170" s="204"/>
      <c r="E170" s="204"/>
      <c r="F170" s="168"/>
      <c r="G170" s="200"/>
      <c r="H170" s="9">
        <v>1</v>
      </c>
      <c r="I170" s="168">
        <f t="shared" si="11"/>
        <v>0</v>
      </c>
      <c r="J170" s="94">
        <f t="shared" si="10"/>
        <v>0</v>
      </c>
      <c r="K170" s="82"/>
      <c r="L170" s="82"/>
    </row>
    <row r="171" spans="2:12" s="1" customFormat="1" ht="13.35" customHeight="1" x14ac:dyDescent="0.15">
      <c r="B171" s="2">
        <v>8</v>
      </c>
      <c r="C171" s="188"/>
      <c r="D171" s="206"/>
      <c r="E171" s="206"/>
      <c r="F171" s="168"/>
      <c r="G171" s="200"/>
      <c r="H171" s="9">
        <v>1</v>
      </c>
      <c r="I171" s="168">
        <f t="shared" si="11"/>
        <v>0</v>
      </c>
      <c r="J171" s="94">
        <f t="shared" si="10"/>
        <v>0</v>
      </c>
      <c r="K171" s="82"/>
      <c r="L171" s="82"/>
    </row>
    <row r="172" spans="2:12" s="1" customFormat="1" ht="13.35" customHeight="1" x14ac:dyDescent="0.15">
      <c r="B172" s="2">
        <v>9</v>
      </c>
      <c r="C172" s="113"/>
      <c r="D172" s="206"/>
      <c r="E172" s="206"/>
      <c r="F172" s="168"/>
      <c r="G172" s="200"/>
      <c r="H172" s="9">
        <v>1</v>
      </c>
      <c r="I172" s="168">
        <f>J172*$C$32</f>
        <v>0</v>
      </c>
      <c r="J172" s="94">
        <f t="shared" si="10"/>
        <v>0</v>
      </c>
      <c r="K172" s="82"/>
      <c r="L172" s="82"/>
    </row>
    <row r="173" spans="2:12" s="1" customFormat="1" ht="13.35" customHeight="1" x14ac:dyDescent="0.15">
      <c r="B173" s="2">
        <v>10</v>
      </c>
      <c r="C173" s="188"/>
      <c r="D173" s="204"/>
      <c r="E173" s="204"/>
      <c r="F173" s="168"/>
      <c r="G173" s="200"/>
      <c r="H173" s="9">
        <v>1</v>
      </c>
      <c r="I173" s="168">
        <f t="shared" si="11"/>
        <v>0</v>
      </c>
      <c r="J173" s="94">
        <f t="shared" si="10"/>
        <v>0</v>
      </c>
      <c r="K173" s="82"/>
      <c r="L173" s="82"/>
    </row>
    <row r="174" spans="2:12" s="1" customFormat="1" ht="13.35" customHeight="1" x14ac:dyDescent="0.15">
      <c r="B174" s="2">
        <v>11</v>
      </c>
      <c r="C174" s="188"/>
      <c r="D174" s="204"/>
      <c r="E174" s="204"/>
      <c r="F174" s="168"/>
      <c r="G174" s="200"/>
      <c r="H174" s="9">
        <v>1</v>
      </c>
      <c r="I174" s="168">
        <f t="shared" si="11"/>
        <v>0</v>
      </c>
      <c r="J174" s="94">
        <f t="shared" si="10"/>
        <v>0</v>
      </c>
      <c r="K174" s="82"/>
      <c r="L174" s="82"/>
    </row>
    <row r="175" spans="2:12" s="1" customFormat="1" ht="13.35" customHeight="1" x14ac:dyDescent="0.15">
      <c r="B175" s="2">
        <v>12</v>
      </c>
      <c r="C175" s="188"/>
      <c r="D175" s="204"/>
      <c r="E175" s="204"/>
      <c r="F175" s="168"/>
      <c r="G175" s="200"/>
      <c r="H175" s="9">
        <v>1</v>
      </c>
      <c r="I175" s="168">
        <f t="shared" si="11"/>
        <v>0</v>
      </c>
      <c r="J175" s="94">
        <f t="shared" si="10"/>
        <v>0</v>
      </c>
      <c r="K175" s="82"/>
      <c r="L175" s="82"/>
    </row>
    <row r="176" spans="2:12" s="1" customFormat="1" ht="13.35" customHeight="1" x14ac:dyDescent="0.15">
      <c r="B176" s="2">
        <v>13</v>
      </c>
      <c r="C176" s="188"/>
      <c r="D176" s="204"/>
      <c r="E176" s="204"/>
      <c r="F176" s="168"/>
      <c r="G176" s="200"/>
      <c r="H176" s="9">
        <v>1</v>
      </c>
      <c r="I176" s="168">
        <f t="shared" si="11"/>
        <v>0</v>
      </c>
      <c r="J176" s="94">
        <f t="shared" si="10"/>
        <v>0</v>
      </c>
      <c r="K176" s="82"/>
      <c r="L176" s="82"/>
    </row>
    <row r="177" spans="2:12" s="1" customFormat="1" ht="13.35" customHeight="1" x14ac:dyDescent="0.15">
      <c r="B177" s="2">
        <v>14</v>
      </c>
      <c r="C177" s="188"/>
      <c r="D177" s="204"/>
      <c r="E177" s="204"/>
      <c r="F177" s="168"/>
      <c r="G177" s="200"/>
      <c r="H177" s="9">
        <v>1</v>
      </c>
      <c r="I177" s="168">
        <f t="shared" si="11"/>
        <v>0</v>
      </c>
      <c r="J177" s="94">
        <f t="shared" si="10"/>
        <v>0</v>
      </c>
      <c r="K177" s="82"/>
      <c r="L177" s="82"/>
    </row>
    <row r="178" spans="2:12" s="1" customFormat="1" ht="13.35" customHeight="1" x14ac:dyDescent="0.15">
      <c r="B178" s="2">
        <v>15</v>
      </c>
      <c r="C178" s="189"/>
      <c r="D178" s="204"/>
      <c r="E178" s="206"/>
      <c r="F178" s="168"/>
      <c r="G178" s="200"/>
      <c r="H178" s="9">
        <v>1</v>
      </c>
      <c r="I178" s="168">
        <f t="shared" si="11"/>
        <v>0</v>
      </c>
      <c r="J178" s="94">
        <f t="shared" si="10"/>
        <v>0</v>
      </c>
      <c r="K178" s="82"/>
      <c r="L178" s="82"/>
    </row>
    <row r="179" spans="2:12" s="1" customFormat="1" ht="13.35" customHeight="1" x14ac:dyDescent="0.15">
      <c r="B179" s="2">
        <v>16</v>
      </c>
      <c r="C179" s="189"/>
      <c r="D179" s="206"/>
      <c r="E179" s="206"/>
      <c r="F179" s="168"/>
      <c r="G179" s="200"/>
      <c r="H179" s="9">
        <v>1</v>
      </c>
      <c r="I179" s="168">
        <f t="shared" si="11"/>
        <v>0</v>
      </c>
      <c r="J179" s="94">
        <f t="shared" si="10"/>
        <v>0</v>
      </c>
      <c r="K179" s="82"/>
      <c r="L179" s="82"/>
    </row>
    <row r="180" spans="2:12" s="1" customFormat="1" ht="14.45" customHeight="1" x14ac:dyDescent="0.15">
      <c r="B180" s="2">
        <v>17</v>
      </c>
      <c r="C180" s="189"/>
      <c r="D180" s="206"/>
      <c r="E180" s="206"/>
      <c r="F180" s="219"/>
      <c r="G180" s="200"/>
      <c r="H180" s="9">
        <v>1</v>
      </c>
      <c r="I180" s="168">
        <f t="shared" si="11"/>
        <v>0</v>
      </c>
      <c r="J180" s="94">
        <f t="shared" si="10"/>
        <v>0</v>
      </c>
      <c r="K180" s="82"/>
      <c r="L180" s="82"/>
    </row>
    <row r="181" spans="2:12" s="1" customFormat="1" ht="13.35" customHeight="1" x14ac:dyDescent="0.15">
      <c r="B181" s="2">
        <v>18</v>
      </c>
      <c r="C181" s="189"/>
      <c r="D181" s="206"/>
      <c r="E181" s="206"/>
      <c r="F181" s="168"/>
      <c r="G181" s="200"/>
      <c r="H181" s="9">
        <v>1</v>
      </c>
      <c r="I181" s="168">
        <f t="shared" si="11"/>
        <v>0</v>
      </c>
      <c r="J181" s="94">
        <f t="shared" si="10"/>
        <v>0</v>
      </c>
      <c r="K181" s="82"/>
      <c r="L181" s="82"/>
    </row>
    <row r="182" spans="2:12" s="1" customFormat="1" ht="13.35" customHeight="1" x14ac:dyDescent="0.15">
      <c r="B182" s="2">
        <v>19</v>
      </c>
      <c r="C182" s="189"/>
      <c r="D182" s="206"/>
      <c r="E182" s="206"/>
      <c r="F182" s="168"/>
      <c r="G182" s="200"/>
      <c r="H182" s="9">
        <v>1</v>
      </c>
      <c r="I182" s="168">
        <f t="shared" si="11"/>
        <v>0</v>
      </c>
      <c r="J182" s="94">
        <f t="shared" si="10"/>
        <v>0</v>
      </c>
      <c r="K182" s="82"/>
      <c r="L182" s="82"/>
    </row>
    <row r="183" spans="2:12" s="1" customFormat="1" ht="13.35" customHeight="1" x14ac:dyDescent="0.15">
      <c r="B183" s="2">
        <v>20</v>
      </c>
      <c r="C183" s="189"/>
      <c r="D183" s="206"/>
      <c r="E183" s="206"/>
      <c r="F183" s="168"/>
      <c r="G183" s="200"/>
      <c r="H183" s="9">
        <v>1</v>
      </c>
      <c r="I183" s="168">
        <f t="shared" si="11"/>
        <v>0</v>
      </c>
      <c r="J183" s="94">
        <f t="shared" si="10"/>
        <v>0</v>
      </c>
      <c r="K183" s="82"/>
      <c r="L183" s="82"/>
    </row>
    <row r="184" spans="2:12" s="1" customFormat="1" ht="12.75" x14ac:dyDescent="0.15">
      <c r="B184" s="2"/>
      <c r="C184" s="89"/>
      <c r="D184" s="90"/>
      <c r="E184" s="90"/>
      <c r="F184" s="168"/>
      <c r="G184" s="200"/>
      <c r="H184" s="9"/>
      <c r="I184" s="168"/>
      <c r="J184" s="94"/>
      <c r="K184" s="82"/>
      <c r="L184" s="82"/>
    </row>
    <row r="185" spans="2:12" s="1" customFormat="1" ht="12.75" x14ac:dyDescent="0.15">
      <c r="B185" s="2"/>
      <c r="C185" s="203"/>
      <c r="D185" s="169"/>
      <c r="E185" s="169"/>
      <c r="F185" s="168"/>
      <c r="G185" s="200"/>
      <c r="H185" s="9"/>
      <c r="I185" s="168"/>
      <c r="J185" s="94"/>
      <c r="K185" s="82"/>
      <c r="L185" s="82"/>
    </row>
    <row r="186" spans="2:12" s="1" customFormat="1" ht="12.75" x14ac:dyDescent="0.15">
      <c r="B186" s="2"/>
      <c r="C186" s="167" t="s">
        <v>154</v>
      </c>
      <c r="D186" s="391"/>
      <c r="E186" s="391"/>
      <c r="F186" s="168"/>
      <c r="G186" s="200"/>
      <c r="H186" s="9"/>
      <c r="I186" s="168"/>
      <c r="J186" s="94"/>
      <c r="K186" s="82"/>
      <c r="L186" s="82"/>
    </row>
    <row r="187" spans="2:12" s="1" customFormat="1" ht="12.75" x14ac:dyDescent="0.15">
      <c r="B187" s="2">
        <v>1</v>
      </c>
      <c r="C187" s="207"/>
      <c r="D187" s="391"/>
      <c r="E187" s="391"/>
      <c r="F187" s="168"/>
      <c r="G187" s="200"/>
      <c r="H187" s="9">
        <v>1</v>
      </c>
      <c r="I187" s="168">
        <f t="shared" si="11"/>
        <v>0</v>
      </c>
      <c r="J187" s="94">
        <f t="shared" si="10"/>
        <v>0</v>
      </c>
      <c r="K187" s="82"/>
      <c r="L187" s="82"/>
    </row>
    <row r="188" spans="2:12" s="1" customFormat="1" ht="12.75" x14ac:dyDescent="0.15">
      <c r="B188" s="2">
        <v>2</v>
      </c>
      <c r="C188" s="403"/>
      <c r="D188" s="403"/>
      <c r="E188" s="403"/>
      <c r="F188" s="168"/>
      <c r="G188" s="200"/>
      <c r="H188" s="9">
        <v>1</v>
      </c>
      <c r="I188" s="168">
        <f t="shared" si="11"/>
        <v>0</v>
      </c>
      <c r="J188" s="94">
        <f t="shared" si="10"/>
        <v>0</v>
      </c>
      <c r="K188" s="82"/>
      <c r="L188" s="82"/>
    </row>
    <row r="189" spans="2:12" s="1" customFormat="1" ht="12.75" x14ac:dyDescent="0.15">
      <c r="B189" s="2">
        <f>B188+1</f>
        <v>3</v>
      </c>
      <c r="C189" s="183"/>
      <c r="D189" s="89"/>
      <c r="E189" s="89"/>
      <c r="F189" s="168"/>
      <c r="G189" s="200"/>
      <c r="H189" s="9">
        <v>1</v>
      </c>
      <c r="I189" s="168">
        <f t="shared" si="11"/>
        <v>0</v>
      </c>
      <c r="J189" s="94">
        <f t="shared" si="10"/>
        <v>0</v>
      </c>
      <c r="K189" s="82"/>
      <c r="L189" s="82"/>
    </row>
    <row r="190" spans="2:12" s="1" customFormat="1" ht="12.75" x14ac:dyDescent="0.15">
      <c r="B190" s="2">
        <f>B189+1</f>
        <v>4</v>
      </c>
      <c r="C190" s="89"/>
      <c r="D190" s="89"/>
      <c r="E190" s="89"/>
      <c r="F190" s="168"/>
      <c r="G190" s="200"/>
      <c r="H190" s="9">
        <v>1</v>
      </c>
      <c r="I190" s="168">
        <f t="shared" si="11"/>
        <v>0</v>
      </c>
      <c r="J190" s="94">
        <f t="shared" si="10"/>
        <v>0</v>
      </c>
      <c r="K190" s="82"/>
      <c r="L190" s="82"/>
    </row>
    <row r="191" spans="2:12" s="1" customFormat="1" ht="12.75" x14ac:dyDescent="0.15">
      <c r="B191" s="2">
        <f>B190+1</f>
        <v>5</v>
      </c>
      <c r="C191" s="89"/>
      <c r="D191" s="391"/>
      <c r="E191" s="391"/>
      <c r="F191" s="168"/>
      <c r="G191" s="200"/>
      <c r="H191" s="9">
        <v>1</v>
      </c>
      <c r="I191" s="168">
        <f t="shared" si="11"/>
        <v>0</v>
      </c>
      <c r="J191" s="94">
        <f t="shared" si="10"/>
        <v>0</v>
      </c>
      <c r="K191" s="82"/>
      <c r="L191" s="82"/>
    </row>
    <row r="192" spans="2:12" s="1" customFormat="1" ht="12.75" x14ac:dyDescent="0.15">
      <c r="B192" s="2">
        <f>B191+1</f>
        <v>6</v>
      </c>
      <c r="C192" s="392"/>
      <c r="D192" s="392"/>
      <c r="E192" s="392"/>
      <c r="F192" s="168"/>
      <c r="G192" s="200"/>
      <c r="H192" s="9">
        <v>1</v>
      </c>
      <c r="I192" s="168">
        <f t="shared" si="11"/>
        <v>0</v>
      </c>
      <c r="J192" s="94">
        <f t="shared" si="10"/>
        <v>0</v>
      </c>
      <c r="K192" s="82"/>
      <c r="L192" s="82"/>
    </row>
    <row r="193" spans="2:12" s="1" customFormat="1" ht="12.75" x14ac:dyDescent="0.15">
      <c r="B193" s="2">
        <f t="shared" ref="B193:B195" si="12">B192+1</f>
        <v>7</v>
      </c>
      <c r="C193" s="183"/>
      <c r="D193" s="391"/>
      <c r="E193" s="391"/>
      <c r="F193" s="168"/>
      <c r="G193" s="200"/>
      <c r="H193" s="9">
        <v>1</v>
      </c>
      <c r="I193" s="168">
        <f t="shared" si="11"/>
        <v>0</v>
      </c>
      <c r="J193" s="94">
        <f t="shared" si="10"/>
        <v>0</v>
      </c>
      <c r="K193" s="82"/>
      <c r="L193" s="82"/>
    </row>
    <row r="194" spans="2:12" s="1" customFormat="1" ht="12.75" x14ac:dyDescent="0.15">
      <c r="B194" s="2">
        <f t="shared" si="12"/>
        <v>8</v>
      </c>
      <c r="C194" s="183"/>
      <c r="D194" s="391"/>
      <c r="E194" s="391"/>
      <c r="F194" s="168"/>
      <c r="G194" s="200"/>
      <c r="H194" s="9">
        <v>1</v>
      </c>
      <c r="I194" s="168">
        <f t="shared" si="11"/>
        <v>0</v>
      </c>
      <c r="J194" s="94">
        <f t="shared" si="10"/>
        <v>0</v>
      </c>
      <c r="K194" s="82"/>
      <c r="L194" s="82"/>
    </row>
    <row r="195" spans="2:12" s="1" customFormat="1" ht="12.75" x14ac:dyDescent="0.15">
      <c r="B195" s="2">
        <f t="shared" si="12"/>
        <v>9</v>
      </c>
      <c r="C195" s="183"/>
      <c r="D195" s="391"/>
      <c r="E195" s="391"/>
      <c r="F195" s="168"/>
      <c r="G195" s="200"/>
      <c r="H195" s="9">
        <v>1</v>
      </c>
      <c r="I195" s="168">
        <f t="shared" si="11"/>
        <v>0</v>
      </c>
      <c r="J195" s="94">
        <f t="shared" si="10"/>
        <v>0</v>
      </c>
      <c r="K195" s="82"/>
      <c r="L195" s="82"/>
    </row>
    <row r="196" spans="2:12" s="1" customFormat="1" ht="12.75" x14ac:dyDescent="0.15">
      <c r="B196" s="2">
        <v>10</v>
      </c>
      <c r="C196" s="183"/>
      <c r="D196" s="90"/>
      <c r="E196" s="90"/>
      <c r="F196" s="168"/>
      <c r="G196" s="200"/>
      <c r="H196" s="9">
        <v>1</v>
      </c>
      <c r="I196" s="168">
        <f t="shared" si="11"/>
        <v>0</v>
      </c>
      <c r="J196" s="94">
        <f t="shared" si="10"/>
        <v>0</v>
      </c>
      <c r="K196" s="82"/>
      <c r="L196" s="82"/>
    </row>
    <row r="197" spans="2:12" s="1" customFormat="1" ht="12.75" x14ac:dyDescent="0.15">
      <c r="B197" s="2">
        <v>11</v>
      </c>
      <c r="C197" s="183"/>
      <c r="D197" s="90"/>
      <c r="E197" s="90"/>
      <c r="F197" s="168"/>
      <c r="G197" s="200"/>
      <c r="H197" s="9">
        <v>1</v>
      </c>
      <c r="I197" s="168">
        <f t="shared" si="11"/>
        <v>0</v>
      </c>
      <c r="J197" s="94">
        <f t="shared" si="10"/>
        <v>0</v>
      </c>
      <c r="K197" s="82"/>
      <c r="L197" s="82"/>
    </row>
    <row r="198" spans="2:12" s="1" customFormat="1" ht="12.75" x14ac:dyDescent="0.15">
      <c r="B198" s="2">
        <v>12</v>
      </c>
      <c r="C198" s="183"/>
      <c r="D198" s="90"/>
      <c r="E198" s="90"/>
      <c r="F198" s="168"/>
      <c r="G198" s="200"/>
      <c r="H198" s="9">
        <v>1</v>
      </c>
      <c r="I198" s="168">
        <f t="shared" si="11"/>
        <v>0</v>
      </c>
      <c r="J198" s="94">
        <f t="shared" si="10"/>
        <v>0</v>
      </c>
      <c r="K198" s="82"/>
      <c r="L198" s="82"/>
    </row>
    <row r="199" spans="2:12" s="1" customFormat="1" ht="12.75" x14ac:dyDescent="0.15">
      <c r="B199" s="2">
        <v>13</v>
      </c>
      <c r="C199" s="183"/>
      <c r="D199" s="90"/>
      <c r="E199" s="90"/>
      <c r="F199" s="168"/>
      <c r="G199" s="200"/>
      <c r="H199" s="9">
        <v>1</v>
      </c>
      <c r="I199" s="168">
        <f t="shared" si="11"/>
        <v>0</v>
      </c>
      <c r="J199" s="94">
        <f t="shared" si="10"/>
        <v>0</v>
      </c>
      <c r="K199" s="82"/>
      <c r="L199" s="82"/>
    </row>
    <row r="200" spans="2:12" s="1" customFormat="1" ht="12.75" x14ac:dyDescent="0.15">
      <c r="B200" s="2">
        <v>14</v>
      </c>
      <c r="C200" s="183"/>
      <c r="D200" s="90"/>
      <c r="E200" s="90"/>
      <c r="F200" s="168"/>
      <c r="G200" s="200"/>
      <c r="H200" s="9">
        <v>1</v>
      </c>
      <c r="I200" s="168">
        <f t="shared" si="11"/>
        <v>0</v>
      </c>
      <c r="J200" s="94">
        <f t="shared" si="10"/>
        <v>0</v>
      </c>
      <c r="K200" s="82"/>
      <c r="L200" s="82"/>
    </row>
    <row r="201" spans="2:12" s="1" customFormat="1" ht="12.75" x14ac:dyDescent="0.15">
      <c r="B201" s="2">
        <v>15</v>
      </c>
      <c r="C201" s="183"/>
      <c r="D201" s="90"/>
      <c r="E201" s="90"/>
      <c r="F201" s="168"/>
      <c r="G201" s="200"/>
      <c r="H201" s="9">
        <v>1</v>
      </c>
      <c r="I201" s="168">
        <f t="shared" si="11"/>
        <v>0</v>
      </c>
      <c r="J201" s="94">
        <f t="shared" si="10"/>
        <v>0</v>
      </c>
      <c r="K201" s="82"/>
      <c r="L201" s="82"/>
    </row>
    <row r="202" spans="2:12" s="1" customFormat="1" ht="12.75" x14ac:dyDescent="0.15">
      <c r="B202" s="2">
        <v>16</v>
      </c>
      <c r="C202" s="183"/>
      <c r="D202" s="90"/>
      <c r="E202" s="90"/>
      <c r="F202" s="168"/>
      <c r="G202" s="200"/>
      <c r="H202" s="9">
        <v>1</v>
      </c>
      <c r="I202" s="168">
        <f t="shared" si="11"/>
        <v>0</v>
      </c>
      <c r="J202" s="94">
        <f t="shared" si="10"/>
        <v>0</v>
      </c>
      <c r="K202" s="82"/>
      <c r="L202" s="82"/>
    </row>
    <row r="203" spans="2:12" s="1" customFormat="1" ht="12.75" x14ac:dyDescent="0.15">
      <c r="B203" s="2">
        <v>17</v>
      </c>
      <c r="C203" s="183"/>
      <c r="D203" s="90"/>
      <c r="E203" s="90"/>
      <c r="F203" s="168"/>
      <c r="G203" s="200"/>
      <c r="H203" s="9">
        <v>1</v>
      </c>
      <c r="I203" s="168">
        <f t="shared" si="11"/>
        <v>0</v>
      </c>
      <c r="J203" s="94">
        <f t="shared" si="10"/>
        <v>0</v>
      </c>
      <c r="K203" s="82"/>
      <c r="L203" s="82"/>
    </row>
    <row r="204" spans="2:12" s="1" customFormat="1" ht="12.75" x14ac:dyDescent="0.15">
      <c r="B204" s="2">
        <v>18</v>
      </c>
      <c r="C204" s="183"/>
      <c r="D204" s="90"/>
      <c r="E204" s="90"/>
      <c r="F204" s="168"/>
      <c r="G204" s="200"/>
      <c r="H204" s="9">
        <v>1</v>
      </c>
      <c r="I204" s="168">
        <f t="shared" si="11"/>
        <v>0</v>
      </c>
      <c r="J204" s="94">
        <f t="shared" si="10"/>
        <v>0</v>
      </c>
      <c r="K204" s="82"/>
      <c r="L204" s="82"/>
    </row>
    <row r="205" spans="2:12" s="1" customFormat="1" ht="12.75" x14ac:dyDescent="0.15">
      <c r="B205" s="2">
        <v>19</v>
      </c>
      <c r="C205" s="183"/>
      <c r="D205" s="90"/>
      <c r="E205" s="90"/>
      <c r="F205" s="168"/>
      <c r="G205" s="201"/>
      <c r="H205" s="197">
        <v>1</v>
      </c>
      <c r="I205" s="168">
        <f t="shared" si="11"/>
        <v>0</v>
      </c>
      <c r="J205" s="94">
        <f t="shared" si="10"/>
        <v>0</v>
      </c>
      <c r="K205" s="82"/>
      <c r="L205" s="82"/>
    </row>
    <row r="206" spans="2:12" s="1" customFormat="1" ht="12.75" x14ac:dyDescent="0.15">
      <c r="B206" s="112">
        <v>20</v>
      </c>
      <c r="C206" s="183"/>
      <c r="D206" s="90"/>
      <c r="E206" s="90"/>
      <c r="F206" s="168"/>
      <c r="G206" s="202"/>
      <c r="H206" s="92">
        <v>1</v>
      </c>
      <c r="I206" s="168">
        <f t="shared" si="11"/>
        <v>0</v>
      </c>
      <c r="J206" s="94">
        <f t="shared" si="10"/>
        <v>0</v>
      </c>
      <c r="K206" s="82"/>
      <c r="L206" s="82"/>
    </row>
    <row r="207" spans="2:12" s="1" customFormat="1" ht="12.75" x14ac:dyDescent="0.15">
      <c r="B207" s="82"/>
      <c r="C207" s="183"/>
      <c r="D207" s="90"/>
      <c r="E207" s="90"/>
      <c r="F207" s="168"/>
      <c r="G207" s="92"/>
      <c r="H207" s="92"/>
      <c r="I207" s="168"/>
      <c r="J207" s="94"/>
      <c r="K207" s="82"/>
      <c r="L207" s="82"/>
    </row>
    <row r="208" spans="2:12" s="1" customFormat="1" ht="12.75" x14ac:dyDescent="0.15">
      <c r="B208" s="82"/>
      <c r="C208" s="102"/>
      <c r="D208" s="103"/>
      <c r="E208" s="102"/>
      <c r="F208" s="128">
        <f>SUM(F149:F207)</f>
        <v>0</v>
      </c>
      <c r="G208" s="104"/>
      <c r="H208" s="105"/>
      <c r="I208" s="128">
        <f>SUM(I150:I207)</f>
        <v>0</v>
      </c>
      <c r="J208" s="257">
        <f>SUM(J149:J207)</f>
        <v>0</v>
      </c>
    </row>
    <row r="209" spans="2:12" s="1" customFormat="1" ht="12.75" x14ac:dyDescent="0.15">
      <c r="B209" s="82"/>
      <c r="C209" s="102"/>
      <c r="D209" s="103"/>
      <c r="E209" s="102" t="s">
        <v>147</v>
      </c>
      <c r="F209" s="128">
        <f>100/115*F208</f>
        <v>0</v>
      </c>
      <c r="G209" s="104"/>
      <c r="H209" s="105" t="s">
        <v>147</v>
      </c>
      <c r="I209" s="128">
        <f>100/115*I208</f>
        <v>0</v>
      </c>
      <c r="J209" s="106"/>
    </row>
    <row r="210" spans="2:12" s="1" customFormat="1" ht="12.75" x14ac:dyDescent="0.15"/>
    <row r="211" spans="2:12" s="1" customFormat="1" ht="12.75" x14ac:dyDescent="0.15"/>
    <row r="212" spans="2:12" s="1" customFormat="1" ht="12.75" x14ac:dyDescent="0.15"/>
    <row r="213" spans="2:12" s="1" customFormat="1" ht="12.75" x14ac:dyDescent="0.15"/>
    <row r="214" spans="2:12" s="247" customFormat="1" ht="32.25" x14ac:dyDescent="0.4">
      <c r="B214" s="248"/>
      <c r="C214" s="380" t="s">
        <v>112</v>
      </c>
      <c r="D214" s="380"/>
      <c r="E214" s="428" t="s">
        <v>155</v>
      </c>
      <c r="F214" s="428"/>
      <c r="G214" s="428"/>
      <c r="H214" s="428"/>
      <c r="I214" s="428"/>
      <c r="J214" s="382">
        <v>2026</v>
      </c>
      <c r="K214" s="382"/>
      <c r="L214" s="382"/>
    </row>
    <row r="215" spans="2:12" s="1" customFormat="1" ht="22.5" x14ac:dyDescent="0.15">
      <c r="B215" s="82"/>
      <c r="C215" s="102" t="s">
        <v>114</v>
      </c>
      <c r="D215" s="388" t="s">
        <v>115</v>
      </c>
      <c r="E215" s="388"/>
      <c r="F215" s="102" t="s">
        <v>116</v>
      </c>
      <c r="G215" s="102" t="s">
        <v>117</v>
      </c>
      <c r="H215" s="102" t="s">
        <v>118</v>
      </c>
      <c r="I215" s="102" t="s">
        <v>119</v>
      </c>
      <c r="J215" s="102" t="s">
        <v>120</v>
      </c>
      <c r="K215" s="82"/>
      <c r="L215" s="82"/>
    </row>
    <row r="216" spans="2:12" s="1" customFormat="1" ht="12.75" x14ac:dyDescent="0.15">
      <c r="B216" s="82"/>
      <c r="C216" s="66">
        <f>C147</f>
        <v>250</v>
      </c>
      <c r="D216" s="389">
        <v>19</v>
      </c>
      <c r="E216" s="389"/>
      <c r="F216" s="13">
        <f>F147</f>
        <v>0.75</v>
      </c>
      <c r="G216" s="14">
        <f>G147</f>
        <v>8</v>
      </c>
      <c r="H216" s="142">
        <f>D216*G216*F216</f>
        <v>114</v>
      </c>
      <c r="I216" s="66">
        <f>I278</f>
        <v>0</v>
      </c>
      <c r="J216" s="143">
        <f>H216-J278</f>
        <v>114</v>
      </c>
      <c r="K216" s="82"/>
      <c r="L216" s="82"/>
    </row>
    <row r="217" spans="2:12" s="1" customFormat="1" ht="33.75" x14ac:dyDescent="0.15">
      <c r="B217" s="82"/>
      <c r="C217" s="167" t="s">
        <v>121</v>
      </c>
      <c r="D217" s="395" t="s">
        <v>122</v>
      </c>
      <c r="E217" s="395"/>
      <c r="F217" s="177" t="s">
        <v>123</v>
      </c>
      <c r="G217" s="178" t="s">
        <v>124</v>
      </c>
      <c r="H217" s="179" t="s">
        <v>125</v>
      </c>
      <c r="I217" s="180" t="s">
        <v>126</v>
      </c>
      <c r="J217" s="178" t="s">
        <v>127</v>
      </c>
      <c r="K217" s="114" t="s">
        <v>128</v>
      </c>
      <c r="L217" s="114" t="s">
        <v>129</v>
      </c>
    </row>
    <row r="218" spans="2:12" s="1" customFormat="1" ht="12.75" x14ac:dyDescent="0.15">
      <c r="B218" s="79"/>
      <c r="C218" s="193"/>
      <c r="D218" s="406"/>
      <c r="E218" s="406"/>
      <c r="F218" s="194"/>
      <c r="G218" s="195"/>
      <c r="H218" s="196"/>
      <c r="I218" s="176"/>
      <c r="J218" s="88"/>
      <c r="K218" s="79"/>
      <c r="L218" s="120"/>
    </row>
    <row r="219" spans="2:12" s="1" customFormat="1" ht="12.75" x14ac:dyDescent="0.15">
      <c r="B219" s="80"/>
      <c r="C219" s="392" t="s">
        <v>130</v>
      </c>
      <c r="D219" s="392"/>
      <c r="E219" s="392"/>
      <c r="F219" s="184"/>
      <c r="G219" s="92"/>
      <c r="H219" s="163"/>
      <c r="I219" s="126"/>
      <c r="J219" s="21"/>
      <c r="K219" s="80"/>
      <c r="L219" s="82"/>
    </row>
    <row r="220" spans="2:12" s="1" customFormat="1" ht="12.75" x14ac:dyDescent="0.15">
      <c r="B220" s="80"/>
      <c r="C220" s="167" t="s">
        <v>149</v>
      </c>
      <c r="D220" s="167"/>
      <c r="E220" s="167"/>
      <c r="F220" s="168"/>
      <c r="G220" s="92"/>
      <c r="H220" s="163"/>
      <c r="I220" s="126"/>
      <c r="J220" s="21"/>
      <c r="K220" s="80"/>
      <c r="L220" s="82"/>
    </row>
    <row r="221" spans="2:12" s="1" customFormat="1" ht="12.75" x14ac:dyDescent="0.15">
      <c r="B221" s="80">
        <v>1</v>
      </c>
      <c r="C221" s="89"/>
      <c r="D221" s="167"/>
      <c r="E221" s="167"/>
      <c r="F221" s="168"/>
      <c r="G221" s="92"/>
      <c r="H221" s="163">
        <v>1</v>
      </c>
      <c r="I221" s="126">
        <f>J221*$C$32</f>
        <v>0</v>
      </c>
      <c r="J221" s="21">
        <f>(F221*G221*H221)/$C$32</f>
        <v>0</v>
      </c>
      <c r="K221" s="80"/>
      <c r="L221" s="82"/>
    </row>
    <row r="222" spans="2:12" s="1" customFormat="1" ht="12.75" customHeight="1" x14ac:dyDescent="0.15">
      <c r="B222" s="80">
        <v>2</v>
      </c>
      <c r="C222" s="187"/>
      <c r="D222" s="90"/>
      <c r="E222" s="90"/>
      <c r="F222" s="168"/>
      <c r="G222" s="92"/>
      <c r="H222" s="163">
        <v>1</v>
      </c>
      <c r="I222" s="126">
        <f>J222*$C$32</f>
        <v>0</v>
      </c>
      <c r="J222" s="21">
        <f>(F222*G222*H222)/$C$32</f>
        <v>0</v>
      </c>
      <c r="K222" s="80"/>
      <c r="L222" s="82"/>
    </row>
    <row r="223" spans="2:12" s="1" customFormat="1" ht="12.75" customHeight="1" x14ac:dyDescent="0.15">
      <c r="B223" s="80">
        <v>3</v>
      </c>
      <c r="C223" s="188"/>
      <c r="D223" s="169"/>
      <c r="E223" s="169"/>
      <c r="F223" s="168"/>
      <c r="G223" s="92"/>
      <c r="H223" s="163">
        <v>1</v>
      </c>
      <c r="I223" s="126">
        <f t="shared" ref="I223:I253" si="13">J223*$C$32</f>
        <v>0</v>
      </c>
      <c r="J223" s="21">
        <f t="shared" ref="J223:J253" si="14">(F223*G223*H223)/$C$32</f>
        <v>0</v>
      </c>
      <c r="K223" s="80"/>
      <c r="L223" s="82"/>
    </row>
    <row r="224" spans="2:12" s="1" customFormat="1" ht="12.75" customHeight="1" x14ac:dyDescent="0.15">
      <c r="B224" s="80">
        <v>4</v>
      </c>
      <c r="C224" s="188"/>
      <c r="D224" s="169"/>
      <c r="E224" s="169"/>
      <c r="F224" s="168"/>
      <c r="G224" s="92"/>
      <c r="H224" s="163">
        <v>1</v>
      </c>
      <c r="I224" s="126">
        <f t="shared" si="13"/>
        <v>0</v>
      </c>
      <c r="J224" s="21">
        <f t="shared" si="14"/>
        <v>0</v>
      </c>
      <c r="K224" s="80"/>
      <c r="L224" s="82"/>
    </row>
    <row r="225" spans="2:12" s="1" customFormat="1" ht="12.75" customHeight="1" x14ac:dyDescent="0.15">
      <c r="B225" s="80">
        <v>5</v>
      </c>
      <c r="C225" s="189"/>
      <c r="D225" s="169"/>
      <c r="E225" s="169"/>
      <c r="F225" s="168"/>
      <c r="G225" s="92"/>
      <c r="H225" s="163">
        <v>1</v>
      </c>
      <c r="I225" s="126">
        <f t="shared" si="13"/>
        <v>0</v>
      </c>
      <c r="J225" s="21">
        <f t="shared" si="14"/>
        <v>0</v>
      </c>
      <c r="K225" s="80"/>
      <c r="L225" s="82"/>
    </row>
    <row r="226" spans="2:12" s="1" customFormat="1" ht="12.75" customHeight="1" x14ac:dyDescent="0.15">
      <c r="B226" s="80">
        <v>6</v>
      </c>
      <c r="C226" s="188"/>
      <c r="D226" s="190"/>
      <c r="E226" s="190"/>
      <c r="F226" s="168"/>
      <c r="G226" s="92"/>
      <c r="H226" s="163">
        <v>1</v>
      </c>
      <c r="I226" s="126">
        <f t="shared" si="13"/>
        <v>0</v>
      </c>
      <c r="J226" s="21">
        <f t="shared" si="14"/>
        <v>0</v>
      </c>
      <c r="K226" s="80"/>
      <c r="L226" s="82"/>
    </row>
    <row r="227" spans="2:12" s="1" customFormat="1" ht="12.75" customHeight="1" x14ac:dyDescent="0.15">
      <c r="B227" s="80">
        <v>7</v>
      </c>
      <c r="C227" s="188"/>
      <c r="D227" s="169"/>
      <c r="E227" s="169"/>
      <c r="F227" s="168"/>
      <c r="G227" s="92"/>
      <c r="H227" s="163">
        <v>1</v>
      </c>
      <c r="I227" s="126">
        <f t="shared" si="13"/>
        <v>0</v>
      </c>
      <c r="J227" s="21">
        <f t="shared" si="14"/>
        <v>0</v>
      </c>
      <c r="K227" s="80"/>
      <c r="L227" s="82"/>
    </row>
    <row r="228" spans="2:12" s="1" customFormat="1" ht="12.75" customHeight="1" x14ac:dyDescent="0.15">
      <c r="B228" s="80">
        <v>8</v>
      </c>
      <c r="C228" s="188"/>
      <c r="D228" s="169"/>
      <c r="E228" s="169"/>
      <c r="F228" s="168"/>
      <c r="G228" s="92"/>
      <c r="H228" s="163">
        <v>1</v>
      </c>
      <c r="I228" s="192">
        <f t="shared" si="13"/>
        <v>0</v>
      </c>
      <c r="J228" s="21">
        <f t="shared" si="14"/>
        <v>0</v>
      </c>
      <c r="K228" s="80"/>
      <c r="L228" s="82"/>
    </row>
    <row r="229" spans="2:12" s="1" customFormat="1" ht="12.75" customHeight="1" x14ac:dyDescent="0.15">
      <c r="B229" s="80">
        <v>9</v>
      </c>
      <c r="C229" s="188"/>
      <c r="D229" s="90"/>
      <c r="E229" s="90"/>
      <c r="F229" s="168"/>
      <c r="G229" s="92"/>
      <c r="H229" s="163">
        <v>1</v>
      </c>
      <c r="I229" s="192">
        <f t="shared" si="13"/>
        <v>0</v>
      </c>
      <c r="J229" s="21">
        <f t="shared" si="14"/>
        <v>0</v>
      </c>
      <c r="K229" s="80"/>
      <c r="L229" s="82"/>
    </row>
    <row r="230" spans="2:12" s="1" customFormat="1" ht="12.75" x14ac:dyDescent="0.15">
      <c r="B230" s="80">
        <v>10</v>
      </c>
      <c r="C230" s="113"/>
      <c r="D230" s="90"/>
      <c r="E230" s="90"/>
      <c r="F230" s="168"/>
      <c r="G230" s="92"/>
      <c r="H230" s="163">
        <v>1</v>
      </c>
      <c r="I230" s="192">
        <f t="shared" si="13"/>
        <v>0</v>
      </c>
      <c r="J230" s="21">
        <f t="shared" si="14"/>
        <v>0</v>
      </c>
      <c r="K230" s="80"/>
      <c r="L230" s="82"/>
    </row>
    <row r="231" spans="2:12" s="1" customFormat="1" ht="12.75" x14ac:dyDescent="0.15">
      <c r="B231" s="80"/>
      <c r="C231" s="113"/>
      <c r="D231" s="90"/>
      <c r="E231" s="90"/>
      <c r="F231" s="168"/>
      <c r="G231" s="92"/>
      <c r="H231" s="163"/>
      <c r="I231" s="192"/>
      <c r="J231" s="21"/>
      <c r="K231" s="80"/>
      <c r="L231" s="82"/>
    </row>
    <row r="232" spans="2:12" s="1" customFormat="1" ht="12.75" x14ac:dyDescent="0.15">
      <c r="B232" s="80"/>
      <c r="C232" s="113"/>
      <c r="D232" s="90"/>
      <c r="E232" s="90"/>
      <c r="F232" s="168"/>
      <c r="G232" s="92"/>
      <c r="H232" s="163"/>
      <c r="I232" s="192"/>
      <c r="J232" s="21"/>
      <c r="K232" s="80"/>
      <c r="L232" s="82"/>
    </row>
    <row r="233" spans="2:12" s="1" customFormat="1" ht="12.75" x14ac:dyDescent="0.15">
      <c r="B233" s="80"/>
      <c r="C233" s="117" t="s">
        <v>156</v>
      </c>
      <c r="D233" s="90"/>
      <c r="E233" s="90"/>
      <c r="F233" s="168"/>
      <c r="G233" s="92"/>
      <c r="H233" s="163"/>
      <c r="I233" s="192"/>
      <c r="J233" s="21"/>
      <c r="K233" s="80"/>
      <c r="L233" s="82"/>
    </row>
    <row r="234" spans="2:12" s="1" customFormat="1" ht="12.75" x14ac:dyDescent="0.15">
      <c r="B234" s="80">
        <v>1</v>
      </c>
      <c r="C234" s="188"/>
      <c r="D234" s="169"/>
      <c r="E234" s="169"/>
      <c r="F234" s="168"/>
      <c r="G234" s="92"/>
      <c r="H234" s="163">
        <v>1</v>
      </c>
      <c r="I234" s="192">
        <f t="shared" si="13"/>
        <v>0</v>
      </c>
      <c r="J234" s="21">
        <f t="shared" si="14"/>
        <v>0</v>
      </c>
      <c r="K234" s="80"/>
      <c r="L234" s="82"/>
    </row>
    <row r="235" spans="2:12" s="1" customFormat="1" ht="12.75" x14ac:dyDescent="0.15">
      <c r="B235" s="80">
        <v>2</v>
      </c>
      <c r="C235" s="188"/>
      <c r="D235" s="169"/>
      <c r="E235" s="169"/>
      <c r="F235" s="168"/>
      <c r="G235" s="92"/>
      <c r="H235" s="163">
        <v>1</v>
      </c>
      <c r="I235" s="192">
        <f t="shared" si="13"/>
        <v>0</v>
      </c>
      <c r="J235" s="21">
        <f t="shared" si="14"/>
        <v>0</v>
      </c>
      <c r="K235" s="80"/>
      <c r="L235" s="82"/>
    </row>
    <row r="236" spans="2:12" s="1" customFormat="1" ht="12.75" x14ac:dyDescent="0.15">
      <c r="B236" s="80">
        <v>3</v>
      </c>
      <c r="C236" s="188"/>
      <c r="D236" s="169"/>
      <c r="E236" s="169"/>
      <c r="F236" s="168"/>
      <c r="G236" s="92"/>
      <c r="H236" s="163">
        <v>1</v>
      </c>
      <c r="I236" s="192">
        <f t="shared" si="13"/>
        <v>0</v>
      </c>
      <c r="J236" s="21">
        <f t="shared" si="14"/>
        <v>0</v>
      </c>
      <c r="K236" s="80"/>
      <c r="L236" s="82"/>
    </row>
    <row r="237" spans="2:12" s="1" customFormat="1" ht="13.5" customHeight="1" x14ac:dyDescent="0.15">
      <c r="B237" s="80">
        <v>4</v>
      </c>
      <c r="C237" s="188"/>
      <c r="D237" s="169"/>
      <c r="E237" s="169"/>
      <c r="F237" s="168"/>
      <c r="G237" s="92"/>
      <c r="H237" s="163">
        <v>1</v>
      </c>
      <c r="I237" s="192">
        <f t="shared" si="13"/>
        <v>0</v>
      </c>
      <c r="J237" s="21">
        <f t="shared" si="14"/>
        <v>0</v>
      </c>
      <c r="K237" s="80"/>
      <c r="L237" s="82"/>
    </row>
    <row r="238" spans="2:12" s="1" customFormat="1" ht="13.5" customHeight="1" x14ac:dyDescent="0.15">
      <c r="B238" s="80">
        <v>5</v>
      </c>
      <c r="C238" s="188"/>
      <c r="D238" s="169"/>
      <c r="E238" s="169"/>
      <c r="F238" s="168"/>
      <c r="G238" s="92"/>
      <c r="H238" s="163">
        <v>1</v>
      </c>
      <c r="I238" s="129">
        <f t="shared" si="13"/>
        <v>0</v>
      </c>
      <c r="J238" s="21">
        <f t="shared" si="14"/>
        <v>0</v>
      </c>
      <c r="K238" s="80"/>
      <c r="L238" s="82"/>
    </row>
    <row r="239" spans="2:12" s="1" customFormat="1" ht="13.5" customHeight="1" x14ac:dyDescent="0.15">
      <c r="B239" s="80">
        <v>6</v>
      </c>
      <c r="C239" s="189"/>
      <c r="D239" s="169"/>
      <c r="E239" s="90"/>
      <c r="F239" s="168"/>
      <c r="G239" s="92"/>
      <c r="H239" s="163">
        <v>1</v>
      </c>
      <c r="I239" s="129">
        <f t="shared" si="13"/>
        <v>0</v>
      </c>
      <c r="J239" s="21">
        <f t="shared" si="14"/>
        <v>0</v>
      </c>
      <c r="K239" s="80"/>
      <c r="L239" s="82"/>
    </row>
    <row r="240" spans="2:12" s="1" customFormat="1" ht="13.5" customHeight="1" x14ac:dyDescent="0.15">
      <c r="B240" s="80">
        <v>7</v>
      </c>
      <c r="C240" s="189"/>
      <c r="D240" s="90"/>
      <c r="E240" s="90"/>
      <c r="F240" s="168"/>
      <c r="G240" s="92"/>
      <c r="H240" s="163">
        <v>1</v>
      </c>
      <c r="I240" s="129">
        <f t="shared" si="13"/>
        <v>0</v>
      </c>
      <c r="J240" s="21">
        <f t="shared" si="14"/>
        <v>0</v>
      </c>
      <c r="K240" s="80"/>
      <c r="L240" s="82"/>
    </row>
    <row r="241" spans="2:12" s="1" customFormat="1" ht="13.5" customHeight="1" x14ac:dyDescent="0.15">
      <c r="B241" s="80">
        <v>8</v>
      </c>
      <c r="C241" s="189"/>
      <c r="D241" s="90"/>
      <c r="E241" s="90"/>
      <c r="F241" s="191"/>
      <c r="G241" s="92"/>
      <c r="H241" s="163">
        <v>1</v>
      </c>
      <c r="I241" s="129">
        <f t="shared" si="13"/>
        <v>0</v>
      </c>
      <c r="J241" s="21">
        <f t="shared" si="14"/>
        <v>0</v>
      </c>
      <c r="K241" s="80"/>
      <c r="L241" s="82"/>
    </row>
    <row r="242" spans="2:12" s="1" customFormat="1" ht="13.5" customHeight="1" x14ac:dyDescent="0.15">
      <c r="B242" s="80">
        <v>9</v>
      </c>
      <c r="C242" s="189"/>
      <c r="D242" s="90"/>
      <c r="E242" s="90"/>
      <c r="F242" s="168"/>
      <c r="G242" s="92"/>
      <c r="H242" s="163">
        <v>1</v>
      </c>
      <c r="I242" s="129">
        <f t="shared" si="13"/>
        <v>0</v>
      </c>
      <c r="J242" s="21">
        <f t="shared" si="14"/>
        <v>0</v>
      </c>
      <c r="K242" s="80"/>
      <c r="L242" s="82"/>
    </row>
    <row r="243" spans="2:12" s="1" customFormat="1" ht="13.5" customHeight="1" x14ac:dyDescent="0.15">
      <c r="B243" s="80">
        <v>10</v>
      </c>
      <c r="C243" s="189"/>
      <c r="D243" s="90"/>
      <c r="E243" s="90"/>
      <c r="F243" s="168"/>
      <c r="G243" s="92"/>
      <c r="H243" s="163">
        <v>1</v>
      </c>
      <c r="I243" s="129">
        <f t="shared" si="13"/>
        <v>0</v>
      </c>
      <c r="J243" s="21">
        <f t="shared" si="14"/>
        <v>0</v>
      </c>
      <c r="K243" s="80"/>
      <c r="L243" s="82"/>
    </row>
    <row r="244" spans="2:12" s="1" customFormat="1" ht="12.75" x14ac:dyDescent="0.15">
      <c r="B244" s="80">
        <v>11</v>
      </c>
      <c r="C244" s="189"/>
      <c r="D244" s="90"/>
      <c r="E244" s="90"/>
      <c r="F244" s="168"/>
      <c r="G244" s="92"/>
      <c r="H244" s="163">
        <v>1</v>
      </c>
      <c r="I244" s="129">
        <f t="shared" si="13"/>
        <v>0</v>
      </c>
      <c r="J244" s="21">
        <f t="shared" si="14"/>
        <v>0</v>
      </c>
      <c r="K244" s="80"/>
      <c r="L244" s="82"/>
    </row>
    <row r="245" spans="2:12" s="1" customFormat="1" ht="12.75" x14ac:dyDescent="0.15">
      <c r="B245" s="80">
        <v>12</v>
      </c>
      <c r="C245" s="189"/>
      <c r="D245" s="90"/>
      <c r="E245" s="90"/>
      <c r="F245" s="168"/>
      <c r="G245" s="92"/>
      <c r="H245" s="163">
        <v>1</v>
      </c>
      <c r="I245" s="129">
        <f t="shared" si="13"/>
        <v>0</v>
      </c>
      <c r="J245" s="21">
        <f t="shared" si="14"/>
        <v>0</v>
      </c>
      <c r="K245" s="80"/>
      <c r="L245" s="82"/>
    </row>
    <row r="246" spans="2:12" s="1" customFormat="1" ht="12.75" x14ac:dyDescent="0.15">
      <c r="B246" s="80">
        <v>13</v>
      </c>
      <c r="C246" s="189"/>
      <c r="D246" s="90"/>
      <c r="E246" s="90"/>
      <c r="F246" s="168"/>
      <c r="G246" s="92"/>
      <c r="H246" s="163">
        <v>1</v>
      </c>
      <c r="I246" s="129">
        <f t="shared" si="13"/>
        <v>0</v>
      </c>
      <c r="J246" s="21">
        <f t="shared" si="14"/>
        <v>0</v>
      </c>
      <c r="K246" s="80"/>
      <c r="L246" s="82"/>
    </row>
    <row r="247" spans="2:12" s="1" customFormat="1" ht="12.75" x14ac:dyDescent="0.15">
      <c r="B247" s="80">
        <v>14</v>
      </c>
      <c r="C247" s="189"/>
      <c r="D247" s="90"/>
      <c r="E247" s="90"/>
      <c r="F247" s="168"/>
      <c r="G247" s="92"/>
      <c r="H247" s="163">
        <v>1</v>
      </c>
      <c r="I247" s="129">
        <f t="shared" si="13"/>
        <v>0</v>
      </c>
      <c r="J247" s="21">
        <f t="shared" si="14"/>
        <v>0</v>
      </c>
      <c r="K247" s="80"/>
      <c r="L247" s="82"/>
    </row>
    <row r="248" spans="2:12" s="1" customFormat="1" ht="12.75" x14ac:dyDescent="0.15">
      <c r="B248" s="80">
        <v>15</v>
      </c>
      <c r="C248" s="189"/>
      <c r="D248" s="90"/>
      <c r="E248" s="90"/>
      <c r="F248" s="168"/>
      <c r="G248" s="92"/>
      <c r="H248" s="163">
        <v>1</v>
      </c>
      <c r="I248" s="129">
        <f t="shared" si="13"/>
        <v>0</v>
      </c>
      <c r="J248" s="21">
        <f t="shared" si="14"/>
        <v>0</v>
      </c>
      <c r="K248" s="80"/>
      <c r="L248" s="82"/>
    </row>
    <row r="249" spans="2:12" s="1" customFormat="1" ht="12.75" x14ac:dyDescent="0.15">
      <c r="B249" s="80">
        <v>16</v>
      </c>
      <c r="C249" s="189"/>
      <c r="D249" s="90"/>
      <c r="E249" s="90"/>
      <c r="F249" s="168"/>
      <c r="G249" s="92"/>
      <c r="H249" s="163">
        <v>1</v>
      </c>
      <c r="I249" s="129">
        <f t="shared" si="13"/>
        <v>0</v>
      </c>
      <c r="J249" s="21">
        <f t="shared" si="14"/>
        <v>0</v>
      </c>
      <c r="K249" s="80"/>
      <c r="L249" s="82"/>
    </row>
    <row r="250" spans="2:12" s="1" customFormat="1" ht="12.75" x14ac:dyDescent="0.15">
      <c r="B250" s="80">
        <v>17</v>
      </c>
      <c r="C250" s="189"/>
      <c r="D250" s="90"/>
      <c r="E250" s="90"/>
      <c r="F250" s="168"/>
      <c r="G250" s="92"/>
      <c r="H250" s="163">
        <v>1</v>
      </c>
      <c r="I250" s="129">
        <f t="shared" si="13"/>
        <v>0</v>
      </c>
      <c r="J250" s="21">
        <f t="shared" si="14"/>
        <v>0</v>
      </c>
      <c r="K250" s="80"/>
      <c r="L250" s="82"/>
    </row>
    <row r="251" spans="2:12" s="1" customFormat="1" ht="12.75" x14ac:dyDescent="0.15">
      <c r="B251" s="80">
        <v>18</v>
      </c>
      <c r="C251" s="189"/>
      <c r="D251" s="90"/>
      <c r="E251" s="90"/>
      <c r="F251" s="168"/>
      <c r="G251" s="92"/>
      <c r="H251" s="163">
        <v>1</v>
      </c>
      <c r="I251" s="129">
        <f t="shared" si="13"/>
        <v>0</v>
      </c>
      <c r="J251" s="21">
        <f t="shared" si="14"/>
        <v>0</v>
      </c>
      <c r="K251" s="80"/>
      <c r="L251" s="82"/>
    </row>
    <row r="252" spans="2:12" s="1" customFormat="1" ht="12.75" x14ac:dyDescent="0.15">
      <c r="B252" s="80">
        <v>19</v>
      </c>
      <c r="C252" s="188"/>
      <c r="D252" s="89"/>
      <c r="E252" s="89"/>
      <c r="F252" s="168"/>
      <c r="G252" s="92"/>
      <c r="H252" s="163">
        <v>1</v>
      </c>
      <c r="I252" s="129">
        <f t="shared" si="13"/>
        <v>0</v>
      </c>
      <c r="J252" s="21">
        <f t="shared" si="14"/>
        <v>0</v>
      </c>
      <c r="K252" s="80"/>
      <c r="L252" s="82"/>
    </row>
    <row r="253" spans="2:12" s="1" customFormat="1" ht="12.75" x14ac:dyDescent="0.15">
      <c r="B253" s="80">
        <v>20</v>
      </c>
      <c r="C253" s="188"/>
      <c r="D253" s="90"/>
      <c r="E253" s="90"/>
      <c r="F253" s="168"/>
      <c r="G253" s="92"/>
      <c r="H253" s="163">
        <v>1</v>
      </c>
      <c r="I253" s="129">
        <f t="shared" si="13"/>
        <v>0</v>
      </c>
      <c r="J253" s="21">
        <f t="shared" si="14"/>
        <v>0</v>
      </c>
      <c r="K253" s="80"/>
      <c r="L253" s="82"/>
    </row>
    <row r="254" spans="2:12" s="1" customFormat="1" ht="12.75" x14ac:dyDescent="0.15">
      <c r="B254" s="80"/>
      <c r="C254" s="188"/>
      <c r="D254" s="90"/>
      <c r="E254" s="90"/>
      <c r="F254" s="168"/>
      <c r="G254" s="92"/>
      <c r="H254" s="163"/>
      <c r="I254" s="129"/>
      <c r="J254" s="21"/>
      <c r="K254" s="80"/>
      <c r="L254" s="82"/>
    </row>
    <row r="255" spans="2:12" s="1" customFormat="1" ht="12.75" x14ac:dyDescent="0.15">
      <c r="B255" s="80"/>
      <c r="C255" s="188"/>
      <c r="D255" s="90"/>
      <c r="E255" s="90"/>
      <c r="F255" s="168"/>
      <c r="G255" s="92"/>
      <c r="H255" s="163"/>
      <c r="I255" s="129"/>
      <c r="J255" s="21"/>
      <c r="K255" s="80"/>
      <c r="L255" s="82"/>
    </row>
    <row r="256" spans="2:12" s="1" customFormat="1" ht="12.75" x14ac:dyDescent="0.15">
      <c r="B256" s="80"/>
      <c r="C256" s="167" t="s">
        <v>157</v>
      </c>
      <c r="D256" s="90"/>
      <c r="E256" s="90"/>
      <c r="F256" s="168"/>
      <c r="G256" s="92"/>
      <c r="H256" s="163"/>
      <c r="I256" s="129"/>
      <c r="J256" s="27"/>
      <c r="K256" s="80"/>
      <c r="L256" s="82"/>
    </row>
    <row r="257" spans="2:12" s="1" customFormat="1" ht="12.75" x14ac:dyDescent="0.15">
      <c r="B257" s="80">
        <v>1</v>
      </c>
      <c r="C257" s="89"/>
      <c r="D257" s="90"/>
      <c r="E257" s="90"/>
      <c r="F257" s="168"/>
      <c r="G257" s="92"/>
      <c r="H257" s="163">
        <v>1</v>
      </c>
      <c r="I257" s="129">
        <f t="shared" ref="I257:I276" si="15">J257*$C$32</f>
        <v>0</v>
      </c>
      <c r="J257" s="27">
        <f t="shared" ref="J257:J276" si="16">(F257*G257*H257)/$C$32</f>
        <v>0</v>
      </c>
      <c r="K257" s="80"/>
      <c r="L257" s="82"/>
    </row>
    <row r="258" spans="2:12" s="1" customFormat="1" ht="12.75" x14ac:dyDescent="0.15">
      <c r="B258" s="80">
        <v>2</v>
      </c>
      <c r="C258" s="183"/>
      <c r="D258" s="90"/>
      <c r="E258" s="90"/>
      <c r="F258" s="168"/>
      <c r="G258" s="92"/>
      <c r="H258" s="163">
        <v>1</v>
      </c>
      <c r="I258" s="129">
        <f t="shared" si="15"/>
        <v>0</v>
      </c>
      <c r="J258" s="27">
        <f t="shared" si="16"/>
        <v>0</v>
      </c>
      <c r="K258" s="80"/>
      <c r="L258" s="82"/>
    </row>
    <row r="259" spans="2:12" s="1" customFormat="1" ht="12.75" x14ac:dyDescent="0.15">
      <c r="B259" s="80">
        <v>3</v>
      </c>
      <c r="C259" s="89"/>
      <c r="D259" s="90"/>
      <c r="E259" s="90"/>
      <c r="F259" s="168"/>
      <c r="G259" s="92"/>
      <c r="H259" s="163">
        <v>1</v>
      </c>
      <c r="I259" s="129">
        <f t="shared" si="15"/>
        <v>0</v>
      </c>
      <c r="J259" s="27">
        <f t="shared" si="16"/>
        <v>0</v>
      </c>
      <c r="K259" s="80"/>
      <c r="L259" s="82"/>
    </row>
    <row r="260" spans="2:12" s="1" customFormat="1" ht="12.75" x14ac:dyDescent="0.15">
      <c r="B260" s="80">
        <v>4</v>
      </c>
      <c r="C260" s="169"/>
      <c r="D260" s="90"/>
      <c r="E260" s="90"/>
      <c r="F260" s="168"/>
      <c r="G260" s="92"/>
      <c r="H260" s="163">
        <v>1</v>
      </c>
      <c r="I260" s="129">
        <f t="shared" si="15"/>
        <v>0</v>
      </c>
      <c r="J260" s="27">
        <f t="shared" si="16"/>
        <v>0</v>
      </c>
      <c r="K260" s="80"/>
      <c r="L260" s="82"/>
    </row>
    <row r="261" spans="2:12" s="1" customFormat="1" ht="12.75" x14ac:dyDescent="0.15">
      <c r="B261" s="80">
        <v>5</v>
      </c>
      <c r="C261" s="183"/>
      <c r="D261" s="90"/>
      <c r="E261" s="90"/>
      <c r="F261" s="168"/>
      <c r="G261" s="92"/>
      <c r="H261" s="163">
        <v>1</v>
      </c>
      <c r="I261" s="129">
        <f t="shared" si="15"/>
        <v>0</v>
      </c>
      <c r="J261" s="27">
        <f t="shared" si="16"/>
        <v>0</v>
      </c>
      <c r="K261" s="80"/>
      <c r="L261" s="82"/>
    </row>
    <row r="262" spans="2:12" s="1" customFormat="1" ht="12.75" x14ac:dyDescent="0.15">
      <c r="B262" s="80">
        <v>6</v>
      </c>
      <c r="C262" s="89"/>
      <c r="D262" s="90"/>
      <c r="E262" s="90"/>
      <c r="F262" s="168"/>
      <c r="G262" s="92"/>
      <c r="H262" s="163">
        <v>1</v>
      </c>
      <c r="I262" s="129">
        <f t="shared" si="15"/>
        <v>0</v>
      </c>
      <c r="J262" s="27">
        <f t="shared" si="16"/>
        <v>0</v>
      </c>
      <c r="K262" s="80"/>
      <c r="L262" s="82"/>
    </row>
    <row r="263" spans="2:12" s="1" customFormat="1" ht="12.75" x14ac:dyDescent="0.15">
      <c r="B263" s="80">
        <v>7</v>
      </c>
      <c r="C263" s="183"/>
      <c r="D263" s="90"/>
      <c r="E263" s="90"/>
      <c r="F263" s="168"/>
      <c r="G263" s="92"/>
      <c r="H263" s="163">
        <v>1</v>
      </c>
      <c r="I263" s="129">
        <f t="shared" si="15"/>
        <v>0</v>
      </c>
      <c r="J263" s="27">
        <f t="shared" si="16"/>
        <v>0</v>
      </c>
      <c r="K263" s="80"/>
      <c r="L263" s="82"/>
    </row>
    <row r="264" spans="2:12" s="1" customFormat="1" ht="12.75" x14ac:dyDescent="0.15">
      <c r="B264" s="80">
        <v>8</v>
      </c>
      <c r="C264" s="183"/>
      <c r="D264" s="90"/>
      <c r="E264" s="90"/>
      <c r="F264" s="168"/>
      <c r="G264" s="92"/>
      <c r="H264" s="163">
        <v>1</v>
      </c>
      <c r="I264" s="129">
        <f t="shared" si="15"/>
        <v>0</v>
      </c>
      <c r="J264" s="27">
        <f t="shared" si="16"/>
        <v>0</v>
      </c>
      <c r="K264" s="80"/>
      <c r="L264" s="82"/>
    </row>
    <row r="265" spans="2:12" s="1" customFormat="1" ht="12.75" x14ac:dyDescent="0.15">
      <c r="B265" s="80">
        <v>9</v>
      </c>
      <c r="C265" s="183"/>
      <c r="D265" s="90"/>
      <c r="E265" s="90"/>
      <c r="F265" s="168"/>
      <c r="G265" s="92"/>
      <c r="H265" s="163">
        <v>1</v>
      </c>
      <c r="I265" s="129">
        <f t="shared" si="15"/>
        <v>0</v>
      </c>
      <c r="J265" s="27">
        <f t="shared" si="16"/>
        <v>0</v>
      </c>
      <c r="K265" s="80"/>
      <c r="L265" s="82"/>
    </row>
    <row r="266" spans="2:12" s="1" customFormat="1" ht="12.75" x14ac:dyDescent="0.15">
      <c r="B266" s="80">
        <v>10</v>
      </c>
      <c r="C266" s="183"/>
      <c r="D266" s="90"/>
      <c r="E266" s="90"/>
      <c r="F266" s="168"/>
      <c r="G266" s="92"/>
      <c r="H266" s="163">
        <v>1</v>
      </c>
      <c r="I266" s="129">
        <f t="shared" si="15"/>
        <v>0</v>
      </c>
      <c r="J266" s="27">
        <f t="shared" si="16"/>
        <v>0</v>
      </c>
      <c r="K266" s="80"/>
      <c r="L266" s="82"/>
    </row>
    <row r="267" spans="2:12" s="1" customFormat="1" ht="12.75" x14ac:dyDescent="0.15">
      <c r="B267" s="80">
        <v>11</v>
      </c>
      <c r="C267" s="183"/>
      <c r="D267" s="90"/>
      <c r="E267" s="90"/>
      <c r="F267" s="168"/>
      <c r="G267" s="92"/>
      <c r="H267" s="163">
        <v>1</v>
      </c>
      <c r="I267" s="129">
        <f t="shared" si="15"/>
        <v>0</v>
      </c>
      <c r="J267" s="27">
        <f t="shared" si="16"/>
        <v>0</v>
      </c>
      <c r="K267" s="80"/>
      <c r="L267" s="82"/>
    </row>
    <row r="268" spans="2:12" s="1" customFormat="1" ht="12.75" x14ac:dyDescent="0.15">
      <c r="B268" s="80">
        <v>12</v>
      </c>
      <c r="C268" s="183"/>
      <c r="D268" s="90"/>
      <c r="E268" s="90"/>
      <c r="F268" s="168"/>
      <c r="G268" s="92"/>
      <c r="H268" s="163">
        <v>1</v>
      </c>
      <c r="I268" s="129">
        <f t="shared" si="15"/>
        <v>0</v>
      </c>
      <c r="J268" s="27">
        <f t="shared" si="16"/>
        <v>0</v>
      </c>
      <c r="K268" s="80"/>
      <c r="L268" s="82"/>
    </row>
    <row r="269" spans="2:12" s="1" customFormat="1" ht="12.75" x14ac:dyDescent="0.15">
      <c r="B269" s="80">
        <v>13</v>
      </c>
      <c r="C269" s="183"/>
      <c r="D269" s="90"/>
      <c r="E269" s="90"/>
      <c r="F269" s="168"/>
      <c r="G269" s="92"/>
      <c r="H269" s="163">
        <v>1</v>
      </c>
      <c r="I269" s="129">
        <f t="shared" si="15"/>
        <v>0</v>
      </c>
      <c r="J269" s="27">
        <f t="shared" si="16"/>
        <v>0</v>
      </c>
      <c r="K269" s="80"/>
      <c r="L269" s="82"/>
    </row>
    <row r="270" spans="2:12" s="1" customFormat="1" ht="12.75" x14ac:dyDescent="0.15">
      <c r="B270" s="80">
        <v>14</v>
      </c>
      <c r="C270" s="183"/>
      <c r="D270" s="90"/>
      <c r="E270" s="90"/>
      <c r="F270" s="168"/>
      <c r="G270" s="92"/>
      <c r="H270" s="163">
        <v>1</v>
      </c>
      <c r="I270" s="129">
        <f t="shared" si="15"/>
        <v>0</v>
      </c>
      <c r="J270" s="27">
        <f t="shared" si="16"/>
        <v>0</v>
      </c>
      <c r="K270" s="80"/>
      <c r="L270" s="82"/>
    </row>
    <row r="271" spans="2:12" s="1" customFormat="1" ht="12.75" x14ac:dyDescent="0.15">
      <c r="B271" s="80">
        <v>15</v>
      </c>
      <c r="C271" s="183"/>
      <c r="D271" s="90"/>
      <c r="E271" s="90"/>
      <c r="F271" s="168"/>
      <c r="G271" s="92"/>
      <c r="H271" s="163">
        <v>1</v>
      </c>
      <c r="I271" s="129">
        <f t="shared" si="15"/>
        <v>0</v>
      </c>
      <c r="J271" s="27">
        <f t="shared" si="16"/>
        <v>0</v>
      </c>
      <c r="K271" s="80"/>
      <c r="L271" s="82"/>
    </row>
    <row r="272" spans="2:12" s="1" customFormat="1" ht="12.75" x14ac:dyDescent="0.15">
      <c r="B272" s="80">
        <v>16</v>
      </c>
      <c r="C272" s="183"/>
      <c r="D272" s="90"/>
      <c r="E272" s="90"/>
      <c r="F272" s="168"/>
      <c r="G272" s="92"/>
      <c r="H272" s="163">
        <v>1</v>
      </c>
      <c r="I272" s="129">
        <f t="shared" si="15"/>
        <v>0</v>
      </c>
      <c r="J272" s="27">
        <f t="shared" si="16"/>
        <v>0</v>
      </c>
      <c r="K272" s="80"/>
      <c r="L272" s="82"/>
    </row>
    <row r="273" spans="2:12" s="1" customFormat="1" ht="12.75" x14ac:dyDescent="0.15">
      <c r="B273" s="80">
        <v>17</v>
      </c>
      <c r="C273" s="183"/>
      <c r="D273" s="90"/>
      <c r="E273" s="90"/>
      <c r="F273" s="168"/>
      <c r="G273" s="92"/>
      <c r="H273" s="163">
        <v>1</v>
      </c>
      <c r="I273" s="129">
        <f t="shared" si="15"/>
        <v>0</v>
      </c>
      <c r="J273" s="27">
        <f t="shared" si="16"/>
        <v>0</v>
      </c>
      <c r="K273" s="80"/>
      <c r="L273" s="82"/>
    </row>
    <row r="274" spans="2:12" s="1" customFormat="1" ht="12.75" x14ac:dyDescent="0.15">
      <c r="B274" s="80">
        <v>18</v>
      </c>
      <c r="C274" s="183"/>
      <c r="D274" s="90"/>
      <c r="E274" s="90"/>
      <c r="F274" s="168"/>
      <c r="G274" s="92"/>
      <c r="H274" s="163">
        <v>1</v>
      </c>
      <c r="I274" s="132">
        <f t="shared" si="15"/>
        <v>0</v>
      </c>
      <c r="J274" s="182">
        <f t="shared" si="16"/>
        <v>0</v>
      </c>
      <c r="K274" s="111"/>
      <c r="L274" s="119"/>
    </row>
    <row r="275" spans="2:12" s="1" customFormat="1" ht="12.75" x14ac:dyDescent="0.15">
      <c r="B275" s="16">
        <v>19</v>
      </c>
      <c r="C275" s="186"/>
      <c r="D275" s="85"/>
      <c r="E275" s="85"/>
      <c r="F275" s="166"/>
      <c r="G275" s="87"/>
      <c r="H275" s="267">
        <v>1</v>
      </c>
      <c r="I275" s="168">
        <f t="shared" si="15"/>
        <v>0</v>
      </c>
      <c r="J275" s="185">
        <f t="shared" si="16"/>
        <v>0</v>
      </c>
      <c r="K275" s="82"/>
      <c r="L275" s="82"/>
    </row>
    <row r="276" spans="2:12" s="1" customFormat="1" ht="12.75" x14ac:dyDescent="0.15">
      <c r="B276" s="83">
        <v>20</v>
      </c>
      <c r="C276" s="181"/>
      <c r="D276" s="75"/>
      <c r="E276" s="75"/>
      <c r="F276" s="132"/>
      <c r="G276" s="77"/>
      <c r="H276" s="268">
        <v>1</v>
      </c>
      <c r="I276" s="168">
        <f t="shared" si="15"/>
        <v>0</v>
      </c>
      <c r="J276" s="185">
        <f t="shared" si="16"/>
        <v>0</v>
      </c>
      <c r="K276" s="82"/>
      <c r="L276" s="82"/>
    </row>
    <row r="277" spans="2:12" s="1" customFormat="1" ht="12.75" x14ac:dyDescent="0.15">
      <c r="B277" s="82"/>
      <c r="C277" s="183"/>
      <c r="D277" s="90"/>
      <c r="E277" s="90"/>
      <c r="F277" s="168"/>
      <c r="G277" s="92"/>
      <c r="H277" s="269"/>
      <c r="I277" s="168"/>
      <c r="J277" s="185"/>
      <c r="K277" s="82"/>
      <c r="L277" s="82"/>
    </row>
    <row r="278" spans="2:12" s="1" customFormat="1" ht="12.75" x14ac:dyDescent="0.15">
      <c r="B278" s="82"/>
      <c r="C278" s="102"/>
      <c r="D278" s="103"/>
      <c r="E278" s="102"/>
      <c r="F278" s="128">
        <f>SUM(F218:F277)</f>
        <v>0</v>
      </c>
      <c r="G278" s="104"/>
      <c r="H278" s="253"/>
      <c r="I278" s="128">
        <f>SUM(I219:I277)</f>
        <v>0</v>
      </c>
      <c r="J278" s="257">
        <f>SUM(J222:J263)</f>
        <v>0</v>
      </c>
    </row>
    <row r="279" spans="2:12" s="67" customFormat="1" ht="12.75" x14ac:dyDescent="0.15">
      <c r="B279" s="116"/>
      <c r="C279" s="114"/>
      <c r="D279" s="114"/>
      <c r="E279" s="114" t="s">
        <v>147</v>
      </c>
      <c r="F279" s="162">
        <f>100/115*F278</f>
        <v>0</v>
      </c>
      <c r="G279" s="161"/>
      <c r="H279" s="270" t="s">
        <v>147</v>
      </c>
      <c r="I279" s="162">
        <f>100/115*I278</f>
        <v>0</v>
      </c>
      <c r="J279" s="114"/>
    </row>
    <row r="280" spans="2:12" s="1" customFormat="1" ht="12.75" x14ac:dyDescent="0.15"/>
    <row r="281" spans="2:12" s="1" customFormat="1" ht="12.75" x14ac:dyDescent="0.15"/>
    <row r="282" spans="2:12" s="1" customFormat="1" ht="12.75" x14ac:dyDescent="0.15"/>
    <row r="283" spans="2:12" s="1" customFormat="1" ht="12.75" x14ac:dyDescent="0.15"/>
    <row r="284" spans="2:12" s="247" customFormat="1" ht="32.25" x14ac:dyDescent="0.4">
      <c r="B284" s="248"/>
      <c r="C284" s="380" t="s">
        <v>112</v>
      </c>
      <c r="D284" s="380"/>
      <c r="E284" s="428" t="s">
        <v>104</v>
      </c>
      <c r="F284" s="428"/>
      <c r="G284" s="428"/>
      <c r="H284" s="428"/>
      <c r="I284" s="428"/>
      <c r="J284" s="382">
        <v>2026</v>
      </c>
      <c r="K284" s="382"/>
      <c r="L284" s="382"/>
    </row>
    <row r="285" spans="2:12" s="1" customFormat="1" ht="22.5" x14ac:dyDescent="0.15">
      <c r="B285" s="82"/>
      <c r="C285" s="102" t="s">
        <v>114</v>
      </c>
      <c r="D285" s="388" t="s">
        <v>115</v>
      </c>
      <c r="E285" s="388"/>
      <c r="F285" s="102" t="s">
        <v>116</v>
      </c>
      <c r="G285" s="102" t="s">
        <v>117</v>
      </c>
      <c r="H285" s="102" t="s">
        <v>118</v>
      </c>
      <c r="I285" s="102" t="s">
        <v>119</v>
      </c>
      <c r="J285" s="102" t="s">
        <v>120</v>
      </c>
      <c r="K285" s="82"/>
      <c r="L285" s="82"/>
    </row>
    <row r="286" spans="2:12" s="1" customFormat="1" ht="12.75" x14ac:dyDescent="0.15">
      <c r="B286" s="82"/>
      <c r="C286" s="66">
        <f>C216</f>
        <v>250</v>
      </c>
      <c r="D286" s="389">
        <v>22</v>
      </c>
      <c r="E286" s="389"/>
      <c r="F286" s="13">
        <f>F216</f>
        <v>0.75</v>
      </c>
      <c r="G286" s="14">
        <f>G216</f>
        <v>8</v>
      </c>
      <c r="H286" s="142">
        <f>D286*G286*F286</f>
        <v>132</v>
      </c>
      <c r="I286" s="66">
        <f>I348</f>
        <v>0</v>
      </c>
      <c r="J286" s="143">
        <f>H286-J348</f>
        <v>132</v>
      </c>
      <c r="K286" s="82"/>
      <c r="L286" s="82"/>
    </row>
    <row r="287" spans="2:12" s="1" customFormat="1" ht="33.75" x14ac:dyDescent="0.15">
      <c r="B287" s="82"/>
      <c r="C287" s="167" t="s">
        <v>121</v>
      </c>
      <c r="D287" s="395" t="s">
        <v>122</v>
      </c>
      <c r="E287" s="395"/>
      <c r="F287" s="177" t="s">
        <v>123</v>
      </c>
      <c r="G287" s="178" t="s">
        <v>124</v>
      </c>
      <c r="H287" s="179" t="s">
        <v>125</v>
      </c>
      <c r="I287" s="180" t="s">
        <v>126</v>
      </c>
      <c r="J287" s="178" t="s">
        <v>127</v>
      </c>
      <c r="K287" s="114" t="s">
        <v>128</v>
      </c>
      <c r="L287" s="114" t="s">
        <v>129</v>
      </c>
    </row>
    <row r="288" spans="2:12" s="1" customFormat="1" ht="12.75" x14ac:dyDescent="0.15">
      <c r="B288" s="84"/>
      <c r="C288" s="81"/>
      <c r="D288" s="404"/>
      <c r="E288" s="404"/>
      <c r="F288" s="86"/>
      <c r="G288" s="87"/>
      <c r="H288" s="87"/>
      <c r="I288" s="176"/>
      <c r="J288" s="88"/>
      <c r="K288" s="79"/>
      <c r="L288" s="120"/>
    </row>
    <row r="289" spans="2:20" s="1" customFormat="1" ht="13.35" customHeight="1" x14ac:dyDescent="0.15">
      <c r="B289" s="16"/>
      <c r="C289" s="37" t="s">
        <v>158</v>
      </c>
      <c r="D289" s="24"/>
      <c r="E289" s="24"/>
      <c r="F289" s="129"/>
      <c r="G289" s="20"/>
      <c r="H289" s="20"/>
      <c r="I289" s="126"/>
      <c r="J289" s="38"/>
      <c r="K289" s="80"/>
      <c r="L289" s="82"/>
    </row>
    <row r="290" spans="2:20" s="1" customFormat="1" ht="13.35" customHeight="1" x14ac:dyDescent="0.15">
      <c r="B290" s="16"/>
      <c r="C290" s="37" t="s">
        <v>149</v>
      </c>
      <c r="D290" s="24"/>
      <c r="E290" s="24"/>
      <c r="F290" s="129"/>
      <c r="G290" s="20"/>
      <c r="H290" s="20"/>
      <c r="I290" s="126"/>
      <c r="J290" s="38"/>
      <c r="K290" s="80"/>
      <c r="L290" s="82"/>
    </row>
    <row r="291" spans="2:20" s="1" customFormat="1" ht="13.35" customHeight="1" x14ac:dyDescent="0.15">
      <c r="B291" s="16">
        <v>1</v>
      </c>
      <c r="C291" s="23"/>
      <c r="D291" s="24"/>
      <c r="E291" s="24"/>
      <c r="F291" s="129"/>
      <c r="G291" s="20"/>
      <c r="H291" s="20">
        <v>1</v>
      </c>
      <c r="I291" s="126">
        <f t="shared" ref="I291:I346" si="17">J291*$C$32</f>
        <v>0</v>
      </c>
      <c r="J291" s="38">
        <f t="shared" ref="J291:J306" si="18">(F291*G291*H291)/$C$32</f>
        <v>0</v>
      </c>
      <c r="K291" s="80"/>
      <c r="L291" s="82"/>
    </row>
    <row r="292" spans="2:20" s="1" customFormat="1" ht="13.35" customHeight="1" x14ac:dyDescent="0.15">
      <c r="B292" s="16">
        <v>2</v>
      </c>
      <c r="C292" s="23"/>
      <c r="D292" s="24"/>
      <c r="E292" s="24"/>
      <c r="F292" s="126"/>
      <c r="G292" s="20"/>
      <c r="H292" s="20">
        <v>1</v>
      </c>
      <c r="I292" s="126">
        <f t="shared" si="17"/>
        <v>0</v>
      </c>
      <c r="J292" s="38">
        <f t="shared" si="18"/>
        <v>0</v>
      </c>
      <c r="K292" s="80"/>
      <c r="L292" s="82"/>
    </row>
    <row r="293" spans="2:20" s="1" customFormat="1" ht="13.35" customHeight="1" x14ac:dyDescent="0.15">
      <c r="B293" s="16">
        <v>3</v>
      </c>
      <c r="C293" s="23"/>
      <c r="D293" s="25"/>
      <c r="E293" s="25"/>
      <c r="F293" s="129"/>
      <c r="G293" s="20"/>
      <c r="H293" s="20">
        <v>1</v>
      </c>
      <c r="I293" s="126">
        <f t="shared" si="17"/>
        <v>0</v>
      </c>
      <c r="J293" s="38">
        <f t="shared" si="18"/>
        <v>0</v>
      </c>
      <c r="K293" s="80"/>
      <c r="L293" s="82"/>
    </row>
    <row r="294" spans="2:20" s="1" customFormat="1" ht="13.35" customHeight="1" x14ac:dyDescent="0.15">
      <c r="B294" s="16">
        <v>4</v>
      </c>
      <c r="C294" s="23"/>
      <c r="D294" s="24"/>
      <c r="E294" s="24"/>
      <c r="F294" s="129"/>
      <c r="G294" s="20"/>
      <c r="H294" s="20">
        <v>1</v>
      </c>
      <c r="I294" s="126">
        <f t="shared" si="17"/>
        <v>0</v>
      </c>
      <c r="J294" s="38">
        <f t="shared" si="18"/>
        <v>0</v>
      </c>
      <c r="K294" s="80"/>
      <c r="L294" s="82"/>
    </row>
    <row r="295" spans="2:20" s="1" customFormat="1" ht="13.35" customHeight="1" x14ac:dyDescent="0.15">
      <c r="B295" s="16">
        <v>5</v>
      </c>
      <c r="C295" s="16"/>
      <c r="D295" s="18"/>
      <c r="E295" s="18"/>
      <c r="F295" s="129"/>
      <c r="G295" s="20"/>
      <c r="H295" s="20">
        <v>1</v>
      </c>
      <c r="I295" s="126">
        <f t="shared" si="17"/>
        <v>0</v>
      </c>
      <c r="J295" s="38">
        <f t="shared" si="18"/>
        <v>0</v>
      </c>
      <c r="K295" s="80"/>
      <c r="L295" s="82"/>
    </row>
    <row r="296" spans="2:20" s="1" customFormat="1" ht="13.35" customHeight="1" x14ac:dyDescent="0.15">
      <c r="B296" s="16">
        <v>6</v>
      </c>
      <c r="C296" s="17"/>
      <c r="D296" s="24"/>
      <c r="E296" s="24"/>
      <c r="F296" s="129"/>
      <c r="G296" s="20"/>
      <c r="H296" s="20">
        <v>1</v>
      </c>
      <c r="I296" s="126">
        <f t="shared" si="17"/>
        <v>0</v>
      </c>
      <c r="J296" s="38">
        <f t="shared" si="18"/>
        <v>0</v>
      </c>
      <c r="K296" s="80"/>
      <c r="L296" s="82"/>
    </row>
    <row r="297" spans="2:20" s="1" customFormat="1" ht="13.35" customHeight="1" x14ac:dyDescent="0.15">
      <c r="B297" s="16">
        <v>7</v>
      </c>
      <c r="C297" s="17"/>
      <c r="D297" s="24"/>
      <c r="E297" s="24"/>
      <c r="F297" s="129"/>
      <c r="G297" s="20"/>
      <c r="H297" s="20">
        <v>1</v>
      </c>
      <c r="I297" s="126">
        <f t="shared" si="17"/>
        <v>0</v>
      </c>
      <c r="J297" s="38">
        <f t="shared" si="18"/>
        <v>0</v>
      </c>
      <c r="K297" s="80"/>
      <c r="L297" s="82"/>
    </row>
    <row r="298" spans="2:20" s="1" customFormat="1" ht="13.35" customHeight="1" x14ac:dyDescent="0.15">
      <c r="B298" s="16">
        <v>8</v>
      </c>
      <c r="C298" s="17"/>
      <c r="D298" s="24"/>
      <c r="E298" s="24"/>
      <c r="F298" s="129"/>
      <c r="G298" s="20"/>
      <c r="H298" s="20">
        <v>1</v>
      </c>
      <c r="I298" s="126">
        <f t="shared" si="17"/>
        <v>0</v>
      </c>
      <c r="J298" s="38">
        <f t="shared" si="18"/>
        <v>0</v>
      </c>
      <c r="K298" s="80"/>
      <c r="L298" s="82"/>
    </row>
    <row r="299" spans="2:20" s="1" customFormat="1" ht="13.35" customHeight="1" x14ac:dyDescent="0.15">
      <c r="B299" s="16">
        <v>9</v>
      </c>
      <c r="C299" s="17"/>
      <c r="D299" s="24"/>
      <c r="E299" s="24"/>
      <c r="F299" s="129"/>
      <c r="G299" s="20"/>
      <c r="H299" s="20">
        <v>1</v>
      </c>
      <c r="I299" s="126">
        <f t="shared" si="17"/>
        <v>0</v>
      </c>
      <c r="J299" s="38">
        <f t="shared" si="18"/>
        <v>0</v>
      </c>
      <c r="K299" s="80"/>
      <c r="L299" s="82"/>
    </row>
    <row r="300" spans="2:20" s="1" customFormat="1" ht="13.35" customHeight="1" x14ac:dyDescent="0.15">
      <c r="B300" s="16">
        <v>10</v>
      </c>
      <c r="C300" s="17"/>
      <c r="D300" s="24"/>
      <c r="E300" s="24"/>
      <c r="F300" s="129"/>
      <c r="G300" s="20"/>
      <c r="H300" s="20">
        <v>1</v>
      </c>
      <c r="I300" s="126">
        <f t="shared" si="17"/>
        <v>0</v>
      </c>
      <c r="J300" s="38">
        <f t="shared" si="18"/>
        <v>0</v>
      </c>
      <c r="K300" s="80"/>
      <c r="L300" s="82"/>
    </row>
    <row r="301" spans="2:20" s="1" customFormat="1" ht="13.35" customHeight="1" x14ac:dyDescent="0.15">
      <c r="B301" s="16"/>
      <c r="C301" s="17"/>
      <c r="D301" s="24"/>
      <c r="E301" s="24"/>
      <c r="F301" s="129"/>
      <c r="G301" s="20"/>
      <c r="H301" s="20"/>
      <c r="I301" s="126"/>
      <c r="J301" s="38"/>
      <c r="K301" s="80"/>
      <c r="L301" s="82"/>
      <c r="N301" s="41"/>
    </row>
    <row r="302" spans="2:20" s="1" customFormat="1" ht="13.35" customHeight="1" x14ac:dyDescent="0.15">
      <c r="B302" s="16"/>
      <c r="C302" s="17"/>
      <c r="D302" s="24"/>
      <c r="E302" s="24"/>
      <c r="F302" s="129"/>
      <c r="G302" s="20"/>
      <c r="H302" s="20"/>
      <c r="I302" s="126"/>
      <c r="J302" s="21"/>
      <c r="K302" s="80"/>
      <c r="L302" s="82"/>
    </row>
    <row r="303" spans="2:20" s="1" customFormat="1" ht="13.35" customHeight="1" x14ac:dyDescent="0.15">
      <c r="B303" s="16"/>
      <c r="C303" s="22" t="s">
        <v>156</v>
      </c>
      <c r="D303" s="24"/>
      <c r="E303" s="24"/>
      <c r="F303" s="129"/>
      <c r="G303" s="20"/>
      <c r="H303" s="20"/>
      <c r="I303" s="126"/>
      <c r="J303" s="21"/>
      <c r="K303" s="80"/>
      <c r="L303" s="82"/>
    </row>
    <row r="304" spans="2:20" s="1" customFormat="1" ht="16.5" x14ac:dyDescent="0.15">
      <c r="B304" s="16">
        <v>1</v>
      </c>
      <c r="C304" s="44"/>
      <c r="D304" s="18"/>
      <c r="E304" s="18"/>
      <c r="F304" s="129"/>
      <c r="G304" s="20"/>
      <c r="H304" s="20">
        <v>1</v>
      </c>
      <c r="I304" s="126">
        <f t="shared" si="17"/>
        <v>0</v>
      </c>
      <c r="J304" s="38">
        <f t="shared" si="18"/>
        <v>0</v>
      </c>
      <c r="K304" s="80"/>
      <c r="L304" s="82"/>
      <c r="M304" s="10"/>
      <c r="N304" s="42"/>
      <c r="O304" s="10"/>
      <c r="P304" s="10"/>
      <c r="Q304" s="43"/>
      <c r="R304" s="10"/>
      <c r="T304" s="10"/>
    </row>
    <row r="305" spans="2:20" s="1" customFormat="1" ht="16.5" x14ac:dyDescent="0.15">
      <c r="B305" s="16">
        <v>2</v>
      </c>
      <c r="C305" s="45"/>
      <c r="D305" s="18"/>
      <c r="E305" s="18"/>
      <c r="F305" s="129"/>
      <c r="G305" s="20"/>
      <c r="H305" s="20">
        <v>1</v>
      </c>
      <c r="I305" s="126">
        <f>J305*$C$32</f>
        <v>0</v>
      </c>
      <c r="J305" s="38">
        <f t="shared" si="18"/>
        <v>0</v>
      </c>
      <c r="K305" s="80"/>
      <c r="L305" s="82"/>
      <c r="M305" s="10"/>
      <c r="N305" s="42"/>
      <c r="O305" s="10"/>
      <c r="P305" s="10"/>
      <c r="Q305" s="43"/>
      <c r="R305" s="10"/>
      <c r="T305" s="10"/>
    </row>
    <row r="306" spans="2:20" s="1" customFormat="1" ht="12.95" customHeight="1" x14ac:dyDescent="0.15">
      <c r="B306" s="16">
        <v>3</v>
      </c>
      <c r="C306" s="44"/>
      <c r="D306" s="18"/>
      <c r="E306" s="18"/>
      <c r="F306" s="129"/>
      <c r="G306" s="20"/>
      <c r="H306" s="20">
        <v>1</v>
      </c>
      <c r="I306" s="126">
        <f t="shared" si="17"/>
        <v>0</v>
      </c>
      <c r="J306" s="21">
        <f t="shared" si="18"/>
        <v>0</v>
      </c>
      <c r="K306" s="80"/>
      <c r="L306" s="82"/>
      <c r="M306" s="10"/>
      <c r="N306" s="42"/>
      <c r="O306" s="10"/>
      <c r="P306" s="10"/>
      <c r="Q306" s="43"/>
      <c r="R306" s="10"/>
      <c r="T306" s="10"/>
    </row>
    <row r="307" spans="2:20" s="1" customFormat="1" ht="14.25" x14ac:dyDescent="0.15">
      <c r="B307" s="16">
        <v>4</v>
      </c>
      <c r="C307" s="46"/>
      <c r="D307" s="405"/>
      <c r="E307" s="405"/>
      <c r="F307" s="129"/>
      <c r="G307" s="20"/>
      <c r="H307" s="20">
        <v>1</v>
      </c>
      <c r="I307" s="126">
        <f t="shared" si="17"/>
        <v>0</v>
      </c>
      <c r="J307" s="38">
        <f>(F308*G307*H307)/$C$32</f>
        <v>0</v>
      </c>
      <c r="K307" s="80"/>
      <c r="L307" s="82"/>
      <c r="M307" s="10"/>
      <c r="N307" s="42"/>
      <c r="O307" s="10"/>
      <c r="P307" s="10"/>
      <c r="Q307" s="43"/>
      <c r="R307" s="10"/>
      <c r="T307" s="10"/>
    </row>
    <row r="308" spans="2:20" s="1" customFormat="1" ht="14.25" x14ac:dyDescent="0.15">
      <c r="B308" s="16">
        <v>5</v>
      </c>
      <c r="C308" s="11"/>
      <c r="D308" s="18"/>
      <c r="E308" s="18"/>
      <c r="F308" s="129"/>
      <c r="G308" s="20"/>
      <c r="H308" s="20">
        <v>1</v>
      </c>
      <c r="I308" s="126">
        <f t="shared" si="17"/>
        <v>0</v>
      </c>
      <c r="J308" s="38">
        <f>(F310*G308*H308)/$C$32</f>
        <v>0</v>
      </c>
      <c r="K308" s="80"/>
      <c r="L308" s="82"/>
      <c r="M308" s="10"/>
      <c r="N308" s="42"/>
      <c r="O308" s="10"/>
      <c r="P308" s="10"/>
      <c r="Q308" s="43"/>
      <c r="R308" s="10"/>
      <c r="T308" s="10"/>
    </row>
    <row r="309" spans="2:20" s="1" customFormat="1" ht="14.25" x14ac:dyDescent="0.15">
      <c r="B309" s="16">
        <v>6</v>
      </c>
      <c r="C309" s="11"/>
      <c r="D309" s="18"/>
      <c r="E309" s="18"/>
      <c r="F309" s="129"/>
      <c r="G309" s="20"/>
      <c r="H309" s="20">
        <v>1</v>
      </c>
      <c r="I309" s="126">
        <f t="shared" si="17"/>
        <v>0</v>
      </c>
      <c r="J309" s="38">
        <f>(F311*G309*H309)/$C$32</f>
        <v>0</v>
      </c>
      <c r="K309" s="80"/>
      <c r="L309" s="82"/>
      <c r="M309" s="10"/>
      <c r="N309" s="42"/>
      <c r="O309" s="10"/>
      <c r="P309" s="10"/>
      <c r="Q309" s="43"/>
      <c r="R309" s="10"/>
      <c r="T309" s="10"/>
    </row>
    <row r="310" spans="2:20" s="1" customFormat="1" ht="16.5" x14ac:dyDescent="0.2">
      <c r="B310" s="16">
        <v>7</v>
      </c>
      <c r="C310" s="47"/>
      <c r="D310" s="18"/>
      <c r="E310" s="18"/>
      <c r="F310" s="129"/>
      <c r="G310" s="20"/>
      <c r="H310" s="20">
        <v>1</v>
      </c>
      <c r="I310" s="126">
        <f t="shared" si="17"/>
        <v>0</v>
      </c>
      <c r="J310" s="38">
        <f>(F312*G310*H310)/$C$32</f>
        <v>0</v>
      </c>
      <c r="K310" s="80"/>
      <c r="L310" s="82"/>
      <c r="M310" s="10"/>
      <c r="N310" s="42"/>
      <c r="O310" s="10"/>
      <c r="P310" s="10"/>
      <c r="Q310" s="43"/>
      <c r="R310" s="10"/>
      <c r="T310" s="10"/>
    </row>
    <row r="311" spans="2:20" s="1" customFormat="1" ht="14.25" x14ac:dyDescent="0.15">
      <c r="B311" s="16">
        <v>8</v>
      </c>
      <c r="C311" s="11"/>
      <c r="D311" s="18"/>
      <c r="E311" s="18"/>
      <c r="F311" s="129"/>
      <c r="G311" s="20"/>
      <c r="H311" s="20">
        <v>1</v>
      </c>
      <c r="I311" s="126">
        <f t="shared" si="17"/>
        <v>0</v>
      </c>
      <c r="J311" s="21">
        <f>(F313*G311*H311)/$C$32</f>
        <v>0</v>
      </c>
      <c r="K311" s="80"/>
      <c r="L311" s="82"/>
      <c r="M311" s="10"/>
      <c r="N311" s="42"/>
      <c r="O311" s="10"/>
      <c r="P311" s="10"/>
      <c r="Q311" s="43"/>
      <c r="R311" s="10"/>
      <c r="T311" s="10"/>
    </row>
    <row r="312" spans="2:20" s="1" customFormat="1" ht="14.25" x14ac:dyDescent="0.15">
      <c r="B312" s="16">
        <v>9</v>
      </c>
      <c r="C312" s="11"/>
      <c r="D312" s="18"/>
      <c r="E312" s="18"/>
      <c r="F312" s="129"/>
      <c r="G312" s="20"/>
      <c r="H312" s="20">
        <v>1</v>
      </c>
      <c r="I312" s="126">
        <f t="shared" si="17"/>
        <v>0</v>
      </c>
      <c r="J312" s="38">
        <f t="shared" ref="J312:J313" si="19">(F314*G312*H312)/$C$32</f>
        <v>0</v>
      </c>
      <c r="K312" s="80"/>
      <c r="L312" s="82"/>
      <c r="M312" s="10"/>
      <c r="N312" s="42"/>
      <c r="O312" s="10"/>
      <c r="P312" s="10"/>
      <c r="Q312" s="43"/>
      <c r="R312" s="10"/>
      <c r="T312" s="10"/>
    </row>
    <row r="313" spans="2:20" s="1" customFormat="1" ht="14.25" x14ac:dyDescent="0.15">
      <c r="B313" s="16">
        <v>10</v>
      </c>
      <c r="C313" s="11"/>
      <c r="D313" s="18"/>
      <c r="E313" s="18"/>
      <c r="F313" s="129"/>
      <c r="G313" s="20"/>
      <c r="H313" s="20">
        <v>1</v>
      </c>
      <c r="I313" s="126">
        <f t="shared" si="17"/>
        <v>0</v>
      </c>
      <c r="J313" s="38">
        <f t="shared" si="19"/>
        <v>0</v>
      </c>
      <c r="K313" s="80"/>
      <c r="L313" s="82"/>
      <c r="M313" s="10"/>
      <c r="N313" s="42"/>
      <c r="O313" s="10"/>
      <c r="P313" s="10"/>
      <c r="Q313" s="43"/>
      <c r="R313" s="10"/>
      <c r="T313" s="10"/>
    </row>
    <row r="314" spans="2:20" s="1" customFormat="1" ht="14.25" x14ac:dyDescent="0.15">
      <c r="B314" s="16">
        <v>11</v>
      </c>
      <c r="C314" s="11"/>
      <c r="D314" s="18"/>
      <c r="E314" s="18"/>
      <c r="F314" s="129"/>
      <c r="G314" s="20"/>
      <c r="H314" s="20">
        <v>1</v>
      </c>
      <c r="I314" s="126">
        <f t="shared" si="17"/>
        <v>0</v>
      </c>
      <c r="J314" s="38">
        <f t="shared" ref="J314:J346" si="20">(F314*G314*H314)/$C$32</f>
        <v>0</v>
      </c>
      <c r="K314" s="80"/>
      <c r="L314" s="82"/>
      <c r="M314" s="10"/>
      <c r="N314" s="42"/>
      <c r="O314" s="10"/>
      <c r="P314" s="10"/>
      <c r="Q314" s="43"/>
      <c r="R314" s="10"/>
      <c r="T314" s="10"/>
    </row>
    <row r="315" spans="2:20" s="1" customFormat="1" ht="14.25" x14ac:dyDescent="0.15">
      <c r="B315" s="16">
        <v>12</v>
      </c>
      <c r="C315" s="11"/>
      <c r="D315" s="18"/>
      <c r="E315" s="18"/>
      <c r="F315" s="129"/>
      <c r="G315" s="20"/>
      <c r="H315" s="20">
        <v>1</v>
      </c>
      <c r="I315" s="126">
        <f t="shared" si="17"/>
        <v>0</v>
      </c>
      <c r="J315" s="21">
        <f t="shared" si="20"/>
        <v>0</v>
      </c>
      <c r="K315" s="80"/>
      <c r="L315" s="82"/>
      <c r="M315" s="10"/>
      <c r="N315" s="42"/>
      <c r="O315" s="10"/>
      <c r="P315" s="10"/>
      <c r="Q315" s="43"/>
      <c r="R315" s="10"/>
      <c r="T315" s="10"/>
    </row>
    <row r="316" spans="2:20" s="1" customFormat="1" ht="14.25" x14ac:dyDescent="0.15">
      <c r="B316" s="16">
        <v>13</v>
      </c>
      <c r="C316" s="11"/>
      <c r="D316" s="18"/>
      <c r="E316" s="18"/>
      <c r="F316" s="129"/>
      <c r="G316" s="20"/>
      <c r="H316" s="20">
        <v>1</v>
      </c>
      <c r="I316" s="126">
        <f t="shared" si="17"/>
        <v>0</v>
      </c>
      <c r="J316" s="38">
        <f t="shared" si="20"/>
        <v>0</v>
      </c>
      <c r="K316" s="80"/>
      <c r="L316" s="82"/>
      <c r="M316" s="10"/>
      <c r="N316" s="42"/>
      <c r="O316" s="10"/>
      <c r="P316" s="10"/>
      <c r="Q316" s="43"/>
      <c r="R316" s="10"/>
      <c r="T316" s="10"/>
    </row>
    <row r="317" spans="2:20" s="1" customFormat="1" ht="14.25" x14ac:dyDescent="0.15">
      <c r="B317" s="16">
        <v>14</v>
      </c>
      <c r="C317" s="11"/>
      <c r="D317" s="18"/>
      <c r="E317" s="18"/>
      <c r="F317" s="129"/>
      <c r="G317" s="20"/>
      <c r="H317" s="20">
        <v>1</v>
      </c>
      <c r="I317" s="126">
        <f t="shared" si="17"/>
        <v>0</v>
      </c>
      <c r="J317" s="38">
        <f t="shared" si="20"/>
        <v>0</v>
      </c>
      <c r="K317" s="80"/>
      <c r="L317" s="82"/>
      <c r="M317" s="10"/>
      <c r="N317" s="42"/>
      <c r="O317" s="10"/>
      <c r="P317" s="10"/>
      <c r="Q317" s="43"/>
      <c r="R317" s="10"/>
      <c r="T317" s="10"/>
    </row>
    <row r="318" spans="2:20" s="1" customFormat="1" ht="14.25" x14ac:dyDescent="0.15">
      <c r="B318" s="16">
        <v>15</v>
      </c>
      <c r="C318" s="11"/>
      <c r="D318" s="18"/>
      <c r="E318" s="18"/>
      <c r="F318" s="129"/>
      <c r="G318" s="20"/>
      <c r="H318" s="20">
        <v>1</v>
      </c>
      <c r="I318" s="126">
        <f t="shared" si="17"/>
        <v>0</v>
      </c>
      <c r="J318" s="38">
        <f t="shared" si="20"/>
        <v>0</v>
      </c>
      <c r="K318" s="80"/>
      <c r="L318" s="82"/>
      <c r="M318" s="10"/>
      <c r="N318" s="42"/>
      <c r="O318" s="10"/>
      <c r="P318" s="10"/>
      <c r="Q318" s="43"/>
      <c r="R318" s="10"/>
      <c r="T318" s="10"/>
    </row>
    <row r="319" spans="2:20" s="1" customFormat="1" ht="14.25" x14ac:dyDescent="0.15">
      <c r="B319" s="16">
        <v>16</v>
      </c>
      <c r="C319" s="11"/>
      <c r="D319" s="18"/>
      <c r="E319" s="18"/>
      <c r="F319" s="129"/>
      <c r="G319" s="20"/>
      <c r="H319" s="20">
        <v>1</v>
      </c>
      <c r="I319" s="126">
        <f t="shared" si="17"/>
        <v>0</v>
      </c>
      <c r="J319" s="21">
        <f t="shared" si="20"/>
        <v>0</v>
      </c>
      <c r="K319" s="80"/>
      <c r="L319" s="82"/>
      <c r="M319" s="10"/>
      <c r="N319" s="42"/>
      <c r="O319" s="10"/>
      <c r="P319" s="10"/>
      <c r="Q319" s="43"/>
      <c r="R319" s="10"/>
      <c r="T319" s="10"/>
    </row>
    <row r="320" spans="2:20" s="1" customFormat="1" ht="14.25" x14ac:dyDescent="0.15">
      <c r="B320" s="16">
        <v>17</v>
      </c>
      <c r="C320" s="11"/>
      <c r="D320" s="18"/>
      <c r="E320" s="18"/>
      <c r="F320" s="129"/>
      <c r="G320" s="20"/>
      <c r="H320" s="20">
        <v>1</v>
      </c>
      <c r="I320" s="126">
        <f t="shared" si="17"/>
        <v>0</v>
      </c>
      <c r="J320" s="38">
        <f t="shared" si="20"/>
        <v>0</v>
      </c>
      <c r="K320" s="80"/>
      <c r="L320" s="82"/>
      <c r="M320" s="10"/>
      <c r="N320" s="42"/>
      <c r="O320" s="10"/>
      <c r="P320" s="10"/>
      <c r="Q320" s="43"/>
      <c r="R320" s="10"/>
      <c r="T320" s="10"/>
    </row>
    <row r="321" spans="2:20" s="1" customFormat="1" ht="14.25" x14ac:dyDescent="0.15">
      <c r="B321" s="16">
        <v>18</v>
      </c>
      <c r="C321" s="11"/>
      <c r="D321" s="18"/>
      <c r="E321" s="18"/>
      <c r="F321" s="129"/>
      <c r="G321" s="20"/>
      <c r="H321" s="20">
        <v>1</v>
      </c>
      <c r="I321" s="126">
        <f t="shared" si="17"/>
        <v>0</v>
      </c>
      <c r="J321" s="38">
        <f t="shared" si="20"/>
        <v>0</v>
      </c>
      <c r="K321" s="80"/>
      <c r="L321" s="82"/>
      <c r="M321" s="10"/>
      <c r="N321" s="42"/>
      <c r="O321" s="10"/>
      <c r="P321" s="10"/>
      <c r="Q321" s="43"/>
      <c r="R321" s="10"/>
      <c r="T321" s="10"/>
    </row>
    <row r="322" spans="2:20" s="1" customFormat="1" ht="14.25" x14ac:dyDescent="0.15">
      <c r="B322" s="16">
        <v>19</v>
      </c>
      <c r="C322" s="11"/>
      <c r="D322" s="18"/>
      <c r="E322" s="18"/>
      <c r="F322" s="129"/>
      <c r="G322" s="20"/>
      <c r="H322" s="20">
        <v>1</v>
      </c>
      <c r="I322" s="126">
        <f t="shared" si="17"/>
        <v>0</v>
      </c>
      <c r="J322" s="38">
        <f t="shared" si="20"/>
        <v>0</v>
      </c>
      <c r="K322" s="80"/>
      <c r="L322" s="82"/>
      <c r="M322" s="10"/>
      <c r="N322" s="42"/>
      <c r="O322" s="10"/>
      <c r="P322" s="10"/>
      <c r="Q322" s="43"/>
      <c r="R322" s="10"/>
      <c r="T322" s="10"/>
    </row>
    <row r="323" spans="2:20" s="1" customFormat="1" ht="14.25" x14ac:dyDescent="0.15">
      <c r="B323" s="16">
        <v>20</v>
      </c>
      <c r="C323" s="11"/>
      <c r="D323" s="18"/>
      <c r="E323" s="18"/>
      <c r="F323" s="129"/>
      <c r="G323" s="20"/>
      <c r="H323" s="20">
        <v>1</v>
      </c>
      <c r="I323" s="126">
        <f t="shared" si="17"/>
        <v>0</v>
      </c>
      <c r="J323" s="21">
        <f t="shared" si="20"/>
        <v>0</v>
      </c>
      <c r="K323" s="80"/>
      <c r="L323" s="82"/>
      <c r="M323" s="10"/>
      <c r="N323" s="42"/>
      <c r="O323" s="10"/>
      <c r="P323" s="10"/>
      <c r="Q323" s="43"/>
      <c r="R323" s="10"/>
      <c r="T323" s="10"/>
    </row>
    <row r="324" spans="2:20" s="1" customFormat="1" ht="14.25" x14ac:dyDescent="0.15">
      <c r="B324" s="16"/>
      <c r="C324" s="11"/>
      <c r="D324" s="18"/>
      <c r="E324" s="18"/>
      <c r="F324" s="129"/>
      <c r="G324" s="20"/>
      <c r="H324" s="20"/>
      <c r="I324" s="126"/>
      <c r="J324" s="21"/>
      <c r="K324" s="80"/>
      <c r="L324" s="82"/>
      <c r="M324" s="10"/>
      <c r="N324" s="42"/>
      <c r="O324" s="10"/>
      <c r="P324" s="10"/>
      <c r="Q324" s="43"/>
      <c r="R324" s="10"/>
      <c r="T324" s="10"/>
    </row>
    <row r="325" spans="2:20" s="1" customFormat="1" ht="14.25" x14ac:dyDescent="0.15">
      <c r="B325" s="16"/>
      <c r="C325" s="11"/>
      <c r="D325" s="18"/>
      <c r="E325" s="18"/>
      <c r="F325" s="129"/>
      <c r="G325" s="20"/>
      <c r="H325" s="20"/>
      <c r="I325" s="126"/>
      <c r="J325" s="21"/>
      <c r="K325" s="80"/>
      <c r="L325" s="82"/>
      <c r="M325" s="10"/>
      <c r="N325" s="42"/>
      <c r="O325" s="10"/>
      <c r="P325" s="10"/>
      <c r="Q325" s="43"/>
      <c r="R325" s="10"/>
      <c r="T325" s="10"/>
    </row>
    <row r="326" spans="2:20" s="1" customFormat="1" ht="14.25" x14ac:dyDescent="0.15">
      <c r="B326" s="16"/>
      <c r="C326" s="46" t="s">
        <v>159</v>
      </c>
      <c r="D326" s="18"/>
      <c r="E326" s="18"/>
      <c r="F326" s="129"/>
      <c r="G326" s="20"/>
      <c r="H326" s="20"/>
      <c r="I326" s="126"/>
      <c r="J326" s="21"/>
      <c r="K326" s="80"/>
      <c r="L326" s="82"/>
      <c r="M326" s="10"/>
      <c r="N326" s="10"/>
      <c r="O326" s="10"/>
      <c r="P326" s="10"/>
      <c r="Q326" s="43"/>
      <c r="R326" s="10"/>
      <c r="T326" s="10"/>
    </row>
    <row r="327" spans="2:20" s="1" customFormat="1" ht="14.25" x14ac:dyDescent="0.15">
      <c r="B327" s="16">
        <v>1</v>
      </c>
      <c r="C327" s="11"/>
      <c r="D327" s="18"/>
      <c r="E327" s="18"/>
      <c r="F327" s="129"/>
      <c r="G327" s="20"/>
      <c r="H327" s="20">
        <v>1</v>
      </c>
      <c r="I327" s="126">
        <f t="shared" si="17"/>
        <v>0</v>
      </c>
      <c r="J327" s="21">
        <f t="shared" si="20"/>
        <v>0</v>
      </c>
      <c r="K327" s="80"/>
      <c r="L327" s="82"/>
      <c r="M327" s="10"/>
      <c r="N327" s="10"/>
      <c r="O327" s="10"/>
      <c r="P327" s="10"/>
      <c r="Q327" s="43"/>
      <c r="R327" s="10"/>
      <c r="T327" s="10"/>
    </row>
    <row r="328" spans="2:20" s="1" customFormat="1" ht="14.25" x14ac:dyDescent="0.15">
      <c r="B328" s="16">
        <v>2</v>
      </c>
      <c r="C328" s="11"/>
      <c r="D328" s="18"/>
      <c r="E328" s="18"/>
      <c r="F328" s="129"/>
      <c r="G328" s="20"/>
      <c r="H328" s="20">
        <v>1</v>
      </c>
      <c r="I328" s="126">
        <f t="shared" si="17"/>
        <v>0</v>
      </c>
      <c r="J328" s="21">
        <f t="shared" si="20"/>
        <v>0</v>
      </c>
      <c r="K328" s="80"/>
      <c r="L328" s="82"/>
      <c r="M328" s="10"/>
      <c r="N328" s="10"/>
      <c r="O328" s="10"/>
      <c r="P328" s="10"/>
      <c r="Q328" s="43"/>
      <c r="R328" s="10"/>
      <c r="T328" s="10"/>
    </row>
    <row r="329" spans="2:20" s="1" customFormat="1" ht="14.25" x14ac:dyDescent="0.15">
      <c r="B329" s="16">
        <v>3</v>
      </c>
      <c r="C329" s="11"/>
      <c r="D329" s="18"/>
      <c r="E329" s="18"/>
      <c r="F329" s="129"/>
      <c r="G329" s="20"/>
      <c r="H329" s="20">
        <v>1</v>
      </c>
      <c r="I329" s="126">
        <f t="shared" si="17"/>
        <v>0</v>
      </c>
      <c r="J329" s="21">
        <f t="shared" si="20"/>
        <v>0</v>
      </c>
      <c r="K329" s="80"/>
      <c r="L329" s="82"/>
      <c r="M329" s="10"/>
      <c r="N329" s="10"/>
      <c r="O329" s="10"/>
      <c r="P329" s="10"/>
      <c r="Q329" s="43"/>
      <c r="R329" s="10"/>
      <c r="T329" s="10"/>
    </row>
    <row r="330" spans="2:20" s="1" customFormat="1" ht="14.25" x14ac:dyDescent="0.15">
      <c r="B330" s="16">
        <v>4</v>
      </c>
      <c r="C330" s="11"/>
      <c r="D330" s="18"/>
      <c r="E330" s="18"/>
      <c r="F330" s="129"/>
      <c r="G330" s="20"/>
      <c r="H330" s="20">
        <v>1</v>
      </c>
      <c r="I330" s="126">
        <f t="shared" si="17"/>
        <v>0</v>
      </c>
      <c r="J330" s="21">
        <f t="shared" si="20"/>
        <v>0</v>
      </c>
      <c r="K330" s="80"/>
      <c r="L330" s="82"/>
      <c r="M330" s="10"/>
      <c r="N330" s="10"/>
      <c r="O330" s="10"/>
      <c r="P330" s="10"/>
      <c r="Q330" s="43"/>
      <c r="R330" s="10"/>
      <c r="T330" s="10"/>
    </row>
    <row r="331" spans="2:20" s="1" customFormat="1" ht="14.25" x14ac:dyDescent="0.15">
      <c r="B331" s="16">
        <v>5</v>
      </c>
      <c r="C331" s="11"/>
      <c r="D331" s="18"/>
      <c r="E331" s="18"/>
      <c r="F331" s="129"/>
      <c r="G331" s="20"/>
      <c r="H331" s="20">
        <v>1</v>
      </c>
      <c r="I331" s="126">
        <f t="shared" si="17"/>
        <v>0</v>
      </c>
      <c r="J331" s="21">
        <f t="shared" si="20"/>
        <v>0</v>
      </c>
      <c r="K331" s="80"/>
      <c r="L331" s="82"/>
      <c r="M331" s="10"/>
      <c r="N331" s="10"/>
      <c r="O331" s="10"/>
      <c r="P331" s="10"/>
      <c r="Q331" s="43"/>
      <c r="R331" s="10"/>
      <c r="T331" s="10"/>
    </row>
    <row r="332" spans="2:20" s="1" customFormat="1" ht="14.25" x14ac:dyDescent="0.15">
      <c r="B332" s="16">
        <v>6</v>
      </c>
      <c r="C332" s="11"/>
      <c r="D332" s="18"/>
      <c r="E332" s="18"/>
      <c r="F332" s="129"/>
      <c r="G332" s="20"/>
      <c r="H332" s="20">
        <v>1</v>
      </c>
      <c r="I332" s="126">
        <f t="shared" si="17"/>
        <v>0</v>
      </c>
      <c r="J332" s="21">
        <f t="shared" si="20"/>
        <v>0</v>
      </c>
      <c r="K332" s="80"/>
      <c r="L332" s="82"/>
      <c r="M332" s="10"/>
      <c r="N332" s="10"/>
      <c r="O332" s="10"/>
      <c r="P332" s="10"/>
      <c r="Q332" s="43"/>
      <c r="R332" s="10"/>
      <c r="T332" s="10"/>
    </row>
    <row r="333" spans="2:20" s="1" customFormat="1" ht="14.25" x14ac:dyDescent="0.15">
      <c r="B333" s="16">
        <v>7</v>
      </c>
      <c r="C333" s="11"/>
      <c r="D333" s="18"/>
      <c r="E333" s="18"/>
      <c r="F333" s="129"/>
      <c r="G333" s="20"/>
      <c r="H333" s="20">
        <v>1</v>
      </c>
      <c r="I333" s="126">
        <f t="shared" si="17"/>
        <v>0</v>
      </c>
      <c r="J333" s="21">
        <f t="shared" si="20"/>
        <v>0</v>
      </c>
      <c r="K333" s="80"/>
      <c r="L333" s="82"/>
      <c r="M333" s="10"/>
      <c r="N333" s="10"/>
      <c r="O333" s="10"/>
      <c r="P333" s="10"/>
      <c r="Q333" s="43"/>
      <c r="R333" s="10"/>
      <c r="T333" s="10"/>
    </row>
    <row r="334" spans="2:20" s="1" customFormat="1" ht="14.25" x14ac:dyDescent="0.15">
      <c r="B334" s="16">
        <v>8</v>
      </c>
      <c r="C334" s="11"/>
      <c r="D334" s="18"/>
      <c r="E334" s="18"/>
      <c r="F334" s="129"/>
      <c r="G334" s="20"/>
      <c r="H334" s="20">
        <v>1</v>
      </c>
      <c r="I334" s="126">
        <f t="shared" si="17"/>
        <v>0</v>
      </c>
      <c r="J334" s="21">
        <f t="shared" si="20"/>
        <v>0</v>
      </c>
      <c r="K334" s="80"/>
      <c r="L334" s="82"/>
      <c r="M334" s="10"/>
      <c r="N334" s="10"/>
      <c r="O334" s="10"/>
      <c r="P334" s="10"/>
      <c r="Q334" s="43"/>
      <c r="R334" s="10"/>
      <c r="T334" s="10"/>
    </row>
    <row r="335" spans="2:20" s="1" customFormat="1" ht="14.25" x14ac:dyDescent="0.15">
      <c r="B335" s="16">
        <v>9</v>
      </c>
      <c r="C335" s="11"/>
      <c r="D335" s="18"/>
      <c r="E335" s="18"/>
      <c r="F335" s="129"/>
      <c r="G335" s="20"/>
      <c r="H335" s="20">
        <v>1</v>
      </c>
      <c r="I335" s="126">
        <f t="shared" si="17"/>
        <v>0</v>
      </c>
      <c r="J335" s="21">
        <f t="shared" si="20"/>
        <v>0</v>
      </c>
      <c r="K335" s="80"/>
      <c r="L335" s="82"/>
      <c r="M335" s="10"/>
      <c r="N335" s="10"/>
      <c r="O335" s="10"/>
      <c r="P335" s="10"/>
      <c r="Q335" s="43"/>
      <c r="R335" s="10"/>
      <c r="T335" s="10"/>
    </row>
    <row r="336" spans="2:20" s="1" customFormat="1" ht="14.25" x14ac:dyDescent="0.15">
      <c r="B336" s="16">
        <v>10</v>
      </c>
      <c r="C336" s="11"/>
      <c r="D336" s="18"/>
      <c r="E336" s="18"/>
      <c r="F336" s="129"/>
      <c r="G336" s="20"/>
      <c r="H336" s="20">
        <v>1</v>
      </c>
      <c r="I336" s="126">
        <f t="shared" si="17"/>
        <v>0</v>
      </c>
      <c r="J336" s="21">
        <f t="shared" si="20"/>
        <v>0</v>
      </c>
      <c r="K336" s="80"/>
      <c r="L336" s="82"/>
      <c r="M336" s="10"/>
      <c r="N336" s="10"/>
      <c r="O336" s="10"/>
      <c r="P336" s="10"/>
      <c r="Q336" s="43"/>
      <c r="R336" s="10"/>
      <c r="T336" s="10"/>
    </row>
    <row r="337" spans="2:20" s="1" customFormat="1" ht="14.25" x14ac:dyDescent="0.15">
      <c r="B337" s="16">
        <v>11</v>
      </c>
      <c r="C337" s="11"/>
      <c r="D337" s="18"/>
      <c r="E337" s="18"/>
      <c r="F337" s="129"/>
      <c r="G337" s="20"/>
      <c r="H337" s="20">
        <v>1</v>
      </c>
      <c r="I337" s="126">
        <f t="shared" si="17"/>
        <v>0</v>
      </c>
      <c r="J337" s="21">
        <f t="shared" si="20"/>
        <v>0</v>
      </c>
      <c r="K337" s="80"/>
      <c r="L337" s="82"/>
      <c r="M337" s="10"/>
      <c r="N337" s="10"/>
      <c r="O337" s="10"/>
      <c r="P337" s="10"/>
      <c r="Q337" s="43"/>
      <c r="R337" s="10"/>
      <c r="T337" s="10"/>
    </row>
    <row r="338" spans="2:20" s="1" customFormat="1" ht="14.25" x14ac:dyDescent="0.15">
      <c r="B338" s="16">
        <v>12</v>
      </c>
      <c r="C338" s="11"/>
      <c r="D338" s="18"/>
      <c r="E338" s="18"/>
      <c r="F338" s="129"/>
      <c r="G338" s="20"/>
      <c r="H338" s="20">
        <v>1</v>
      </c>
      <c r="I338" s="126">
        <f t="shared" si="17"/>
        <v>0</v>
      </c>
      <c r="J338" s="21">
        <f t="shared" si="20"/>
        <v>0</v>
      </c>
      <c r="K338" s="80"/>
      <c r="L338" s="82"/>
      <c r="M338" s="10"/>
      <c r="N338" s="10"/>
      <c r="O338" s="10"/>
      <c r="P338" s="10"/>
      <c r="Q338" s="43"/>
      <c r="R338" s="10"/>
      <c r="T338" s="10"/>
    </row>
    <row r="339" spans="2:20" s="1" customFormat="1" ht="14.25" x14ac:dyDescent="0.15">
      <c r="B339" s="16">
        <v>13</v>
      </c>
      <c r="C339" s="11"/>
      <c r="D339" s="18"/>
      <c r="E339" s="18"/>
      <c r="F339" s="129"/>
      <c r="G339" s="20"/>
      <c r="H339" s="20">
        <v>1</v>
      </c>
      <c r="I339" s="126">
        <f t="shared" si="17"/>
        <v>0</v>
      </c>
      <c r="J339" s="21">
        <f t="shared" si="20"/>
        <v>0</v>
      </c>
      <c r="K339" s="80"/>
      <c r="L339" s="82"/>
      <c r="M339" s="10"/>
      <c r="N339" s="10"/>
      <c r="O339" s="10"/>
      <c r="P339" s="10"/>
      <c r="Q339" s="43"/>
      <c r="R339" s="10"/>
      <c r="T339" s="10"/>
    </row>
    <row r="340" spans="2:20" s="1" customFormat="1" ht="14.25" x14ac:dyDescent="0.15">
      <c r="B340" s="16">
        <v>14</v>
      </c>
      <c r="C340" s="11"/>
      <c r="D340" s="18"/>
      <c r="E340" s="18"/>
      <c r="F340" s="129"/>
      <c r="G340" s="20"/>
      <c r="H340" s="20">
        <v>1</v>
      </c>
      <c r="I340" s="126">
        <f t="shared" si="17"/>
        <v>0</v>
      </c>
      <c r="J340" s="21">
        <f t="shared" si="20"/>
        <v>0</v>
      </c>
      <c r="K340" s="80"/>
      <c r="L340" s="82"/>
      <c r="M340" s="10"/>
      <c r="N340" s="10"/>
      <c r="O340" s="10"/>
      <c r="P340" s="10"/>
      <c r="Q340" s="43"/>
      <c r="R340" s="10"/>
      <c r="T340" s="10"/>
    </row>
    <row r="341" spans="2:20" s="1" customFormat="1" ht="14.25" x14ac:dyDescent="0.15">
      <c r="B341" s="16">
        <v>15</v>
      </c>
      <c r="C341" s="11"/>
      <c r="D341" s="18"/>
      <c r="E341" s="18"/>
      <c r="F341" s="129"/>
      <c r="G341" s="20"/>
      <c r="H341" s="20">
        <v>1</v>
      </c>
      <c r="I341" s="126">
        <f t="shared" si="17"/>
        <v>0</v>
      </c>
      <c r="J341" s="21">
        <f t="shared" si="20"/>
        <v>0</v>
      </c>
      <c r="K341" s="80"/>
      <c r="L341" s="82"/>
      <c r="M341" s="10"/>
      <c r="N341" s="10"/>
      <c r="O341" s="10"/>
      <c r="P341" s="10"/>
      <c r="Q341" s="43"/>
      <c r="R341" s="10"/>
      <c r="T341" s="10"/>
    </row>
    <row r="342" spans="2:20" s="1" customFormat="1" ht="14.25" x14ac:dyDescent="0.15">
      <c r="B342" s="16">
        <v>16</v>
      </c>
      <c r="C342" s="11"/>
      <c r="D342" s="18"/>
      <c r="E342" s="18"/>
      <c r="F342" s="129"/>
      <c r="G342" s="20"/>
      <c r="H342" s="20">
        <v>1</v>
      </c>
      <c r="I342" s="126">
        <f t="shared" si="17"/>
        <v>0</v>
      </c>
      <c r="J342" s="21">
        <f t="shared" si="20"/>
        <v>0</v>
      </c>
      <c r="K342" s="80"/>
      <c r="L342" s="82"/>
      <c r="M342" s="10"/>
      <c r="N342" s="10"/>
      <c r="O342" s="10"/>
      <c r="P342" s="10"/>
      <c r="Q342" s="43"/>
      <c r="R342" s="10"/>
      <c r="T342" s="10"/>
    </row>
    <row r="343" spans="2:20" s="1" customFormat="1" ht="14.25" x14ac:dyDescent="0.15">
      <c r="B343" s="16">
        <v>17</v>
      </c>
      <c r="C343" s="11"/>
      <c r="D343" s="18"/>
      <c r="E343" s="18"/>
      <c r="F343" s="129"/>
      <c r="G343" s="20"/>
      <c r="H343" s="20">
        <v>1</v>
      </c>
      <c r="I343" s="126">
        <f t="shared" si="17"/>
        <v>0</v>
      </c>
      <c r="J343" s="21">
        <f t="shared" si="20"/>
        <v>0</v>
      </c>
      <c r="K343" s="80"/>
      <c r="L343" s="82"/>
      <c r="M343" s="10"/>
      <c r="N343" s="10"/>
      <c r="O343" s="10"/>
      <c r="P343" s="10"/>
      <c r="Q343" s="43"/>
      <c r="R343" s="10"/>
      <c r="T343" s="10"/>
    </row>
    <row r="344" spans="2:20" s="1" customFormat="1" ht="14.25" x14ac:dyDescent="0.15">
      <c r="B344" s="16">
        <v>18</v>
      </c>
      <c r="C344" s="11"/>
      <c r="D344" s="18"/>
      <c r="E344" s="18"/>
      <c r="F344" s="129"/>
      <c r="G344" s="20"/>
      <c r="H344" s="20">
        <v>1</v>
      </c>
      <c r="I344" s="126">
        <f t="shared" si="17"/>
        <v>0</v>
      </c>
      <c r="J344" s="78">
        <f t="shared" si="20"/>
        <v>0</v>
      </c>
      <c r="K344" s="111"/>
      <c r="L344" s="119"/>
      <c r="M344" s="10"/>
      <c r="N344" s="10"/>
      <c r="O344" s="10"/>
      <c r="P344" s="10"/>
      <c r="Q344" s="43"/>
      <c r="R344" s="10"/>
      <c r="T344" s="10"/>
    </row>
    <row r="345" spans="2:20" s="1" customFormat="1" ht="14.25" x14ac:dyDescent="0.15">
      <c r="B345" s="16">
        <v>19</v>
      </c>
      <c r="C345" s="11"/>
      <c r="D345" s="18"/>
      <c r="E345" s="18"/>
      <c r="F345" s="129"/>
      <c r="G345" s="20"/>
      <c r="H345" s="20">
        <v>1</v>
      </c>
      <c r="I345" s="254">
        <f t="shared" si="17"/>
        <v>0</v>
      </c>
      <c r="J345" s="94">
        <f t="shared" si="20"/>
        <v>0</v>
      </c>
      <c r="K345" s="82"/>
      <c r="L345" s="82"/>
      <c r="M345" s="10"/>
      <c r="N345" s="10"/>
      <c r="O345" s="10"/>
      <c r="P345" s="10"/>
      <c r="Q345" s="43"/>
      <c r="R345" s="10"/>
      <c r="T345" s="10"/>
    </row>
    <row r="346" spans="2:20" s="1" customFormat="1" ht="14.25" x14ac:dyDescent="0.15">
      <c r="B346" s="16">
        <v>20</v>
      </c>
      <c r="C346" s="11"/>
      <c r="D346" s="18"/>
      <c r="E346" s="18"/>
      <c r="F346" s="129"/>
      <c r="G346" s="20"/>
      <c r="H346" s="20">
        <v>1</v>
      </c>
      <c r="I346" s="254">
        <f t="shared" si="17"/>
        <v>0</v>
      </c>
      <c r="J346" s="94">
        <f t="shared" si="20"/>
        <v>0</v>
      </c>
      <c r="K346" s="82"/>
      <c r="L346" s="82"/>
      <c r="M346" s="10"/>
      <c r="N346" s="10"/>
      <c r="O346" s="10"/>
      <c r="P346" s="10"/>
      <c r="Q346" s="43"/>
      <c r="R346" s="10"/>
      <c r="T346" s="10"/>
    </row>
    <row r="347" spans="2:20" s="1" customFormat="1" ht="14.25" x14ac:dyDescent="0.15">
      <c r="B347" s="83"/>
      <c r="C347" s="160"/>
      <c r="D347" s="75"/>
      <c r="E347" s="75"/>
      <c r="F347" s="132"/>
      <c r="G347" s="77"/>
      <c r="H347" s="77"/>
      <c r="I347" s="255"/>
      <c r="J347" s="94"/>
      <c r="K347" s="82"/>
      <c r="L347" s="82"/>
      <c r="M347" s="10"/>
      <c r="N347" s="10"/>
      <c r="O347" s="10"/>
      <c r="P347" s="10"/>
      <c r="Q347" s="43"/>
      <c r="R347" s="10"/>
      <c r="T347" s="10"/>
    </row>
    <row r="348" spans="2:20" s="1" customFormat="1" ht="14.25" x14ac:dyDescent="0.15">
      <c r="B348" s="82"/>
      <c r="C348" s="102"/>
      <c r="D348" s="103"/>
      <c r="E348" s="102"/>
      <c r="F348" s="128">
        <f>SUM(F288:F347)</f>
        <v>0</v>
      </c>
      <c r="G348" s="104"/>
      <c r="H348" s="105"/>
      <c r="I348" s="256">
        <f>SUM(I289:I347)</f>
        <v>0</v>
      </c>
      <c r="J348" s="257">
        <f>SUM(J288:J307)</f>
        <v>0</v>
      </c>
      <c r="M348" s="10"/>
      <c r="N348" s="10"/>
      <c r="O348" s="10"/>
      <c r="P348" s="10"/>
      <c r="Q348" s="43"/>
      <c r="R348" s="10"/>
      <c r="T348" s="10"/>
    </row>
    <row r="349" spans="2:20" s="67" customFormat="1" ht="14.25" x14ac:dyDescent="0.15">
      <c r="B349" s="116"/>
      <c r="C349" s="114"/>
      <c r="D349" s="114"/>
      <c r="E349" s="114" t="s">
        <v>147</v>
      </c>
      <c r="F349" s="162">
        <f>100/115*F348</f>
        <v>0</v>
      </c>
      <c r="G349" s="161"/>
      <c r="H349" s="161" t="s">
        <v>147</v>
      </c>
      <c r="I349" s="264">
        <f>100/115*I348</f>
        <v>0</v>
      </c>
      <c r="J349" s="114"/>
      <c r="M349" s="68"/>
      <c r="N349" s="68"/>
      <c r="O349" s="68"/>
      <c r="P349" s="68"/>
      <c r="Q349" s="69"/>
      <c r="R349" s="68"/>
      <c r="T349" s="68"/>
    </row>
    <row r="350" spans="2:20" s="1" customFormat="1" ht="14.25" x14ac:dyDescent="0.15">
      <c r="M350" s="10"/>
      <c r="N350" s="10"/>
      <c r="O350" s="10"/>
      <c r="P350" s="10"/>
      <c r="Q350" s="43"/>
      <c r="R350" s="10"/>
      <c r="T350" s="10"/>
    </row>
    <row r="351" spans="2:20" s="1" customFormat="1" ht="14.25" x14ac:dyDescent="0.15">
      <c r="M351" s="10"/>
      <c r="N351" s="10"/>
      <c r="O351" s="10"/>
      <c r="P351" s="10"/>
      <c r="Q351" s="43"/>
      <c r="R351" s="10"/>
      <c r="T351" s="10"/>
    </row>
    <row r="352" spans="2:20" s="1" customFormat="1" ht="14.25" x14ac:dyDescent="0.15">
      <c r="M352" s="10"/>
      <c r="N352" s="10"/>
      <c r="O352" s="10"/>
      <c r="P352" s="10"/>
      <c r="Q352" s="43"/>
      <c r="R352" s="10"/>
      <c r="T352" s="10"/>
    </row>
    <row r="353" spans="2:20" s="1" customFormat="1" ht="14.25" x14ac:dyDescent="0.15">
      <c r="M353" s="10"/>
      <c r="N353" s="10"/>
      <c r="O353" s="10"/>
      <c r="P353" s="10"/>
      <c r="Q353" s="43"/>
      <c r="R353" s="10"/>
      <c r="T353" s="10"/>
    </row>
    <row r="354" spans="2:20" s="247" customFormat="1" ht="32.25" x14ac:dyDescent="0.4">
      <c r="B354" s="248"/>
      <c r="C354" s="380" t="s">
        <v>112</v>
      </c>
      <c r="D354" s="380"/>
      <c r="E354" s="428" t="s">
        <v>108</v>
      </c>
      <c r="F354" s="428"/>
      <c r="G354" s="428"/>
      <c r="H354" s="428"/>
      <c r="I354" s="428"/>
      <c r="J354" s="382">
        <v>2026</v>
      </c>
      <c r="K354" s="382"/>
      <c r="L354" s="382"/>
      <c r="M354" s="249"/>
      <c r="N354" s="249"/>
      <c r="O354" s="249"/>
      <c r="P354" s="249"/>
      <c r="Q354" s="250"/>
      <c r="R354" s="249"/>
      <c r="T354" s="249"/>
    </row>
    <row r="355" spans="2:20" s="1" customFormat="1" ht="22.5" x14ac:dyDescent="0.15">
      <c r="B355" s="82"/>
      <c r="C355" s="102" t="s">
        <v>114</v>
      </c>
      <c r="D355" s="388" t="s">
        <v>115</v>
      </c>
      <c r="E355" s="388"/>
      <c r="F355" s="102" t="s">
        <v>116</v>
      </c>
      <c r="G355" s="102" t="s">
        <v>117</v>
      </c>
      <c r="H355" s="102" t="s">
        <v>118</v>
      </c>
      <c r="I355" s="102" t="s">
        <v>119</v>
      </c>
      <c r="J355" s="102" t="s">
        <v>120</v>
      </c>
      <c r="K355" s="82"/>
      <c r="L355" s="82"/>
      <c r="M355" s="10"/>
      <c r="N355" s="10"/>
      <c r="O355" s="10"/>
      <c r="P355" s="10"/>
      <c r="Q355" s="43"/>
      <c r="R355" s="10"/>
      <c r="T355" s="10"/>
    </row>
    <row r="356" spans="2:20" s="1" customFormat="1" ht="14.25" x14ac:dyDescent="0.15">
      <c r="B356" s="82"/>
      <c r="C356" s="66">
        <f>C286</f>
        <v>250</v>
      </c>
      <c r="D356" s="389">
        <v>20</v>
      </c>
      <c r="E356" s="389"/>
      <c r="F356" s="13">
        <f>F286</f>
        <v>0.75</v>
      </c>
      <c r="G356" s="14">
        <f>G286</f>
        <v>8</v>
      </c>
      <c r="H356" s="142">
        <f>D356*G356*F356</f>
        <v>120</v>
      </c>
      <c r="I356" s="66">
        <f>I418</f>
        <v>0</v>
      </c>
      <c r="J356" s="143">
        <f>H356-J418</f>
        <v>120</v>
      </c>
      <c r="K356" s="82"/>
      <c r="L356" s="82"/>
      <c r="M356" s="10"/>
      <c r="N356" s="10"/>
      <c r="O356" s="10"/>
      <c r="P356" s="10"/>
      <c r="Q356" s="43"/>
      <c r="R356" s="10"/>
      <c r="T356" s="10"/>
    </row>
    <row r="357" spans="2:20" s="1" customFormat="1" ht="33.75" x14ac:dyDescent="0.15">
      <c r="B357" s="82"/>
      <c r="C357" s="167" t="s">
        <v>121</v>
      </c>
      <c r="D357" s="395" t="s">
        <v>122</v>
      </c>
      <c r="E357" s="395"/>
      <c r="F357" s="177" t="s">
        <v>123</v>
      </c>
      <c r="G357" s="178" t="s">
        <v>124</v>
      </c>
      <c r="H357" s="179" t="s">
        <v>125</v>
      </c>
      <c r="I357" s="180" t="s">
        <v>126</v>
      </c>
      <c r="J357" s="178" t="s">
        <v>127</v>
      </c>
      <c r="K357" s="114" t="s">
        <v>128</v>
      </c>
      <c r="L357" s="114" t="s">
        <v>129</v>
      </c>
      <c r="M357" s="10"/>
      <c r="N357" s="10"/>
      <c r="O357" s="10"/>
      <c r="P357" s="10"/>
      <c r="Q357" s="43"/>
      <c r="R357" s="10"/>
      <c r="T357" s="10"/>
    </row>
    <row r="358" spans="2:20" s="1" customFormat="1" ht="14.25" x14ac:dyDescent="0.15">
      <c r="B358" s="84"/>
      <c r="C358" s="81"/>
      <c r="D358" s="404"/>
      <c r="E358" s="404"/>
      <c r="F358" s="175"/>
      <c r="G358" s="87"/>
      <c r="H358" s="87"/>
      <c r="I358" s="176"/>
      <c r="J358" s="88"/>
      <c r="K358" s="79"/>
      <c r="L358" s="120"/>
      <c r="M358" s="10"/>
      <c r="N358" s="10"/>
      <c r="O358" s="10"/>
      <c r="P358" s="10"/>
      <c r="Q358" s="43"/>
      <c r="R358" s="10"/>
      <c r="T358" s="10"/>
    </row>
    <row r="359" spans="2:20" s="1" customFormat="1" ht="12.95" customHeight="1" x14ac:dyDescent="0.15">
      <c r="B359" s="16"/>
      <c r="C359" s="411" t="s">
        <v>130</v>
      </c>
      <c r="D359" s="411"/>
      <c r="E359" s="411"/>
      <c r="F359" s="129"/>
      <c r="G359" s="20"/>
      <c r="H359" s="20"/>
      <c r="I359" s="126"/>
      <c r="J359" s="21"/>
      <c r="K359" s="80"/>
      <c r="L359" s="82"/>
      <c r="M359" s="10"/>
      <c r="N359" s="10"/>
      <c r="O359" s="10"/>
      <c r="P359" s="10"/>
      <c r="Q359" s="43"/>
      <c r="R359" s="10"/>
      <c r="T359" s="10"/>
    </row>
    <row r="360" spans="2:20" s="1" customFormat="1" ht="12.95" customHeight="1" x14ac:dyDescent="0.15">
      <c r="B360" s="16"/>
      <c r="C360" s="37" t="s">
        <v>149</v>
      </c>
      <c r="D360" s="24"/>
      <c r="E360" s="24"/>
      <c r="F360" s="129"/>
      <c r="G360" s="20"/>
      <c r="H360" s="20">
        <v>1</v>
      </c>
      <c r="I360" s="126">
        <f>J360*$C$32</f>
        <v>0</v>
      </c>
      <c r="J360" s="38">
        <f t="shared" ref="J360:J378" si="21">(F360*G360*H360)/$C$32</f>
        <v>0</v>
      </c>
      <c r="K360" s="80"/>
      <c r="L360" s="82"/>
    </row>
    <row r="361" spans="2:20" s="1" customFormat="1" ht="12.95" customHeight="1" x14ac:dyDescent="0.15">
      <c r="B361" s="16">
        <v>1</v>
      </c>
      <c r="C361" s="23"/>
      <c r="D361" s="24"/>
      <c r="E361" s="24"/>
      <c r="F361" s="129"/>
      <c r="G361" s="20"/>
      <c r="H361" s="20">
        <v>1</v>
      </c>
      <c r="I361" s="126">
        <f t="shared" ref="I361:I390" si="22">J361*$C$32</f>
        <v>0</v>
      </c>
      <c r="J361" s="38">
        <f t="shared" si="21"/>
        <v>0</v>
      </c>
      <c r="K361" s="80"/>
      <c r="L361" s="82"/>
    </row>
    <row r="362" spans="2:20" s="1" customFormat="1" ht="12.95" customHeight="1" x14ac:dyDescent="0.15">
      <c r="B362" s="16">
        <v>2</v>
      </c>
      <c r="C362" s="23"/>
      <c r="D362" s="24"/>
      <c r="E362" s="24"/>
      <c r="F362" s="126"/>
      <c r="G362" s="20"/>
      <c r="H362" s="20">
        <v>1</v>
      </c>
      <c r="I362" s="126">
        <f t="shared" si="22"/>
        <v>0</v>
      </c>
      <c r="J362" s="38">
        <f t="shared" si="21"/>
        <v>0</v>
      </c>
      <c r="K362" s="80"/>
      <c r="L362" s="82"/>
    </row>
    <row r="363" spans="2:20" s="1" customFormat="1" ht="12.95" customHeight="1" x14ac:dyDescent="0.15">
      <c r="B363" s="16">
        <v>3</v>
      </c>
      <c r="C363" s="23"/>
      <c r="D363" s="25"/>
      <c r="E363" s="25"/>
      <c r="F363" s="129"/>
      <c r="G363" s="20"/>
      <c r="H363" s="20">
        <v>1</v>
      </c>
      <c r="I363" s="126">
        <f t="shared" si="22"/>
        <v>0</v>
      </c>
      <c r="J363" s="38">
        <f t="shared" si="21"/>
        <v>0</v>
      </c>
      <c r="K363" s="80"/>
      <c r="L363" s="82"/>
    </row>
    <row r="364" spans="2:20" s="1" customFormat="1" ht="12.95" customHeight="1" x14ac:dyDescent="0.15">
      <c r="B364" s="16">
        <v>4</v>
      </c>
      <c r="C364" s="23"/>
      <c r="D364" s="24"/>
      <c r="E364" s="24"/>
      <c r="F364" s="129"/>
      <c r="G364" s="20"/>
      <c r="H364" s="20">
        <v>1</v>
      </c>
      <c r="I364" s="126">
        <f t="shared" si="22"/>
        <v>0</v>
      </c>
      <c r="J364" s="38">
        <f t="shared" si="21"/>
        <v>0</v>
      </c>
      <c r="K364" s="80"/>
      <c r="L364" s="82"/>
    </row>
    <row r="365" spans="2:20" s="1" customFormat="1" ht="12.95" customHeight="1" x14ac:dyDescent="0.15">
      <c r="B365" s="16">
        <v>5</v>
      </c>
      <c r="C365" s="16"/>
      <c r="D365" s="18"/>
      <c r="E365" s="18"/>
      <c r="F365" s="129"/>
      <c r="G365" s="20"/>
      <c r="H365" s="20">
        <v>1</v>
      </c>
      <c r="I365" s="126">
        <f t="shared" si="22"/>
        <v>0</v>
      </c>
      <c r="J365" s="38">
        <f t="shared" si="21"/>
        <v>0</v>
      </c>
      <c r="K365" s="80"/>
      <c r="L365" s="82"/>
    </row>
    <row r="366" spans="2:20" s="1" customFormat="1" ht="12.95" customHeight="1" x14ac:dyDescent="0.15">
      <c r="B366" s="16">
        <v>6</v>
      </c>
      <c r="C366" s="17"/>
      <c r="D366" s="24"/>
      <c r="E366" s="24"/>
      <c r="F366" s="129"/>
      <c r="G366" s="20"/>
      <c r="H366" s="20">
        <v>1</v>
      </c>
      <c r="I366" s="126">
        <f t="shared" si="22"/>
        <v>0</v>
      </c>
      <c r="J366" s="38">
        <f t="shared" si="21"/>
        <v>0</v>
      </c>
      <c r="K366" s="80"/>
      <c r="L366" s="82"/>
    </row>
    <row r="367" spans="2:20" s="1" customFormat="1" ht="12.95" customHeight="1" x14ac:dyDescent="0.15">
      <c r="B367" s="16">
        <v>7</v>
      </c>
      <c r="C367" s="17"/>
      <c r="D367" s="24"/>
      <c r="E367" s="24"/>
      <c r="F367" s="129"/>
      <c r="G367" s="20"/>
      <c r="H367" s="20">
        <v>1</v>
      </c>
      <c r="I367" s="126">
        <f t="shared" si="22"/>
        <v>0</v>
      </c>
      <c r="J367" s="38">
        <f t="shared" si="21"/>
        <v>0</v>
      </c>
      <c r="K367" s="80"/>
      <c r="L367" s="82"/>
    </row>
    <row r="368" spans="2:20" s="1" customFormat="1" ht="12.95" customHeight="1" x14ac:dyDescent="0.15">
      <c r="B368" s="16">
        <v>8</v>
      </c>
      <c r="C368" s="23"/>
      <c r="D368" s="48"/>
      <c r="E368" s="48"/>
      <c r="F368" s="129"/>
      <c r="G368" s="20"/>
      <c r="H368" s="20">
        <v>1</v>
      </c>
      <c r="I368" s="126">
        <f t="shared" si="22"/>
        <v>0</v>
      </c>
      <c r="J368" s="38">
        <f t="shared" si="21"/>
        <v>0</v>
      </c>
      <c r="K368" s="80"/>
      <c r="L368" s="82"/>
    </row>
    <row r="369" spans="2:15" s="1" customFormat="1" ht="12.95" customHeight="1" x14ac:dyDescent="0.15">
      <c r="B369" s="16">
        <v>9</v>
      </c>
      <c r="C369" s="23"/>
      <c r="D369" s="48"/>
      <c r="E369" s="48"/>
      <c r="F369" s="129"/>
      <c r="G369" s="20"/>
      <c r="H369" s="20">
        <v>1</v>
      </c>
      <c r="I369" s="126">
        <f t="shared" si="22"/>
        <v>0</v>
      </c>
      <c r="J369" s="38">
        <f t="shared" si="21"/>
        <v>0</v>
      </c>
      <c r="K369" s="80"/>
      <c r="L369" s="82"/>
    </row>
    <row r="370" spans="2:15" s="1" customFormat="1" ht="12.95" customHeight="1" x14ac:dyDescent="0.15">
      <c r="B370" s="16">
        <v>10</v>
      </c>
      <c r="C370" s="23"/>
      <c r="D370" s="48"/>
      <c r="E370" s="48"/>
      <c r="F370" s="129"/>
      <c r="G370" s="20"/>
      <c r="H370" s="20">
        <v>1</v>
      </c>
      <c r="I370" s="126">
        <f t="shared" si="22"/>
        <v>0</v>
      </c>
      <c r="J370" s="38">
        <f t="shared" si="21"/>
        <v>0</v>
      </c>
      <c r="K370" s="80"/>
      <c r="L370" s="82"/>
    </row>
    <row r="371" spans="2:15" s="1" customFormat="1" ht="12.95" customHeight="1" x14ac:dyDescent="0.15">
      <c r="B371" s="16"/>
      <c r="C371" s="23"/>
      <c r="D371" s="49"/>
      <c r="E371" s="48"/>
      <c r="F371" s="129"/>
      <c r="G371" s="20"/>
      <c r="H371" s="20"/>
      <c r="I371" s="126"/>
      <c r="J371" s="38"/>
      <c r="K371" s="80"/>
      <c r="L371" s="82"/>
    </row>
    <row r="372" spans="2:15" s="1" customFormat="1" ht="12.95" customHeight="1" x14ac:dyDescent="0.15">
      <c r="B372" s="16"/>
      <c r="C372" s="23"/>
      <c r="D372" s="49"/>
      <c r="E372" s="48"/>
      <c r="F372" s="129"/>
      <c r="G372" s="20"/>
      <c r="H372" s="20"/>
      <c r="I372" s="126"/>
      <c r="J372" s="38"/>
      <c r="K372" s="80"/>
      <c r="L372" s="82"/>
    </row>
    <row r="373" spans="2:15" s="1" customFormat="1" ht="12.95" customHeight="1" x14ac:dyDescent="0.15">
      <c r="B373" s="16"/>
      <c r="C373" s="72" t="s">
        <v>153</v>
      </c>
      <c r="D373" s="48"/>
      <c r="E373" s="49"/>
      <c r="F373" s="129"/>
      <c r="G373" s="20"/>
      <c r="H373" s="20"/>
      <c r="I373" s="126"/>
      <c r="J373" s="38"/>
      <c r="K373" s="80"/>
      <c r="L373" s="82"/>
    </row>
    <row r="374" spans="2:15" s="1" customFormat="1" ht="12.95" customHeight="1" x14ac:dyDescent="0.15">
      <c r="B374" s="16">
        <v>1</v>
      </c>
      <c r="C374" s="23"/>
      <c r="D374" s="48"/>
      <c r="E374" s="49"/>
      <c r="F374" s="129"/>
      <c r="G374" s="20"/>
      <c r="H374" s="20">
        <v>1</v>
      </c>
      <c r="I374" s="126">
        <f t="shared" si="22"/>
        <v>0</v>
      </c>
      <c r="J374" s="38">
        <f t="shared" si="21"/>
        <v>0</v>
      </c>
      <c r="K374" s="80"/>
      <c r="L374" s="82"/>
    </row>
    <row r="375" spans="2:15" s="1" customFormat="1" ht="14.85" customHeight="1" x14ac:dyDescent="0.15">
      <c r="B375" s="16">
        <v>2</v>
      </c>
      <c r="C375" s="23"/>
      <c r="D375" s="48"/>
      <c r="E375" s="49"/>
      <c r="F375" s="129"/>
      <c r="G375" s="20"/>
      <c r="H375" s="20">
        <v>1</v>
      </c>
      <c r="I375" s="126">
        <f t="shared" si="22"/>
        <v>0</v>
      </c>
      <c r="J375" s="38">
        <f t="shared" si="21"/>
        <v>0</v>
      </c>
      <c r="K375" s="80"/>
      <c r="L375" s="82"/>
    </row>
    <row r="376" spans="2:15" s="1" customFormat="1" ht="12.95" customHeight="1" x14ac:dyDescent="0.15">
      <c r="B376" s="16">
        <v>3</v>
      </c>
      <c r="C376" s="23"/>
      <c r="D376" s="48"/>
      <c r="E376" s="49"/>
      <c r="F376" s="129"/>
      <c r="G376" s="20"/>
      <c r="H376" s="20">
        <v>1</v>
      </c>
      <c r="I376" s="126">
        <f t="shared" si="22"/>
        <v>0</v>
      </c>
      <c r="J376" s="38">
        <f t="shared" si="21"/>
        <v>0</v>
      </c>
      <c r="K376" s="80"/>
      <c r="L376" s="82"/>
    </row>
    <row r="377" spans="2:15" s="1" customFormat="1" ht="12.95" customHeight="1" x14ac:dyDescent="0.15">
      <c r="B377" s="16">
        <v>4</v>
      </c>
      <c r="C377" s="23"/>
      <c r="D377" s="48"/>
      <c r="E377" s="49"/>
      <c r="F377" s="129"/>
      <c r="G377" s="20"/>
      <c r="H377" s="20">
        <v>1</v>
      </c>
      <c r="I377" s="126">
        <f t="shared" si="22"/>
        <v>0</v>
      </c>
      <c r="J377" s="38">
        <f t="shared" si="21"/>
        <v>0</v>
      </c>
      <c r="K377" s="80"/>
      <c r="L377" s="82"/>
    </row>
    <row r="378" spans="2:15" s="1" customFormat="1" ht="12.95" customHeight="1" x14ac:dyDescent="0.15">
      <c r="B378" s="16">
        <v>5</v>
      </c>
      <c r="C378" s="23"/>
      <c r="D378" s="48"/>
      <c r="E378" s="48"/>
      <c r="F378" s="129"/>
      <c r="G378" s="20"/>
      <c r="H378" s="20">
        <v>1</v>
      </c>
      <c r="I378" s="126">
        <f t="shared" si="22"/>
        <v>0</v>
      </c>
      <c r="J378" s="38">
        <f t="shared" si="21"/>
        <v>0</v>
      </c>
      <c r="K378" s="80"/>
      <c r="L378" s="82"/>
    </row>
    <row r="379" spans="2:15" s="1" customFormat="1" ht="12.95" customHeight="1" x14ac:dyDescent="0.15">
      <c r="B379" s="16">
        <v>6</v>
      </c>
      <c r="C379" s="23"/>
      <c r="D379" s="48"/>
      <c r="E379" s="48"/>
      <c r="F379" s="129"/>
      <c r="G379" s="20"/>
      <c r="H379" s="20">
        <v>1</v>
      </c>
      <c r="I379" s="126">
        <f t="shared" si="22"/>
        <v>0</v>
      </c>
      <c r="J379" s="38">
        <f>(F379*G379*H379)/$C$32</f>
        <v>0</v>
      </c>
      <c r="K379" s="80"/>
      <c r="L379" s="82"/>
    </row>
    <row r="380" spans="2:15" s="1" customFormat="1" ht="12.95" customHeight="1" x14ac:dyDescent="0.15">
      <c r="B380" s="16">
        <v>7</v>
      </c>
      <c r="C380" s="23"/>
      <c r="D380" s="48"/>
      <c r="E380" s="48"/>
      <c r="F380" s="129"/>
      <c r="G380" s="20"/>
      <c r="H380" s="20">
        <v>1</v>
      </c>
      <c r="I380" s="126">
        <f t="shared" si="22"/>
        <v>0</v>
      </c>
      <c r="J380" s="38">
        <f>(F380*G380*H380)/$C$32</f>
        <v>0</v>
      </c>
      <c r="K380" s="80"/>
      <c r="L380" s="82"/>
    </row>
    <row r="381" spans="2:15" s="1" customFormat="1" ht="12.95" customHeight="1" x14ac:dyDescent="0.15">
      <c r="B381" s="16">
        <v>8</v>
      </c>
      <c r="C381" s="23"/>
      <c r="D381" s="48"/>
      <c r="E381" s="48"/>
      <c r="F381" s="129"/>
      <c r="G381" s="20"/>
      <c r="H381" s="20">
        <v>1</v>
      </c>
      <c r="I381" s="126">
        <f t="shared" si="22"/>
        <v>0</v>
      </c>
      <c r="J381" s="38">
        <f t="shared" ref="J381:J416" si="23">(F381*G381*H381)/$C$32</f>
        <v>0</v>
      </c>
      <c r="K381" s="80"/>
      <c r="L381" s="82"/>
      <c r="M381" s="39"/>
      <c r="N381" s="40"/>
      <c r="O381" s="40"/>
    </row>
    <row r="382" spans="2:15" s="1" customFormat="1" ht="12.95" customHeight="1" x14ac:dyDescent="0.15">
      <c r="B382" s="16">
        <v>9</v>
      </c>
      <c r="C382" s="23"/>
      <c r="D382" s="48"/>
      <c r="E382" s="48"/>
      <c r="F382" s="129"/>
      <c r="G382" s="20"/>
      <c r="H382" s="20">
        <v>1</v>
      </c>
      <c r="I382" s="126">
        <f t="shared" si="22"/>
        <v>0</v>
      </c>
      <c r="J382" s="38">
        <f t="shared" si="23"/>
        <v>0</v>
      </c>
      <c r="K382" s="80"/>
      <c r="L382" s="82"/>
    </row>
    <row r="383" spans="2:15" s="1" customFormat="1" ht="12.95" customHeight="1" x14ac:dyDescent="0.15">
      <c r="B383" s="16">
        <v>10</v>
      </c>
      <c r="C383" s="23"/>
      <c r="D383" s="48"/>
      <c r="E383" s="48"/>
      <c r="F383" s="129"/>
      <c r="G383" s="20"/>
      <c r="H383" s="20">
        <v>1</v>
      </c>
      <c r="I383" s="126">
        <f t="shared" si="22"/>
        <v>0</v>
      </c>
      <c r="J383" s="38">
        <f t="shared" si="23"/>
        <v>0</v>
      </c>
      <c r="K383" s="80"/>
      <c r="L383" s="82"/>
    </row>
    <row r="384" spans="2:15" s="1" customFormat="1" ht="12.95" customHeight="1" x14ac:dyDescent="0.15">
      <c r="B384" s="16">
        <v>11</v>
      </c>
      <c r="C384" s="23"/>
      <c r="D384" s="48"/>
      <c r="E384" s="48"/>
      <c r="F384" s="130"/>
      <c r="G384" s="20"/>
      <c r="H384" s="20">
        <v>1</v>
      </c>
      <c r="I384" s="126">
        <f t="shared" si="22"/>
        <v>0</v>
      </c>
      <c r="J384" s="38">
        <f t="shared" si="23"/>
        <v>0</v>
      </c>
      <c r="K384" s="80"/>
      <c r="L384" s="82"/>
    </row>
    <row r="385" spans="2:20" s="1" customFormat="1" ht="12.95" customHeight="1" x14ac:dyDescent="0.15">
      <c r="B385" s="16">
        <v>12</v>
      </c>
      <c r="C385" s="23"/>
      <c r="D385" s="48"/>
      <c r="E385" s="48"/>
      <c r="F385" s="129"/>
      <c r="G385" s="20"/>
      <c r="H385" s="20">
        <v>1</v>
      </c>
      <c r="I385" s="126">
        <f t="shared" si="22"/>
        <v>0</v>
      </c>
      <c r="J385" s="38">
        <f t="shared" si="23"/>
        <v>0</v>
      </c>
      <c r="K385" s="80"/>
      <c r="L385" s="82"/>
    </row>
    <row r="386" spans="2:20" s="1" customFormat="1" ht="12.95" customHeight="1" x14ac:dyDescent="0.15">
      <c r="B386" s="16">
        <v>13</v>
      </c>
      <c r="C386" s="23"/>
      <c r="D386" s="48"/>
      <c r="E386" s="48"/>
      <c r="F386" s="129"/>
      <c r="G386" s="20"/>
      <c r="H386" s="20">
        <v>1</v>
      </c>
      <c r="I386" s="126">
        <f t="shared" si="22"/>
        <v>0</v>
      </c>
      <c r="J386" s="38">
        <f t="shared" si="23"/>
        <v>0</v>
      </c>
      <c r="K386" s="80"/>
      <c r="L386" s="82"/>
    </row>
    <row r="387" spans="2:20" s="1" customFormat="1" ht="12.95" customHeight="1" x14ac:dyDescent="0.15">
      <c r="B387" s="16">
        <v>14</v>
      </c>
      <c r="C387" s="23"/>
      <c r="D387" s="48"/>
      <c r="E387" s="48"/>
      <c r="F387" s="129"/>
      <c r="G387" s="20"/>
      <c r="H387" s="20">
        <v>1</v>
      </c>
      <c r="I387" s="126">
        <f t="shared" si="22"/>
        <v>0</v>
      </c>
      <c r="J387" s="38">
        <f t="shared" si="23"/>
        <v>0</v>
      </c>
      <c r="K387" s="80"/>
      <c r="L387" s="82"/>
    </row>
    <row r="388" spans="2:20" s="1" customFormat="1" ht="12.95" customHeight="1" x14ac:dyDescent="0.15">
      <c r="B388" s="16">
        <v>15</v>
      </c>
      <c r="C388" s="23"/>
      <c r="D388" s="48"/>
      <c r="E388" s="48"/>
      <c r="F388" s="129"/>
      <c r="G388" s="20"/>
      <c r="H388" s="20">
        <v>1</v>
      </c>
      <c r="I388" s="126">
        <f t="shared" si="22"/>
        <v>0</v>
      </c>
      <c r="J388" s="38">
        <f t="shared" si="23"/>
        <v>0</v>
      </c>
      <c r="K388" s="80"/>
      <c r="L388" s="82"/>
    </row>
    <row r="389" spans="2:20" s="1" customFormat="1" ht="12.95" customHeight="1" x14ac:dyDescent="0.15">
      <c r="B389" s="16">
        <v>16</v>
      </c>
      <c r="C389" s="23"/>
      <c r="D389" s="48"/>
      <c r="E389" s="48"/>
      <c r="F389" s="129"/>
      <c r="G389" s="20"/>
      <c r="H389" s="20">
        <v>1</v>
      </c>
      <c r="I389" s="126">
        <f t="shared" si="22"/>
        <v>0</v>
      </c>
      <c r="J389" s="38">
        <f t="shared" si="23"/>
        <v>0</v>
      </c>
      <c r="K389" s="80"/>
      <c r="L389" s="82"/>
    </row>
    <row r="390" spans="2:20" s="1" customFormat="1" ht="12.95" customHeight="1" x14ac:dyDescent="0.2">
      <c r="B390" s="16">
        <v>17</v>
      </c>
      <c r="C390" s="410"/>
      <c r="D390" s="410"/>
      <c r="E390" s="410"/>
      <c r="F390" s="129"/>
      <c r="G390" s="20"/>
      <c r="H390" s="20">
        <v>1</v>
      </c>
      <c r="I390" s="126">
        <f t="shared" si="22"/>
        <v>0</v>
      </c>
      <c r="J390" s="21">
        <f t="shared" si="23"/>
        <v>0</v>
      </c>
      <c r="K390" s="80"/>
      <c r="L390" s="82"/>
      <c r="M390" s="10"/>
      <c r="N390" s="10"/>
      <c r="O390" s="10"/>
      <c r="P390" s="10"/>
      <c r="Q390" s="43"/>
      <c r="R390" s="10"/>
      <c r="T390" s="10"/>
    </row>
    <row r="391" spans="2:20" s="1" customFormat="1" ht="12.95" customHeight="1" x14ac:dyDescent="0.15">
      <c r="B391" s="16">
        <v>18</v>
      </c>
      <c r="C391" s="60"/>
      <c r="D391" s="49"/>
      <c r="E391" s="49"/>
      <c r="F391" s="129"/>
      <c r="G391" s="20"/>
      <c r="H391" s="20">
        <v>1</v>
      </c>
      <c r="I391" s="126">
        <f>J391*$C$32</f>
        <v>0</v>
      </c>
      <c r="J391" s="21">
        <f t="shared" si="23"/>
        <v>0</v>
      </c>
      <c r="K391" s="80"/>
      <c r="L391" s="82"/>
      <c r="M391" s="10"/>
      <c r="N391" s="10"/>
      <c r="O391" s="10"/>
      <c r="P391" s="10"/>
      <c r="Q391" s="43"/>
      <c r="R391" s="10"/>
      <c r="T391" s="10"/>
    </row>
    <row r="392" spans="2:20" s="1" customFormat="1" ht="12.95" customHeight="1" x14ac:dyDescent="0.15">
      <c r="B392" s="16">
        <v>19</v>
      </c>
      <c r="C392" s="59"/>
      <c r="D392" s="49"/>
      <c r="E392" s="49"/>
      <c r="F392" s="129"/>
      <c r="G392" s="20"/>
      <c r="H392" s="20">
        <v>1</v>
      </c>
      <c r="I392" s="126">
        <f t="shared" ref="I392:I406" si="24">J392*$C$32</f>
        <v>0</v>
      </c>
      <c r="J392" s="21">
        <f t="shared" si="23"/>
        <v>0</v>
      </c>
      <c r="K392" s="80"/>
      <c r="L392" s="82"/>
      <c r="M392" s="10"/>
      <c r="N392" s="10"/>
      <c r="O392" s="10"/>
      <c r="P392" s="10"/>
      <c r="Q392" s="43"/>
      <c r="R392" s="10"/>
      <c r="T392" s="10"/>
    </row>
    <row r="393" spans="2:20" s="1" customFormat="1" ht="12.95" customHeight="1" x14ac:dyDescent="0.15">
      <c r="B393" s="16">
        <v>20</v>
      </c>
      <c r="C393" s="70"/>
      <c r="D393" s="49"/>
      <c r="E393" s="49"/>
      <c r="F393" s="129"/>
      <c r="G393" s="20"/>
      <c r="H393" s="20">
        <v>1</v>
      </c>
      <c r="I393" s="126">
        <f t="shared" si="24"/>
        <v>0</v>
      </c>
      <c r="J393" s="21">
        <f t="shared" si="23"/>
        <v>0</v>
      </c>
      <c r="K393" s="80"/>
      <c r="L393" s="82"/>
      <c r="M393" s="10"/>
      <c r="N393" s="10"/>
      <c r="O393" s="10"/>
      <c r="P393" s="10"/>
      <c r="Q393" s="43"/>
      <c r="R393" s="10"/>
      <c r="T393" s="10"/>
    </row>
    <row r="394" spans="2:20" s="1" customFormat="1" ht="12.95" customHeight="1" x14ac:dyDescent="0.15">
      <c r="B394" s="16"/>
      <c r="C394" s="70"/>
      <c r="D394" s="49"/>
      <c r="E394" s="49"/>
      <c r="F394" s="129"/>
      <c r="G394" s="20"/>
      <c r="H394" s="20"/>
      <c r="I394" s="126"/>
      <c r="J394" s="21"/>
      <c r="K394" s="80"/>
      <c r="L394" s="82"/>
      <c r="M394" s="10"/>
      <c r="N394" s="10"/>
      <c r="O394" s="10"/>
      <c r="P394" s="10"/>
      <c r="Q394" s="43"/>
      <c r="R394" s="10"/>
      <c r="T394" s="10"/>
    </row>
    <row r="395" spans="2:20" s="1" customFormat="1" ht="12.95" customHeight="1" x14ac:dyDescent="0.15">
      <c r="B395" s="16"/>
      <c r="C395" s="70"/>
      <c r="D395" s="49"/>
      <c r="E395" s="49"/>
      <c r="F395" s="129"/>
      <c r="G395" s="20"/>
      <c r="H395" s="20"/>
      <c r="I395" s="126"/>
      <c r="J395" s="21"/>
      <c r="K395" s="80"/>
      <c r="L395" s="82"/>
      <c r="M395" s="10"/>
      <c r="N395" s="10"/>
      <c r="O395" s="10"/>
      <c r="P395" s="10"/>
      <c r="Q395" s="43"/>
      <c r="R395" s="10"/>
      <c r="T395" s="10"/>
    </row>
    <row r="396" spans="2:20" s="1" customFormat="1" ht="12.95" customHeight="1" x14ac:dyDescent="0.15">
      <c r="B396" s="16"/>
      <c r="C396" s="70" t="s">
        <v>159</v>
      </c>
      <c r="D396" s="49"/>
      <c r="E396" s="49"/>
      <c r="F396" s="129"/>
      <c r="G396" s="20"/>
      <c r="H396" s="20"/>
      <c r="I396" s="126"/>
      <c r="J396" s="21"/>
      <c r="K396" s="80"/>
      <c r="L396" s="82"/>
      <c r="M396" s="10"/>
      <c r="N396" s="10"/>
      <c r="O396" s="10"/>
      <c r="P396" s="10"/>
      <c r="Q396" s="43"/>
      <c r="R396" s="10"/>
      <c r="T396" s="10"/>
    </row>
    <row r="397" spans="2:20" s="1" customFormat="1" ht="12.95" customHeight="1" x14ac:dyDescent="0.15">
      <c r="B397" s="16">
        <v>1</v>
      </c>
      <c r="C397" s="61"/>
      <c r="D397" s="49"/>
      <c r="E397" s="49"/>
      <c r="F397" s="129"/>
      <c r="G397" s="20"/>
      <c r="H397" s="20">
        <v>1</v>
      </c>
      <c r="I397" s="126">
        <f t="shared" si="24"/>
        <v>0</v>
      </c>
      <c r="J397" s="21">
        <f t="shared" si="23"/>
        <v>0</v>
      </c>
      <c r="K397" s="80"/>
      <c r="L397" s="82"/>
      <c r="M397" s="10"/>
      <c r="N397" s="10"/>
      <c r="O397" s="10"/>
      <c r="P397" s="10"/>
      <c r="Q397" s="43"/>
      <c r="R397" s="10"/>
      <c r="T397" s="10"/>
    </row>
    <row r="398" spans="2:20" s="1" customFormat="1" ht="14.25" x14ac:dyDescent="0.15">
      <c r="B398" s="16">
        <v>2</v>
      </c>
      <c r="C398" s="61"/>
      <c r="D398" s="49"/>
      <c r="E398" s="49"/>
      <c r="F398" s="129"/>
      <c r="G398" s="20"/>
      <c r="H398" s="20">
        <v>1</v>
      </c>
      <c r="I398" s="126">
        <f t="shared" si="24"/>
        <v>0</v>
      </c>
      <c r="J398" s="21">
        <f t="shared" si="23"/>
        <v>0</v>
      </c>
      <c r="K398" s="80"/>
      <c r="L398" s="82"/>
    </row>
    <row r="399" spans="2:20" s="1" customFormat="1" ht="14.25" x14ac:dyDescent="0.15">
      <c r="B399" s="16">
        <v>3</v>
      </c>
      <c r="C399" s="61"/>
      <c r="D399" s="49"/>
      <c r="E399" s="49"/>
      <c r="F399" s="129"/>
      <c r="G399" s="20"/>
      <c r="H399" s="20">
        <v>1</v>
      </c>
      <c r="I399" s="126">
        <f t="shared" si="24"/>
        <v>0</v>
      </c>
      <c r="J399" s="21">
        <f t="shared" si="23"/>
        <v>0</v>
      </c>
      <c r="K399" s="80"/>
      <c r="L399" s="82"/>
    </row>
    <row r="400" spans="2:20" s="1" customFormat="1" ht="14.25" x14ac:dyDescent="0.15">
      <c r="B400" s="16">
        <v>4</v>
      </c>
      <c r="C400" s="61"/>
      <c r="D400" s="49"/>
      <c r="E400" s="49"/>
      <c r="F400" s="129"/>
      <c r="G400" s="20"/>
      <c r="H400" s="20">
        <v>1</v>
      </c>
      <c r="I400" s="126">
        <f t="shared" si="24"/>
        <v>0</v>
      </c>
      <c r="J400" s="21">
        <f t="shared" si="23"/>
        <v>0</v>
      </c>
      <c r="K400" s="80"/>
      <c r="L400" s="82"/>
    </row>
    <row r="401" spans="2:12" s="1" customFormat="1" ht="16.5" x14ac:dyDescent="0.2">
      <c r="B401" s="16">
        <v>5</v>
      </c>
      <c r="C401" s="71"/>
      <c r="D401" s="49"/>
      <c r="E401" s="49"/>
      <c r="F401" s="129"/>
      <c r="G401" s="20"/>
      <c r="H401" s="20">
        <v>1</v>
      </c>
      <c r="I401" s="126">
        <f t="shared" si="24"/>
        <v>0</v>
      </c>
      <c r="J401" s="21">
        <f t="shared" si="23"/>
        <v>0</v>
      </c>
      <c r="K401" s="80"/>
      <c r="L401" s="82"/>
    </row>
    <row r="402" spans="2:12" s="1" customFormat="1" ht="14.25" x14ac:dyDescent="0.15">
      <c r="B402" s="16">
        <v>6</v>
      </c>
      <c r="C402" s="61"/>
      <c r="D402" s="49"/>
      <c r="E402" s="49"/>
      <c r="F402" s="129"/>
      <c r="G402" s="20"/>
      <c r="H402" s="20">
        <v>1</v>
      </c>
      <c r="I402" s="126">
        <f t="shared" si="24"/>
        <v>0</v>
      </c>
      <c r="J402" s="21">
        <f t="shared" si="23"/>
        <v>0</v>
      </c>
      <c r="K402" s="80"/>
      <c r="L402" s="82"/>
    </row>
    <row r="403" spans="2:12" s="1" customFormat="1" ht="14.25" x14ac:dyDescent="0.15">
      <c r="B403" s="16">
        <v>7</v>
      </c>
      <c r="C403" s="61"/>
      <c r="D403" s="49"/>
      <c r="E403" s="49"/>
      <c r="F403" s="129"/>
      <c r="G403" s="20"/>
      <c r="H403" s="20">
        <v>1</v>
      </c>
      <c r="I403" s="126">
        <f t="shared" si="24"/>
        <v>0</v>
      </c>
      <c r="J403" s="21">
        <f t="shared" si="23"/>
        <v>0</v>
      </c>
      <c r="K403" s="80"/>
      <c r="L403" s="82"/>
    </row>
    <row r="404" spans="2:12" s="1" customFormat="1" ht="14.25" x14ac:dyDescent="0.15">
      <c r="B404" s="16">
        <v>8</v>
      </c>
      <c r="C404" s="61"/>
      <c r="D404" s="49"/>
      <c r="E404" s="49"/>
      <c r="F404" s="129"/>
      <c r="G404" s="20"/>
      <c r="H404" s="20">
        <v>1</v>
      </c>
      <c r="I404" s="126">
        <f t="shared" si="24"/>
        <v>0</v>
      </c>
      <c r="J404" s="21">
        <f t="shared" si="23"/>
        <v>0</v>
      </c>
      <c r="K404" s="80"/>
      <c r="L404" s="82"/>
    </row>
    <row r="405" spans="2:12" s="1" customFormat="1" ht="14.25" x14ac:dyDescent="0.15">
      <c r="B405" s="16">
        <v>9</v>
      </c>
      <c r="C405" s="61"/>
      <c r="D405" s="49"/>
      <c r="E405" s="49"/>
      <c r="F405" s="129"/>
      <c r="G405" s="20"/>
      <c r="H405" s="20">
        <v>1</v>
      </c>
      <c r="I405" s="126">
        <f t="shared" si="24"/>
        <v>0</v>
      </c>
      <c r="J405" s="21">
        <f t="shared" si="23"/>
        <v>0</v>
      </c>
      <c r="K405" s="80"/>
      <c r="L405" s="82"/>
    </row>
    <row r="406" spans="2:12" s="1" customFormat="1" ht="14.25" x14ac:dyDescent="0.15">
      <c r="B406" s="16">
        <v>10</v>
      </c>
      <c r="C406" s="61"/>
      <c r="D406" s="49"/>
      <c r="E406" s="49"/>
      <c r="F406" s="129"/>
      <c r="G406" s="20"/>
      <c r="H406" s="20">
        <v>1</v>
      </c>
      <c r="I406" s="126">
        <f t="shared" si="24"/>
        <v>0</v>
      </c>
      <c r="J406" s="21">
        <f t="shared" si="23"/>
        <v>0</v>
      </c>
      <c r="K406" s="80"/>
      <c r="L406" s="82"/>
    </row>
    <row r="407" spans="2:12" s="1" customFormat="1" ht="14.25" x14ac:dyDescent="0.15">
      <c r="B407" s="16">
        <v>11</v>
      </c>
      <c r="C407" s="61"/>
      <c r="D407" s="49"/>
      <c r="E407" s="49"/>
      <c r="F407" s="129"/>
      <c r="G407" s="20"/>
      <c r="H407" s="20">
        <v>1</v>
      </c>
      <c r="I407" s="126">
        <f>J407*$C$32</f>
        <v>0</v>
      </c>
      <c r="J407" s="21">
        <f t="shared" si="23"/>
        <v>0</v>
      </c>
      <c r="K407" s="80"/>
      <c r="L407" s="82"/>
    </row>
    <row r="408" spans="2:12" s="1" customFormat="1" ht="14.25" x14ac:dyDescent="0.15">
      <c r="B408" s="16">
        <v>12</v>
      </c>
      <c r="C408" s="46"/>
      <c r="D408" s="18"/>
      <c r="E408" s="18"/>
      <c r="F408" s="129"/>
      <c r="G408" s="20"/>
      <c r="H408" s="20">
        <v>1</v>
      </c>
      <c r="I408" s="126">
        <f t="shared" ref="I408:I416" si="25">J408*$C$32</f>
        <v>0</v>
      </c>
      <c r="J408" s="21">
        <f t="shared" si="23"/>
        <v>0</v>
      </c>
      <c r="K408" s="80"/>
      <c r="L408" s="82"/>
    </row>
    <row r="409" spans="2:12" s="1" customFormat="1" ht="14.25" x14ac:dyDescent="0.15">
      <c r="B409" s="16">
        <v>13</v>
      </c>
      <c r="C409" s="46"/>
      <c r="D409" s="18"/>
      <c r="E409" s="18"/>
      <c r="F409" s="129"/>
      <c r="G409" s="20"/>
      <c r="H409" s="20">
        <v>1</v>
      </c>
      <c r="I409" s="126">
        <f t="shared" si="25"/>
        <v>0</v>
      </c>
      <c r="J409" s="21">
        <f t="shared" si="23"/>
        <v>0</v>
      </c>
      <c r="K409" s="80"/>
      <c r="L409" s="82"/>
    </row>
    <row r="410" spans="2:12" s="1" customFormat="1" ht="14.25" x14ac:dyDescent="0.15">
      <c r="B410" s="16">
        <v>14</v>
      </c>
      <c r="C410" s="46"/>
      <c r="D410" s="18"/>
      <c r="E410" s="18"/>
      <c r="F410" s="129"/>
      <c r="G410" s="20"/>
      <c r="H410" s="20">
        <v>1</v>
      </c>
      <c r="I410" s="126">
        <f t="shared" si="25"/>
        <v>0</v>
      </c>
      <c r="J410" s="21">
        <f t="shared" si="23"/>
        <v>0</v>
      </c>
      <c r="K410" s="80"/>
      <c r="L410" s="82"/>
    </row>
    <row r="411" spans="2:12" s="1" customFormat="1" ht="14.25" x14ac:dyDescent="0.15">
      <c r="B411" s="16">
        <v>15</v>
      </c>
      <c r="C411" s="46"/>
      <c r="D411" s="18"/>
      <c r="E411" s="18"/>
      <c r="F411" s="129"/>
      <c r="G411" s="20"/>
      <c r="H411" s="20">
        <v>1</v>
      </c>
      <c r="I411" s="126">
        <f t="shared" si="25"/>
        <v>0</v>
      </c>
      <c r="J411" s="21">
        <f t="shared" si="23"/>
        <v>0</v>
      </c>
      <c r="K411" s="80"/>
      <c r="L411" s="82"/>
    </row>
    <row r="412" spans="2:12" s="1" customFormat="1" ht="14.25" x14ac:dyDescent="0.15">
      <c r="B412" s="16">
        <v>16</v>
      </c>
      <c r="C412" s="46"/>
      <c r="D412" s="18"/>
      <c r="E412" s="18"/>
      <c r="F412" s="129"/>
      <c r="G412" s="20"/>
      <c r="H412" s="20">
        <v>1</v>
      </c>
      <c r="I412" s="126">
        <f t="shared" si="25"/>
        <v>0</v>
      </c>
      <c r="J412" s="21">
        <f t="shared" si="23"/>
        <v>0</v>
      </c>
      <c r="K412" s="80"/>
      <c r="L412" s="82"/>
    </row>
    <row r="413" spans="2:12" s="1" customFormat="1" ht="14.25" x14ac:dyDescent="0.15">
      <c r="B413" s="16">
        <v>17</v>
      </c>
      <c r="C413" s="46"/>
      <c r="D413" s="18"/>
      <c r="E413" s="18"/>
      <c r="F413" s="129"/>
      <c r="G413" s="20"/>
      <c r="H413" s="20">
        <v>1</v>
      </c>
      <c r="I413" s="126">
        <f t="shared" si="25"/>
        <v>0</v>
      </c>
      <c r="J413" s="78">
        <f t="shared" si="23"/>
        <v>0</v>
      </c>
      <c r="K413" s="111"/>
      <c r="L413" s="119"/>
    </row>
    <row r="414" spans="2:12" s="1" customFormat="1" ht="14.25" x14ac:dyDescent="0.15">
      <c r="B414" s="16">
        <v>18</v>
      </c>
      <c r="C414" s="46"/>
      <c r="D414" s="18"/>
      <c r="E414" s="18"/>
      <c r="F414" s="129"/>
      <c r="G414" s="20"/>
      <c r="H414" s="20">
        <v>1</v>
      </c>
      <c r="I414" s="254">
        <f t="shared" si="25"/>
        <v>0</v>
      </c>
      <c r="J414" s="94">
        <f t="shared" si="23"/>
        <v>0</v>
      </c>
      <c r="K414" s="82"/>
      <c r="L414" s="82"/>
    </row>
    <row r="415" spans="2:12" s="1" customFormat="1" ht="14.25" x14ac:dyDescent="0.15">
      <c r="B415" s="16">
        <v>19</v>
      </c>
      <c r="C415" s="46"/>
      <c r="D415" s="18"/>
      <c r="E415" s="18"/>
      <c r="F415" s="129"/>
      <c r="G415" s="20"/>
      <c r="H415" s="20">
        <v>1</v>
      </c>
      <c r="I415" s="254">
        <f t="shared" si="25"/>
        <v>0</v>
      </c>
      <c r="J415" s="94">
        <f t="shared" si="23"/>
        <v>0</v>
      </c>
      <c r="K415" s="82"/>
      <c r="L415" s="82"/>
    </row>
    <row r="416" spans="2:12" s="1" customFormat="1" ht="14.25" x14ac:dyDescent="0.15">
      <c r="B416" s="16">
        <v>20</v>
      </c>
      <c r="C416" s="46"/>
      <c r="D416" s="18"/>
      <c r="E416" s="18"/>
      <c r="F416" s="129"/>
      <c r="G416" s="20"/>
      <c r="H416" s="20">
        <v>1</v>
      </c>
      <c r="I416" s="254">
        <f t="shared" si="25"/>
        <v>0</v>
      </c>
      <c r="J416" s="94">
        <f t="shared" si="23"/>
        <v>0</v>
      </c>
      <c r="K416" s="82"/>
      <c r="L416" s="82"/>
    </row>
    <row r="417" spans="2:12" s="1" customFormat="1" ht="14.25" x14ac:dyDescent="0.15">
      <c r="B417" s="83"/>
      <c r="C417" s="174"/>
      <c r="D417" s="75"/>
      <c r="E417" s="75"/>
      <c r="F417" s="132"/>
      <c r="G417" s="77"/>
      <c r="H417" s="77"/>
      <c r="I417" s="255"/>
      <c r="J417" s="94"/>
      <c r="K417" s="82"/>
      <c r="L417" s="82"/>
    </row>
    <row r="418" spans="2:12" s="1" customFormat="1" ht="12.75" x14ac:dyDescent="0.15">
      <c r="B418" s="82"/>
      <c r="C418" s="102"/>
      <c r="D418" s="103"/>
      <c r="E418" s="102"/>
      <c r="F418" s="128">
        <f>SUM(F358:F417)</f>
        <v>0</v>
      </c>
      <c r="G418" s="104"/>
      <c r="H418" s="105"/>
      <c r="I418" s="256">
        <f>SUM(I359:I417)</f>
        <v>0</v>
      </c>
      <c r="J418" s="257">
        <f>SUM(J358:J417)</f>
        <v>0</v>
      </c>
    </row>
    <row r="419" spans="2:12" s="67" customFormat="1" ht="12.75" x14ac:dyDescent="0.15">
      <c r="B419" s="116"/>
      <c r="C419" s="114"/>
      <c r="D419" s="114"/>
      <c r="E419" s="114" t="s">
        <v>147</v>
      </c>
      <c r="F419" s="162">
        <f>100/115*F418</f>
        <v>0</v>
      </c>
      <c r="G419" s="114"/>
      <c r="H419" s="114" t="s">
        <v>147</v>
      </c>
      <c r="I419" s="264">
        <f>100/115*I418</f>
        <v>0</v>
      </c>
      <c r="J419" s="114"/>
    </row>
    <row r="420" spans="2:12" s="1" customFormat="1" ht="12.75" x14ac:dyDescent="0.15"/>
    <row r="421" spans="2:12" s="1" customFormat="1" ht="12.75" x14ac:dyDescent="0.15"/>
    <row r="422" spans="2:12" s="1" customFormat="1" ht="12.75" x14ac:dyDescent="0.15"/>
    <row r="423" spans="2:12" s="1" customFormat="1" ht="12.75" x14ac:dyDescent="0.15"/>
    <row r="424" spans="2:12" s="247" customFormat="1" ht="32.25" x14ac:dyDescent="0.4">
      <c r="B424" s="248"/>
      <c r="C424" s="380" t="s">
        <v>112</v>
      </c>
      <c r="D424" s="380"/>
      <c r="E424" s="428" t="s">
        <v>101</v>
      </c>
      <c r="F424" s="428"/>
      <c r="G424" s="428"/>
      <c r="H424" s="428"/>
      <c r="I424" s="428"/>
      <c r="J424" s="382">
        <v>2026</v>
      </c>
      <c r="K424" s="382"/>
      <c r="L424" s="382"/>
    </row>
    <row r="425" spans="2:12" s="1" customFormat="1" ht="22.5" x14ac:dyDescent="0.15">
      <c r="B425" s="82"/>
      <c r="C425" s="102" t="s">
        <v>114</v>
      </c>
      <c r="D425" s="388" t="s">
        <v>115</v>
      </c>
      <c r="E425" s="388"/>
      <c r="F425" s="102" t="s">
        <v>116</v>
      </c>
      <c r="G425" s="102" t="s">
        <v>117</v>
      </c>
      <c r="H425" s="102" t="s">
        <v>118</v>
      </c>
      <c r="I425" s="102" t="s">
        <v>119</v>
      </c>
      <c r="J425" s="102" t="s">
        <v>120</v>
      </c>
      <c r="K425" s="82"/>
      <c r="L425" s="82"/>
    </row>
    <row r="426" spans="2:12" s="1" customFormat="1" ht="12.75" x14ac:dyDescent="0.15">
      <c r="B426" s="82"/>
      <c r="C426" s="66">
        <f>C356</f>
        <v>250</v>
      </c>
      <c r="D426" s="389">
        <v>21</v>
      </c>
      <c r="E426" s="389"/>
      <c r="F426" s="13">
        <f>F356</f>
        <v>0.75</v>
      </c>
      <c r="G426" s="14">
        <f>G356</f>
        <v>8</v>
      </c>
      <c r="H426" s="142">
        <f>D426*G426*F426</f>
        <v>126</v>
      </c>
      <c r="I426" s="66">
        <f>I488</f>
        <v>0</v>
      </c>
      <c r="J426" s="143">
        <f>H426-J488</f>
        <v>126</v>
      </c>
      <c r="K426" s="82"/>
      <c r="L426" s="82"/>
    </row>
    <row r="427" spans="2:12" s="1" customFormat="1" ht="33.75" x14ac:dyDescent="0.15">
      <c r="B427" s="84"/>
      <c r="C427" s="136" t="s">
        <v>121</v>
      </c>
      <c r="D427" s="414" t="s">
        <v>122</v>
      </c>
      <c r="E427" s="414"/>
      <c r="F427" s="137" t="s">
        <v>123</v>
      </c>
      <c r="G427" s="138" t="s">
        <v>124</v>
      </c>
      <c r="H427" s="139" t="s">
        <v>125</v>
      </c>
      <c r="I427" s="140" t="s">
        <v>126</v>
      </c>
      <c r="J427" s="138" t="s">
        <v>127</v>
      </c>
      <c r="K427" s="122" t="s">
        <v>128</v>
      </c>
      <c r="L427" s="123" t="s">
        <v>129</v>
      </c>
    </row>
    <row r="428" spans="2:12" s="1" customFormat="1" ht="12.75" x14ac:dyDescent="0.15">
      <c r="B428" s="16"/>
      <c r="C428" s="17"/>
      <c r="D428" s="405"/>
      <c r="E428" s="405"/>
      <c r="F428" s="36"/>
      <c r="G428" s="20"/>
      <c r="H428" s="20"/>
      <c r="I428" s="126"/>
      <c r="J428" s="21"/>
      <c r="K428" s="80"/>
      <c r="L428" s="82"/>
    </row>
    <row r="429" spans="2:12" s="1" customFormat="1" ht="12.95" customHeight="1" x14ac:dyDescent="0.15">
      <c r="B429" s="16"/>
      <c r="C429" s="411" t="s">
        <v>130</v>
      </c>
      <c r="D429" s="411"/>
      <c r="E429" s="411"/>
      <c r="F429" s="129"/>
      <c r="G429" s="20"/>
      <c r="H429" s="20"/>
      <c r="I429" s="126"/>
      <c r="J429" s="21"/>
      <c r="K429" s="80"/>
      <c r="L429" s="82"/>
    </row>
    <row r="430" spans="2:12" s="1" customFormat="1" ht="12.75" customHeight="1" x14ac:dyDescent="0.15">
      <c r="B430" s="16"/>
      <c r="C430" s="37" t="s">
        <v>149</v>
      </c>
      <c r="D430" s="24"/>
      <c r="E430" s="24"/>
      <c r="F430" s="129"/>
      <c r="G430" s="20"/>
      <c r="H430" s="20"/>
      <c r="I430" s="126"/>
      <c r="J430" s="38"/>
      <c r="K430" s="80"/>
      <c r="L430" s="82"/>
    </row>
    <row r="431" spans="2:12" s="1" customFormat="1" ht="12.75" x14ac:dyDescent="0.15">
      <c r="B431" s="16">
        <v>1</v>
      </c>
      <c r="C431" s="23"/>
      <c r="D431" s="24"/>
      <c r="E431" s="24"/>
      <c r="F431" s="129"/>
      <c r="G431" s="20"/>
      <c r="H431" s="20">
        <v>1</v>
      </c>
      <c r="I431" s="126">
        <f t="shared" ref="I431:I486" si="26">J431*$C$32</f>
        <v>0</v>
      </c>
      <c r="J431" s="38">
        <f t="shared" ref="J431:J450" si="27">(F431*G431*H431)/$C$32</f>
        <v>0</v>
      </c>
      <c r="K431" s="80"/>
      <c r="L431" s="82"/>
    </row>
    <row r="432" spans="2:12" s="1" customFormat="1" ht="12.75" customHeight="1" x14ac:dyDescent="0.15">
      <c r="B432" s="16">
        <v>2</v>
      </c>
      <c r="C432" s="23"/>
      <c r="D432" s="24"/>
      <c r="E432" s="24"/>
      <c r="F432" s="126"/>
      <c r="G432" s="20"/>
      <c r="H432" s="20">
        <v>1</v>
      </c>
      <c r="I432" s="126">
        <f t="shared" si="26"/>
        <v>0</v>
      </c>
      <c r="J432" s="38">
        <f t="shared" si="27"/>
        <v>0</v>
      </c>
      <c r="K432" s="80"/>
      <c r="L432" s="82"/>
    </row>
    <row r="433" spans="2:12" s="1" customFormat="1" ht="12.95" customHeight="1" x14ac:dyDescent="0.15">
      <c r="B433" s="16">
        <v>3</v>
      </c>
      <c r="C433" s="23"/>
      <c r="D433" s="25"/>
      <c r="E433" s="25"/>
      <c r="F433" s="129"/>
      <c r="G433" s="20"/>
      <c r="H433" s="20">
        <v>1</v>
      </c>
      <c r="I433" s="126">
        <f t="shared" si="26"/>
        <v>0</v>
      </c>
      <c r="J433" s="38">
        <f t="shared" si="27"/>
        <v>0</v>
      </c>
      <c r="K433" s="80"/>
      <c r="L433" s="82"/>
    </row>
    <row r="434" spans="2:12" s="1" customFormat="1" ht="12.95" customHeight="1" x14ac:dyDescent="0.15">
      <c r="B434" s="16">
        <v>4</v>
      </c>
      <c r="C434" s="23"/>
      <c r="D434" s="24"/>
      <c r="E434" s="24"/>
      <c r="F434" s="129"/>
      <c r="G434" s="20"/>
      <c r="H434" s="20">
        <v>1</v>
      </c>
      <c r="I434" s="126">
        <f t="shared" si="26"/>
        <v>0</v>
      </c>
      <c r="J434" s="38">
        <f t="shared" si="27"/>
        <v>0</v>
      </c>
      <c r="K434" s="80"/>
      <c r="L434" s="82"/>
    </row>
    <row r="435" spans="2:12" s="1" customFormat="1" ht="12.95" customHeight="1" x14ac:dyDescent="0.15">
      <c r="B435" s="16">
        <v>5</v>
      </c>
      <c r="C435" s="16"/>
      <c r="D435" s="18"/>
      <c r="E435" s="18"/>
      <c r="F435" s="129"/>
      <c r="G435" s="20"/>
      <c r="H435" s="20">
        <v>1</v>
      </c>
      <c r="I435" s="126">
        <f t="shared" si="26"/>
        <v>0</v>
      </c>
      <c r="J435" s="38">
        <f t="shared" si="27"/>
        <v>0</v>
      </c>
      <c r="K435" s="80"/>
      <c r="L435" s="82"/>
    </row>
    <row r="436" spans="2:12" s="1" customFormat="1" ht="12.95" customHeight="1" x14ac:dyDescent="0.15">
      <c r="B436" s="16">
        <v>6</v>
      </c>
      <c r="C436" s="17"/>
      <c r="D436" s="24"/>
      <c r="E436" s="24"/>
      <c r="F436" s="129"/>
      <c r="G436" s="20"/>
      <c r="H436" s="20">
        <v>1</v>
      </c>
      <c r="I436" s="126">
        <f t="shared" si="26"/>
        <v>0</v>
      </c>
      <c r="J436" s="38">
        <f t="shared" si="27"/>
        <v>0</v>
      </c>
      <c r="K436" s="80"/>
      <c r="L436" s="82"/>
    </row>
    <row r="437" spans="2:12" s="1" customFormat="1" ht="12.95" customHeight="1" x14ac:dyDescent="0.15">
      <c r="B437" s="16">
        <v>7</v>
      </c>
      <c r="C437" s="17"/>
      <c r="D437" s="24"/>
      <c r="E437" s="24"/>
      <c r="F437" s="129"/>
      <c r="G437" s="20"/>
      <c r="H437" s="20">
        <v>1</v>
      </c>
      <c r="I437" s="126">
        <f t="shared" si="26"/>
        <v>0</v>
      </c>
      <c r="J437" s="38">
        <f t="shared" si="27"/>
        <v>0</v>
      </c>
      <c r="K437" s="80"/>
      <c r="L437" s="82"/>
    </row>
    <row r="438" spans="2:12" s="1" customFormat="1" ht="12.95" customHeight="1" x14ac:dyDescent="0.15">
      <c r="B438" s="16">
        <v>8</v>
      </c>
      <c r="C438" s="17"/>
      <c r="D438" s="24"/>
      <c r="E438" s="24"/>
      <c r="F438" s="129"/>
      <c r="G438" s="20"/>
      <c r="H438" s="20">
        <v>1</v>
      </c>
      <c r="I438" s="126">
        <f t="shared" si="26"/>
        <v>0</v>
      </c>
      <c r="J438" s="38">
        <f t="shared" si="27"/>
        <v>0</v>
      </c>
      <c r="K438" s="80"/>
      <c r="L438" s="82"/>
    </row>
    <row r="439" spans="2:12" s="1" customFormat="1" ht="12.95" customHeight="1" x14ac:dyDescent="0.15">
      <c r="B439" s="16">
        <v>9</v>
      </c>
      <c r="C439" s="17"/>
      <c r="D439" s="24"/>
      <c r="E439" s="24"/>
      <c r="F439" s="129"/>
      <c r="G439" s="20"/>
      <c r="H439" s="20">
        <v>1</v>
      </c>
      <c r="I439" s="126">
        <f t="shared" si="26"/>
        <v>0</v>
      </c>
      <c r="J439" s="38">
        <f t="shared" si="27"/>
        <v>0</v>
      </c>
      <c r="K439" s="80"/>
      <c r="L439" s="82"/>
    </row>
    <row r="440" spans="2:12" s="1" customFormat="1" ht="12.95" customHeight="1" x14ac:dyDescent="0.15">
      <c r="B440" s="16">
        <v>10</v>
      </c>
      <c r="C440" s="17"/>
      <c r="D440" s="24"/>
      <c r="E440" s="24"/>
      <c r="F440" s="129"/>
      <c r="G440" s="20"/>
      <c r="H440" s="20">
        <v>1</v>
      </c>
      <c r="I440" s="126">
        <f t="shared" si="26"/>
        <v>0</v>
      </c>
      <c r="J440" s="38">
        <f t="shared" si="27"/>
        <v>0</v>
      </c>
      <c r="K440" s="80"/>
      <c r="L440" s="82"/>
    </row>
    <row r="441" spans="2:12" s="1" customFormat="1" ht="12.95" customHeight="1" x14ac:dyDescent="0.15">
      <c r="B441" s="16"/>
      <c r="C441" s="17"/>
      <c r="D441" s="24"/>
      <c r="E441" s="24"/>
      <c r="F441" s="129"/>
      <c r="G441" s="20"/>
      <c r="H441" s="20"/>
      <c r="I441" s="126"/>
      <c r="J441" s="38"/>
      <c r="K441" s="80"/>
      <c r="L441" s="82"/>
    </row>
    <row r="442" spans="2:12" s="1" customFormat="1" ht="12.95" customHeight="1" x14ac:dyDescent="0.15">
      <c r="B442" s="16"/>
      <c r="C442" s="17"/>
      <c r="D442" s="24"/>
      <c r="E442" s="24"/>
      <c r="F442" s="129"/>
      <c r="G442" s="20"/>
      <c r="H442" s="20"/>
      <c r="I442" s="126"/>
      <c r="J442" s="38"/>
      <c r="K442" s="80"/>
      <c r="L442" s="82"/>
    </row>
    <row r="443" spans="2:12" s="1" customFormat="1" ht="12.95" customHeight="1" x14ac:dyDescent="0.15">
      <c r="B443" s="16"/>
      <c r="C443" s="22" t="s">
        <v>153</v>
      </c>
      <c r="D443" s="24"/>
      <c r="E443" s="24"/>
      <c r="F443" s="129"/>
      <c r="G443" s="20"/>
      <c r="H443" s="20"/>
      <c r="I443" s="126"/>
      <c r="J443" s="38"/>
      <c r="K443" s="80"/>
      <c r="L443" s="82"/>
    </row>
    <row r="444" spans="2:12" s="1" customFormat="1" ht="12.95" customHeight="1" x14ac:dyDescent="0.15">
      <c r="B444" s="16">
        <v>1</v>
      </c>
      <c r="C444" s="17"/>
      <c r="D444" s="18"/>
      <c r="E444" s="24"/>
      <c r="F444" s="129"/>
      <c r="G444" s="20"/>
      <c r="H444" s="20">
        <v>1</v>
      </c>
      <c r="I444" s="126">
        <f t="shared" si="26"/>
        <v>0</v>
      </c>
      <c r="J444" s="38">
        <f t="shared" si="27"/>
        <v>0</v>
      </c>
      <c r="K444" s="80"/>
      <c r="L444" s="82"/>
    </row>
    <row r="445" spans="2:12" s="1" customFormat="1" ht="12.95" customHeight="1" x14ac:dyDescent="0.15">
      <c r="B445" s="16">
        <v>2</v>
      </c>
      <c r="C445" s="17"/>
      <c r="D445" s="18"/>
      <c r="E445" s="24"/>
      <c r="F445" s="129"/>
      <c r="G445" s="20"/>
      <c r="H445" s="20">
        <v>1</v>
      </c>
      <c r="I445" s="126">
        <f t="shared" si="26"/>
        <v>0</v>
      </c>
      <c r="J445" s="38">
        <f t="shared" si="27"/>
        <v>0</v>
      </c>
      <c r="K445" s="80"/>
      <c r="L445" s="82"/>
    </row>
    <row r="446" spans="2:12" s="1" customFormat="1" ht="12.95" customHeight="1" x14ac:dyDescent="0.15">
      <c r="B446" s="16">
        <v>3</v>
      </c>
      <c r="C446" s="17"/>
      <c r="D446" s="24"/>
      <c r="E446" s="18"/>
      <c r="F446" s="129"/>
      <c r="G446" s="20"/>
      <c r="H446" s="20">
        <v>1</v>
      </c>
      <c r="I446" s="126">
        <f t="shared" si="26"/>
        <v>0</v>
      </c>
      <c r="J446" s="38">
        <f t="shared" si="27"/>
        <v>0</v>
      </c>
      <c r="K446" s="80"/>
      <c r="L446" s="82"/>
    </row>
    <row r="447" spans="2:12" s="4" customFormat="1" ht="12.95" customHeight="1" x14ac:dyDescent="0.15">
      <c r="B447" s="26">
        <v>4</v>
      </c>
      <c r="C447" s="23"/>
      <c r="D447" s="48"/>
      <c r="E447" s="49"/>
      <c r="F447" s="126"/>
      <c r="G447" s="50"/>
      <c r="H447" s="50">
        <v>1</v>
      </c>
      <c r="I447" s="126">
        <f t="shared" si="26"/>
        <v>0</v>
      </c>
      <c r="J447" s="38">
        <f t="shared" si="27"/>
        <v>0</v>
      </c>
      <c r="K447" s="108"/>
      <c r="L447" s="113"/>
    </row>
    <row r="448" spans="2:12" s="1" customFormat="1" ht="12.95" customHeight="1" x14ac:dyDescent="0.15">
      <c r="B448" s="16">
        <v>5</v>
      </c>
      <c r="C448" s="17"/>
      <c r="D448" s="24"/>
      <c r="E448" s="18"/>
      <c r="F448" s="129"/>
      <c r="G448" s="20"/>
      <c r="H448" s="20">
        <v>1</v>
      </c>
      <c r="I448" s="126">
        <f t="shared" si="26"/>
        <v>0</v>
      </c>
      <c r="J448" s="38">
        <f t="shared" si="27"/>
        <v>0</v>
      </c>
      <c r="K448" s="80"/>
      <c r="L448" s="82"/>
    </row>
    <row r="449" spans="2:20" s="1" customFormat="1" ht="12.95" customHeight="1" x14ac:dyDescent="0.15">
      <c r="B449" s="16">
        <v>6</v>
      </c>
      <c r="C449" s="17"/>
      <c r="D449" s="24"/>
      <c r="E449" s="18"/>
      <c r="F449" s="129"/>
      <c r="G449" s="20"/>
      <c r="H449" s="20">
        <v>1</v>
      </c>
      <c r="I449" s="126">
        <f t="shared" si="26"/>
        <v>0</v>
      </c>
      <c r="J449" s="38">
        <f t="shared" si="27"/>
        <v>0</v>
      </c>
      <c r="K449" s="80"/>
      <c r="L449" s="82"/>
    </row>
    <row r="450" spans="2:20" s="1" customFormat="1" ht="12.95" customHeight="1" x14ac:dyDescent="0.15">
      <c r="B450" s="16">
        <v>7</v>
      </c>
      <c r="C450" s="17"/>
      <c r="D450" s="24"/>
      <c r="E450" s="24"/>
      <c r="F450" s="129"/>
      <c r="G450" s="20"/>
      <c r="H450" s="20">
        <v>1</v>
      </c>
      <c r="I450" s="126">
        <f t="shared" si="26"/>
        <v>0</v>
      </c>
      <c r="J450" s="38">
        <f t="shared" si="27"/>
        <v>0</v>
      </c>
      <c r="K450" s="80"/>
      <c r="L450" s="82"/>
    </row>
    <row r="451" spans="2:20" s="1" customFormat="1" ht="12.95" customHeight="1" x14ac:dyDescent="0.15">
      <c r="B451" s="16">
        <v>8</v>
      </c>
      <c r="C451" s="17"/>
      <c r="D451" s="24"/>
      <c r="E451" s="24"/>
      <c r="F451" s="129"/>
      <c r="G451" s="20"/>
      <c r="H451" s="20">
        <v>1</v>
      </c>
      <c r="I451" s="126">
        <f t="shared" si="26"/>
        <v>0</v>
      </c>
      <c r="J451" s="38">
        <f>(F451*G451*H451)/$C$32</f>
        <v>0</v>
      </c>
      <c r="K451" s="80"/>
      <c r="L451" s="82"/>
    </row>
    <row r="452" spans="2:20" s="1" customFormat="1" ht="14.85" customHeight="1" x14ac:dyDescent="0.15">
      <c r="B452" s="16">
        <v>9</v>
      </c>
      <c r="C452" s="17"/>
      <c r="D452" s="24"/>
      <c r="E452" s="24"/>
      <c r="F452" s="129"/>
      <c r="G452" s="20"/>
      <c r="H452" s="20">
        <v>1</v>
      </c>
      <c r="I452" s="126">
        <f t="shared" si="26"/>
        <v>0</v>
      </c>
      <c r="J452" s="38">
        <f>(F452*G452*H452)/$C$32</f>
        <v>0</v>
      </c>
      <c r="K452" s="80"/>
      <c r="L452" s="82"/>
    </row>
    <row r="453" spans="2:20" s="1" customFormat="1" ht="12.95" customHeight="1" x14ac:dyDescent="0.15">
      <c r="B453" s="16">
        <v>10</v>
      </c>
      <c r="C453" s="17"/>
      <c r="D453" s="24"/>
      <c r="E453" s="24"/>
      <c r="F453" s="129"/>
      <c r="G453" s="20"/>
      <c r="H453" s="20">
        <v>1</v>
      </c>
      <c r="I453" s="126">
        <f t="shared" si="26"/>
        <v>0</v>
      </c>
      <c r="J453" s="38">
        <f t="shared" ref="J453:J486" si="28">(F453*G453*H453)/$C$32</f>
        <v>0</v>
      </c>
      <c r="K453" s="80"/>
      <c r="L453" s="82"/>
      <c r="M453" s="39"/>
      <c r="N453" s="40"/>
      <c r="O453" s="40"/>
    </row>
    <row r="454" spans="2:20" s="1" customFormat="1" ht="12.95" customHeight="1" x14ac:dyDescent="0.15">
      <c r="B454" s="16">
        <v>11</v>
      </c>
      <c r="C454" s="17"/>
      <c r="D454" s="24"/>
      <c r="E454" s="24"/>
      <c r="F454" s="129"/>
      <c r="G454" s="20"/>
      <c r="H454" s="20">
        <v>1</v>
      </c>
      <c r="I454" s="126">
        <f t="shared" si="26"/>
        <v>0</v>
      </c>
      <c r="J454" s="38">
        <f t="shared" si="28"/>
        <v>0</v>
      </c>
      <c r="K454" s="80"/>
      <c r="L454" s="82"/>
    </row>
    <row r="455" spans="2:20" s="1" customFormat="1" ht="12.95" customHeight="1" x14ac:dyDescent="0.15">
      <c r="B455" s="16">
        <v>12</v>
      </c>
      <c r="C455" s="17"/>
      <c r="D455" s="24"/>
      <c r="E455" s="24"/>
      <c r="F455" s="129"/>
      <c r="G455" s="20"/>
      <c r="H455" s="20">
        <v>1</v>
      </c>
      <c r="I455" s="126">
        <f t="shared" si="26"/>
        <v>0</v>
      </c>
      <c r="J455" s="38">
        <f t="shared" si="28"/>
        <v>0</v>
      </c>
      <c r="K455" s="80"/>
      <c r="L455" s="82"/>
    </row>
    <row r="456" spans="2:20" s="1" customFormat="1" ht="12.95" customHeight="1" x14ac:dyDescent="0.15">
      <c r="B456" s="16">
        <v>13</v>
      </c>
      <c r="C456" s="17"/>
      <c r="D456" s="24"/>
      <c r="E456" s="24"/>
      <c r="F456" s="130"/>
      <c r="G456" s="20"/>
      <c r="H456" s="20">
        <v>1</v>
      </c>
      <c r="I456" s="126">
        <f t="shared" si="26"/>
        <v>0</v>
      </c>
      <c r="J456" s="38">
        <f t="shared" si="28"/>
        <v>0</v>
      </c>
      <c r="K456" s="80"/>
      <c r="L456" s="82"/>
    </row>
    <row r="457" spans="2:20" s="1" customFormat="1" ht="12.95" customHeight="1" x14ac:dyDescent="0.15">
      <c r="B457" s="16">
        <v>14</v>
      </c>
      <c r="C457" s="17"/>
      <c r="D457" s="24"/>
      <c r="E457" s="24"/>
      <c r="F457" s="129"/>
      <c r="G457" s="20"/>
      <c r="H457" s="20">
        <v>1</v>
      </c>
      <c r="I457" s="126">
        <f t="shared" si="26"/>
        <v>0</v>
      </c>
      <c r="J457" s="38">
        <f t="shared" si="28"/>
        <v>0</v>
      </c>
      <c r="K457" s="80"/>
      <c r="L457" s="82"/>
    </row>
    <row r="458" spans="2:20" s="1" customFormat="1" ht="12.95" customHeight="1" x14ac:dyDescent="0.15">
      <c r="B458" s="16">
        <v>15</v>
      </c>
      <c r="C458" s="17"/>
      <c r="D458" s="24"/>
      <c r="E458" s="24"/>
      <c r="F458" s="129"/>
      <c r="G458" s="20"/>
      <c r="H458" s="20">
        <v>1</v>
      </c>
      <c r="I458" s="126">
        <f t="shared" si="26"/>
        <v>0</v>
      </c>
      <c r="J458" s="38">
        <f t="shared" si="28"/>
        <v>0</v>
      </c>
      <c r="K458" s="80"/>
      <c r="L458" s="82"/>
    </row>
    <row r="459" spans="2:20" s="1" customFormat="1" ht="12.95" customHeight="1" x14ac:dyDescent="0.15">
      <c r="B459" s="16">
        <v>16</v>
      </c>
      <c r="C459" s="17"/>
      <c r="D459" s="24"/>
      <c r="E459" s="24"/>
      <c r="F459" s="129"/>
      <c r="G459" s="20"/>
      <c r="H459" s="20">
        <v>1</v>
      </c>
      <c r="I459" s="126">
        <f t="shared" si="26"/>
        <v>0</v>
      </c>
      <c r="J459" s="38">
        <f t="shared" si="28"/>
        <v>0</v>
      </c>
      <c r="K459" s="80"/>
      <c r="L459" s="82"/>
    </row>
    <row r="460" spans="2:20" s="1" customFormat="1" ht="12.95" customHeight="1" x14ac:dyDescent="0.15">
      <c r="B460" s="16">
        <v>17</v>
      </c>
      <c r="C460" s="17"/>
      <c r="D460" s="24"/>
      <c r="E460" s="24"/>
      <c r="F460" s="129"/>
      <c r="G460" s="20"/>
      <c r="H460" s="20">
        <v>1</v>
      </c>
      <c r="I460" s="126">
        <f t="shared" si="26"/>
        <v>0</v>
      </c>
      <c r="J460" s="38">
        <f t="shared" si="28"/>
        <v>0</v>
      </c>
      <c r="K460" s="80"/>
      <c r="L460" s="82"/>
    </row>
    <row r="461" spans="2:20" s="1" customFormat="1" ht="12.95" customHeight="1" x14ac:dyDescent="0.15">
      <c r="B461" s="16">
        <v>18</v>
      </c>
      <c r="C461" s="17"/>
      <c r="D461" s="24"/>
      <c r="E461" s="24"/>
      <c r="F461" s="129"/>
      <c r="G461" s="20"/>
      <c r="H461" s="20">
        <v>1</v>
      </c>
      <c r="I461" s="126">
        <f t="shared" si="26"/>
        <v>0</v>
      </c>
      <c r="J461" s="38">
        <f t="shared" si="28"/>
        <v>0</v>
      </c>
      <c r="K461" s="80"/>
      <c r="L461" s="82"/>
    </row>
    <row r="462" spans="2:20" s="1" customFormat="1" ht="12.95" customHeight="1" x14ac:dyDescent="0.15">
      <c r="B462" s="16">
        <v>19</v>
      </c>
      <c r="C462" s="17"/>
      <c r="D462" s="18"/>
      <c r="E462" s="18"/>
      <c r="F462" s="129"/>
      <c r="G462" s="20"/>
      <c r="H462" s="20">
        <v>1</v>
      </c>
      <c r="I462" s="126">
        <f t="shared" si="26"/>
        <v>0</v>
      </c>
      <c r="J462" s="21">
        <f t="shared" si="28"/>
        <v>0</v>
      </c>
      <c r="K462" s="80"/>
      <c r="L462" s="82"/>
      <c r="M462" s="10"/>
      <c r="N462" s="10"/>
      <c r="O462" s="10"/>
      <c r="P462" s="10"/>
      <c r="Q462" s="43"/>
      <c r="R462" s="10"/>
      <c r="T462" s="10"/>
    </row>
    <row r="463" spans="2:20" s="1" customFormat="1" ht="12.95" customHeight="1" x14ac:dyDescent="0.15">
      <c r="B463" s="16">
        <v>20</v>
      </c>
      <c r="C463" s="17"/>
      <c r="D463" s="18"/>
      <c r="E463" s="18"/>
      <c r="F463" s="129"/>
      <c r="G463" s="20"/>
      <c r="H463" s="20">
        <v>1</v>
      </c>
      <c r="I463" s="126">
        <f t="shared" si="26"/>
        <v>0</v>
      </c>
      <c r="J463" s="21">
        <f t="shared" si="28"/>
        <v>0</v>
      </c>
      <c r="K463" s="80"/>
      <c r="L463" s="82"/>
      <c r="M463" s="10"/>
      <c r="N463" s="10"/>
      <c r="O463" s="10"/>
      <c r="P463" s="10"/>
      <c r="Q463" s="43"/>
      <c r="R463" s="10"/>
      <c r="T463" s="10"/>
    </row>
    <row r="464" spans="2:20" s="1" customFormat="1" ht="12.95" customHeight="1" x14ac:dyDescent="0.15">
      <c r="B464" s="16"/>
      <c r="C464" s="17"/>
      <c r="D464" s="18"/>
      <c r="E464" s="18"/>
      <c r="F464" s="129"/>
      <c r="G464" s="20"/>
      <c r="H464" s="20"/>
      <c r="I464" s="126"/>
      <c r="J464" s="21"/>
      <c r="K464" s="80"/>
      <c r="L464" s="82"/>
      <c r="M464" s="10"/>
      <c r="N464" s="10"/>
      <c r="O464" s="10"/>
      <c r="P464" s="10"/>
      <c r="Q464" s="43"/>
      <c r="R464" s="10"/>
      <c r="T464" s="10"/>
    </row>
    <row r="465" spans="2:20" s="1" customFormat="1" ht="12.95" customHeight="1" x14ac:dyDescent="0.15">
      <c r="B465" s="16"/>
      <c r="C465" s="17"/>
      <c r="D465" s="18"/>
      <c r="E465" s="18"/>
      <c r="F465" s="129"/>
      <c r="G465" s="20"/>
      <c r="H465" s="20"/>
      <c r="I465" s="126"/>
      <c r="J465" s="21"/>
      <c r="K465" s="80"/>
      <c r="L465" s="82"/>
      <c r="M465" s="10"/>
      <c r="N465" s="10"/>
      <c r="O465" s="10"/>
      <c r="P465" s="10"/>
      <c r="Q465" s="43"/>
      <c r="R465" s="10"/>
      <c r="T465" s="10"/>
    </row>
    <row r="466" spans="2:20" s="1" customFormat="1" ht="12.95" customHeight="1" x14ac:dyDescent="0.15">
      <c r="B466" s="16"/>
      <c r="C466" s="22" t="s">
        <v>160</v>
      </c>
      <c r="D466" s="18"/>
      <c r="E466" s="18"/>
      <c r="F466" s="129"/>
      <c r="G466" s="20"/>
      <c r="H466" s="20"/>
      <c r="I466" s="126"/>
      <c r="J466" s="21"/>
      <c r="K466" s="80"/>
      <c r="L466" s="82"/>
      <c r="M466" s="10"/>
      <c r="N466" s="10"/>
      <c r="O466" s="10"/>
      <c r="P466" s="10"/>
      <c r="Q466" s="43"/>
      <c r="R466" s="10"/>
      <c r="T466" s="10"/>
    </row>
    <row r="467" spans="2:20" s="1" customFormat="1" ht="12.95" customHeight="1" x14ac:dyDescent="0.15">
      <c r="B467" s="16">
        <v>1</v>
      </c>
      <c r="C467" s="22"/>
      <c r="D467" s="18"/>
      <c r="E467" s="18"/>
      <c r="F467" s="129"/>
      <c r="G467" s="20"/>
      <c r="H467" s="20">
        <v>1</v>
      </c>
      <c r="I467" s="126">
        <f t="shared" si="26"/>
        <v>0</v>
      </c>
      <c r="J467" s="21">
        <f t="shared" si="28"/>
        <v>0</v>
      </c>
      <c r="K467" s="80"/>
      <c r="L467" s="82"/>
      <c r="M467" s="10"/>
      <c r="N467" s="10"/>
      <c r="O467" s="10"/>
      <c r="P467" s="10"/>
      <c r="Q467" s="43"/>
      <c r="R467" s="10"/>
      <c r="T467" s="10"/>
    </row>
    <row r="468" spans="2:20" s="1" customFormat="1" ht="12.95" customHeight="1" x14ac:dyDescent="0.15">
      <c r="B468" s="16">
        <v>2</v>
      </c>
      <c r="C468" s="22"/>
      <c r="D468" s="18"/>
      <c r="E468" s="18"/>
      <c r="F468" s="129"/>
      <c r="G468" s="20"/>
      <c r="H468" s="20">
        <v>1</v>
      </c>
      <c r="I468" s="126">
        <f t="shared" si="26"/>
        <v>0</v>
      </c>
      <c r="J468" s="21">
        <f t="shared" si="28"/>
        <v>0</v>
      </c>
      <c r="K468" s="80"/>
      <c r="L468" s="82"/>
      <c r="M468" s="10"/>
      <c r="N468" s="10"/>
      <c r="O468" s="10"/>
      <c r="P468" s="10"/>
      <c r="Q468" s="43"/>
      <c r="R468" s="10"/>
      <c r="T468" s="10"/>
    </row>
    <row r="469" spans="2:20" s="1" customFormat="1" ht="12.95" customHeight="1" x14ac:dyDescent="0.15">
      <c r="B469" s="16">
        <v>3</v>
      </c>
      <c r="C469" s="22"/>
      <c r="D469" s="18"/>
      <c r="E469" s="18"/>
      <c r="F469" s="129"/>
      <c r="G469" s="20"/>
      <c r="H469" s="20">
        <v>1</v>
      </c>
      <c r="I469" s="126">
        <f t="shared" si="26"/>
        <v>0</v>
      </c>
      <c r="J469" s="21">
        <f t="shared" si="28"/>
        <v>0</v>
      </c>
      <c r="K469" s="80"/>
      <c r="L469" s="82"/>
      <c r="M469" s="10"/>
      <c r="N469" s="10"/>
      <c r="O469" s="10"/>
      <c r="P469" s="10"/>
      <c r="Q469" s="43"/>
      <c r="R469" s="10"/>
      <c r="T469" s="10"/>
    </row>
    <row r="470" spans="2:20" s="1" customFormat="1" ht="12.95" customHeight="1" x14ac:dyDescent="0.15">
      <c r="B470" s="16">
        <v>4</v>
      </c>
      <c r="C470" s="22"/>
      <c r="D470" s="18"/>
      <c r="E470" s="18"/>
      <c r="F470" s="129"/>
      <c r="G470" s="20"/>
      <c r="H470" s="20">
        <v>1</v>
      </c>
      <c r="I470" s="126">
        <f t="shared" si="26"/>
        <v>0</v>
      </c>
      <c r="J470" s="21">
        <f t="shared" si="28"/>
        <v>0</v>
      </c>
      <c r="K470" s="80"/>
      <c r="L470" s="82"/>
      <c r="M470" s="10"/>
      <c r="N470" s="10"/>
      <c r="O470" s="10"/>
      <c r="P470" s="10"/>
      <c r="Q470" s="43"/>
      <c r="R470" s="10"/>
      <c r="T470" s="10"/>
    </row>
    <row r="471" spans="2:20" s="1" customFormat="1" ht="12.95" customHeight="1" x14ac:dyDescent="0.15">
      <c r="B471" s="16">
        <v>5</v>
      </c>
      <c r="C471" s="22"/>
      <c r="D471" s="18"/>
      <c r="E471" s="18"/>
      <c r="F471" s="129"/>
      <c r="G471" s="20"/>
      <c r="H471" s="20">
        <v>1</v>
      </c>
      <c r="I471" s="126">
        <f t="shared" si="26"/>
        <v>0</v>
      </c>
      <c r="J471" s="21">
        <f t="shared" si="28"/>
        <v>0</v>
      </c>
      <c r="K471" s="80"/>
      <c r="L471" s="82"/>
      <c r="M471" s="10"/>
      <c r="N471" s="10"/>
      <c r="O471" s="10"/>
      <c r="P471" s="10"/>
      <c r="Q471" s="43"/>
      <c r="R471" s="10"/>
      <c r="T471" s="10"/>
    </row>
    <row r="472" spans="2:20" s="1" customFormat="1" ht="12.95" customHeight="1" x14ac:dyDescent="0.15">
      <c r="B472" s="16">
        <v>6</v>
      </c>
      <c r="C472" s="22"/>
      <c r="D472" s="18"/>
      <c r="E472" s="18"/>
      <c r="F472" s="129"/>
      <c r="G472" s="20"/>
      <c r="H472" s="20">
        <v>1</v>
      </c>
      <c r="I472" s="126">
        <f t="shared" si="26"/>
        <v>0</v>
      </c>
      <c r="J472" s="21">
        <f t="shared" si="28"/>
        <v>0</v>
      </c>
      <c r="K472" s="80"/>
      <c r="L472" s="82"/>
      <c r="M472" s="10"/>
      <c r="N472" s="10"/>
      <c r="O472" s="10"/>
      <c r="P472" s="10"/>
      <c r="Q472" s="43"/>
      <c r="R472" s="10"/>
      <c r="T472" s="10"/>
    </row>
    <row r="473" spans="2:20" s="1" customFormat="1" ht="12.95" customHeight="1" x14ac:dyDescent="0.15">
      <c r="B473" s="16">
        <v>7</v>
      </c>
      <c r="C473" s="22"/>
      <c r="D473" s="18"/>
      <c r="E473" s="18"/>
      <c r="F473" s="129"/>
      <c r="G473" s="20"/>
      <c r="H473" s="20">
        <v>1</v>
      </c>
      <c r="I473" s="126">
        <f t="shared" si="26"/>
        <v>0</v>
      </c>
      <c r="J473" s="21">
        <f t="shared" si="28"/>
        <v>0</v>
      </c>
      <c r="K473" s="80"/>
      <c r="L473" s="82"/>
      <c r="M473" s="10"/>
      <c r="N473" s="10"/>
      <c r="O473" s="10"/>
      <c r="P473" s="10"/>
      <c r="Q473" s="43"/>
      <c r="R473" s="10"/>
      <c r="T473" s="10"/>
    </row>
    <row r="474" spans="2:20" s="1" customFormat="1" ht="12.95" customHeight="1" x14ac:dyDescent="0.15">
      <c r="B474" s="16">
        <v>8</v>
      </c>
      <c r="C474" s="22"/>
      <c r="D474" s="18"/>
      <c r="E474" s="18"/>
      <c r="F474" s="129"/>
      <c r="G474" s="20"/>
      <c r="H474" s="20">
        <v>1</v>
      </c>
      <c r="I474" s="126">
        <f t="shared" si="26"/>
        <v>0</v>
      </c>
      <c r="J474" s="21">
        <f t="shared" si="28"/>
        <v>0</v>
      </c>
      <c r="K474" s="80"/>
      <c r="L474" s="82"/>
      <c r="M474" s="10"/>
      <c r="N474" s="10"/>
      <c r="O474" s="10"/>
      <c r="P474" s="10"/>
      <c r="Q474" s="43"/>
      <c r="R474" s="10"/>
      <c r="T474" s="10"/>
    </row>
    <row r="475" spans="2:20" s="1" customFormat="1" ht="12.95" customHeight="1" x14ac:dyDescent="0.15">
      <c r="B475" s="16">
        <v>9</v>
      </c>
      <c r="C475" s="22"/>
      <c r="D475" s="18"/>
      <c r="E475" s="18"/>
      <c r="F475" s="129"/>
      <c r="G475" s="20"/>
      <c r="H475" s="20">
        <v>1</v>
      </c>
      <c r="I475" s="126">
        <f t="shared" si="26"/>
        <v>0</v>
      </c>
      <c r="J475" s="21">
        <f t="shared" si="28"/>
        <v>0</v>
      </c>
      <c r="K475" s="80"/>
      <c r="L475" s="82"/>
      <c r="M475" s="10"/>
      <c r="N475" s="10"/>
      <c r="O475" s="10"/>
      <c r="P475" s="10"/>
      <c r="Q475" s="43"/>
      <c r="R475" s="10"/>
      <c r="T475" s="10"/>
    </row>
    <row r="476" spans="2:20" s="1" customFormat="1" ht="12.95" customHeight="1" x14ac:dyDescent="0.15">
      <c r="B476" s="16">
        <v>10</v>
      </c>
      <c r="C476" s="22"/>
      <c r="D476" s="18"/>
      <c r="E476" s="18"/>
      <c r="F476" s="129"/>
      <c r="G476" s="20"/>
      <c r="H476" s="20">
        <v>1</v>
      </c>
      <c r="I476" s="126">
        <f t="shared" si="26"/>
        <v>0</v>
      </c>
      <c r="J476" s="21">
        <f t="shared" si="28"/>
        <v>0</v>
      </c>
      <c r="K476" s="80"/>
      <c r="L476" s="82"/>
      <c r="M476" s="10"/>
      <c r="N476" s="10"/>
      <c r="O476" s="10"/>
      <c r="P476" s="10"/>
      <c r="Q476" s="43"/>
      <c r="R476" s="10"/>
      <c r="T476" s="10"/>
    </row>
    <row r="477" spans="2:20" s="1" customFormat="1" ht="12.95" customHeight="1" x14ac:dyDescent="0.15">
      <c r="B477" s="16">
        <v>11</v>
      </c>
      <c r="C477" s="22"/>
      <c r="D477" s="18"/>
      <c r="E477" s="18"/>
      <c r="F477" s="129"/>
      <c r="G477" s="20"/>
      <c r="H477" s="20">
        <v>1</v>
      </c>
      <c r="I477" s="126">
        <f t="shared" si="26"/>
        <v>0</v>
      </c>
      <c r="J477" s="21">
        <f t="shared" si="28"/>
        <v>0</v>
      </c>
      <c r="K477" s="80"/>
      <c r="L477" s="82"/>
      <c r="M477" s="10"/>
      <c r="N477" s="10"/>
      <c r="O477" s="10"/>
      <c r="P477" s="10"/>
      <c r="Q477" s="43"/>
      <c r="R477" s="10"/>
      <c r="T477" s="10"/>
    </row>
    <row r="478" spans="2:20" s="1" customFormat="1" ht="12.95" customHeight="1" x14ac:dyDescent="0.2">
      <c r="B478" s="16">
        <v>12</v>
      </c>
      <c r="C478" s="45"/>
      <c r="D478" s="18"/>
      <c r="E478" s="18"/>
      <c r="F478" s="51"/>
      <c r="G478" s="20"/>
      <c r="H478" s="20">
        <v>1</v>
      </c>
      <c r="I478" s="126">
        <f t="shared" si="26"/>
        <v>0</v>
      </c>
      <c r="J478" s="21">
        <f t="shared" si="28"/>
        <v>0</v>
      </c>
      <c r="K478" s="80"/>
      <c r="L478" s="82"/>
      <c r="N478" s="10"/>
      <c r="O478" s="10"/>
      <c r="P478" s="10"/>
      <c r="Q478" s="43"/>
      <c r="R478" s="10"/>
      <c r="T478" s="10"/>
    </row>
    <row r="479" spans="2:20" s="1" customFormat="1" ht="12.95" customHeight="1" x14ac:dyDescent="0.2">
      <c r="B479" s="16">
        <v>13</v>
      </c>
      <c r="C479" s="45"/>
      <c r="D479" s="18"/>
      <c r="E479" s="18"/>
      <c r="F479" s="51"/>
      <c r="G479" s="20"/>
      <c r="H479" s="20">
        <v>1</v>
      </c>
      <c r="I479" s="126">
        <f t="shared" si="26"/>
        <v>0</v>
      </c>
      <c r="J479" s="21">
        <f t="shared" si="28"/>
        <v>0</v>
      </c>
      <c r="K479" s="80"/>
      <c r="L479" s="82"/>
      <c r="N479" s="10"/>
      <c r="O479" s="10"/>
      <c r="P479" s="10"/>
      <c r="Q479" s="43"/>
      <c r="R479" s="10"/>
      <c r="T479" s="10"/>
    </row>
    <row r="480" spans="2:20" s="1" customFormat="1" ht="12.95" customHeight="1" x14ac:dyDescent="0.2">
      <c r="B480" s="16">
        <v>14</v>
      </c>
      <c r="C480" s="45"/>
      <c r="D480" s="18"/>
      <c r="E480" s="18"/>
      <c r="F480" s="51"/>
      <c r="G480" s="20"/>
      <c r="H480" s="20">
        <v>1</v>
      </c>
      <c r="I480" s="126">
        <f t="shared" si="26"/>
        <v>0</v>
      </c>
      <c r="J480" s="21">
        <f t="shared" si="28"/>
        <v>0</v>
      </c>
      <c r="K480" s="80"/>
      <c r="L480" s="82"/>
      <c r="N480" s="10"/>
      <c r="O480" s="10"/>
      <c r="P480" s="10"/>
      <c r="Q480" s="43"/>
      <c r="R480" s="10"/>
      <c r="T480" s="10"/>
    </row>
    <row r="481" spans="2:20" s="1" customFormat="1" ht="12.95" customHeight="1" x14ac:dyDescent="0.2">
      <c r="B481" s="16">
        <v>15</v>
      </c>
      <c r="C481" s="45"/>
      <c r="D481" s="18"/>
      <c r="E481" s="18"/>
      <c r="F481" s="51"/>
      <c r="G481" s="20"/>
      <c r="H481" s="20">
        <v>1</v>
      </c>
      <c r="I481" s="126">
        <f t="shared" si="26"/>
        <v>0</v>
      </c>
      <c r="J481" s="21">
        <f t="shared" si="28"/>
        <v>0</v>
      </c>
      <c r="K481" s="80"/>
      <c r="L481" s="82"/>
      <c r="N481" s="10"/>
      <c r="O481" s="10"/>
      <c r="P481" s="10"/>
      <c r="Q481" s="43"/>
      <c r="R481" s="10"/>
      <c r="T481" s="10"/>
    </row>
    <row r="482" spans="2:20" s="1" customFormat="1" ht="12.95" customHeight="1" x14ac:dyDescent="0.2">
      <c r="B482" s="16">
        <v>16</v>
      </c>
      <c r="C482" s="45"/>
      <c r="D482" s="18"/>
      <c r="E482" s="18"/>
      <c r="F482" s="51"/>
      <c r="G482" s="20"/>
      <c r="H482" s="20">
        <v>1</v>
      </c>
      <c r="I482" s="126">
        <f t="shared" si="26"/>
        <v>0</v>
      </c>
      <c r="J482" s="21">
        <f t="shared" si="28"/>
        <v>0</v>
      </c>
      <c r="K482" s="80"/>
      <c r="L482" s="82"/>
      <c r="N482" s="10"/>
      <c r="O482" s="10"/>
      <c r="P482" s="10"/>
      <c r="Q482" s="43"/>
      <c r="R482" s="10"/>
      <c r="T482" s="10"/>
    </row>
    <row r="483" spans="2:20" s="1" customFormat="1" ht="12.95" customHeight="1" x14ac:dyDescent="0.2">
      <c r="B483" s="16">
        <v>17</v>
      </c>
      <c r="C483" s="45"/>
      <c r="D483" s="18"/>
      <c r="E483" s="18"/>
      <c r="F483" s="51"/>
      <c r="G483" s="20"/>
      <c r="H483" s="20">
        <v>1</v>
      </c>
      <c r="I483" s="126">
        <f t="shared" si="26"/>
        <v>0</v>
      </c>
      <c r="J483" s="21">
        <f t="shared" si="28"/>
        <v>0</v>
      </c>
      <c r="K483" s="80"/>
      <c r="L483" s="82"/>
      <c r="N483" s="10"/>
      <c r="O483" s="10"/>
      <c r="P483" s="10"/>
      <c r="Q483" s="43"/>
      <c r="R483" s="10"/>
      <c r="T483" s="10"/>
    </row>
    <row r="484" spans="2:20" s="1" customFormat="1" ht="12.95" customHeight="1" x14ac:dyDescent="0.2">
      <c r="B484" s="16">
        <v>18</v>
      </c>
      <c r="C484" s="45"/>
      <c r="D484" s="18"/>
      <c r="E484" s="18"/>
      <c r="F484" s="51"/>
      <c r="G484" s="20"/>
      <c r="H484" s="20">
        <v>1</v>
      </c>
      <c r="I484" s="126">
        <f t="shared" si="26"/>
        <v>0</v>
      </c>
      <c r="J484" s="21">
        <f t="shared" si="28"/>
        <v>0</v>
      </c>
      <c r="K484" s="80"/>
      <c r="L484" s="82"/>
      <c r="N484" s="10"/>
      <c r="O484" s="10"/>
      <c r="P484" s="10"/>
      <c r="Q484" s="43"/>
      <c r="R484" s="10"/>
      <c r="T484" s="10"/>
    </row>
    <row r="485" spans="2:20" s="1" customFormat="1" ht="12.95" customHeight="1" x14ac:dyDescent="0.2">
      <c r="B485" s="16">
        <v>19</v>
      </c>
      <c r="C485" s="45"/>
      <c r="D485" s="18"/>
      <c r="E485" s="18"/>
      <c r="F485" s="51"/>
      <c r="G485" s="20"/>
      <c r="H485" s="20">
        <v>1</v>
      </c>
      <c r="I485" s="126">
        <f t="shared" si="26"/>
        <v>0</v>
      </c>
      <c r="J485" s="78">
        <f t="shared" si="28"/>
        <v>0</v>
      </c>
      <c r="K485" s="111"/>
      <c r="L485" s="119"/>
      <c r="N485" s="10"/>
      <c r="O485" s="10"/>
      <c r="P485" s="10"/>
      <c r="Q485" s="43"/>
      <c r="R485" s="10"/>
      <c r="T485" s="10"/>
    </row>
    <row r="486" spans="2:20" s="1" customFormat="1" ht="12.95" customHeight="1" x14ac:dyDescent="0.2">
      <c r="B486" s="16">
        <v>20</v>
      </c>
      <c r="C486" s="45"/>
      <c r="D486" s="18"/>
      <c r="E486" s="18"/>
      <c r="F486" s="51"/>
      <c r="G486" s="20"/>
      <c r="H486" s="20">
        <v>1</v>
      </c>
      <c r="I486" s="254">
        <f t="shared" si="26"/>
        <v>0</v>
      </c>
      <c r="J486" s="94">
        <f t="shared" si="28"/>
        <v>0</v>
      </c>
      <c r="K486" s="82"/>
      <c r="L486" s="82"/>
      <c r="N486" s="10"/>
      <c r="O486" s="10"/>
      <c r="P486" s="10"/>
      <c r="Q486" s="43"/>
      <c r="R486" s="10"/>
      <c r="T486" s="10"/>
    </row>
    <row r="487" spans="2:20" s="1" customFormat="1" ht="12.95" customHeight="1" x14ac:dyDescent="0.2">
      <c r="B487" s="83"/>
      <c r="C487" s="171"/>
      <c r="D487" s="75"/>
      <c r="E487" s="75"/>
      <c r="F487" s="172"/>
      <c r="G487" s="77"/>
      <c r="H487" s="77"/>
      <c r="I487" s="255"/>
      <c r="J487" s="94"/>
      <c r="K487" s="82"/>
      <c r="L487" s="82"/>
      <c r="N487" s="10"/>
      <c r="O487" s="10"/>
      <c r="P487" s="10"/>
      <c r="Q487" s="43"/>
      <c r="R487" s="10"/>
      <c r="T487" s="10"/>
    </row>
    <row r="488" spans="2:20" s="1" customFormat="1" ht="12.95" customHeight="1" x14ac:dyDescent="0.15">
      <c r="B488" s="82"/>
      <c r="C488" s="102"/>
      <c r="D488" s="103"/>
      <c r="E488" s="102"/>
      <c r="F488" s="128">
        <f>SUM(F428:F487)</f>
        <v>0</v>
      </c>
      <c r="G488" s="104"/>
      <c r="H488" s="105"/>
      <c r="I488" s="256">
        <f>SUM(I429:I487)</f>
        <v>0</v>
      </c>
      <c r="J488" s="257">
        <f>SUM(J428:J487)</f>
        <v>0</v>
      </c>
    </row>
    <row r="489" spans="2:20" s="67" customFormat="1" ht="12.95" customHeight="1" x14ac:dyDescent="0.15">
      <c r="B489" s="116"/>
      <c r="C489" s="114"/>
      <c r="D489" s="114"/>
      <c r="E489" s="114" t="s">
        <v>147</v>
      </c>
      <c r="F489" s="162">
        <f>100/115*F488</f>
        <v>0</v>
      </c>
      <c r="G489" s="114"/>
      <c r="H489" s="114" t="s">
        <v>147</v>
      </c>
      <c r="I489" s="264">
        <f>100/115*I488</f>
        <v>0</v>
      </c>
      <c r="J489" s="114"/>
    </row>
    <row r="490" spans="2:20" s="1" customFormat="1" ht="12.95" customHeight="1" x14ac:dyDescent="0.15"/>
    <row r="491" spans="2:20" s="1" customFormat="1" ht="12.95" customHeight="1" x14ac:dyDescent="0.15"/>
    <row r="492" spans="2:20" s="1" customFormat="1" ht="12.95" customHeight="1" x14ac:dyDescent="0.15"/>
    <row r="493" spans="2:20" s="1" customFormat="1" ht="12.95" customHeight="1" x14ac:dyDescent="0.15"/>
    <row r="494" spans="2:20" s="247" customFormat="1" ht="32.25" x14ac:dyDescent="0.4">
      <c r="B494" s="248"/>
      <c r="C494" s="380" t="s">
        <v>112</v>
      </c>
      <c r="D494" s="380"/>
      <c r="E494" s="400" t="s">
        <v>161</v>
      </c>
      <c r="F494" s="401"/>
      <c r="G494" s="401"/>
      <c r="H494" s="401"/>
      <c r="I494" s="402"/>
      <c r="J494" s="407">
        <v>2026</v>
      </c>
      <c r="K494" s="408"/>
      <c r="L494" s="409"/>
    </row>
    <row r="495" spans="2:20" s="1" customFormat="1" ht="42" customHeight="1" x14ac:dyDescent="0.15">
      <c r="B495" s="82"/>
      <c r="C495" s="102" t="s">
        <v>114</v>
      </c>
      <c r="D495" s="388" t="s">
        <v>115</v>
      </c>
      <c r="E495" s="388"/>
      <c r="F495" s="102" t="s">
        <v>116</v>
      </c>
      <c r="G495" s="102" t="s">
        <v>117</v>
      </c>
      <c r="H495" s="102" t="s">
        <v>118</v>
      </c>
      <c r="I495" s="173" t="s">
        <v>119</v>
      </c>
      <c r="J495" s="102" t="s">
        <v>120</v>
      </c>
      <c r="K495" s="82"/>
      <c r="L495" s="82"/>
    </row>
    <row r="496" spans="2:20" s="1" customFormat="1" ht="12.95" customHeight="1" x14ac:dyDescent="0.15">
      <c r="B496" s="84"/>
      <c r="C496" s="149">
        <f>C426</f>
        <v>250</v>
      </c>
      <c r="D496" s="412">
        <v>21</v>
      </c>
      <c r="E496" s="412"/>
      <c r="F496" s="146">
        <f>F426</f>
        <v>0.75</v>
      </c>
      <c r="G496" s="147">
        <f>G426</f>
        <v>8</v>
      </c>
      <c r="H496" s="148">
        <f>D496*G496*F496</f>
        <v>126</v>
      </c>
      <c r="I496" s="149">
        <f>I558</f>
        <v>0</v>
      </c>
      <c r="J496" s="150">
        <f>H496-J558</f>
        <v>126</v>
      </c>
      <c r="K496" s="79"/>
      <c r="L496" s="120"/>
    </row>
    <row r="497" spans="2:12" s="1" customFormat="1" ht="69.95" customHeight="1" x14ac:dyDescent="0.15">
      <c r="B497" s="16"/>
      <c r="C497" s="22" t="s">
        <v>121</v>
      </c>
      <c r="D497" s="413" t="s">
        <v>122</v>
      </c>
      <c r="E497" s="413"/>
      <c r="F497" s="33" t="s">
        <v>123</v>
      </c>
      <c r="G497" s="34" t="s">
        <v>124</v>
      </c>
      <c r="H497" s="35" t="s">
        <v>125</v>
      </c>
      <c r="I497" s="125" t="s">
        <v>126</v>
      </c>
      <c r="J497" s="34" t="s">
        <v>127</v>
      </c>
      <c r="K497" s="107" t="s">
        <v>128</v>
      </c>
      <c r="L497" s="123" t="s">
        <v>129</v>
      </c>
    </row>
    <row r="498" spans="2:12" s="1" customFormat="1" ht="12.75" customHeight="1" x14ac:dyDescent="0.15">
      <c r="B498" s="83"/>
      <c r="C498" s="159"/>
      <c r="D498" s="164"/>
      <c r="E498" s="164"/>
      <c r="F498" s="76"/>
      <c r="G498" s="20"/>
      <c r="H498" s="20"/>
      <c r="I498" s="126"/>
      <c r="J498" s="38"/>
      <c r="K498" s="80"/>
      <c r="L498" s="82"/>
    </row>
    <row r="499" spans="2:12" s="1" customFormat="1" ht="12.75" x14ac:dyDescent="0.15">
      <c r="B499" s="82"/>
      <c r="C499" s="392" t="s">
        <v>130</v>
      </c>
      <c r="D499" s="392"/>
      <c r="E499" s="392"/>
      <c r="F499" s="168"/>
      <c r="G499" s="163"/>
      <c r="H499" s="20"/>
      <c r="I499" s="126"/>
      <c r="J499" s="21"/>
      <c r="K499" s="80"/>
      <c r="L499" s="82"/>
    </row>
    <row r="500" spans="2:12" s="1" customFormat="1" ht="12.95" customHeight="1" x14ac:dyDescent="0.15">
      <c r="B500" s="82"/>
      <c r="C500" s="116" t="s">
        <v>149</v>
      </c>
      <c r="D500" s="169"/>
      <c r="E500" s="169"/>
      <c r="F500" s="168"/>
      <c r="G500" s="163"/>
      <c r="H500" s="20"/>
      <c r="I500" s="126"/>
      <c r="J500" s="38"/>
      <c r="K500" s="80"/>
      <c r="L500" s="82"/>
    </row>
    <row r="501" spans="2:12" s="1" customFormat="1" ht="12.95" customHeight="1" x14ac:dyDescent="0.15">
      <c r="B501" s="82">
        <v>1</v>
      </c>
      <c r="C501" s="89"/>
      <c r="D501" s="169"/>
      <c r="E501" s="169"/>
      <c r="F501" s="168"/>
      <c r="G501" s="163"/>
      <c r="H501" s="20">
        <v>1</v>
      </c>
      <c r="I501" s="129">
        <f t="shared" ref="I501:I533" si="29">J501*$C$32</f>
        <v>0</v>
      </c>
      <c r="J501" s="52">
        <f t="shared" ref="J501:J514" si="30">(F501*G501*H501)/$C$32</f>
        <v>0</v>
      </c>
      <c r="K501" s="80"/>
      <c r="L501" s="82"/>
    </row>
    <row r="502" spans="2:12" s="1" customFormat="1" ht="12.95" customHeight="1" x14ac:dyDescent="0.15">
      <c r="B502" s="82">
        <v>2</v>
      </c>
      <c r="C502" s="89"/>
      <c r="D502" s="169"/>
      <c r="E502" s="169"/>
      <c r="F502" s="168"/>
      <c r="G502" s="163"/>
      <c r="H502" s="20">
        <v>1</v>
      </c>
      <c r="I502" s="129">
        <f t="shared" si="29"/>
        <v>0</v>
      </c>
      <c r="J502" s="52">
        <f t="shared" si="30"/>
        <v>0</v>
      </c>
      <c r="K502" s="80"/>
      <c r="L502" s="82"/>
    </row>
    <row r="503" spans="2:12" s="1" customFormat="1" ht="12.95" customHeight="1" x14ac:dyDescent="0.15">
      <c r="B503" s="82">
        <v>3</v>
      </c>
      <c r="C503" s="89"/>
      <c r="D503" s="169"/>
      <c r="E503" s="169"/>
      <c r="F503" s="168"/>
      <c r="G503" s="163"/>
      <c r="H503" s="20">
        <v>1</v>
      </c>
      <c r="I503" s="129">
        <f t="shared" si="29"/>
        <v>0</v>
      </c>
      <c r="J503" s="52">
        <f t="shared" si="30"/>
        <v>0</v>
      </c>
      <c r="K503" s="80"/>
      <c r="L503" s="82"/>
    </row>
    <row r="504" spans="2:12" s="1" customFormat="1" ht="12.95" customHeight="1" x14ac:dyDescent="0.15">
      <c r="B504" s="82">
        <v>4</v>
      </c>
      <c r="C504" s="82"/>
      <c r="D504" s="90"/>
      <c r="E504" s="90"/>
      <c r="F504" s="168"/>
      <c r="G504" s="163"/>
      <c r="H504" s="20">
        <v>1</v>
      </c>
      <c r="I504" s="129">
        <f t="shared" si="29"/>
        <v>0</v>
      </c>
      <c r="J504" s="52">
        <f t="shared" si="30"/>
        <v>0</v>
      </c>
      <c r="K504" s="80"/>
      <c r="L504" s="82"/>
    </row>
    <row r="505" spans="2:12" s="1" customFormat="1" ht="12.95" customHeight="1" x14ac:dyDescent="0.15">
      <c r="B505" s="82">
        <v>5</v>
      </c>
      <c r="C505" s="89"/>
      <c r="D505" s="170"/>
      <c r="E505" s="170"/>
      <c r="F505" s="168"/>
      <c r="G505" s="163"/>
      <c r="H505" s="20">
        <v>1</v>
      </c>
      <c r="I505" s="129">
        <f t="shared" si="29"/>
        <v>0</v>
      </c>
      <c r="J505" s="27">
        <f t="shared" si="30"/>
        <v>0</v>
      </c>
      <c r="K505" s="80"/>
      <c r="L505" s="82"/>
    </row>
    <row r="506" spans="2:12" s="1" customFormat="1" ht="12.95" customHeight="1" x14ac:dyDescent="0.15">
      <c r="B506" s="82">
        <v>6</v>
      </c>
      <c r="C506" s="89"/>
      <c r="D506" s="169"/>
      <c r="E506" s="169"/>
      <c r="F506" s="168"/>
      <c r="G506" s="163"/>
      <c r="H506" s="20">
        <v>1</v>
      </c>
      <c r="I506" s="129">
        <f t="shared" si="29"/>
        <v>0</v>
      </c>
      <c r="J506" s="52">
        <f t="shared" si="30"/>
        <v>0</v>
      </c>
      <c r="K506" s="80"/>
      <c r="L506" s="82"/>
    </row>
    <row r="507" spans="2:12" s="1" customFormat="1" ht="12.95" customHeight="1" x14ac:dyDescent="0.15">
      <c r="B507" s="82">
        <v>7</v>
      </c>
      <c r="C507" s="89"/>
      <c r="D507" s="167"/>
      <c r="E507" s="167"/>
      <c r="F507" s="168"/>
      <c r="G507" s="163"/>
      <c r="H507" s="20">
        <v>1</v>
      </c>
      <c r="I507" s="129">
        <f t="shared" si="29"/>
        <v>0</v>
      </c>
      <c r="J507" s="27">
        <f t="shared" si="30"/>
        <v>0</v>
      </c>
      <c r="K507" s="80"/>
      <c r="L507" s="82"/>
    </row>
    <row r="508" spans="2:12" s="1" customFormat="1" ht="12.95" customHeight="1" x14ac:dyDescent="0.15">
      <c r="B508" s="84">
        <v>8</v>
      </c>
      <c r="C508" s="81"/>
      <c r="D508" s="85"/>
      <c r="E508" s="165"/>
      <c r="F508" s="166"/>
      <c r="G508" s="20"/>
      <c r="H508" s="20">
        <v>1</v>
      </c>
      <c r="I508" s="129">
        <f t="shared" si="29"/>
        <v>0</v>
      </c>
      <c r="J508" s="52">
        <f t="shared" si="30"/>
        <v>0</v>
      </c>
      <c r="K508" s="80"/>
      <c r="L508" s="82"/>
    </row>
    <row r="509" spans="2:12" s="1" customFormat="1" ht="12.95" customHeight="1" x14ac:dyDescent="0.15">
      <c r="B509" s="16">
        <v>9</v>
      </c>
      <c r="C509" s="17"/>
      <c r="D509" s="18"/>
      <c r="E509" s="24"/>
      <c r="F509" s="129"/>
      <c r="G509" s="20"/>
      <c r="H509" s="20">
        <v>1</v>
      </c>
      <c r="I509" s="129">
        <f t="shared" si="29"/>
        <v>0</v>
      </c>
      <c r="J509" s="52">
        <f t="shared" si="30"/>
        <v>0</v>
      </c>
      <c r="K509" s="80"/>
      <c r="L509" s="82"/>
    </row>
    <row r="510" spans="2:12" s="1" customFormat="1" ht="12.95" customHeight="1" x14ac:dyDescent="0.15">
      <c r="B510" s="16">
        <v>10</v>
      </c>
      <c r="C510" s="17"/>
      <c r="D510" s="24"/>
      <c r="E510" s="18"/>
      <c r="F510" s="129"/>
      <c r="G510" s="20"/>
      <c r="H510" s="20">
        <v>1</v>
      </c>
      <c r="I510" s="129">
        <f t="shared" si="29"/>
        <v>0</v>
      </c>
      <c r="J510" s="52">
        <f t="shared" si="30"/>
        <v>0</v>
      </c>
      <c r="K510" s="80"/>
      <c r="L510" s="82"/>
    </row>
    <row r="511" spans="2:12" s="1" customFormat="1" ht="12.95" customHeight="1" x14ac:dyDescent="0.15">
      <c r="B511" s="16"/>
      <c r="C511" s="17"/>
      <c r="D511" s="24"/>
      <c r="E511" s="18"/>
      <c r="F511" s="129"/>
      <c r="G511" s="20"/>
      <c r="H511" s="20"/>
      <c r="I511" s="129"/>
      <c r="J511" s="52"/>
      <c r="K511" s="80"/>
      <c r="L511" s="82"/>
    </row>
    <row r="512" spans="2:12" s="1" customFormat="1" ht="12.95" customHeight="1" x14ac:dyDescent="0.15">
      <c r="B512" s="16"/>
      <c r="C512" s="17"/>
      <c r="D512" s="24"/>
      <c r="E512" s="18"/>
      <c r="F512" s="129"/>
      <c r="G512" s="20"/>
      <c r="H512" s="20"/>
      <c r="I512" s="129"/>
      <c r="J512" s="52"/>
      <c r="K512" s="80"/>
      <c r="L512" s="82"/>
    </row>
    <row r="513" spans="2:20" s="1" customFormat="1" ht="12.95" customHeight="1" x14ac:dyDescent="0.15">
      <c r="B513" s="16"/>
      <c r="C513" s="22" t="s">
        <v>153</v>
      </c>
      <c r="D513" s="24"/>
      <c r="E513" s="18"/>
      <c r="F513" s="129"/>
      <c r="G513" s="20"/>
      <c r="H513" s="20"/>
      <c r="I513" s="129"/>
      <c r="J513" s="52"/>
      <c r="K513" s="80"/>
      <c r="L513" s="82"/>
    </row>
    <row r="514" spans="2:20" s="1" customFormat="1" ht="12.95" customHeight="1" x14ac:dyDescent="0.15">
      <c r="B514" s="16">
        <v>1</v>
      </c>
      <c r="C514" s="17"/>
      <c r="D514" s="24"/>
      <c r="E514" s="24"/>
      <c r="F514" s="129"/>
      <c r="G514" s="20"/>
      <c r="H514" s="20">
        <v>1</v>
      </c>
      <c r="I514" s="129">
        <f t="shared" si="29"/>
        <v>0</v>
      </c>
      <c r="J514" s="52">
        <f t="shared" si="30"/>
        <v>0</v>
      </c>
      <c r="K514" s="80"/>
      <c r="L514" s="82"/>
    </row>
    <row r="515" spans="2:20" s="1" customFormat="1" ht="12.95" customHeight="1" x14ac:dyDescent="0.15">
      <c r="B515" s="16">
        <v>2</v>
      </c>
      <c r="C515" s="17"/>
      <c r="D515" s="24"/>
      <c r="E515" s="24"/>
      <c r="F515" s="129"/>
      <c r="G515" s="20"/>
      <c r="H515" s="20">
        <v>1</v>
      </c>
      <c r="I515" s="129">
        <f t="shared" si="29"/>
        <v>0</v>
      </c>
      <c r="J515" s="52">
        <f>(F515*G515*H515)/$C$32</f>
        <v>0</v>
      </c>
      <c r="K515" s="80"/>
      <c r="L515" s="82"/>
    </row>
    <row r="516" spans="2:20" s="1" customFormat="1" ht="12.95" customHeight="1" x14ac:dyDescent="0.15">
      <c r="B516" s="16">
        <v>3</v>
      </c>
      <c r="C516" s="24"/>
      <c r="D516" s="24"/>
      <c r="E516" s="24"/>
      <c r="F516" s="129"/>
      <c r="G516" s="20"/>
      <c r="H516" s="20">
        <v>1</v>
      </c>
      <c r="I516" s="129">
        <f t="shared" si="29"/>
        <v>0</v>
      </c>
      <c r="J516" s="52">
        <f>(F516*G516*H516)/$C$32</f>
        <v>0</v>
      </c>
      <c r="K516" s="80"/>
      <c r="L516" s="82"/>
    </row>
    <row r="517" spans="2:20" s="1" customFormat="1" ht="12.95" customHeight="1" x14ac:dyDescent="0.15">
      <c r="B517" s="16">
        <v>4</v>
      </c>
      <c r="C517" s="24"/>
      <c r="D517" s="18"/>
      <c r="E517" s="18"/>
      <c r="F517" s="129"/>
      <c r="G517" s="20"/>
      <c r="H517" s="20">
        <v>1</v>
      </c>
      <c r="I517" s="129">
        <f t="shared" si="29"/>
        <v>0</v>
      </c>
      <c r="J517" s="27">
        <f t="shared" ref="J517:J543" si="31">(F517*G517*H517)/$C$32</f>
        <v>0</v>
      </c>
      <c r="K517" s="80"/>
      <c r="L517" s="82"/>
      <c r="M517" s="10"/>
      <c r="N517" s="10"/>
      <c r="O517" s="10"/>
      <c r="P517" s="10"/>
      <c r="Q517" s="43"/>
      <c r="R517" s="10"/>
      <c r="T517" s="10"/>
    </row>
    <row r="518" spans="2:20" s="1" customFormat="1" ht="12.95" customHeight="1" x14ac:dyDescent="0.15">
      <c r="B518" s="16">
        <v>5</v>
      </c>
      <c r="C518" s="24"/>
      <c r="D518" s="24"/>
      <c r="E518" s="24"/>
      <c r="F518" s="129"/>
      <c r="G518" s="20"/>
      <c r="H518" s="20">
        <v>1</v>
      </c>
      <c r="I518" s="129">
        <f t="shared" si="29"/>
        <v>0</v>
      </c>
      <c r="J518" s="52">
        <f t="shared" si="31"/>
        <v>0</v>
      </c>
      <c r="K518" s="80"/>
      <c r="L518" s="82"/>
      <c r="M518" s="39"/>
      <c r="N518" s="40"/>
      <c r="O518" s="40"/>
    </row>
    <row r="519" spans="2:20" s="1" customFormat="1" ht="12.95" customHeight="1" x14ac:dyDescent="0.15">
      <c r="B519" s="16">
        <v>6</v>
      </c>
      <c r="C519" s="17"/>
      <c r="D519" s="18"/>
      <c r="E519" s="18"/>
      <c r="F519" s="129"/>
      <c r="G519" s="20"/>
      <c r="H519" s="20">
        <v>1</v>
      </c>
      <c r="I519" s="129">
        <f>J519*$C$32</f>
        <v>0</v>
      </c>
      <c r="J519" s="27">
        <f t="shared" si="31"/>
        <v>0</v>
      </c>
      <c r="K519" s="80"/>
      <c r="L519" s="82"/>
      <c r="N519" s="10"/>
      <c r="O519" s="10"/>
      <c r="P519" s="10"/>
      <c r="Q519" s="43"/>
      <c r="R519" s="10"/>
      <c r="T519" s="10"/>
    </row>
    <row r="520" spans="2:20" s="1" customFormat="1" ht="12.95" customHeight="1" x14ac:dyDescent="0.15">
      <c r="B520" s="16">
        <v>7</v>
      </c>
      <c r="C520" s="17"/>
      <c r="D520" s="24"/>
      <c r="E520" s="24"/>
      <c r="F520" s="129"/>
      <c r="G520" s="20"/>
      <c r="H520" s="20">
        <v>1</v>
      </c>
      <c r="I520" s="129">
        <f t="shared" si="29"/>
        <v>0</v>
      </c>
      <c r="J520" s="54">
        <f>(F520*G520*H520)/$C$32</f>
        <v>0</v>
      </c>
      <c r="K520" s="80"/>
      <c r="L520" s="82"/>
    </row>
    <row r="521" spans="2:20" s="1" customFormat="1" ht="12.95" customHeight="1" x14ac:dyDescent="0.15">
      <c r="B521" s="16">
        <v>8</v>
      </c>
      <c r="C521" s="17"/>
      <c r="D521" s="24"/>
      <c r="E521" s="24"/>
      <c r="F521" s="129"/>
      <c r="G521" s="20"/>
      <c r="H521" s="20">
        <v>1</v>
      </c>
      <c r="I521" s="129">
        <f>J521*$C$32</f>
        <v>0</v>
      </c>
      <c r="J521" s="54">
        <f>(F521*G521*H521)/$C$32</f>
        <v>0</v>
      </c>
      <c r="K521" s="80"/>
      <c r="L521" s="82"/>
    </row>
    <row r="522" spans="2:20" s="1" customFormat="1" ht="12.95" customHeight="1" x14ac:dyDescent="0.15">
      <c r="B522" s="16">
        <v>9</v>
      </c>
      <c r="C522" s="17"/>
      <c r="D522" s="24"/>
      <c r="E522" s="24"/>
      <c r="F522" s="129"/>
      <c r="G522" s="20"/>
      <c r="H522" s="20">
        <v>1</v>
      </c>
      <c r="I522" s="129">
        <f t="shared" si="29"/>
        <v>0</v>
      </c>
      <c r="J522" s="52">
        <f t="shared" si="31"/>
        <v>0</v>
      </c>
      <c r="K522" s="80"/>
      <c r="L522" s="82"/>
    </row>
    <row r="523" spans="2:20" s="1" customFormat="1" ht="12.95" customHeight="1" x14ac:dyDescent="0.15">
      <c r="B523" s="16">
        <v>10</v>
      </c>
      <c r="C523" s="17"/>
      <c r="D523" s="24"/>
      <c r="E523" s="24"/>
      <c r="F523" s="129"/>
      <c r="G523" s="20"/>
      <c r="H523" s="20">
        <v>1</v>
      </c>
      <c r="I523" s="129">
        <f t="shared" si="29"/>
        <v>0</v>
      </c>
      <c r="J523" s="52">
        <f t="shared" si="31"/>
        <v>0</v>
      </c>
      <c r="K523" s="80"/>
      <c r="L523" s="82"/>
    </row>
    <row r="524" spans="2:20" s="1" customFormat="1" ht="12" customHeight="1" x14ac:dyDescent="0.15">
      <c r="B524" s="16">
        <v>11</v>
      </c>
      <c r="C524" s="17"/>
      <c r="D524" s="24"/>
      <c r="E524" s="24"/>
      <c r="F524" s="129"/>
      <c r="G524" s="20"/>
      <c r="H524" s="20">
        <v>1</v>
      </c>
      <c r="I524" s="129">
        <f t="shared" si="29"/>
        <v>0</v>
      </c>
      <c r="J524" s="52">
        <f t="shared" si="31"/>
        <v>0</v>
      </c>
      <c r="K524" s="80"/>
      <c r="L524" s="82"/>
    </row>
    <row r="525" spans="2:20" s="1" customFormat="1" ht="12.95" customHeight="1" x14ac:dyDescent="0.15">
      <c r="B525" s="16">
        <v>12</v>
      </c>
      <c r="C525" s="17"/>
      <c r="D525" s="24"/>
      <c r="E525" s="24"/>
      <c r="F525" s="129"/>
      <c r="G525" s="20"/>
      <c r="H525" s="20">
        <v>1</v>
      </c>
      <c r="I525" s="129">
        <f t="shared" si="29"/>
        <v>0</v>
      </c>
      <c r="J525" s="52">
        <f t="shared" si="31"/>
        <v>0</v>
      </c>
      <c r="K525" s="80"/>
      <c r="L525" s="82"/>
    </row>
    <row r="526" spans="2:20" s="1" customFormat="1" ht="12.95" customHeight="1" x14ac:dyDescent="0.15">
      <c r="B526" s="16">
        <v>13</v>
      </c>
      <c r="C526" s="17"/>
      <c r="D526" s="18"/>
      <c r="E526" s="18"/>
      <c r="F526" s="129"/>
      <c r="G526" s="20"/>
      <c r="H526" s="20">
        <v>1</v>
      </c>
      <c r="I526" s="129">
        <f t="shared" si="29"/>
        <v>0</v>
      </c>
      <c r="J526" s="52">
        <f t="shared" si="31"/>
        <v>0</v>
      </c>
      <c r="K526" s="80"/>
      <c r="L526" s="82"/>
      <c r="M526" s="10"/>
      <c r="N526" s="10"/>
      <c r="O526" s="10"/>
      <c r="P526" s="10"/>
      <c r="Q526" s="43"/>
      <c r="R526" s="10"/>
      <c r="T526" s="10"/>
    </row>
    <row r="527" spans="2:20" s="1" customFormat="1" ht="12.95" customHeight="1" x14ac:dyDescent="0.15">
      <c r="B527" s="16">
        <v>14</v>
      </c>
      <c r="C527" s="17"/>
      <c r="D527" s="18"/>
      <c r="E527" s="18"/>
      <c r="F527" s="129"/>
      <c r="G527" s="20"/>
      <c r="H527" s="20">
        <v>1</v>
      </c>
      <c r="I527" s="129">
        <f t="shared" si="29"/>
        <v>0</v>
      </c>
      <c r="J527" s="52">
        <f t="shared" si="31"/>
        <v>0</v>
      </c>
      <c r="K527" s="80"/>
      <c r="L527" s="82"/>
      <c r="M527" s="10"/>
      <c r="N527" s="10"/>
      <c r="O527" s="10"/>
      <c r="P527" s="10"/>
      <c r="Q527" s="43"/>
      <c r="R527" s="10"/>
      <c r="T527" s="10"/>
    </row>
    <row r="528" spans="2:20" s="1" customFormat="1" ht="12.95" customHeight="1" x14ac:dyDescent="0.15">
      <c r="B528" s="16">
        <v>15</v>
      </c>
      <c r="C528" s="17"/>
      <c r="D528" s="18"/>
      <c r="E528" s="18"/>
      <c r="F528" s="129"/>
      <c r="G528" s="20"/>
      <c r="H528" s="20">
        <v>1</v>
      </c>
      <c r="I528" s="129">
        <f t="shared" si="29"/>
        <v>0</v>
      </c>
      <c r="J528" s="52">
        <f t="shared" si="31"/>
        <v>0</v>
      </c>
      <c r="K528" s="80"/>
      <c r="L528" s="82"/>
      <c r="M528" s="10"/>
      <c r="N528" s="10"/>
      <c r="O528" s="10"/>
      <c r="P528" s="10"/>
      <c r="Q528" s="43"/>
      <c r="R528" s="10"/>
      <c r="T528" s="10"/>
    </row>
    <row r="529" spans="2:20" s="1" customFormat="1" ht="12.95" customHeight="1" x14ac:dyDescent="0.15">
      <c r="B529" s="16">
        <v>16</v>
      </c>
      <c r="C529" s="17"/>
      <c r="D529" s="18"/>
      <c r="E529" s="18"/>
      <c r="F529" s="129"/>
      <c r="G529" s="20"/>
      <c r="H529" s="20">
        <v>1</v>
      </c>
      <c r="I529" s="129">
        <f t="shared" si="29"/>
        <v>0</v>
      </c>
      <c r="J529" s="52">
        <f t="shared" si="31"/>
        <v>0</v>
      </c>
      <c r="K529" s="80"/>
      <c r="L529" s="82"/>
      <c r="M529" s="10"/>
      <c r="N529" s="10"/>
      <c r="O529" s="10"/>
      <c r="P529" s="10"/>
      <c r="Q529" s="43"/>
      <c r="R529" s="10"/>
      <c r="T529" s="10"/>
    </row>
    <row r="530" spans="2:20" s="1" customFormat="1" ht="12.95" customHeight="1" x14ac:dyDescent="0.15">
      <c r="B530" s="16">
        <v>17</v>
      </c>
      <c r="C530" s="17"/>
      <c r="D530" s="18"/>
      <c r="E530" s="18"/>
      <c r="F530" s="129"/>
      <c r="G530" s="20"/>
      <c r="H530" s="20">
        <v>1</v>
      </c>
      <c r="I530" s="129">
        <f t="shared" si="29"/>
        <v>0</v>
      </c>
      <c r="J530" s="52">
        <f t="shared" si="31"/>
        <v>0</v>
      </c>
      <c r="K530" s="80"/>
      <c r="L530" s="82"/>
      <c r="M530" s="10"/>
      <c r="N530" s="10"/>
      <c r="O530" s="10"/>
      <c r="P530" s="10"/>
      <c r="Q530" s="43"/>
      <c r="R530" s="10"/>
      <c r="T530" s="10"/>
    </row>
    <row r="531" spans="2:20" s="1" customFormat="1" ht="12.95" customHeight="1" x14ac:dyDescent="0.15">
      <c r="B531" s="16">
        <v>18</v>
      </c>
      <c r="C531" s="17"/>
      <c r="D531" s="18"/>
      <c r="E531" s="18"/>
      <c r="F531" s="129"/>
      <c r="G531" s="20"/>
      <c r="H531" s="20">
        <v>1</v>
      </c>
      <c r="I531" s="129">
        <f t="shared" si="29"/>
        <v>0</v>
      </c>
      <c r="J531" s="52">
        <f t="shared" si="31"/>
        <v>0</v>
      </c>
      <c r="K531" s="80"/>
      <c r="L531" s="82"/>
      <c r="M531" s="10"/>
      <c r="N531" s="10"/>
      <c r="O531" s="10"/>
      <c r="P531" s="10"/>
      <c r="Q531" s="43"/>
      <c r="R531" s="10"/>
      <c r="T531" s="10"/>
    </row>
    <row r="532" spans="2:20" s="1" customFormat="1" ht="12.95" customHeight="1" x14ac:dyDescent="0.15">
      <c r="B532" s="16">
        <v>19</v>
      </c>
      <c r="C532" s="17"/>
      <c r="D532" s="18"/>
      <c r="E532" s="18"/>
      <c r="F532" s="129"/>
      <c r="G532" s="20"/>
      <c r="H532" s="20">
        <v>1</v>
      </c>
      <c r="I532" s="129">
        <f t="shared" si="29"/>
        <v>0</v>
      </c>
      <c r="J532" s="52">
        <f t="shared" si="31"/>
        <v>0</v>
      </c>
      <c r="K532" s="80"/>
      <c r="L532" s="82"/>
      <c r="M532" s="10"/>
      <c r="N532" s="10"/>
      <c r="O532" s="10"/>
      <c r="P532" s="10"/>
      <c r="Q532" s="43"/>
      <c r="R532" s="10"/>
      <c r="T532" s="10"/>
    </row>
    <row r="533" spans="2:20" s="1" customFormat="1" ht="12.95" customHeight="1" x14ac:dyDescent="0.15">
      <c r="B533" s="16">
        <v>20</v>
      </c>
      <c r="C533" s="17"/>
      <c r="D533" s="18"/>
      <c r="E533" s="18"/>
      <c r="F533" s="129"/>
      <c r="G533" s="20"/>
      <c r="H533" s="20">
        <v>1</v>
      </c>
      <c r="I533" s="129">
        <f t="shared" si="29"/>
        <v>0</v>
      </c>
      <c r="J533" s="52">
        <f t="shared" si="31"/>
        <v>0</v>
      </c>
      <c r="K533" s="80"/>
      <c r="L533" s="82"/>
      <c r="M533" s="10"/>
      <c r="N533" s="10"/>
      <c r="O533" s="10"/>
      <c r="P533" s="10"/>
      <c r="Q533" s="43"/>
      <c r="R533" s="10"/>
      <c r="T533" s="10"/>
    </row>
    <row r="534" spans="2:20" s="1" customFormat="1" ht="12.95" customHeight="1" x14ac:dyDescent="0.15">
      <c r="B534" s="16"/>
      <c r="C534" s="17"/>
      <c r="D534" s="18"/>
      <c r="E534" s="18"/>
      <c r="F534" s="129"/>
      <c r="G534" s="20"/>
      <c r="H534" s="20"/>
      <c r="I534" s="129"/>
      <c r="J534" s="52"/>
      <c r="K534" s="80"/>
      <c r="L534" s="82"/>
      <c r="M534" s="10"/>
      <c r="N534" s="10"/>
      <c r="O534" s="10"/>
      <c r="P534" s="10"/>
      <c r="Q534" s="43"/>
      <c r="R534" s="10"/>
      <c r="T534" s="10"/>
    </row>
    <row r="535" spans="2:20" s="1" customFormat="1" ht="12.95" customHeight="1" x14ac:dyDescent="0.15">
      <c r="B535" s="16"/>
      <c r="C535" s="17"/>
      <c r="D535" s="18"/>
      <c r="E535" s="18"/>
      <c r="F535" s="129"/>
      <c r="G535" s="20"/>
      <c r="H535" s="20"/>
      <c r="I535" s="129"/>
      <c r="J535" s="52"/>
      <c r="K535" s="80"/>
      <c r="L535" s="82"/>
      <c r="M535" s="10"/>
      <c r="N535" s="10"/>
      <c r="O535" s="10"/>
      <c r="P535" s="10"/>
      <c r="Q535" s="43"/>
      <c r="R535" s="10"/>
      <c r="T535" s="10"/>
    </row>
    <row r="536" spans="2:20" s="1" customFormat="1" ht="12.95" customHeight="1" x14ac:dyDescent="0.15">
      <c r="B536" s="16"/>
      <c r="C536" s="73" t="s">
        <v>132</v>
      </c>
      <c r="D536" s="18"/>
      <c r="E536" s="18"/>
      <c r="F536" s="129"/>
      <c r="G536" s="55"/>
      <c r="H536" s="20"/>
      <c r="I536" s="129"/>
      <c r="J536" s="52"/>
      <c r="K536" s="80"/>
      <c r="L536" s="82"/>
      <c r="N536" s="10"/>
      <c r="O536" s="10"/>
      <c r="P536" s="10"/>
      <c r="Q536" s="43"/>
      <c r="R536" s="10"/>
      <c r="T536" s="10"/>
    </row>
    <row r="537" spans="2:20" s="1" customFormat="1" ht="12.95" customHeight="1" x14ac:dyDescent="0.15">
      <c r="B537" s="16">
        <v>1</v>
      </c>
      <c r="C537" s="45"/>
      <c r="D537" s="18"/>
      <c r="E537" s="18"/>
      <c r="F537" s="129"/>
      <c r="G537" s="20"/>
      <c r="H537" s="20">
        <v>1</v>
      </c>
      <c r="I537" s="129">
        <f>J537*$C$32</f>
        <v>0</v>
      </c>
      <c r="J537" s="52">
        <f t="shared" si="31"/>
        <v>0</v>
      </c>
      <c r="K537" s="80"/>
      <c r="L537" s="82"/>
      <c r="N537" s="10"/>
      <c r="O537" s="10"/>
      <c r="P537" s="10"/>
      <c r="Q537" s="43"/>
      <c r="R537" s="10"/>
      <c r="T537" s="10"/>
    </row>
    <row r="538" spans="2:20" s="1" customFormat="1" ht="12.95" customHeight="1" x14ac:dyDescent="0.15">
      <c r="B538" s="16">
        <v>2</v>
      </c>
      <c r="C538" s="44"/>
      <c r="D538" s="18"/>
      <c r="E538" s="18"/>
      <c r="F538" s="129"/>
      <c r="G538" s="20"/>
      <c r="H538" s="20">
        <v>1</v>
      </c>
      <c r="I538" s="129">
        <f>J538*$C$32</f>
        <v>0</v>
      </c>
      <c r="J538" s="52">
        <f t="shared" si="31"/>
        <v>0</v>
      </c>
      <c r="K538" s="80"/>
      <c r="L538" s="82"/>
      <c r="N538" s="10"/>
      <c r="O538" s="10"/>
      <c r="P538" s="10"/>
      <c r="Q538" s="43"/>
      <c r="R538" s="10"/>
      <c r="T538" s="10"/>
    </row>
    <row r="539" spans="2:20" s="1" customFormat="1" ht="12.95" customHeight="1" x14ac:dyDescent="0.15">
      <c r="B539" s="16">
        <v>3</v>
      </c>
      <c r="C539" s="11"/>
      <c r="D539" s="18"/>
      <c r="E539" s="18"/>
      <c r="F539" s="129"/>
      <c r="G539" s="20"/>
      <c r="H539" s="20">
        <v>1</v>
      </c>
      <c r="I539" s="129">
        <f t="shared" ref="I539:I556" si="32">J539*$C$32</f>
        <v>0</v>
      </c>
      <c r="J539" s="52">
        <f t="shared" si="31"/>
        <v>0</v>
      </c>
      <c r="K539" s="80"/>
      <c r="L539" s="82"/>
      <c r="N539" s="10"/>
      <c r="O539" s="10"/>
      <c r="P539" s="10"/>
      <c r="Q539" s="43"/>
      <c r="R539" s="10"/>
      <c r="T539" s="10"/>
    </row>
    <row r="540" spans="2:20" s="1" customFormat="1" ht="12.95" customHeight="1" x14ac:dyDescent="0.2">
      <c r="B540" s="16">
        <v>4</v>
      </c>
      <c r="C540" s="56"/>
      <c r="D540" s="17"/>
      <c r="E540" s="17"/>
      <c r="F540" s="129"/>
      <c r="G540" s="20"/>
      <c r="H540" s="20">
        <v>1</v>
      </c>
      <c r="I540" s="129">
        <f t="shared" si="32"/>
        <v>0</v>
      </c>
      <c r="J540" s="52">
        <f t="shared" si="31"/>
        <v>0</v>
      </c>
      <c r="K540" s="80"/>
      <c r="L540" s="82"/>
      <c r="M540" s="10"/>
      <c r="N540" s="10"/>
      <c r="O540" s="10"/>
      <c r="P540" s="10"/>
      <c r="Q540" s="43"/>
      <c r="R540" s="10"/>
      <c r="T540" s="10"/>
    </row>
    <row r="541" spans="2:20" s="1" customFormat="1" ht="12.95" customHeight="1" x14ac:dyDescent="0.15">
      <c r="B541" s="16">
        <v>5</v>
      </c>
      <c r="C541" s="17"/>
      <c r="D541" s="17"/>
      <c r="E541" s="17"/>
      <c r="F541" s="129"/>
      <c r="G541" s="20"/>
      <c r="H541" s="20">
        <v>1</v>
      </c>
      <c r="I541" s="129">
        <f t="shared" si="32"/>
        <v>0</v>
      </c>
      <c r="J541" s="52">
        <f t="shared" si="31"/>
        <v>0</v>
      </c>
      <c r="K541" s="80"/>
      <c r="L541" s="82"/>
      <c r="M541" s="10"/>
      <c r="N541" s="10"/>
      <c r="O541" s="10"/>
      <c r="P541" s="10"/>
      <c r="Q541" s="43"/>
      <c r="R541" s="10"/>
      <c r="T541" s="10"/>
    </row>
    <row r="542" spans="2:20" s="1" customFormat="1" ht="12.95" customHeight="1" x14ac:dyDescent="0.15">
      <c r="B542" s="16">
        <v>6</v>
      </c>
      <c r="C542" s="17"/>
      <c r="D542" s="17"/>
      <c r="E542" s="17"/>
      <c r="F542" s="129"/>
      <c r="G542" s="20"/>
      <c r="H542" s="20">
        <v>1</v>
      </c>
      <c r="I542" s="129">
        <f t="shared" si="32"/>
        <v>0</v>
      </c>
      <c r="J542" s="52">
        <f t="shared" si="31"/>
        <v>0</v>
      </c>
      <c r="K542" s="80"/>
      <c r="L542" s="82"/>
      <c r="M542" s="10"/>
      <c r="N542" s="10"/>
      <c r="O542" s="10"/>
      <c r="P542" s="10"/>
      <c r="Q542" s="43"/>
      <c r="R542" s="10"/>
      <c r="T542" s="10"/>
    </row>
    <row r="543" spans="2:20" s="1" customFormat="1" ht="12.95" customHeight="1" x14ac:dyDescent="0.15">
      <c r="B543" s="16">
        <v>7</v>
      </c>
      <c r="C543" s="17"/>
      <c r="D543" s="17"/>
      <c r="E543" s="17"/>
      <c r="F543" s="129"/>
      <c r="G543" s="20"/>
      <c r="H543" s="20">
        <v>1</v>
      </c>
      <c r="I543" s="129">
        <f t="shared" si="32"/>
        <v>0</v>
      </c>
      <c r="J543" s="52">
        <f t="shared" si="31"/>
        <v>0</v>
      </c>
      <c r="K543" s="80"/>
      <c r="L543" s="82"/>
      <c r="M543" s="10"/>
      <c r="N543" s="10"/>
      <c r="O543" s="10"/>
      <c r="P543" s="10"/>
      <c r="Q543" s="43"/>
      <c r="R543" s="10"/>
      <c r="T543" s="10"/>
    </row>
    <row r="544" spans="2:20" s="1" customFormat="1" ht="12.95" customHeight="1" x14ac:dyDescent="0.15">
      <c r="B544" s="16">
        <v>8</v>
      </c>
      <c r="C544" s="17"/>
      <c r="D544" s="17"/>
      <c r="E544" s="17"/>
      <c r="F544" s="129"/>
      <c r="G544" s="20"/>
      <c r="H544" s="20">
        <v>1</v>
      </c>
      <c r="I544" s="129">
        <f t="shared" si="32"/>
        <v>0</v>
      </c>
      <c r="J544" s="52">
        <f>(F544*G544*H544)/$C$32</f>
        <v>0</v>
      </c>
      <c r="K544" s="80"/>
      <c r="L544" s="82"/>
    </row>
    <row r="545" spans="2:20" s="1" customFormat="1" ht="12.95" customHeight="1" x14ac:dyDescent="0.15">
      <c r="B545" s="16">
        <v>9</v>
      </c>
      <c r="C545" s="17"/>
      <c r="D545" s="17"/>
      <c r="E545" s="17"/>
      <c r="F545" s="129"/>
      <c r="G545" s="20"/>
      <c r="H545" s="20">
        <v>1</v>
      </c>
      <c r="I545" s="129">
        <f t="shared" si="32"/>
        <v>0</v>
      </c>
      <c r="J545" s="52">
        <f>(F545*G545*H545)/$C$32</f>
        <v>0</v>
      </c>
      <c r="K545" s="80"/>
      <c r="L545" s="82"/>
    </row>
    <row r="546" spans="2:20" s="1" customFormat="1" ht="12.95" customHeight="1" x14ac:dyDescent="0.15">
      <c r="B546" s="16">
        <v>10</v>
      </c>
      <c r="C546" s="17"/>
      <c r="D546" s="17"/>
      <c r="E546" s="17"/>
      <c r="F546" s="129"/>
      <c r="G546" s="20"/>
      <c r="H546" s="20">
        <v>1</v>
      </c>
      <c r="I546" s="129">
        <f t="shared" si="32"/>
        <v>0</v>
      </c>
      <c r="J546" s="52">
        <f t="shared" ref="J546:J556" si="33">(F546*G546*H546)/$C$32</f>
        <v>0</v>
      </c>
      <c r="K546" s="80"/>
      <c r="L546" s="82"/>
      <c r="M546" s="10"/>
      <c r="N546" s="10"/>
      <c r="O546" s="10"/>
      <c r="P546" s="10"/>
      <c r="Q546" s="43"/>
      <c r="R546" s="10"/>
      <c r="T546" s="10"/>
    </row>
    <row r="547" spans="2:20" s="1" customFormat="1" ht="12.95" customHeight="1" x14ac:dyDescent="0.15">
      <c r="B547" s="16">
        <v>11</v>
      </c>
      <c r="C547" s="17"/>
      <c r="D547" s="17"/>
      <c r="E547" s="17"/>
      <c r="F547" s="129"/>
      <c r="G547" s="20"/>
      <c r="H547" s="20">
        <v>1</v>
      </c>
      <c r="I547" s="129">
        <f t="shared" si="32"/>
        <v>0</v>
      </c>
      <c r="J547" s="52">
        <f t="shared" si="33"/>
        <v>0</v>
      </c>
      <c r="K547" s="80"/>
      <c r="L547" s="82"/>
      <c r="M547" s="10"/>
      <c r="N547" s="10"/>
      <c r="O547" s="10"/>
      <c r="P547" s="10"/>
      <c r="Q547" s="43"/>
      <c r="R547" s="10"/>
      <c r="T547" s="10"/>
    </row>
    <row r="548" spans="2:20" s="1" customFormat="1" ht="12.95" customHeight="1" x14ac:dyDescent="0.15">
      <c r="B548" s="16">
        <v>12</v>
      </c>
      <c r="C548" s="17"/>
      <c r="D548" s="17"/>
      <c r="E548" s="17"/>
      <c r="F548" s="129"/>
      <c r="G548" s="20"/>
      <c r="H548" s="20">
        <v>1</v>
      </c>
      <c r="I548" s="129">
        <f t="shared" si="32"/>
        <v>0</v>
      </c>
      <c r="J548" s="52">
        <f t="shared" si="33"/>
        <v>0</v>
      </c>
      <c r="K548" s="80"/>
      <c r="L548" s="82"/>
      <c r="M548" s="10"/>
      <c r="N548" s="10"/>
      <c r="O548" s="10"/>
      <c r="P548" s="10"/>
      <c r="Q548" s="43"/>
      <c r="R548" s="10"/>
      <c r="T548" s="10"/>
    </row>
    <row r="549" spans="2:20" s="1" customFormat="1" ht="12.95" customHeight="1" x14ac:dyDescent="0.15">
      <c r="B549" s="16">
        <v>13</v>
      </c>
      <c r="C549" s="17"/>
      <c r="D549" s="17"/>
      <c r="E549" s="17"/>
      <c r="F549" s="129"/>
      <c r="G549" s="20"/>
      <c r="H549" s="20">
        <v>1</v>
      </c>
      <c r="I549" s="129">
        <f t="shared" si="32"/>
        <v>0</v>
      </c>
      <c r="J549" s="52">
        <f t="shared" si="33"/>
        <v>0</v>
      </c>
      <c r="K549" s="80"/>
      <c r="L549" s="82"/>
      <c r="M549" s="10"/>
      <c r="N549" s="10"/>
      <c r="O549" s="10"/>
      <c r="P549" s="10"/>
      <c r="Q549" s="43"/>
      <c r="R549" s="10"/>
      <c r="T549" s="10"/>
    </row>
    <row r="550" spans="2:20" s="1" customFormat="1" ht="12.95" customHeight="1" x14ac:dyDescent="0.15">
      <c r="B550" s="16">
        <v>14</v>
      </c>
      <c r="C550" s="17"/>
      <c r="D550" s="17"/>
      <c r="E550" s="17"/>
      <c r="F550" s="129"/>
      <c r="G550" s="20"/>
      <c r="H550" s="20">
        <v>1</v>
      </c>
      <c r="I550" s="129">
        <f t="shared" si="32"/>
        <v>0</v>
      </c>
      <c r="J550" s="52">
        <f t="shared" si="33"/>
        <v>0</v>
      </c>
      <c r="K550" s="80"/>
      <c r="L550" s="82"/>
      <c r="M550" s="10"/>
      <c r="N550" s="10"/>
      <c r="O550" s="10"/>
      <c r="P550" s="10"/>
      <c r="Q550" s="43"/>
      <c r="R550" s="10"/>
      <c r="T550" s="10"/>
    </row>
    <row r="551" spans="2:20" s="1" customFormat="1" ht="12.95" customHeight="1" x14ac:dyDescent="0.15">
      <c r="B551" s="16">
        <v>15</v>
      </c>
      <c r="C551" s="17"/>
      <c r="D551" s="17"/>
      <c r="E551" s="17"/>
      <c r="F551" s="129"/>
      <c r="G551" s="20"/>
      <c r="H551" s="20">
        <v>1</v>
      </c>
      <c r="I551" s="129">
        <f t="shared" si="32"/>
        <v>0</v>
      </c>
      <c r="J551" s="52">
        <f t="shared" si="33"/>
        <v>0</v>
      </c>
      <c r="K551" s="80"/>
      <c r="L551" s="82"/>
      <c r="M551" s="10"/>
      <c r="N551" s="10"/>
      <c r="O551" s="10"/>
      <c r="P551" s="10"/>
      <c r="Q551" s="43"/>
      <c r="R551" s="10"/>
      <c r="T551" s="10"/>
    </row>
    <row r="552" spans="2:20" s="1" customFormat="1" ht="12.95" customHeight="1" x14ac:dyDescent="0.15">
      <c r="B552" s="16">
        <v>16</v>
      </c>
      <c r="C552" s="17"/>
      <c r="D552" s="17"/>
      <c r="E552" s="17"/>
      <c r="F552" s="129"/>
      <c r="G552" s="20"/>
      <c r="H552" s="20">
        <v>1</v>
      </c>
      <c r="I552" s="129">
        <f t="shared" si="32"/>
        <v>0</v>
      </c>
      <c r="J552" s="52">
        <f t="shared" si="33"/>
        <v>0</v>
      </c>
      <c r="K552" s="80"/>
      <c r="L552" s="82"/>
      <c r="M552" s="10"/>
      <c r="N552" s="10"/>
      <c r="O552" s="10"/>
      <c r="P552" s="10"/>
      <c r="Q552" s="43"/>
      <c r="R552" s="10"/>
      <c r="T552" s="10"/>
    </row>
    <row r="553" spans="2:20" s="1" customFormat="1" ht="12.95" customHeight="1" x14ac:dyDescent="0.15">
      <c r="B553" s="16">
        <v>17</v>
      </c>
      <c r="C553" s="17"/>
      <c r="D553" s="17"/>
      <c r="E553" s="17"/>
      <c r="F553" s="129"/>
      <c r="G553" s="20"/>
      <c r="H553" s="20">
        <v>1</v>
      </c>
      <c r="I553" s="129">
        <f t="shared" si="32"/>
        <v>0</v>
      </c>
      <c r="J553" s="52">
        <f t="shared" si="33"/>
        <v>0</v>
      </c>
      <c r="K553" s="80"/>
      <c r="L553" s="82"/>
      <c r="M553" s="10"/>
      <c r="N553" s="10"/>
      <c r="O553" s="10"/>
      <c r="P553" s="10"/>
      <c r="Q553" s="43"/>
      <c r="R553" s="10"/>
      <c r="T553" s="10"/>
    </row>
    <row r="554" spans="2:20" s="1" customFormat="1" ht="12.95" customHeight="1" x14ac:dyDescent="0.15">
      <c r="B554" s="16">
        <v>18</v>
      </c>
      <c r="C554" s="17"/>
      <c r="D554" s="17"/>
      <c r="E554" s="17"/>
      <c r="F554" s="129"/>
      <c r="G554" s="20"/>
      <c r="H554" s="20">
        <v>1</v>
      </c>
      <c r="I554" s="129">
        <f t="shared" si="32"/>
        <v>0</v>
      </c>
      <c r="J554" s="265">
        <f t="shared" si="33"/>
        <v>0</v>
      </c>
      <c r="K554" s="111"/>
      <c r="L554" s="119"/>
      <c r="M554" s="10"/>
      <c r="N554" s="10"/>
      <c r="O554" s="10"/>
      <c r="P554" s="10"/>
      <c r="Q554" s="43"/>
      <c r="R554" s="10"/>
      <c r="T554" s="10"/>
    </row>
    <row r="555" spans="2:20" s="1" customFormat="1" ht="12.95" customHeight="1" x14ac:dyDescent="0.15">
      <c r="B555" s="16">
        <v>19</v>
      </c>
      <c r="C555" s="17"/>
      <c r="D555" s="17"/>
      <c r="E555" s="17"/>
      <c r="F555" s="129"/>
      <c r="G555" s="20"/>
      <c r="H555" s="20">
        <v>1</v>
      </c>
      <c r="I555" s="262">
        <f t="shared" si="32"/>
        <v>0</v>
      </c>
      <c r="J555" s="266">
        <f t="shared" si="33"/>
        <v>0</v>
      </c>
      <c r="K555" s="82"/>
      <c r="L555" s="82"/>
      <c r="M555" s="10"/>
      <c r="N555" s="10"/>
      <c r="O555" s="10"/>
      <c r="P555" s="10"/>
      <c r="Q555" s="43"/>
      <c r="R555" s="10"/>
      <c r="T555" s="10"/>
    </row>
    <row r="556" spans="2:20" s="1" customFormat="1" ht="12.95" customHeight="1" x14ac:dyDescent="0.15">
      <c r="B556" s="16">
        <v>20</v>
      </c>
      <c r="C556" s="17"/>
      <c r="D556" s="17"/>
      <c r="E556" s="17"/>
      <c r="F556" s="129"/>
      <c r="G556" s="20"/>
      <c r="H556" s="20">
        <v>1</v>
      </c>
      <c r="I556" s="262">
        <f t="shared" si="32"/>
        <v>0</v>
      </c>
      <c r="J556" s="266">
        <f t="shared" si="33"/>
        <v>0</v>
      </c>
      <c r="K556" s="82"/>
      <c r="L556" s="82"/>
      <c r="M556" s="10"/>
      <c r="N556" s="10"/>
      <c r="O556" s="10"/>
      <c r="P556" s="10"/>
      <c r="Q556" s="43"/>
      <c r="R556" s="10"/>
      <c r="T556" s="10"/>
    </row>
    <row r="557" spans="2:20" s="1" customFormat="1" ht="12.95" customHeight="1" x14ac:dyDescent="0.15">
      <c r="B557" s="83"/>
      <c r="C557" s="160"/>
      <c r="D557" s="160"/>
      <c r="E557" s="160"/>
      <c r="F557" s="132"/>
      <c r="G557" s="76"/>
      <c r="H557" s="76"/>
      <c r="I557" s="263"/>
      <c r="J557" s="184"/>
      <c r="K557" s="82"/>
      <c r="L557" s="82"/>
      <c r="M557" s="10"/>
      <c r="N557" s="10"/>
      <c r="O557" s="10"/>
      <c r="P557" s="10"/>
      <c r="Q557" s="43"/>
      <c r="R557" s="10"/>
      <c r="T557" s="10"/>
    </row>
    <row r="558" spans="2:20" s="1" customFormat="1" ht="12.75" x14ac:dyDescent="0.15">
      <c r="B558" s="82"/>
      <c r="C558" s="102"/>
      <c r="D558" s="103"/>
      <c r="E558" s="102"/>
      <c r="F558" s="128">
        <f>SUM(F498:F557)</f>
        <v>0</v>
      </c>
      <c r="G558" s="104"/>
      <c r="H558" s="105"/>
      <c r="I558" s="256">
        <f>SUM(I500:I557)</f>
        <v>0</v>
      </c>
      <c r="J558" s="257">
        <f>SUM(J498:J557)</f>
        <v>0</v>
      </c>
    </row>
    <row r="559" spans="2:20" s="67" customFormat="1" ht="12.75" x14ac:dyDescent="0.15">
      <c r="B559" s="116"/>
      <c r="C559" s="114"/>
      <c r="D559" s="114"/>
      <c r="E559" s="114" t="s">
        <v>147</v>
      </c>
      <c r="F559" s="162">
        <f>100/115*F558</f>
        <v>0</v>
      </c>
      <c r="G559" s="114"/>
      <c r="H559" s="114" t="s">
        <v>147</v>
      </c>
      <c r="I559" s="264">
        <f>100/115*I558</f>
        <v>0</v>
      </c>
      <c r="J559" s="114"/>
    </row>
    <row r="560" spans="2:20" s="1" customFormat="1" ht="13.5" customHeight="1" x14ac:dyDescent="0.15"/>
    <row r="561" spans="2:13" s="1" customFormat="1" ht="16.899999999999999" customHeight="1" x14ac:dyDescent="0.15"/>
    <row r="562" spans="2:13" s="1" customFormat="1" ht="13.5" customHeight="1" x14ac:dyDescent="0.15"/>
    <row r="563" spans="2:13" s="1" customFormat="1" ht="13.5" customHeight="1" x14ac:dyDescent="0.15"/>
    <row r="564" spans="2:13" s="247" customFormat="1" ht="32.25" x14ac:dyDescent="0.4">
      <c r="B564" s="248"/>
      <c r="C564" s="380" t="s">
        <v>112</v>
      </c>
      <c r="D564" s="380"/>
      <c r="E564" s="428" t="s">
        <v>162</v>
      </c>
      <c r="F564" s="428"/>
      <c r="G564" s="428"/>
      <c r="H564" s="428"/>
      <c r="I564" s="428"/>
      <c r="J564" s="382">
        <v>2026</v>
      </c>
      <c r="K564" s="382"/>
      <c r="L564" s="382"/>
    </row>
    <row r="565" spans="2:13" s="1" customFormat="1" ht="42" customHeight="1" x14ac:dyDescent="0.15">
      <c r="B565" s="82"/>
      <c r="C565" s="102" t="s">
        <v>114</v>
      </c>
      <c r="D565" s="388" t="s">
        <v>115</v>
      </c>
      <c r="E565" s="388"/>
      <c r="F565" s="102" t="s">
        <v>116</v>
      </c>
      <c r="G565" s="102" t="s">
        <v>117</v>
      </c>
      <c r="H565" s="102" t="s">
        <v>118</v>
      </c>
      <c r="I565" s="102" t="s">
        <v>119</v>
      </c>
      <c r="J565" s="102" t="s">
        <v>120</v>
      </c>
      <c r="K565" s="82"/>
      <c r="L565" s="82"/>
    </row>
    <row r="566" spans="2:13" s="1" customFormat="1" ht="12.95" customHeight="1" x14ac:dyDescent="0.15">
      <c r="B566" s="84"/>
      <c r="C566" s="149">
        <f>C496</f>
        <v>250</v>
      </c>
      <c r="D566" s="412">
        <v>21</v>
      </c>
      <c r="E566" s="412"/>
      <c r="F566" s="146">
        <f>F496</f>
        <v>0.75</v>
      </c>
      <c r="G566" s="147">
        <f>G496</f>
        <v>8</v>
      </c>
      <c r="H566" s="148">
        <f>D566*G566*F566</f>
        <v>126</v>
      </c>
      <c r="I566" s="149">
        <f>I628</f>
        <v>0</v>
      </c>
      <c r="J566" s="150">
        <f>H566-J628</f>
        <v>126</v>
      </c>
      <c r="K566" s="79"/>
      <c r="L566" s="120"/>
    </row>
    <row r="567" spans="2:13" s="1" customFormat="1" ht="33.75" x14ac:dyDescent="0.15">
      <c r="B567" s="16"/>
      <c r="C567" s="22" t="s">
        <v>121</v>
      </c>
      <c r="D567" s="413" t="s">
        <v>122</v>
      </c>
      <c r="E567" s="413"/>
      <c r="F567" s="33" t="s">
        <v>123</v>
      </c>
      <c r="G567" s="34" t="s">
        <v>124</v>
      </c>
      <c r="H567" s="35" t="s">
        <v>125</v>
      </c>
      <c r="I567" s="125" t="s">
        <v>126</v>
      </c>
      <c r="J567" s="34" t="s">
        <v>127</v>
      </c>
      <c r="K567" s="107" t="s">
        <v>128</v>
      </c>
      <c r="L567" s="123" t="s">
        <v>129</v>
      </c>
    </row>
    <row r="568" spans="2:13" s="1" customFormat="1" ht="12.75" x14ac:dyDescent="0.15">
      <c r="B568" s="16"/>
      <c r="C568" s="22"/>
      <c r="D568" s="32"/>
      <c r="E568" s="32"/>
      <c r="F568" s="33"/>
      <c r="G568" s="34"/>
      <c r="H568" s="35"/>
      <c r="I568" s="125"/>
      <c r="J568" s="34"/>
      <c r="K568" s="110"/>
      <c r="L568" s="117"/>
    </row>
    <row r="569" spans="2:13" s="1" customFormat="1" ht="12.75" x14ac:dyDescent="0.15">
      <c r="B569" s="16"/>
      <c r="C569" s="22" t="s">
        <v>130</v>
      </c>
      <c r="D569" s="32"/>
      <c r="E569" s="32"/>
      <c r="F569" s="151"/>
      <c r="G569" s="34"/>
      <c r="H569" s="35"/>
      <c r="I569" s="125"/>
      <c r="J569" s="34"/>
      <c r="K569" s="110"/>
      <c r="L569" s="117"/>
    </row>
    <row r="570" spans="2:13" s="1" customFormat="1" ht="12.75" customHeight="1" x14ac:dyDescent="0.15">
      <c r="B570" s="16"/>
      <c r="C570" s="37" t="s">
        <v>149</v>
      </c>
      <c r="D570" s="24"/>
      <c r="E570" s="24"/>
      <c r="F570" s="129"/>
      <c r="G570" s="20"/>
      <c r="H570" s="20"/>
      <c r="I570" s="126"/>
      <c r="J570" s="38"/>
      <c r="K570" s="80"/>
      <c r="L570" s="82"/>
    </row>
    <row r="571" spans="2:13" s="4" customFormat="1" ht="12.75" customHeight="1" x14ac:dyDescent="0.15">
      <c r="B571" s="26">
        <v>1</v>
      </c>
      <c r="C571" s="17"/>
      <c r="D571" s="24"/>
      <c r="E571" s="24"/>
      <c r="F571" s="129"/>
      <c r="G571" s="20"/>
      <c r="H571" s="20">
        <v>1</v>
      </c>
      <c r="I571" s="129">
        <f t="shared" ref="I571:I588" si="34">J571*$C$32</f>
        <v>0</v>
      </c>
      <c r="J571" s="52">
        <f t="shared" ref="J571:J584" si="35">(F571*G571*H571)/$C$32</f>
        <v>0</v>
      </c>
      <c r="K571" s="108"/>
      <c r="L571" s="113"/>
    </row>
    <row r="572" spans="2:13" s="4" customFormat="1" ht="12.75" customHeight="1" x14ac:dyDescent="0.15">
      <c r="B572" s="26">
        <v>2</v>
      </c>
      <c r="C572" s="17"/>
      <c r="D572" s="24"/>
      <c r="E572" s="24"/>
      <c r="F572" s="129"/>
      <c r="G572" s="20"/>
      <c r="H572" s="20">
        <v>1</v>
      </c>
      <c r="I572" s="129">
        <f t="shared" si="34"/>
        <v>0</v>
      </c>
      <c r="J572" s="52">
        <f t="shared" si="35"/>
        <v>0</v>
      </c>
      <c r="K572" s="108"/>
      <c r="L572" s="113"/>
      <c r="M572" s="144"/>
    </row>
    <row r="573" spans="2:13" s="4" customFormat="1" ht="12.95" customHeight="1" x14ac:dyDescent="0.15">
      <c r="B573" s="26">
        <v>3</v>
      </c>
      <c r="C573" s="17"/>
      <c r="D573" s="24"/>
      <c r="E573" s="24"/>
      <c r="F573" s="129"/>
      <c r="G573" s="20"/>
      <c r="H573" s="20">
        <v>1</v>
      </c>
      <c r="I573" s="129">
        <f t="shared" si="34"/>
        <v>0</v>
      </c>
      <c r="J573" s="52">
        <f t="shared" si="35"/>
        <v>0</v>
      </c>
      <c r="K573" s="108"/>
      <c r="L573" s="113"/>
      <c r="M573" s="145"/>
    </row>
    <row r="574" spans="2:13" s="4" customFormat="1" ht="12.95" customHeight="1" x14ac:dyDescent="0.15">
      <c r="B574" s="26">
        <v>4</v>
      </c>
      <c r="C574" s="16"/>
      <c r="D574" s="18"/>
      <c r="E574" s="18"/>
      <c r="F574" s="129"/>
      <c r="G574" s="20"/>
      <c r="H574" s="20">
        <v>1</v>
      </c>
      <c r="I574" s="129">
        <f t="shared" si="34"/>
        <v>0</v>
      </c>
      <c r="J574" s="52">
        <f t="shared" si="35"/>
        <v>0</v>
      </c>
      <c r="K574" s="108"/>
      <c r="L574" s="113"/>
    </row>
    <row r="575" spans="2:13" s="4" customFormat="1" ht="12.95" customHeight="1" x14ac:dyDescent="0.15">
      <c r="B575" s="26">
        <v>5</v>
      </c>
      <c r="C575" s="17"/>
      <c r="D575" s="53"/>
      <c r="E575" s="53"/>
      <c r="F575" s="129"/>
      <c r="G575" s="20"/>
      <c r="H575" s="20">
        <v>1</v>
      </c>
      <c r="I575" s="129">
        <f t="shared" si="34"/>
        <v>0</v>
      </c>
      <c r="J575" s="27">
        <f t="shared" si="35"/>
        <v>0</v>
      </c>
      <c r="K575" s="108"/>
      <c r="L575" s="113"/>
    </row>
    <row r="576" spans="2:13" s="4" customFormat="1" ht="12.95" customHeight="1" x14ac:dyDescent="0.15">
      <c r="B576" s="26">
        <v>6</v>
      </c>
      <c r="C576" s="17"/>
      <c r="D576" s="24"/>
      <c r="E576" s="24"/>
      <c r="F576" s="129"/>
      <c r="G576" s="20"/>
      <c r="H576" s="20">
        <v>1</v>
      </c>
      <c r="I576" s="129">
        <f t="shared" si="34"/>
        <v>0</v>
      </c>
      <c r="J576" s="52">
        <f t="shared" si="35"/>
        <v>0</v>
      </c>
      <c r="K576" s="108"/>
      <c r="L576" s="113"/>
    </row>
    <row r="577" spans="2:12" s="4" customFormat="1" ht="12.95" customHeight="1" x14ac:dyDescent="0.15">
      <c r="B577" s="26">
        <v>7</v>
      </c>
      <c r="C577" s="17"/>
      <c r="D577" s="22"/>
      <c r="E577" s="22"/>
      <c r="F577" s="129"/>
      <c r="G577" s="20"/>
      <c r="H577" s="20">
        <v>1</v>
      </c>
      <c r="I577" s="129">
        <f t="shared" si="34"/>
        <v>0</v>
      </c>
      <c r="J577" s="27">
        <f t="shared" si="35"/>
        <v>0</v>
      </c>
      <c r="K577" s="108"/>
      <c r="L577" s="113"/>
    </row>
    <row r="578" spans="2:12" s="4" customFormat="1" ht="12.95" customHeight="1" x14ac:dyDescent="0.15">
      <c r="B578" s="26">
        <v>8</v>
      </c>
      <c r="C578" s="17"/>
      <c r="D578" s="18"/>
      <c r="E578" s="24"/>
      <c r="F578" s="129"/>
      <c r="G578" s="20"/>
      <c r="H578" s="20">
        <v>1</v>
      </c>
      <c r="I578" s="129">
        <f t="shared" si="34"/>
        <v>0</v>
      </c>
      <c r="J578" s="52">
        <f t="shared" si="35"/>
        <v>0</v>
      </c>
      <c r="K578" s="108"/>
      <c r="L578" s="113"/>
    </row>
    <row r="579" spans="2:12" s="4" customFormat="1" ht="12.95" customHeight="1" x14ac:dyDescent="0.15">
      <c r="B579" s="26">
        <v>9</v>
      </c>
      <c r="C579" s="17"/>
      <c r="D579" s="18"/>
      <c r="E579" s="24"/>
      <c r="F579" s="129"/>
      <c r="G579" s="20"/>
      <c r="H579" s="20">
        <v>1</v>
      </c>
      <c r="I579" s="129">
        <f t="shared" si="34"/>
        <v>0</v>
      </c>
      <c r="J579" s="52">
        <f t="shared" si="35"/>
        <v>0</v>
      </c>
      <c r="K579" s="108"/>
      <c r="L579" s="113"/>
    </row>
    <row r="580" spans="2:12" s="4" customFormat="1" ht="12.95" customHeight="1" x14ac:dyDescent="0.15">
      <c r="B580" s="26">
        <v>10</v>
      </c>
      <c r="C580" s="17"/>
      <c r="D580" s="24"/>
      <c r="E580" s="18"/>
      <c r="F580" s="129"/>
      <c r="G580" s="20"/>
      <c r="H580" s="20">
        <v>1</v>
      </c>
      <c r="I580" s="129">
        <f t="shared" si="34"/>
        <v>0</v>
      </c>
      <c r="J580" s="52">
        <f t="shared" si="35"/>
        <v>0</v>
      </c>
      <c r="K580" s="108"/>
      <c r="L580" s="113"/>
    </row>
    <row r="581" spans="2:12" s="4" customFormat="1" ht="12.95" customHeight="1" x14ac:dyDescent="0.15">
      <c r="B581" s="26"/>
      <c r="C581" s="17"/>
      <c r="D581" s="24"/>
      <c r="E581" s="18"/>
      <c r="F581" s="129"/>
      <c r="G581" s="20"/>
      <c r="H581" s="20"/>
      <c r="I581" s="129"/>
      <c r="J581" s="52"/>
      <c r="K581" s="108"/>
      <c r="L581" s="113"/>
    </row>
    <row r="582" spans="2:12" s="4" customFormat="1" ht="12.95" customHeight="1" x14ac:dyDescent="0.15">
      <c r="B582" s="26"/>
      <c r="C582" s="17"/>
      <c r="D582" s="24"/>
      <c r="E582" s="18"/>
      <c r="F582" s="129"/>
      <c r="G582" s="20"/>
      <c r="H582" s="20"/>
      <c r="I582" s="129"/>
      <c r="J582" s="52"/>
      <c r="K582" s="108"/>
      <c r="L582" s="113"/>
    </row>
    <row r="583" spans="2:12" s="4" customFormat="1" ht="12.95" customHeight="1" x14ac:dyDescent="0.15">
      <c r="B583" s="26"/>
      <c r="C583" s="22" t="s">
        <v>153</v>
      </c>
      <c r="D583" s="24"/>
      <c r="E583" s="18"/>
      <c r="F583" s="129"/>
      <c r="G583" s="20"/>
      <c r="H583" s="20"/>
      <c r="I583" s="129"/>
      <c r="J583" s="52"/>
      <c r="K583" s="108"/>
      <c r="L583" s="113"/>
    </row>
    <row r="584" spans="2:12" s="4" customFormat="1" ht="12.95" customHeight="1" x14ac:dyDescent="0.15">
      <c r="B584" s="26">
        <v>1</v>
      </c>
      <c r="C584" s="17"/>
      <c r="D584" s="24"/>
      <c r="E584" s="24"/>
      <c r="F584" s="129"/>
      <c r="G584" s="20"/>
      <c r="H584" s="20">
        <v>1</v>
      </c>
      <c r="I584" s="129">
        <f t="shared" si="34"/>
        <v>0</v>
      </c>
      <c r="J584" s="52">
        <f t="shared" si="35"/>
        <v>0</v>
      </c>
      <c r="K584" s="108"/>
      <c r="L584" s="113"/>
    </row>
    <row r="585" spans="2:12" s="4" customFormat="1" ht="12.95" customHeight="1" x14ac:dyDescent="0.15">
      <c r="B585" s="26">
        <v>2</v>
      </c>
      <c r="C585" s="17"/>
      <c r="D585" s="24"/>
      <c r="E585" s="24"/>
      <c r="F585" s="129"/>
      <c r="G585" s="20"/>
      <c r="H585" s="20">
        <v>1</v>
      </c>
      <c r="I585" s="129">
        <f t="shared" si="34"/>
        <v>0</v>
      </c>
      <c r="J585" s="52">
        <f>(F585*G585*H585)/$C$32</f>
        <v>0</v>
      </c>
      <c r="K585" s="108"/>
      <c r="L585" s="113"/>
    </row>
    <row r="586" spans="2:12" s="4" customFormat="1" ht="12.95" customHeight="1" x14ac:dyDescent="0.15">
      <c r="B586" s="26">
        <v>3</v>
      </c>
      <c r="C586" s="24"/>
      <c r="D586" s="24"/>
      <c r="E586" s="24"/>
      <c r="F586" s="129"/>
      <c r="G586" s="20"/>
      <c r="H586" s="20">
        <v>1</v>
      </c>
      <c r="I586" s="129">
        <f t="shared" si="34"/>
        <v>0</v>
      </c>
      <c r="J586" s="52">
        <f>(F586*G586*H586)/$C$32</f>
        <v>0</v>
      </c>
      <c r="K586" s="108"/>
      <c r="L586" s="113"/>
    </row>
    <row r="587" spans="2:12" s="4" customFormat="1" ht="12.95" customHeight="1" x14ac:dyDescent="0.15">
      <c r="B587" s="26">
        <v>4</v>
      </c>
      <c r="C587" s="24"/>
      <c r="D587" s="18"/>
      <c r="E587" s="18"/>
      <c r="F587" s="129"/>
      <c r="G587" s="20"/>
      <c r="H587" s="20">
        <v>1</v>
      </c>
      <c r="I587" s="129">
        <f t="shared" si="34"/>
        <v>0</v>
      </c>
      <c r="J587" s="27">
        <f t="shared" ref="J587:J589" si="36">(F587*G587*H587)/$C$32</f>
        <v>0</v>
      </c>
      <c r="K587" s="108"/>
      <c r="L587" s="113"/>
    </row>
    <row r="588" spans="2:12" s="4" customFormat="1" ht="14.85" customHeight="1" x14ac:dyDescent="0.15">
      <c r="B588" s="26">
        <v>5</v>
      </c>
      <c r="C588" s="24"/>
      <c r="D588" s="24"/>
      <c r="E588" s="24"/>
      <c r="F588" s="129"/>
      <c r="G588" s="20"/>
      <c r="H588" s="20">
        <v>1</v>
      </c>
      <c r="I588" s="129">
        <f t="shared" si="34"/>
        <v>0</v>
      </c>
      <c r="J588" s="52">
        <f t="shared" si="36"/>
        <v>0</v>
      </c>
      <c r="K588" s="108"/>
      <c r="L588" s="113"/>
    </row>
    <row r="589" spans="2:12" s="4" customFormat="1" ht="12.95" customHeight="1" x14ac:dyDescent="0.15">
      <c r="B589" s="26">
        <v>6</v>
      </c>
      <c r="C589" s="17"/>
      <c r="D589" s="18"/>
      <c r="E589" s="18"/>
      <c r="F589" s="129"/>
      <c r="G589" s="20"/>
      <c r="H589" s="20">
        <v>1</v>
      </c>
      <c r="I589" s="129">
        <f>J589*$C$32</f>
        <v>0</v>
      </c>
      <c r="J589" s="27">
        <f t="shared" si="36"/>
        <v>0</v>
      </c>
      <c r="K589" s="108"/>
      <c r="L589" s="113"/>
    </row>
    <row r="590" spans="2:12" s="4" customFormat="1" ht="12.95" customHeight="1" x14ac:dyDescent="0.15">
      <c r="B590" s="26">
        <v>7</v>
      </c>
      <c r="C590" s="17"/>
      <c r="D590" s="24"/>
      <c r="E590" s="24"/>
      <c r="F590" s="129"/>
      <c r="G590" s="20"/>
      <c r="H590" s="20">
        <v>1</v>
      </c>
      <c r="I590" s="129">
        <f t="shared" ref="I590" si="37">J590*$C$32</f>
        <v>0</v>
      </c>
      <c r="J590" s="54">
        <f>(F590*G590*H590)/$C$32</f>
        <v>0</v>
      </c>
      <c r="K590" s="108"/>
      <c r="L590" s="113"/>
    </row>
    <row r="591" spans="2:12" s="4" customFormat="1" ht="12.95" customHeight="1" x14ac:dyDescent="0.15">
      <c r="B591" s="26">
        <v>8</v>
      </c>
      <c r="C591" s="17"/>
      <c r="D591" s="24"/>
      <c r="E591" s="24"/>
      <c r="F591" s="129"/>
      <c r="G591" s="20"/>
      <c r="H591" s="20">
        <v>1</v>
      </c>
      <c r="I591" s="129">
        <f>J591*$C$32</f>
        <v>0</v>
      </c>
      <c r="J591" s="54">
        <f>(F591*G591*H591)/$C$32</f>
        <v>0</v>
      </c>
      <c r="K591" s="108"/>
      <c r="L591" s="113"/>
    </row>
    <row r="592" spans="2:12" s="4" customFormat="1" ht="12.95" customHeight="1" x14ac:dyDescent="0.15">
      <c r="B592" s="26">
        <v>9</v>
      </c>
      <c r="C592" s="17"/>
      <c r="D592" s="24"/>
      <c r="E592" s="24"/>
      <c r="F592" s="129"/>
      <c r="G592" s="20"/>
      <c r="H592" s="20">
        <v>1</v>
      </c>
      <c r="I592" s="129">
        <f t="shared" ref="I592:I603" si="38">J592*$C$32</f>
        <v>0</v>
      </c>
      <c r="J592" s="52">
        <f t="shared" ref="J592:J603" si="39">(F592*G592*H592)/$C$32</f>
        <v>0</v>
      </c>
      <c r="K592" s="108"/>
      <c r="L592" s="113"/>
    </row>
    <row r="593" spans="2:20" s="4" customFormat="1" ht="12.95" customHeight="1" x14ac:dyDescent="0.15">
      <c r="B593" s="26">
        <v>10</v>
      </c>
      <c r="C593" s="17"/>
      <c r="D593" s="24"/>
      <c r="E593" s="24"/>
      <c r="F593" s="129"/>
      <c r="G593" s="20"/>
      <c r="H593" s="20">
        <v>1</v>
      </c>
      <c r="I593" s="129">
        <f t="shared" si="38"/>
        <v>0</v>
      </c>
      <c r="J593" s="52">
        <f t="shared" si="39"/>
        <v>0</v>
      </c>
      <c r="K593" s="108"/>
      <c r="L593" s="113"/>
    </row>
    <row r="594" spans="2:20" s="4" customFormat="1" ht="12.95" customHeight="1" x14ac:dyDescent="0.15">
      <c r="B594" s="26">
        <v>11</v>
      </c>
      <c r="C594" s="17"/>
      <c r="D594" s="24"/>
      <c r="E594" s="24"/>
      <c r="F594" s="129"/>
      <c r="G594" s="20"/>
      <c r="H594" s="20">
        <v>1</v>
      </c>
      <c r="I594" s="129">
        <f t="shared" si="38"/>
        <v>0</v>
      </c>
      <c r="J594" s="52">
        <f t="shared" si="39"/>
        <v>0</v>
      </c>
      <c r="K594" s="108"/>
      <c r="L594" s="113"/>
    </row>
    <row r="595" spans="2:20" s="4" customFormat="1" ht="12.95" customHeight="1" x14ac:dyDescent="0.15">
      <c r="B595" s="26">
        <v>12</v>
      </c>
      <c r="C595" s="17"/>
      <c r="D595" s="24"/>
      <c r="E595" s="24"/>
      <c r="F595" s="129"/>
      <c r="G595" s="20"/>
      <c r="H595" s="20">
        <v>1</v>
      </c>
      <c r="I595" s="129">
        <f t="shared" si="38"/>
        <v>0</v>
      </c>
      <c r="J595" s="52">
        <f t="shared" si="39"/>
        <v>0</v>
      </c>
      <c r="K595" s="108"/>
      <c r="L595" s="113"/>
    </row>
    <row r="596" spans="2:20" s="4" customFormat="1" ht="12.95" customHeight="1" x14ac:dyDescent="0.15">
      <c r="B596" s="26">
        <v>13</v>
      </c>
      <c r="C596" s="17"/>
      <c r="D596" s="18"/>
      <c r="E596" s="18"/>
      <c r="F596" s="129"/>
      <c r="G596" s="20"/>
      <c r="H596" s="20">
        <v>1</v>
      </c>
      <c r="I596" s="129">
        <f t="shared" si="38"/>
        <v>0</v>
      </c>
      <c r="J596" s="52">
        <f t="shared" si="39"/>
        <v>0</v>
      </c>
      <c r="K596" s="108"/>
      <c r="L596" s="113"/>
    </row>
    <row r="597" spans="2:20" s="4" customFormat="1" ht="12.95" customHeight="1" x14ac:dyDescent="0.15">
      <c r="B597" s="26">
        <v>14</v>
      </c>
      <c r="C597" s="17"/>
      <c r="D597" s="18"/>
      <c r="E597" s="18"/>
      <c r="F597" s="129"/>
      <c r="G597" s="20"/>
      <c r="H597" s="20">
        <v>1</v>
      </c>
      <c r="I597" s="129">
        <f t="shared" si="38"/>
        <v>0</v>
      </c>
      <c r="J597" s="52">
        <f t="shared" si="39"/>
        <v>0</v>
      </c>
      <c r="K597" s="108"/>
      <c r="L597" s="113"/>
    </row>
    <row r="598" spans="2:20" s="4" customFormat="1" ht="12.95" customHeight="1" x14ac:dyDescent="0.15">
      <c r="B598" s="26">
        <v>15</v>
      </c>
      <c r="C598" s="17"/>
      <c r="D598" s="18"/>
      <c r="E598" s="18"/>
      <c r="F598" s="129"/>
      <c r="G598" s="20"/>
      <c r="H598" s="20">
        <v>1</v>
      </c>
      <c r="I598" s="129">
        <f t="shared" si="38"/>
        <v>0</v>
      </c>
      <c r="J598" s="52">
        <f t="shared" si="39"/>
        <v>0</v>
      </c>
      <c r="K598" s="108"/>
      <c r="L598" s="113"/>
    </row>
    <row r="599" spans="2:20" s="4" customFormat="1" ht="12.95" customHeight="1" x14ac:dyDescent="0.15">
      <c r="B599" s="26">
        <v>16</v>
      </c>
      <c r="C599" s="11"/>
      <c r="D599" s="18"/>
      <c r="E599" s="18"/>
      <c r="F599" s="129"/>
      <c r="G599" s="20"/>
      <c r="H599" s="20">
        <v>1</v>
      </c>
      <c r="I599" s="126">
        <f t="shared" si="38"/>
        <v>0</v>
      </c>
      <c r="J599" s="21">
        <f t="shared" si="39"/>
        <v>0</v>
      </c>
      <c r="K599" s="108"/>
      <c r="L599" s="113"/>
    </row>
    <row r="600" spans="2:20" s="4" customFormat="1" ht="12.95" customHeight="1" x14ac:dyDescent="0.15">
      <c r="B600" s="26">
        <v>17</v>
      </c>
      <c r="C600" s="23"/>
      <c r="D600" s="48"/>
      <c r="E600" s="48"/>
      <c r="F600" s="126"/>
      <c r="G600" s="50"/>
      <c r="H600" s="20">
        <v>1</v>
      </c>
      <c r="I600" s="126">
        <f t="shared" si="38"/>
        <v>0</v>
      </c>
      <c r="J600" s="21">
        <f t="shared" si="39"/>
        <v>0</v>
      </c>
      <c r="K600" s="108"/>
      <c r="L600" s="113"/>
    </row>
    <row r="601" spans="2:20" s="4" customFormat="1" ht="12.95" customHeight="1" x14ac:dyDescent="0.15">
      <c r="B601" s="26">
        <v>18</v>
      </c>
      <c r="C601" s="23"/>
      <c r="D601" s="48"/>
      <c r="E601" s="48"/>
      <c r="F601" s="126"/>
      <c r="G601" s="50"/>
      <c r="H601" s="20">
        <v>1</v>
      </c>
      <c r="I601" s="126">
        <f t="shared" si="38"/>
        <v>0</v>
      </c>
      <c r="J601" s="21">
        <f t="shared" si="39"/>
        <v>0</v>
      </c>
      <c r="K601" s="108"/>
      <c r="L601" s="113"/>
    </row>
    <row r="602" spans="2:20" s="4" customFormat="1" ht="12.95" customHeight="1" x14ac:dyDescent="0.15">
      <c r="B602" s="26">
        <v>19</v>
      </c>
      <c r="C602" s="23"/>
      <c r="D602" s="48"/>
      <c r="E602" s="48"/>
      <c r="F602" s="126"/>
      <c r="G602" s="50"/>
      <c r="H602" s="20">
        <v>1</v>
      </c>
      <c r="I602" s="126">
        <f t="shared" si="38"/>
        <v>0</v>
      </c>
      <c r="J602" s="21">
        <f t="shared" si="39"/>
        <v>0</v>
      </c>
      <c r="K602" s="108"/>
      <c r="L602" s="113"/>
    </row>
    <row r="603" spans="2:20" s="4" customFormat="1" ht="12.95" customHeight="1" x14ac:dyDescent="0.15">
      <c r="B603" s="26">
        <v>20</v>
      </c>
      <c r="C603" s="23"/>
      <c r="D603" s="48"/>
      <c r="E603" s="48"/>
      <c r="F603" s="126"/>
      <c r="G603" s="50"/>
      <c r="H603" s="20">
        <v>1</v>
      </c>
      <c r="I603" s="126">
        <f t="shared" si="38"/>
        <v>0</v>
      </c>
      <c r="J603" s="21">
        <f t="shared" si="39"/>
        <v>0</v>
      </c>
      <c r="K603" s="108"/>
      <c r="L603" s="113"/>
    </row>
    <row r="604" spans="2:20" s="4" customFormat="1" ht="12.95" customHeight="1" x14ac:dyDescent="0.15">
      <c r="B604" s="26"/>
      <c r="C604" s="23"/>
      <c r="D604" s="48"/>
      <c r="E604" s="48"/>
      <c r="F604" s="126"/>
      <c r="G604" s="50"/>
      <c r="H604" s="50"/>
      <c r="I604" s="126"/>
      <c r="J604" s="38"/>
      <c r="K604" s="108"/>
      <c r="L604" s="113"/>
    </row>
    <row r="605" spans="2:20" s="4" customFormat="1" ht="12.95" customHeight="1" x14ac:dyDescent="0.15">
      <c r="B605" s="26"/>
      <c r="C605" s="23"/>
      <c r="D605" s="48"/>
      <c r="E605" s="48"/>
      <c r="F605" s="126"/>
      <c r="G605" s="50"/>
      <c r="H605" s="50"/>
      <c r="I605" s="126"/>
      <c r="J605" s="38"/>
      <c r="K605" s="108"/>
      <c r="L605" s="113"/>
    </row>
    <row r="606" spans="2:20" s="4" customFormat="1" ht="12.95" customHeight="1" x14ac:dyDescent="0.15">
      <c r="B606" s="26"/>
      <c r="C606" s="72" t="s">
        <v>132</v>
      </c>
      <c r="D606" s="48"/>
      <c r="E606" s="48"/>
      <c r="F606" s="126"/>
      <c r="G606" s="50"/>
      <c r="H606" s="50"/>
      <c r="I606" s="126"/>
      <c r="J606" s="38"/>
      <c r="K606" s="108"/>
      <c r="L606" s="113"/>
    </row>
    <row r="607" spans="2:20" s="4" customFormat="1" ht="12.95" customHeight="1" x14ac:dyDescent="0.15">
      <c r="B607" s="26">
        <v>1</v>
      </c>
      <c r="C607" s="59"/>
      <c r="D607" s="49"/>
      <c r="E607" s="49"/>
      <c r="F607" s="126"/>
      <c r="G607" s="50"/>
      <c r="H607" s="50">
        <v>1</v>
      </c>
      <c r="I607" s="126">
        <f t="shared" ref="I607" si="40">J607*$C$32</f>
        <v>0</v>
      </c>
      <c r="J607" s="21">
        <f t="shared" ref="J607:J626" si="41">(F607*G607*H607)/$C$32</f>
        <v>0</v>
      </c>
      <c r="K607" s="108"/>
      <c r="L607" s="113"/>
      <c r="M607" s="57"/>
      <c r="N607" s="57"/>
      <c r="O607" s="57"/>
      <c r="P607" s="57"/>
      <c r="Q607" s="58"/>
      <c r="R607" s="57"/>
      <c r="T607" s="57"/>
    </row>
    <row r="608" spans="2:20" s="4" customFormat="1" ht="12.95" customHeight="1" x14ac:dyDescent="0.15">
      <c r="B608" s="26">
        <v>2</v>
      </c>
      <c r="C608" s="60"/>
      <c r="D608" s="49"/>
      <c r="E608" s="49"/>
      <c r="F608" s="126"/>
      <c r="G608" s="50"/>
      <c r="H608" s="50">
        <v>1</v>
      </c>
      <c r="I608" s="126">
        <f>J608*$C$32</f>
        <v>0</v>
      </c>
      <c r="J608" s="21">
        <f t="shared" si="41"/>
        <v>0</v>
      </c>
      <c r="K608" s="108"/>
      <c r="L608" s="113"/>
      <c r="M608" s="57"/>
      <c r="N608" s="57"/>
      <c r="O608" s="57"/>
      <c r="P608" s="57"/>
      <c r="Q608" s="58"/>
      <c r="R608" s="57"/>
      <c r="T608" s="57"/>
    </row>
    <row r="609" spans="2:20" s="4" customFormat="1" ht="12.95" customHeight="1" x14ac:dyDescent="0.15">
      <c r="B609" s="26">
        <v>3</v>
      </c>
      <c r="C609" s="59"/>
      <c r="D609" s="49"/>
      <c r="E609" s="49"/>
      <c r="F609" s="126"/>
      <c r="G609" s="50"/>
      <c r="H609" s="50">
        <v>1</v>
      </c>
      <c r="I609" s="126">
        <f t="shared" ref="I609:I626" si="42">J609*$C$32</f>
        <v>0</v>
      </c>
      <c r="J609" s="21">
        <f t="shared" si="41"/>
        <v>0</v>
      </c>
      <c r="K609" s="108"/>
      <c r="L609" s="113"/>
      <c r="M609" s="57"/>
      <c r="N609" s="57"/>
      <c r="O609" s="57"/>
      <c r="P609" s="57"/>
      <c r="Q609" s="58"/>
      <c r="R609" s="57"/>
      <c r="T609" s="57"/>
    </row>
    <row r="610" spans="2:20" s="4" customFormat="1" ht="12.95" customHeight="1" x14ac:dyDescent="0.15">
      <c r="B610" s="26">
        <v>4</v>
      </c>
      <c r="C610" s="61"/>
      <c r="D610" s="49"/>
      <c r="E610" s="49"/>
      <c r="F610" s="126"/>
      <c r="G610" s="50"/>
      <c r="H610" s="50">
        <v>1</v>
      </c>
      <c r="I610" s="126">
        <f t="shared" si="42"/>
        <v>0</v>
      </c>
      <c r="J610" s="21">
        <f t="shared" si="41"/>
        <v>0</v>
      </c>
      <c r="K610" s="108"/>
      <c r="L610" s="113"/>
      <c r="M610" s="57"/>
      <c r="N610" s="57"/>
      <c r="O610" s="57"/>
      <c r="P610" s="57"/>
      <c r="Q610" s="58"/>
      <c r="R610" s="57"/>
      <c r="T610" s="57"/>
    </row>
    <row r="611" spans="2:20" s="1" customFormat="1" ht="12.95" customHeight="1" x14ac:dyDescent="0.15">
      <c r="B611" s="16">
        <v>5</v>
      </c>
      <c r="C611" s="11"/>
      <c r="D611" s="18"/>
      <c r="E611" s="18"/>
      <c r="F611" s="129"/>
      <c r="G611" s="20"/>
      <c r="H611" s="20">
        <v>1</v>
      </c>
      <c r="I611" s="126">
        <f t="shared" si="42"/>
        <v>0</v>
      </c>
      <c r="J611" s="21">
        <f t="shared" si="41"/>
        <v>0</v>
      </c>
      <c r="K611" s="80"/>
      <c r="L611" s="82"/>
      <c r="M611" s="10"/>
      <c r="N611" s="10"/>
      <c r="O611" s="10"/>
      <c r="P611" s="10"/>
      <c r="Q611" s="43"/>
      <c r="R611" s="10"/>
      <c r="T611" s="10"/>
    </row>
    <row r="612" spans="2:20" s="1" customFormat="1" ht="12.95" customHeight="1" x14ac:dyDescent="0.15">
      <c r="B612" s="16">
        <v>6</v>
      </c>
      <c r="C612" s="46"/>
      <c r="D612" s="18"/>
      <c r="E612" s="18"/>
      <c r="F612" s="129"/>
      <c r="G612" s="20"/>
      <c r="H612" s="20">
        <v>1</v>
      </c>
      <c r="I612" s="126">
        <f t="shared" si="42"/>
        <v>0</v>
      </c>
      <c r="J612" s="21">
        <f t="shared" si="41"/>
        <v>0</v>
      </c>
      <c r="K612" s="80"/>
      <c r="L612" s="82"/>
      <c r="M612" s="10"/>
      <c r="N612" s="10"/>
      <c r="O612" s="10"/>
      <c r="P612" s="10"/>
      <c r="Q612" s="43"/>
      <c r="R612" s="10"/>
      <c r="T612" s="10"/>
    </row>
    <row r="613" spans="2:20" s="1" customFormat="1" ht="12.95" customHeight="1" x14ac:dyDescent="0.15">
      <c r="B613" s="16">
        <v>7</v>
      </c>
      <c r="C613" s="11"/>
      <c r="D613" s="18"/>
      <c r="E613" s="18"/>
      <c r="F613" s="129"/>
      <c r="G613" s="20"/>
      <c r="H613" s="20">
        <v>1</v>
      </c>
      <c r="I613" s="126">
        <f t="shared" si="42"/>
        <v>0</v>
      </c>
      <c r="J613" s="21">
        <f t="shared" si="41"/>
        <v>0</v>
      </c>
      <c r="K613" s="80"/>
      <c r="L613" s="82"/>
      <c r="M613" s="10"/>
      <c r="N613" s="10"/>
      <c r="O613" s="10"/>
      <c r="P613" s="10"/>
      <c r="Q613" s="43"/>
      <c r="R613" s="10"/>
      <c r="T613" s="10"/>
    </row>
    <row r="614" spans="2:20" s="1" customFormat="1" ht="12.95" customHeight="1" x14ac:dyDescent="0.15">
      <c r="B614" s="16">
        <v>8</v>
      </c>
      <c r="C614" s="11"/>
      <c r="D614" s="18"/>
      <c r="E614" s="18"/>
      <c r="F614" s="129"/>
      <c r="G614" s="20"/>
      <c r="H614" s="20">
        <v>1</v>
      </c>
      <c r="I614" s="126">
        <f t="shared" si="42"/>
        <v>0</v>
      </c>
      <c r="J614" s="21">
        <f t="shared" si="41"/>
        <v>0</v>
      </c>
      <c r="K614" s="80"/>
      <c r="L614" s="82"/>
      <c r="M614" s="10"/>
      <c r="N614" s="10"/>
      <c r="O614" s="10"/>
      <c r="P614" s="10"/>
      <c r="Q614" s="43"/>
      <c r="R614" s="10"/>
      <c r="T614" s="10"/>
    </row>
    <row r="615" spans="2:20" s="1" customFormat="1" ht="12.95" customHeight="1" x14ac:dyDescent="0.15">
      <c r="B615" s="16">
        <v>9</v>
      </c>
      <c r="C615" s="11"/>
      <c r="D615" s="18"/>
      <c r="E615" s="18"/>
      <c r="F615" s="129"/>
      <c r="G615" s="20"/>
      <c r="H615" s="20">
        <v>1</v>
      </c>
      <c r="I615" s="126">
        <f t="shared" si="42"/>
        <v>0</v>
      </c>
      <c r="J615" s="21">
        <f t="shared" si="41"/>
        <v>0</v>
      </c>
      <c r="K615" s="80"/>
      <c r="L615" s="82"/>
      <c r="M615" s="10"/>
      <c r="N615" s="10"/>
      <c r="O615" s="10"/>
      <c r="P615" s="10"/>
      <c r="Q615" s="43"/>
      <c r="R615" s="10"/>
      <c r="T615" s="10"/>
    </row>
    <row r="616" spans="2:20" s="1" customFormat="1" ht="12.95" customHeight="1" x14ac:dyDescent="0.15">
      <c r="B616" s="16">
        <v>10</v>
      </c>
      <c r="C616" s="11"/>
      <c r="D616" s="18"/>
      <c r="E616" s="18"/>
      <c r="F616" s="129"/>
      <c r="G616" s="20"/>
      <c r="H616" s="20">
        <v>1</v>
      </c>
      <c r="I616" s="126">
        <f t="shared" si="42"/>
        <v>0</v>
      </c>
      <c r="J616" s="21">
        <f t="shared" si="41"/>
        <v>0</v>
      </c>
      <c r="K616" s="80"/>
      <c r="L616" s="82"/>
      <c r="M616" s="10"/>
      <c r="N616" s="10"/>
      <c r="O616" s="10"/>
      <c r="P616" s="10"/>
      <c r="Q616" s="43"/>
      <c r="R616" s="10"/>
      <c r="T616" s="10"/>
    </row>
    <row r="617" spans="2:20" s="1" customFormat="1" ht="12.95" customHeight="1" x14ac:dyDescent="0.15">
      <c r="B617" s="16">
        <v>11</v>
      </c>
      <c r="C617" s="11"/>
      <c r="D617" s="18"/>
      <c r="E617" s="18"/>
      <c r="F617" s="129"/>
      <c r="G617" s="20"/>
      <c r="H617" s="20">
        <v>1</v>
      </c>
      <c r="I617" s="126">
        <f t="shared" si="42"/>
        <v>0</v>
      </c>
      <c r="J617" s="21">
        <f t="shared" si="41"/>
        <v>0</v>
      </c>
      <c r="K617" s="80"/>
      <c r="L617" s="82"/>
      <c r="M617" s="10"/>
      <c r="N617" s="10"/>
      <c r="O617" s="10"/>
      <c r="P617" s="10"/>
      <c r="Q617" s="43"/>
      <c r="R617" s="10"/>
      <c r="T617" s="10"/>
    </row>
    <row r="618" spans="2:20" s="1" customFormat="1" ht="12.95" customHeight="1" x14ac:dyDescent="0.15">
      <c r="B618" s="16">
        <v>12</v>
      </c>
      <c r="C618" s="11"/>
      <c r="D618" s="18"/>
      <c r="E618" s="18"/>
      <c r="F618" s="129"/>
      <c r="G618" s="20"/>
      <c r="H618" s="20">
        <v>1</v>
      </c>
      <c r="I618" s="126">
        <f t="shared" si="42"/>
        <v>0</v>
      </c>
      <c r="J618" s="21">
        <f t="shared" si="41"/>
        <v>0</v>
      </c>
      <c r="K618" s="80"/>
      <c r="L618" s="82"/>
      <c r="M618" s="10"/>
      <c r="N618" s="10"/>
      <c r="O618" s="10"/>
      <c r="P618" s="10"/>
      <c r="Q618" s="43"/>
      <c r="R618" s="10"/>
      <c r="T618" s="10"/>
    </row>
    <row r="619" spans="2:20" s="1" customFormat="1" ht="12.95" customHeight="1" x14ac:dyDescent="0.15">
      <c r="B619" s="16">
        <v>13</v>
      </c>
      <c r="C619" s="11"/>
      <c r="D619" s="18"/>
      <c r="E619" s="18"/>
      <c r="F619" s="129"/>
      <c r="G619" s="20"/>
      <c r="H619" s="20">
        <v>1</v>
      </c>
      <c r="I619" s="126">
        <f t="shared" si="42"/>
        <v>0</v>
      </c>
      <c r="J619" s="21">
        <f t="shared" si="41"/>
        <v>0</v>
      </c>
      <c r="K619" s="80"/>
      <c r="L619" s="82"/>
      <c r="M619" s="10"/>
      <c r="N619" s="10"/>
      <c r="O619" s="10"/>
      <c r="P619" s="10"/>
      <c r="Q619" s="43"/>
      <c r="R619" s="10"/>
      <c r="T619" s="10"/>
    </row>
    <row r="620" spans="2:20" s="1" customFormat="1" ht="12.95" customHeight="1" x14ac:dyDescent="0.15">
      <c r="B620" s="16">
        <v>14</v>
      </c>
      <c r="C620" s="11"/>
      <c r="D620" s="18"/>
      <c r="E620" s="18"/>
      <c r="F620" s="129"/>
      <c r="G620" s="20"/>
      <c r="H620" s="20">
        <v>1</v>
      </c>
      <c r="I620" s="126">
        <f t="shared" si="42"/>
        <v>0</v>
      </c>
      <c r="J620" s="21">
        <f t="shared" si="41"/>
        <v>0</v>
      </c>
      <c r="K620" s="80"/>
      <c r="L620" s="82"/>
      <c r="M620" s="10"/>
      <c r="N620" s="10"/>
      <c r="O620" s="10"/>
      <c r="P620" s="10"/>
      <c r="Q620" s="43"/>
      <c r="R620" s="10"/>
      <c r="T620" s="10"/>
    </row>
    <row r="621" spans="2:20" s="1" customFormat="1" ht="12.95" customHeight="1" x14ac:dyDescent="0.15">
      <c r="B621" s="16">
        <v>15</v>
      </c>
      <c r="C621" s="11"/>
      <c r="D621" s="18"/>
      <c r="E621" s="18"/>
      <c r="F621" s="129"/>
      <c r="G621" s="20"/>
      <c r="H621" s="20">
        <v>1</v>
      </c>
      <c r="I621" s="126">
        <f t="shared" si="42"/>
        <v>0</v>
      </c>
      <c r="J621" s="21">
        <f t="shared" si="41"/>
        <v>0</v>
      </c>
      <c r="K621" s="80"/>
      <c r="L621" s="82"/>
      <c r="M621" s="10"/>
      <c r="N621" s="10"/>
      <c r="O621" s="10"/>
      <c r="P621" s="10"/>
      <c r="Q621" s="43"/>
      <c r="R621" s="10"/>
      <c r="T621" s="10"/>
    </row>
    <row r="622" spans="2:20" s="1" customFormat="1" ht="12.95" customHeight="1" x14ac:dyDescent="0.15">
      <c r="B622" s="16">
        <v>16</v>
      </c>
      <c r="C622" s="74"/>
      <c r="D622" s="75"/>
      <c r="E622" s="75"/>
      <c r="F622" s="132"/>
      <c r="G622" s="77"/>
      <c r="H622" s="77">
        <v>1</v>
      </c>
      <c r="I622" s="131">
        <f t="shared" si="42"/>
        <v>0</v>
      </c>
      <c r="J622" s="78">
        <f t="shared" si="41"/>
        <v>0</v>
      </c>
      <c r="K622" s="80"/>
      <c r="L622" s="82"/>
      <c r="M622" s="10"/>
      <c r="N622" s="10"/>
      <c r="O622" s="10"/>
      <c r="P622" s="10"/>
      <c r="Q622" s="43"/>
      <c r="R622" s="10"/>
      <c r="T622" s="10"/>
    </row>
    <row r="623" spans="2:20" s="1" customFormat="1" ht="12.95" customHeight="1" x14ac:dyDescent="0.15">
      <c r="B623" s="80">
        <v>17</v>
      </c>
      <c r="C623" s="82"/>
      <c r="D623" s="82"/>
      <c r="E623" s="82"/>
      <c r="F623" s="156"/>
      <c r="G623" s="82"/>
      <c r="H623" s="77">
        <v>1</v>
      </c>
      <c r="I623" s="131">
        <f t="shared" si="42"/>
        <v>0</v>
      </c>
      <c r="J623" s="78">
        <f t="shared" si="41"/>
        <v>0</v>
      </c>
      <c r="K623" s="109"/>
      <c r="L623" s="82"/>
      <c r="M623" s="10"/>
      <c r="N623" s="10"/>
      <c r="O623" s="10"/>
      <c r="P623" s="10"/>
      <c r="Q623" s="43"/>
      <c r="R623" s="10"/>
      <c r="T623" s="10"/>
    </row>
    <row r="624" spans="2:20" s="1" customFormat="1" ht="12.95" customHeight="1" x14ac:dyDescent="0.15">
      <c r="B624" s="80">
        <v>18</v>
      </c>
      <c r="C624" s="82"/>
      <c r="D624" s="82"/>
      <c r="E624" s="82"/>
      <c r="F624" s="156"/>
      <c r="G624" s="82"/>
      <c r="H624" s="77">
        <v>1</v>
      </c>
      <c r="I624" s="131">
        <f t="shared" si="42"/>
        <v>0</v>
      </c>
      <c r="J624" s="78">
        <f t="shared" si="41"/>
        <v>0</v>
      </c>
      <c r="K624" s="155"/>
      <c r="L624" s="119"/>
      <c r="M624" s="10"/>
      <c r="N624" s="10"/>
      <c r="O624" s="10"/>
      <c r="P624" s="10"/>
      <c r="Q624" s="43"/>
      <c r="R624" s="10"/>
      <c r="T624" s="10"/>
    </row>
    <row r="625" spans="2:20" s="1" customFormat="1" ht="12.95" customHeight="1" x14ac:dyDescent="0.15">
      <c r="B625" s="80">
        <v>19</v>
      </c>
      <c r="C625" s="82"/>
      <c r="D625" s="82"/>
      <c r="E625" s="82"/>
      <c r="F625" s="156"/>
      <c r="G625" s="82"/>
      <c r="H625" s="77">
        <v>1</v>
      </c>
      <c r="I625" s="131">
        <f t="shared" si="42"/>
        <v>0</v>
      </c>
      <c r="J625" s="260">
        <f t="shared" si="41"/>
        <v>0</v>
      </c>
      <c r="K625" s="82"/>
      <c r="L625" s="82"/>
      <c r="M625" s="10"/>
      <c r="N625" s="10"/>
      <c r="O625" s="10"/>
      <c r="P625" s="10"/>
      <c r="Q625" s="43"/>
      <c r="R625" s="10"/>
      <c r="T625" s="10"/>
    </row>
    <row r="626" spans="2:20" s="1" customFormat="1" ht="12.95" customHeight="1" x14ac:dyDescent="0.15">
      <c r="B626" s="80">
        <v>20</v>
      </c>
      <c r="C626" s="82"/>
      <c r="D626" s="82"/>
      <c r="E626" s="82"/>
      <c r="F626" s="156"/>
      <c r="G626" s="82"/>
      <c r="H626" s="77">
        <v>1</v>
      </c>
      <c r="I626" s="131">
        <f t="shared" si="42"/>
        <v>0</v>
      </c>
      <c r="J626" s="260">
        <f t="shared" si="41"/>
        <v>0</v>
      </c>
      <c r="K626" s="82"/>
      <c r="L626" s="82"/>
      <c r="M626" s="10"/>
      <c r="N626" s="10"/>
      <c r="O626" s="10"/>
      <c r="P626" s="10"/>
      <c r="Q626" s="43"/>
      <c r="R626" s="10"/>
      <c r="T626" s="10"/>
    </row>
    <row r="627" spans="2:20" s="1" customFormat="1" ht="12.95" customHeight="1" x14ac:dyDescent="0.15">
      <c r="B627" s="111"/>
      <c r="C627" s="152"/>
      <c r="D627" s="153"/>
      <c r="E627" s="153"/>
      <c r="F627" s="157"/>
      <c r="G627" s="154"/>
      <c r="H627" s="154"/>
      <c r="I627" s="158"/>
      <c r="J627" s="261"/>
      <c r="K627" s="82"/>
      <c r="L627" s="82"/>
      <c r="M627" s="10"/>
      <c r="N627" s="10"/>
      <c r="O627" s="10"/>
      <c r="P627" s="10"/>
      <c r="Q627" s="43"/>
      <c r="R627" s="10"/>
      <c r="T627" s="10"/>
    </row>
    <row r="628" spans="2:20" s="1" customFormat="1" ht="12.75" x14ac:dyDescent="0.15">
      <c r="B628" s="82"/>
      <c r="C628" s="102"/>
      <c r="D628" s="103"/>
      <c r="E628" s="102"/>
      <c r="F628" s="128">
        <f>SUM(F570:F627)</f>
        <v>0</v>
      </c>
      <c r="G628" s="104"/>
      <c r="H628" s="105"/>
      <c r="I628" s="128">
        <f>SUM(I570:I627)</f>
        <v>0</v>
      </c>
      <c r="J628" s="106">
        <f>SUM(J570:J627)</f>
        <v>0</v>
      </c>
    </row>
    <row r="629" spans="2:20" s="1" customFormat="1" ht="12.75" x14ac:dyDescent="0.15">
      <c r="B629" s="82"/>
      <c r="C629" s="102"/>
      <c r="D629" s="103"/>
      <c r="E629" s="102" t="s">
        <v>147</v>
      </c>
      <c r="F629" s="128">
        <f>100/115*F628</f>
        <v>0</v>
      </c>
      <c r="G629" s="104"/>
      <c r="H629" s="105" t="s">
        <v>147</v>
      </c>
      <c r="I629" s="128">
        <f>100/115*I628</f>
        <v>0</v>
      </c>
      <c r="J629" s="106"/>
    </row>
    <row r="630" spans="2:20" s="1" customFormat="1" ht="12.75" x14ac:dyDescent="0.15"/>
    <row r="631" spans="2:20" s="1" customFormat="1" ht="12.75" x14ac:dyDescent="0.15"/>
    <row r="632" spans="2:20" s="1" customFormat="1" ht="12.75" x14ac:dyDescent="0.15"/>
    <row r="633" spans="2:20" s="1" customFormat="1" ht="12.75" x14ac:dyDescent="0.15"/>
    <row r="634" spans="2:20" s="247" customFormat="1" ht="32.25" x14ac:dyDescent="0.4">
      <c r="B634" s="248"/>
      <c r="C634" s="380" t="s">
        <v>112</v>
      </c>
      <c r="D634" s="380"/>
      <c r="E634" s="428" t="s">
        <v>163</v>
      </c>
      <c r="F634" s="428"/>
      <c r="G634" s="428"/>
      <c r="H634" s="428"/>
      <c r="I634" s="428"/>
      <c r="J634" s="382">
        <v>2026</v>
      </c>
      <c r="K634" s="382"/>
      <c r="L634" s="382"/>
    </row>
    <row r="635" spans="2:20" s="1" customFormat="1" ht="22.5" x14ac:dyDescent="0.15">
      <c r="B635" s="82"/>
      <c r="C635" s="102" t="s">
        <v>114</v>
      </c>
      <c r="D635" s="388" t="s">
        <v>115</v>
      </c>
      <c r="E635" s="388"/>
      <c r="F635" s="102" t="s">
        <v>116</v>
      </c>
      <c r="G635" s="102" t="s">
        <v>117</v>
      </c>
      <c r="H635" s="102" t="s">
        <v>118</v>
      </c>
      <c r="I635" s="102" t="s">
        <v>119</v>
      </c>
      <c r="J635" s="102" t="s">
        <v>120</v>
      </c>
      <c r="K635" s="82"/>
      <c r="L635" s="82"/>
    </row>
    <row r="636" spans="2:20" s="1" customFormat="1" ht="12.75" x14ac:dyDescent="0.15">
      <c r="B636" s="84"/>
      <c r="C636" s="149">
        <f>C566</f>
        <v>250</v>
      </c>
      <c r="D636" s="412">
        <v>23</v>
      </c>
      <c r="E636" s="412"/>
      <c r="F636" s="146">
        <f>F566</f>
        <v>0.75</v>
      </c>
      <c r="G636" s="147">
        <f>G566</f>
        <v>8</v>
      </c>
      <c r="H636" s="148">
        <f>D636*G636*F636</f>
        <v>138</v>
      </c>
      <c r="I636" s="149">
        <f>I698</f>
        <v>0</v>
      </c>
      <c r="J636" s="150">
        <f>H636-J698</f>
        <v>138</v>
      </c>
      <c r="K636" s="79"/>
      <c r="L636" s="120"/>
    </row>
    <row r="637" spans="2:20" s="1" customFormat="1" ht="33.75" x14ac:dyDescent="0.15">
      <c r="B637" s="16"/>
      <c r="C637" s="22" t="s">
        <v>121</v>
      </c>
      <c r="D637" s="413" t="s">
        <v>122</v>
      </c>
      <c r="E637" s="413"/>
      <c r="F637" s="33" t="s">
        <v>123</v>
      </c>
      <c r="G637" s="34" t="s">
        <v>124</v>
      </c>
      <c r="H637" s="35" t="s">
        <v>125</v>
      </c>
      <c r="I637" s="125" t="s">
        <v>126</v>
      </c>
      <c r="J637" s="34" t="s">
        <v>127</v>
      </c>
      <c r="K637" s="107" t="s">
        <v>128</v>
      </c>
      <c r="L637" s="123" t="s">
        <v>129</v>
      </c>
    </row>
    <row r="638" spans="2:20" s="1" customFormat="1" ht="12.75" x14ac:dyDescent="0.15">
      <c r="B638" s="16"/>
      <c r="C638" s="22"/>
      <c r="D638" s="32"/>
      <c r="E638" s="32"/>
      <c r="F638" s="33"/>
      <c r="G638" s="34"/>
      <c r="H638" s="35"/>
      <c r="I638" s="125"/>
      <c r="J638" s="34"/>
      <c r="K638" s="110"/>
      <c r="L638" s="82"/>
    </row>
    <row r="639" spans="2:20" s="1" customFormat="1" ht="12.75" x14ac:dyDescent="0.15">
      <c r="B639" s="16"/>
      <c r="C639" s="22" t="s">
        <v>130</v>
      </c>
      <c r="D639" s="32"/>
      <c r="E639" s="32"/>
      <c r="F639" s="151"/>
      <c r="G639" s="34"/>
      <c r="H639" s="35"/>
      <c r="I639" s="125"/>
      <c r="J639" s="34"/>
      <c r="K639" s="110"/>
      <c r="L639" s="82"/>
    </row>
    <row r="640" spans="2:20" s="1" customFormat="1" ht="12.75" x14ac:dyDescent="0.15">
      <c r="B640" s="16"/>
      <c r="C640" s="22" t="s">
        <v>149</v>
      </c>
      <c r="D640" s="32"/>
      <c r="E640" s="32"/>
      <c r="F640" s="151"/>
      <c r="G640" s="34"/>
      <c r="H640" s="35"/>
      <c r="I640" s="125"/>
      <c r="J640" s="34"/>
      <c r="K640" s="110"/>
      <c r="L640" s="82"/>
    </row>
    <row r="641" spans="2:20" s="1" customFormat="1" ht="13.15" customHeight="1" x14ac:dyDescent="0.15">
      <c r="B641" s="26">
        <v>1</v>
      </c>
      <c r="C641" s="17"/>
      <c r="D641" s="24"/>
      <c r="E641" s="24"/>
      <c r="F641" s="129"/>
      <c r="G641" s="20"/>
      <c r="H641" s="20">
        <v>1</v>
      </c>
      <c r="I641" s="129">
        <f t="shared" ref="I641:I657" si="43">J641*$C$32</f>
        <v>0</v>
      </c>
      <c r="J641" s="52">
        <f t="shared" ref="J641:J654" si="44">(F641*G641*H641)/$C$32</f>
        <v>0</v>
      </c>
      <c r="K641" s="108"/>
      <c r="L641" s="113"/>
      <c r="M641" s="4"/>
      <c r="N641" s="4"/>
      <c r="O641" s="4"/>
      <c r="P641" s="4"/>
      <c r="Q641" s="4"/>
      <c r="R641" s="4"/>
      <c r="S641" s="4"/>
      <c r="T641" s="4"/>
    </row>
    <row r="642" spans="2:20" s="1" customFormat="1" ht="12.75" customHeight="1" x14ac:dyDescent="0.15">
      <c r="B642" s="26">
        <v>2</v>
      </c>
      <c r="C642" s="17"/>
      <c r="D642" s="24"/>
      <c r="E642" s="24"/>
      <c r="F642" s="129"/>
      <c r="G642" s="20"/>
      <c r="H642" s="20">
        <v>1</v>
      </c>
      <c r="I642" s="129">
        <f t="shared" si="43"/>
        <v>0</v>
      </c>
      <c r="J642" s="52">
        <f t="shared" si="44"/>
        <v>0</v>
      </c>
      <c r="K642" s="108"/>
      <c r="L642" s="113"/>
      <c r="M642" s="144"/>
      <c r="N642" s="4"/>
      <c r="O642" s="4"/>
      <c r="P642" s="4"/>
      <c r="Q642" s="4"/>
      <c r="R642" s="4"/>
      <c r="S642" s="4"/>
      <c r="T642" s="4"/>
    </row>
    <row r="643" spans="2:20" s="1" customFormat="1" ht="16.5" x14ac:dyDescent="0.15">
      <c r="B643" s="26">
        <v>3</v>
      </c>
      <c r="C643" s="17"/>
      <c r="D643" s="24"/>
      <c r="E643" s="24"/>
      <c r="F643" s="129"/>
      <c r="G643" s="20"/>
      <c r="H643" s="20">
        <v>1</v>
      </c>
      <c r="I643" s="129">
        <f t="shared" si="43"/>
        <v>0</v>
      </c>
      <c r="J643" s="52">
        <f t="shared" si="44"/>
        <v>0</v>
      </c>
      <c r="K643" s="108"/>
      <c r="L643" s="113"/>
      <c r="M643" s="145"/>
      <c r="N643" s="4"/>
      <c r="O643" s="4"/>
      <c r="P643" s="4"/>
      <c r="Q643" s="4"/>
      <c r="R643" s="4"/>
      <c r="S643" s="4"/>
      <c r="T643" s="4"/>
    </row>
    <row r="644" spans="2:20" s="1" customFormat="1" ht="12.75" customHeight="1" x14ac:dyDescent="0.15">
      <c r="B644" s="26">
        <v>4</v>
      </c>
      <c r="C644" s="16"/>
      <c r="D644" s="18"/>
      <c r="E644" s="18"/>
      <c r="F644" s="129"/>
      <c r="G644" s="20"/>
      <c r="H644" s="20">
        <v>1</v>
      </c>
      <c r="I644" s="129">
        <f t="shared" si="43"/>
        <v>0</v>
      </c>
      <c r="J644" s="52">
        <f t="shared" si="44"/>
        <v>0</v>
      </c>
      <c r="K644" s="108"/>
      <c r="L644" s="113"/>
      <c r="M644" s="4"/>
      <c r="N644" s="4"/>
      <c r="O644" s="4"/>
      <c r="P644" s="4"/>
      <c r="Q644" s="4"/>
      <c r="R644" s="4"/>
      <c r="S644" s="4"/>
      <c r="T644" s="4"/>
    </row>
    <row r="645" spans="2:20" s="1" customFormat="1" ht="12.75" customHeight="1" x14ac:dyDescent="0.15">
      <c r="B645" s="26">
        <v>5</v>
      </c>
      <c r="C645" s="17"/>
      <c r="D645" s="53"/>
      <c r="E645" s="53"/>
      <c r="F645" s="129"/>
      <c r="G645" s="20"/>
      <c r="H645" s="20">
        <v>1</v>
      </c>
      <c r="I645" s="129">
        <f t="shared" si="43"/>
        <v>0</v>
      </c>
      <c r="J645" s="27">
        <f t="shared" si="44"/>
        <v>0</v>
      </c>
      <c r="K645" s="108"/>
      <c r="L645" s="113"/>
      <c r="M645" s="4"/>
      <c r="N645" s="4"/>
      <c r="O645" s="4"/>
      <c r="P645" s="4"/>
      <c r="Q645" s="4"/>
      <c r="R645" s="4"/>
      <c r="S645" s="4"/>
      <c r="T645" s="4"/>
    </row>
    <row r="646" spans="2:20" s="1" customFormat="1" ht="12.75" x14ac:dyDescent="0.15">
      <c r="B646" s="26">
        <v>6</v>
      </c>
      <c r="C646" s="17"/>
      <c r="D646" s="24"/>
      <c r="E646" s="24"/>
      <c r="F646" s="129"/>
      <c r="G646" s="20"/>
      <c r="H646" s="20">
        <v>1</v>
      </c>
      <c r="I646" s="129">
        <f t="shared" si="43"/>
        <v>0</v>
      </c>
      <c r="J646" s="52">
        <f t="shared" si="44"/>
        <v>0</v>
      </c>
      <c r="K646" s="108"/>
      <c r="L646" s="113"/>
      <c r="M646" s="4"/>
      <c r="N646" s="4"/>
      <c r="O646" s="4"/>
      <c r="P646" s="4"/>
      <c r="Q646" s="4"/>
      <c r="R646" s="4"/>
      <c r="S646" s="4"/>
      <c r="T646" s="4"/>
    </row>
    <row r="647" spans="2:20" s="1" customFormat="1" ht="12.75" customHeight="1" x14ac:dyDescent="0.15">
      <c r="B647" s="26">
        <v>7</v>
      </c>
      <c r="C647" s="17"/>
      <c r="D647" s="22"/>
      <c r="E647" s="22"/>
      <c r="F647" s="129"/>
      <c r="G647" s="20"/>
      <c r="H647" s="20">
        <v>1</v>
      </c>
      <c r="I647" s="129">
        <f t="shared" si="43"/>
        <v>0</v>
      </c>
      <c r="J647" s="27">
        <f t="shared" si="44"/>
        <v>0</v>
      </c>
      <c r="K647" s="108"/>
      <c r="L647" s="113"/>
      <c r="M647" s="4"/>
      <c r="N647" s="4"/>
      <c r="O647" s="4"/>
      <c r="P647" s="4"/>
      <c r="Q647" s="4"/>
      <c r="R647" s="4"/>
      <c r="S647" s="4"/>
      <c r="T647" s="4"/>
    </row>
    <row r="648" spans="2:20" s="1" customFormat="1" ht="12.95" customHeight="1" x14ac:dyDescent="0.15">
      <c r="B648" s="26">
        <v>8</v>
      </c>
      <c r="C648" s="17"/>
      <c r="D648" s="18"/>
      <c r="E648" s="24"/>
      <c r="F648" s="129"/>
      <c r="G648" s="20"/>
      <c r="H648" s="20">
        <v>1</v>
      </c>
      <c r="I648" s="129">
        <f t="shared" si="43"/>
        <v>0</v>
      </c>
      <c r="J648" s="52">
        <f t="shared" si="44"/>
        <v>0</v>
      </c>
      <c r="K648" s="108"/>
      <c r="L648" s="113"/>
      <c r="M648" s="4"/>
      <c r="N648" s="4"/>
      <c r="O648" s="4"/>
      <c r="P648" s="4"/>
      <c r="Q648" s="4"/>
      <c r="R648" s="4"/>
      <c r="S648" s="4"/>
      <c r="T648" s="4"/>
    </row>
    <row r="649" spans="2:20" s="1" customFormat="1" ht="12.95" customHeight="1" x14ac:dyDescent="0.15">
      <c r="B649" s="26">
        <v>9</v>
      </c>
      <c r="C649" s="17"/>
      <c r="D649" s="18"/>
      <c r="E649" s="24"/>
      <c r="F649" s="129"/>
      <c r="G649" s="20"/>
      <c r="H649" s="20">
        <v>1</v>
      </c>
      <c r="I649" s="129">
        <f t="shared" si="43"/>
        <v>0</v>
      </c>
      <c r="J649" s="52">
        <f t="shared" si="44"/>
        <v>0</v>
      </c>
      <c r="K649" s="108"/>
      <c r="L649" s="113"/>
      <c r="M649" s="4"/>
      <c r="N649" s="4"/>
      <c r="O649" s="4"/>
      <c r="P649" s="4"/>
      <c r="Q649" s="4"/>
      <c r="R649" s="4"/>
      <c r="S649" s="4"/>
      <c r="T649" s="4"/>
    </row>
    <row r="650" spans="2:20" s="1" customFormat="1" ht="12.95" customHeight="1" x14ac:dyDescent="0.15">
      <c r="B650" s="26">
        <v>10</v>
      </c>
      <c r="C650" s="17"/>
      <c r="D650" s="24"/>
      <c r="E650" s="18"/>
      <c r="F650" s="129"/>
      <c r="G650" s="20"/>
      <c r="H650" s="20">
        <v>1</v>
      </c>
      <c r="I650" s="129">
        <f t="shared" si="43"/>
        <v>0</v>
      </c>
      <c r="J650" s="52">
        <f t="shared" si="44"/>
        <v>0</v>
      </c>
      <c r="K650" s="108"/>
      <c r="L650" s="113"/>
      <c r="M650" s="4"/>
      <c r="N650" s="4"/>
      <c r="O650" s="4"/>
      <c r="P650" s="4"/>
      <c r="Q650" s="4"/>
      <c r="R650" s="4"/>
      <c r="S650" s="4"/>
      <c r="T650" s="4"/>
    </row>
    <row r="651" spans="2:20" s="1" customFormat="1" ht="12.95" customHeight="1" x14ac:dyDescent="0.15">
      <c r="B651" s="26"/>
      <c r="C651" s="17"/>
      <c r="D651" s="24"/>
      <c r="E651" s="18"/>
      <c r="F651" s="129"/>
      <c r="G651" s="20"/>
      <c r="H651" s="20"/>
      <c r="I651" s="129"/>
      <c r="J651" s="52"/>
      <c r="K651" s="108"/>
      <c r="L651" s="113"/>
      <c r="M651" s="4"/>
      <c r="N651" s="4"/>
      <c r="O651" s="4"/>
      <c r="P651" s="4"/>
      <c r="Q651" s="4"/>
      <c r="R651" s="4"/>
      <c r="S651" s="4"/>
      <c r="T651" s="4"/>
    </row>
    <row r="652" spans="2:20" s="1" customFormat="1" ht="12.95" customHeight="1" x14ac:dyDescent="0.15">
      <c r="B652" s="26"/>
      <c r="C652" s="17"/>
      <c r="D652" s="24"/>
      <c r="E652" s="18"/>
      <c r="F652" s="129"/>
      <c r="G652" s="20"/>
      <c r="H652" s="20"/>
      <c r="I652" s="129"/>
      <c r="J652" s="52"/>
      <c r="K652" s="108"/>
      <c r="L652" s="113"/>
      <c r="M652" s="4"/>
      <c r="N652" s="4"/>
      <c r="O652" s="4"/>
      <c r="P652" s="4"/>
      <c r="Q652" s="4"/>
      <c r="R652" s="4"/>
      <c r="S652" s="4"/>
      <c r="T652" s="4"/>
    </row>
    <row r="653" spans="2:20" s="1" customFormat="1" ht="12.95" customHeight="1" x14ac:dyDescent="0.15">
      <c r="B653" s="26"/>
      <c r="C653" s="22" t="s">
        <v>153</v>
      </c>
      <c r="D653" s="24"/>
      <c r="E653" s="18"/>
      <c r="F653" s="129"/>
      <c r="G653" s="20"/>
      <c r="H653" s="20"/>
      <c r="I653" s="129"/>
      <c r="J653" s="52"/>
      <c r="K653" s="108"/>
      <c r="L653" s="113"/>
      <c r="M653" s="4"/>
      <c r="N653" s="4"/>
      <c r="O653" s="4"/>
      <c r="P653" s="4"/>
      <c r="Q653" s="4"/>
      <c r="R653" s="4"/>
      <c r="S653" s="4"/>
      <c r="T653" s="4"/>
    </row>
    <row r="654" spans="2:20" s="1" customFormat="1" ht="12.95" customHeight="1" x14ac:dyDescent="0.15">
      <c r="B654" s="26">
        <v>1</v>
      </c>
      <c r="C654" s="17"/>
      <c r="D654" s="24"/>
      <c r="E654" s="24"/>
      <c r="F654" s="129"/>
      <c r="G654" s="20"/>
      <c r="H654" s="20">
        <v>1</v>
      </c>
      <c r="I654" s="129">
        <f t="shared" si="43"/>
        <v>0</v>
      </c>
      <c r="J654" s="52">
        <f t="shared" si="44"/>
        <v>0</v>
      </c>
      <c r="K654" s="108"/>
      <c r="L654" s="113"/>
      <c r="M654" s="4"/>
      <c r="N654" s="4"/>
      <c r="O654" s="4"/>
      <c r="P654" s="4"/>
      <c r="Q654" s="4"/>
      <c r="R654" s="4"/>
      <c r="S654" s="4"/>
      <c r="T654" s="4"/>
    </row>
    <row r="655" spans="2:20" s="1" customFormat="1" ht="12.95" customHeight="1" x14ac:dyDescent="0.15">
      <c r="B655" s="26">
        <v>2</v>
      </c>
      <c r="C655" s="17"/>
      <c r="D655" s="24"/>
      <c r="E655" s="24"/>
      <c r="F655" s="129"/>
      <c r="G655" s="20"/>
      <c r="H655" s="20">
        <v>1</v>
      </c>
      <c r="I655" s="129">
        <f t="shared" si="43"/>
        <v>0</v>
      </c>
      <c r="J655" s="52">
        <f>(F655*G655*H655)/$C$32</f>
        <v>0</v>
      </c>
      <c r="K655" s="108"/>
      <c r="L655" s="113"/>
      <c r="M655" s="4"/>
      <c r="N655" s="4"/>
      <c r="O655" s="4"/>
      <c r="P655" s="4"/>
      <c r="Q655" s="4"/>
      <c r="R655" s="4"/>
      <c r="S655" s="4"/>
      <c r="T655" s="4"/>
    </row>
    <row r="656" spans="2:20" s="1" customFormat="1" ht="12.95" customHeight="1" x14ac:dyDescent="0.15">
      <c r="B656" s="26">
        <v>3</v>
      </c>
      <c r="C656" s="24"/>
      <c r="D656" s="24"/>
      <c r="E656" s="24"/>
      <c r="F656" s="129"/>
      <c r="G656" s="20"/>
      <c r="H656" s="20">
        <v>1</v>
      </c>
      <c r="I656" s="129">
        <f t="shared" si="43"/>
        <v>0</v>
      </c>
      <c r="J656" s="52">
        <f>(F656*G656*H656)/$C$32</f>
        <v>0</v>
      </c>
      <c r="K656" s="108"/>
      <c r="L656" s="113"/>
      <c r="M656" s="4"/>
      <c r="N656" s="4"/>
      <c r="O656" s="4"/>
      <c r="P656" s="4"/>
      <c r="Q656" s="4"/>
      <c r="R656" s="4"/>
      <c r="S656" s="4"/>
      <c r="T656" s="4"/>
    </row>
    <row r="657" spans="2:20" s="1" customFormat="1" ht="12.95" customHeight="1" x14ac:dyDescent="0.15">
      <c r="B657" s="26">
        <v>4</v>
      </c>
      <c r="C657" s="24"/>
      <c r="D657" s="24"/>
      <c r="E657" s="24"/>
      <c r="F657" s="129"/>
      <c r="G657" s="20"/>
      <c r="H657" s="20">
        <v>1</v>
      </c>
      <c r="I657" s="129">
        <f t="shared" si="43"/>
        <v>0</v>
      </c>
      <c r="J657" s="52">
        <f t="shared" ref="J657:J658" si="45">(F657*G657*H657)/$C$32</f>
        <v>0</v>
      </c>
      <c r="K657" s="108"/>
      <c r="L657" s="113"/>
      <c r="M657" s="4"/>
      <c r="N657" s="4"/>
      <c r="O657" s="4"/>
      <c r="P657" s="4"/>
      <c r="Q657" s="4"/>
      <c r="R657" s="4"/>
      <c r="S657" s="4"/>
      <c r="T657" s="4"/>
    </row>
    <row r="658" spans="2:20" s="1" customFormat="1" ht="12.95" customHeight="1" x14ac:dyDescent="0.15">
      <c r="B658" s="26">
        <v>5</v>
      </c>
      <c r="C658" s="17"/>
      <c r="D658" s="18"/>
      <c r="E658" s="18"/>
      <c r="F658" s="129"/>
      <c r="G658" s="20"/>
      <c r="H658" s="20">
        <v>1</v>
      </c>
      <c r="I658" s="129">
        <f>J658*$C$32</f>
        <v>0</v>
      </c>
      <c r="J658" s="27">
        <f t="shared" si="45"/>
        <v>0</v>
      </c>
      <c r="K658" s="108"/>
      <c r="L658" s="113"/>
      <c r="M658" s="4"/>
      <c r="N658" s="4"/>
      <c r="O658" s="4"/>
      <c r="P658" s="4"/>
      <c r="Q658" s="4"/>
      <c r="R658" s="4"/>
      <c r="S658" s="4"/>
      <c r="T658" s="4"/>
    </row>
    <row r="659" spans="2:20" s="1" customFormat="1" ht="12.95" customHeight="1" x14ac:dyDescent="0.15">
      <c r="B659" s="26">
        <v>6</v>
      </c>
      <c r="C659" s="17"/>
      <c r="D659" s="24"/>
      <c r="E659" s="24"/>
      <c r="F659" s="129"/>
      <c r="G659" s="20"/>
      <c r="H659" s="20">
        <v>1</v>
      </c>
      <c r="I659" s="129">
        <f t="shared" ref="I659" si="46">J659*$C$32</f>
        <v>0</v>
      </c>
      <c r="J659" s="54">
        <f>(F659*G659*H659)/$C$32</f>
        <v>0</v>
      </c>
      <c r="K659" s="108"/>
      <c r="L659" s="113"/>
      <c r="M659" s="4"/>
      <c r="N659" s="4"/>
      <c r="O659" s="4"/>
      <c r="P659" s="4"/>
      <c r="Q659" s="4"/>
      <c r="R659" s="4"/>
      <c r="S659" s="4"/>
      <c r="T659" s="4"/>
    </row>
    <row r="660" spans="2:20" s="1" customFormat="1" ht="12.95" customHeight="1" x14ac:dyDescent="0.15">
      <c r="B660" s="26">
        <v>7</v>
      </c>
      <c r="C660" s="17"/>
      <c r="D660" s="24"/>
      <c r="E660" s="24"/>
      <c r="F660" s="129"/>
      <c r="G660" s="20"/>
      <c r="H660" s="20">
        <v>1</v>
      </c>
      <c r="I660" s="129">
        <f>J660*$C$32</f>
        <v>0</v>
      </c>
      <c r="J660" s="54">
        <f>(F660*G660*H660)/$C$32</f>
        <v>0</v>
      </c>
      <c r="K660" s="108"/>
      <c r="L660" s="113"/>
      <c r="M660" s="4"/>
      <c r="N660" s="4"/>
      <c r="O660" s="4"/>
      <c r="P660" s="4"/>
      <c r="Q660" s="4"/>
      <c r="R660" s="4"/>
      <c r="S660" s="4"/>
      <c r="T660" s="4"/>
    </row>
    <row r="661" spans="2:20" s="1" customFormat="1" ht="14.85" customHeight="1" x14ac:dyDescent="0.15">
      <c r="B661" s="26">
        <v>8</v>
      </c>
      <c r="C661" s="17"/>
      <c r="D661" s="24"/>
      <c r="E661" s="24"/>
      <c r="F661" s="129"/>
      <c r="G661" s="20"/>
      <c r="H661" s="20">
        <v>1</v>
      </c>
      <c r="I661" s="129">
        <f t="shared" ref="I661:I673" si="47">J661*$C$32</f>
        <v>0</v>
      </c>
      <c r="J661" s="52">
        <f t="shared" ref="J661:J673" si="48">(F661*G661*H661)/$C$32</f>
        <v>0</v>
      </c>
      <c r="K661" s="108"/>
      <c r="L661" s="113"/>
      <c r="M661" s="4"/>
      <c r="N661" s="4"/>
      <c r="O661" s="4"/>
      <c r="P661" s="4"/>
      <c r="Q661" s="4"/>
      <c r="R661" s="4"/>
      <c r="S661" s="4"/>
      <c r="T661" s="4"/>
    </row>
    <row r="662" spans="2:20" s="1" customFormat="1" ht="12.95" customHeight="1" x14ac:dyDescent="0.15">
      <c r="B662" s="26">
        <v>9</v>
      </c>
      <c r="C662" s="17"/>
      <c r="D662" s="24"/>
      <c r="E662" s="24"/>
      <c r="F662" s="129"/>
      <c r="G662" s="20"/>
      <c r="H662" s="20">
        <v>1</v>
      </c>
      <c r="I662" s="129">
        <f t="shared" si="47"/>
        <v>0</v>
      </c>
      <c r="J662" s="52">
        <f t="shared" si="48"/>
        <v>0</v>
      </c>
      <c r="K662" s="108"/>
      <c r="L662" s="113"/>
      <c r="M662" s="4"/>
      <c r="N662" s="4"/>
      <c r="O662" s="4"/>
      <c r="P662" s="4"/>
      <c r="Q662" s="4"/>
      <c r="R662" s="4"/>
      <c r="S662" s="4"/>
      <c r="T662" s="4"/>
    </row>
    <row r="663" spans="2:20" s="1" customFormat="1" ht="12.95" customHeight="1" x14ac:dyDescent="0.15">
      <c r="B663" s="26">
        <v>10</v>
      </c>
      <c r="C663" s="17"/>
      <c r="D663" s="24"/>
      <c r="E663" s="24"/>
      <c r="F663" s="129"/>
      <c r="G663" s="20"/>
      <c r="H663" s="20">
        <v>1</v>
      </c>
      <c r="I663" s="129">
        <f t="shared" si="47"/>
        <v>0</v>
      </c>
      <c r="J663" s="52">
        <f t="shared" si="48"/>
        <v>0</v>
      </c>
      <c r="K663" s="108"/>
      <c r="L663" s="113"/>
      <c r="M663" s="4"/>
      <c r="N663" s="4"/>
      <c r="O663" s="4"/>
      <c r="P663" s="4"/>
      <c r="Q663" s="4"/>
      <c r="R663" s="4"/>
      <c r="S663" s="4"/>
      <c r="T663" s="4"/>
    </row>
    <row r="664" spans="2:20" s="1" customFormat="1" ht="12.95" customHeight="1" x14ac:dyDescent="0.15">
      <c r="B664" s="26">
        <v>11</v>
      </c>
      <c r="C664" s="17"/>
      <c r="D664" s="24"/>
      <c r="E664" s="24"/>
      <c r="F664" s="129"/>
      <c r="G664" s="20"/>
      <c r="H664" s="20">
        <v>1</v>
      </c>
      <c r="I664" s="129">
        <f t="shared" si="47"/>
        <v>0</v>
      </c>
      <c r="J664" s="52">
        <f t="shared" si="48"/>
        <v>0</v>
      </c>
      <c r="K664" s="108"/>
      <c r="L664" s="113"/>
      <c r="M664" s="4"/>
      <c r="N664" s="4"/>
      <c r="O664" s="4"/>
      <c r="P664" s="4"/>
      <c r="Q664" s="4"/>
      <c r="R664" s="4"/>
      <c r="S664" s="4"/>
      <c r="T664" s="4"/>
    </row>
    <row r="665" spans="2:20" s="1" customFormat="1" ht="12.95" customHeight="1" x14ac:dyDescent="0.15">
      <c r="B665" s="26">
        <v>12</v>
      </c>
      <c r="C665" s="17"/>
      <c r="D665" s="18"/>
      <c r="E665" s="18"/>
      <c r="F665" s="129"/>
      <c r="G665" s="20"/>
      <c r="H665" s="20">
        <v>1</v>
      </c>
      <c r="I665" s="129">
        <f t="shared" si="47"/>
        <v>0</v>
      </c>
      <c r="J665" s="52">
        <f t="shared" si="48"/>
        <v>0</v>
      </c>
      <c r="K665" s="108"/>
      <c r="L665" s="113"/>
      <c r="M665" s="4"/>
      <c r="N665" s="4"/>
      <c r="O665" s="4"/>
      <c r="P665" s="4"/>
      <c r="Q665" s="4"/>
      <c r="R665" s="4"/>
      <c r="S665" s="4"/>
      <c r="T665" s="4"/>
    </row>
    <row r="666" spans="2:20" s="1" customFormat="1" ht="12.95" customHeight="1" x14ac:dyDescent="0.15">
      <c r="B666" s="26">
        <v>13</v>
      </c>
      <c r="C666" s="17"/>
      <c r="D666" s="18"/>
      <c r="E666" s="18"/>
      <c r="F666" s="129"/>
      <c r="G666" s="20"/>
      <c r="H666" s="20">
        <v>1</v>
      </c>
      <c r="I666" s="129">
        <f t="shared" si="47"/>
        <v>0</v>
      </c>
      <c r="J666" s="52">
        <f t="shared" si="48"/>
        <v>0</v>
      </c>
      <c r="K666" s="108"/>
      <c r="L666" s="113"/>
      <c r="M666" s="4"/>
      <c r="N666" s="4"/>
      <c r="O666" s="4"/>
      <c r="P666" s="4"/>
      <c r="Q666" s="4"/>
      <c r="R666" s="4"/>
      <c r="S666" s="4"/>
      <c r="T666" s="4"/>
    </row>
    <row r="667" spans="2:20" s="1" customFormat="1" ht="12.95" customHeight="1" x14ac:dyDescent="0.15">
      <c r="B667" s="26">
        <v>14</v>
      </c>
      <c r="C667" s="17"/>
      <c r="D667" s="18"/>
      <c r="E667" s="18"/>
      <c r="F667" s="129"/>
      <c r="G667" s="20"/>
      <c r="H667" s="20">
        <v>1</v>
      </c>
      <c r="I667" s="129">
        <f t="shared" si="47"/>
        <v>0</v>
      </c>
      <c r="J667" s="52">
        <f t="shared" si="48"/>
        <v>0</v>
      </c>
      <c r="K667" s="108"/>
      <c r="L667" s="113"/>
      <c r="M667" s="4"/>
      <c r="N667" s="4"/>
      <c r="O667" s="4"/>
      <c r="P667" s="4"/>
      <c r="Q667" s="4"/>
      <c r="R667" s="4"/>
      <c r="S667" s="4"/>
      <c r="T667" s="4"/>
    </row>
    <row r="668" spans="2:20" s="1" customFormat="1" ht="12.95" customHeight="1" x14ac:dyDescent="0.15">
      <c r="B668" s="26">
        <v>15</v>
      </c>
      <c r="C668" s="11"/>
      <c r="D668" s="18"/>
      <c r="E668" s="18"/>
      <c r="F668" s="129"/>
      <c r="G668" s="20"/>
      <c r="H668" s="20">
        <v>1</v>
      </c>
      <c r="I668" s="126">
        <f t="shared" si="47"/>
        <v>0</v>
      </c>
      <c r="J668" s="21">
        <f t="shared" si="48"/>
        <v>0</v>
      </c>
      <c r="K668" s="108"/>
      <c r="L668" s="113"/>
      <c r="M668" s="4"/>
      <c r="N668" s="4"/>
      <c r="O668" s="4"/>
      <c r="P668" s="4"/>
      <c r="Q668" s="4"/>
      <c r="R668" s="4"/>
      <c r="S668" s="4"/>
      <c r="T668" s="4"/>
    </row>
    <row r="669" spans="2:20" s="1" customFormat="1" ht="12.95" customHeight="1" x14ac:dyDescent="0.15">
      <c r="B669" s="26">
        <v>16</v>
      </c>
      <c r="C669" s="23"/>
      <c r="D669" s="49"/>
      <c r="E669" s="49"/>
      <c r="F669" s="126"/>
      <c r="G669" s="50"/>
      <c r="H669" s="20">
        <v>1</v>
      </c>
      <c r="I669" s="126">
        <f t="shared" si="47"/>
        <v>0</v>
      </c>
      <c r="J669" s="21">
        <f t="shared" si="48"/>
        <v>0</v>
      </c>
      <c r="K669" s="108"/>
      <c r="L669" s="113"/>
      <c r="M669" s="4"/>
      <c r="N669" s="4"/>
      <c r="O669" s="4"/>
      <c r="P669" s="4"/>
      <c r="Q669" s="4"/>
      <c r="R669" s="4"/>
      <c r="S669" s="4"/>
      <c r="T669" s="4"/>
    </row>
    <row r="670" spans="2:20" s="1" customFormat="1" ht="12.95" customHeight="1" x14ac:dyDescent="0.15">
      <c r="B670" s="26">
        <v>17</v>
      </c>
      <c r="C670" s="23"/>
      <c r="D670" s="48"/>
      <c r="E670" s="48"/>
      <c r="F670" s="126"/>
      <c r="G670" s="50"/>
      <c r="H670" s="20">
        <v>1</v>
      </c>
      <c r="I670" s="126">
        <f t="shared" si="47"/>
        <v>0</v>
      </c>
      <c r="J670" s="21">
        <f t="shared" si="48"/>
        <v>0</v>
      </c>
      <c r="K670" s="108"/>
      <c r="L670" s="113"/>
      <c r="M670" s="4"/>
      <c r="N670" s="4"/>
      <c r="O670" s="4"/>
      <c r="P670" s="4"/>
      <c r="Q670" s="4"/>
      <c r="R670" s="4"/>
      <c r="S670" s="4"/>
      <c r="T670" s="4"/>
    </row>
    <row r="671" spans="2:20" s="1" customFormat="1" ht="12.95" customHeight="1" x14ac:dyDescent="0.15">
      <c r="B671" s="26">
        <v>18</v>
      </c>
      <c r="C671" s="23"/>
      <c r="D671" s="48"/>
      <c r="E671" s="48"/>
      <c r="F671" s="126"/>
      <c r="G671" s="50"/>
      <c r="H671" s="20">
        <v>1</v>
      </c>
      <c r="I671" s="126">
        <f t="shared" si="47"/>
        <v>0</v>
      </c>
      <c r="J671" s="21">
        <f t="shared" si="48"/>
        <v>0</v>
      </c>
      <c r="K671" s="108"/>
      <c r="L671" s="113"/>
      <c r="M671" s="4"/>
      <c r="N671" s="4"/>
      <c r="O671" s="4"/>
      <c r="P671" s="4"/>
      <c r="Q671" s="4"/>
      <c r="R671" s="4"/>
      <c r="S671" s="4"/>
      <c r="T671" s="4"/>
    </row>
    <row r="672" spans="2:20" s="1" customFormat="1" ht="12.95" customHeight="1" x14ac:dyDescent="0.15">
      <c r="B672" s="26">
        <v>19</v>
      </c>
      <c r="C672" s="23"/>
      <c r="D672" s="48"/>
      <c r="E672" s="48"/>
      <c r="F672" s="126"/>
      <c r="G672" s="50"/>
      <c r="H672" s="20">
        <v>1</v>
      </c>
      <c r="I672" s="126">
        <f t="shared" si="47"/>
        <v>0</v>
      </c>
      <c r="J672" s="21">
        <f t="shared" si="48"/>
        <v>0</v>
      </c>
      <c r="K672" s="108"/>
      <c r="L672" s="113"/>
      <c r="M672" s="4"/>
      <c r="N672" s="4"/>
      <c r="O672" s="4"/>
      <c r="P672" s="4"/>
      <c r="Q672" s="4"/>
      <c r="R672" s="4"/>
      <c r="S672" s="4"/>
      <c r="T672" s="4"/>
    </row>
    <row r="673" spans="2:20" s="1" customFormat="1" ht="12.95" customHeight="1" x14ac:dyDescent="0.15">
      <c r="B673" s="26">
        <v>20</v>
      </c>
      <c r="C673" s="23"/>
      <c r="D673" s="48"/>
      <c r="E673" s="48"/>
      <c r="F673" s="126"/>
      <c r="G673" s="50"/>
      <c r="H673" s="20">
        <v>1</v>
      </c>
      <c r="I673" s="126">
        <f t="shared" si="47"/>
        <v>0</v>
      </c>
      <c r="J673" s="21">
        <f t="shared" si="48"/>
        <v>0</v>
      </c>
      <c r="K673" s="108"/>
      <c r="L673" s="113"/>
      <c r="M673" s="4"/>
      <c r="N673" s="4"/>
      <c r="O673" s="4"/>
      <c r="P673" s="4"/>
      <c r="Q673" s="4"/>
      <c r="R673" s="4"/>
      <c r="S673" s="4"/>
      <c r="T673" s="4"/>
    </row>
    <row r="674" spans="2:20" s="1" customFormat="1" ht="12.95" customHeight="1" x14ac:dyDescent="0.15">
      <c r="B674" s="26"/>
      <c r="C674" s="23"/>
      <c r="D674" s="48"/>
      <c r="E674" s="48"/>
      <c r="F674" s="126"/>
      <c r="G674" s="50"/>
      <c r="H674" s="50"/>
      <c r="I674" s="126"/>
      <c r="J674" s="38"/>
      <c r="K674" s="108"/>
      <c r="L674" s="113"/>
      <c r="M674" s="4"/>
      <c r="N674" s="4"/>
      <c r="O674" s="4"/>
      <c r="P674" s="4"/>
      <c r="Q674" s="4"/>
      <c r="R674" s="4"/>
      <c r="S674" s="4"/>
      <c r="T674" s="4"/>
    </row>
    <row r="675" spans="2:20" s="1" customFormat="1" ht="12.95" customHeight="1" x14ac:dyDescent="0.15">
      <c r="B675" s="26"/>
      <c r="C675" s="23"/>
      <c r="D675" s="48"/>
      <c r="E675" s="48"/>
      <c r="F675" s="126"/>
      <c r="G675" s="50"/>
      <c r="H675" s="50"/>
      <c r="I675" s="126"/>
      <c r="J675" s="38"/>
      <c r="K675" s="108"/>
      <c r="L675" s="113"/>
      <c r="M675" s="4"/>
      <c r="N675" s="4"/>
      <c r="O675" s="4"/>
      <c r="P675" s="4"/>
      <c r="Q675" s="4"/>
      <c r="R675" s="4"/>
      <c r="S675" s="4"/>
      <c r="T675" s="4"/>
    </row>
    <row r="676" spans="2:20" s="1" customFormat="1" ht="12.95" customHeight="1" x14ac:dyDescent="0.15">
      <c r="B676" s="26"/>
      <c r="C676" s="95" t="s">
        <v>132</v>
      </c>
      <c r="D676" s="49"/>
      <c r="E676" s="49"/>
      <c r="F676" s="126"/>
      <c r="G676" s="50"/>
      <c r="H676" s="50"/>
      <c r="I676" s="126"/>
      <c r="J676" s="21"/>
      <c r="K676" s="108"/>
      <c r="L676" s="113"/>
      <c r="M676" s="57"/>
      <c r="N676" s="57"/>
      <c r="O676" s="57"/>
      <c r="P676" s="57"/>
      <c r="Q676" s="58"/>
      <c r="R676" s="57"/>
      <c r="S676" s="4"/>
      <c r="T676" s="57"/>
    </row>
    <row r="677" spans="2:20" s="1" customFormat="1" ht="12.95" customHeight="1" x14ac:dyDescent="0.15">
      <c r="B677" s="26">
        <v>1</v>
      </c>
      <c r="C677" s="60"/>
      <c r="D677" s="49"/>
      <c r="E677" s="49"/>
      <c r="F677" s="126"/>
      <c r="G677" s="50"/>
      <c r="H677" s="50">
        <v>1</v>
      </c>
      <c r="I677" s="126">
        <f>J677*$C$32</f>
        <v>0</v>
      </c>
      <c r="J677" s="21">
        <f t="shared" ref="J677:J696" si="49">(F677*G677*H677)/$C$32</f>
        <v>0</v>
      </c>
      <c r="K677" s="108"/>
      <c r="L677" s="113"/>
      <c r="M677" s="57"/>
      <c r="N677" s="57"/>
      <c r="O677" s="57"/>
      <c r="P677" s="57"/>
      <c r="Q677" s="58"/>
      <c r="R677" s="57"/>
      <c r="S677" s="4"/>
      <c r="T677" s="57"/>
    </row>
    <row r="678" spans="2:20" s="1" customFormat="1" ht="12.95" customHeight="1" x14ac:dyDescent="0.15">
      <c r="B678" s="26">
        <v>2</v>
      </c>
      <c r="C678" s="59"/>
      <c r="D678" s="49"/>
      <c r="E678" s="49"/>
      <c r="F678" s="126"/>
      <c r="G678" s="50"/>
      <c r="H678" s="50">
        <v>1</v>
      </c>
      <c r="I678" s="126">
        <f t="shared" ref="I678:I696" si="50">J678*$C$32</f>
        <v>0</v>
      </c>
      <c r="J678" s="21">
        <f t="shared" si="49"/>
        <v>0</v>
      </c>
      <c r="K678" s="108"/>
      <c r="L678" s="113"/>
      <c r="M678" s="57"/>
      <c r="N678" s="57"/>
      <c r="O678" s="57"/>
      <c r="P678" s="57"/>
      <c r="Q678" s="58"/>
      <c r="R678" s="57"/>
      <c r="S678" s="4"/>
      <c r="T678" s="57"/>
    </row>
    <row r="679" spans="2:20" s="1" customFormat="1" ht="12.95" customHeight="1" x14ac:dyDescent="0.15">
      <c r="B679" s="26">
        <v>3</v>
      </c>
      <c r="C679" s="61"/>
      <c r="D679" s="49"/>
      <c r="E679" s="49"/>
      <c r="F679" s="126"/>
      <c r="G679" s="50"/>
      <c r="H679" s="50">
        <v>1</v>
      </c>
      <c r="I679" s="126">
        <f t="shared" si="50"/>
        <v>0</v>
      </c>
      <c r="J679" s="21">
        <f t="shared" si="49"/>
        <v>0</v>
      </c>
      <c r="K679" s="108"/>
      <c r="L679" s="113"/>
      <c r="M679" s="57"/>
      <c r="N679" s="57"/>
      <c r="O679" s="57"/>
      <c r="P679" s="57"/>
      <c r="Q679" s="58"/>
      <c r="R679" s="57"/>
      <c r="S679" s="4"/>
      <c r="T679" s="57"/>
    </row>
    <row r="680" spans="2:20" s="1" customFormat="1" ht="12.95" customHeight="1" x14ac:dyDescent="0.15">
      <c r="B680" s="16">
        <v>4</v>
      </c>
      <c r="C680" s="11"/>
      <c r="D680" s="18"/>
      <c r="E680" s="18"/>
      <c r="F680" s="129"/>
      <c r="G680" s="20"/>
      <c r="H680" s="20">
        <v>1</v>
      </c>
      <c r="I680" s="126">
        <f t="shared" si="50"/>
        <v>0</v>
      </c>
      <c r="J680" s="21">
        <f t="shared" si="49"/>
        <v>0</v>
      </c>
      <c r="K680" s="80"/>
      <c r="L680" s="82"/>
      <c r="M680" s="10"/>
      <c r="N680" s="10"/>
      <c r="O680" s="10"/>
      <c r="P680" s="10"/>
      <c r="Q680" s="43"/>
      <c r="R680" s="10"/>
      <c r="T680" s="10"/>
    </row>
    <row r="681" spans="2:20" s="1" customFormat="1" ht="12.95" customHeight="1" x14ac:dyDescent="0.15">
      <c r="B681" s="16">
        <v>5</v>
      </c>
      <c r="C681" s="46"/>
      <c r="D681" s="18"/>
      <c r="E681" s="18"/>
      <c r="F681" s="129"/>
      <c r="G681" s="20"/>
      <c r="H681" s="20">
        <v>1</v>
      </c>
      <c r="I681" s="126">
        <f t="shared" si="50"/>
        <v>0</v>
      </c>
      <c r="J681" s="21">
        <f t="shared" si="49"/>
        <v>0</v>
      </c>
      <c r="K681" s="80"/>
      <c r="L681" s="82"/>
      <c r="M681" s="10"/>
      <c r="N681" s="10"/>
      <c r="O681" s="10"/>
      <c r="P681" s="10"/>
      <c r="Q681" s="43"/>
      <c r="R681" s="10"/>
      <c r="T681" s="10"/>
    </row>
    <row r="682" spans="2:20" s="1" customFormat="1" ht="12.95" customHeight="1" x14ac:dyDescent="0.15">
      <c r="B682" s="16">
        <v>6</v>
      </c>
      <c r="C682" s="11"/>
      <c r="D682" s="18"/>
      <c r="E682" s="18"/>
      <c r="F682" s="129"/>
      <c r="G682" s="20"/>
      <c r="H682" s="20">
        <v>1</v>
      </c>
      <c r="I682" s="126">
        <f t="shared" si="50"/>
        <v>0</v>
      </c>
      <c r="J682" s="21">
        <f t="shared" si="49"/>
        <v>0</v>
      </c>
      <c r="K682" s="80"/>
      <c r="L682" s="82"/>
      <c r="M682" s="10"/>
      <c r="N682" s="10"/>
      <c r="O682" s="10"/>
      <c r="P682" s="10"/>
      <c r="Q682" s="43"/>
      <c r="R682" s="10"/>
      <c r="T682" s="10"/>
    </row>
    <row r="683" spans="2:20" s="1" customFormat="1" ht="12.95" customHeight="1" x14ac:dyDescent="0.15">
      <c r="B683" s="16">
        <v>7</v>
      </c>
      <c r="C683" s="11"/>
      <c r="D683" s="18"/>
      <c r="E683" s="18"/>
      <c r="F683" s="129"/>
      <c r="G683" s="20"/>
      <c r="H683" s="20">
        <v>1</v>
      </c>
      <c r="I683" s="126">
        <f t="shared" si="50"/>
        <v>0</v>
      </c>
      <c r="J683" s="21">
        <f t="shared" si="49"/>
        <v>0</v>
      </c>
      <c r="K683" s="80"/>
      <c r="L683" s="82"/>
      <c r="M683" s="10"/>
      <c r="N683" s="10"/>
      <c r="O683" s="10"/>
      <c r="P683" s="10"/>
      <c r="Q683" s="43"/>
      <c r="R683" s="10"/>
      <c r="T683" s="10"/>
    </row>
    <row r="684" spans="2:20" s="1" customFormat="1" ht="12.95" customHeight="1" x14ac:dyDescent="0.15">
      <c r="B684" s="16">
        <v>8</v>
      </c>
      <c r="C684" s="11"/>
      <c r="D684" s="18"/>
      <c r="E684" s="18"/>
      <c r="F684" s="129"/>
      <c r="G684" s="20"/>
      <c r="H684" s="20">
        <v>1</v>
      </c>
      <c r="I684" s="126">
        <f t="shared" si="50"/>
        <v>0</v>
      </c>
      <c r="J684" s="21">
        <f t="shared" si="49"/>
        <v>0</v>
      </c>
      <c r="K684" s="80"/>
      <c r="L684" s="82"/>
      <c r="M684" s="10"/>
      <c r="N684" s="10"/>
      <c r="O684" s="10"/>
      <c r="P684" s="10"/>
      <c r="Q684" s="43"/>
      <c r="R684" s="10"/>
      <c r="T684" s="10"/>
    </row>
    <row r="685" spans="2:20" s="1" customFormat="1" ht="12.95" customHeight="1" x14ac:dyDescent="0.15">
      <c r="B685" s="16">
        <v>9</v>
      </c>
      <c r="C685" s="11"/>
      <c r="D685" s="18"/>
      <c r="E685" s="18"/>
      <c r="F685" s="129"/>
      <c r="G685" s="20"/>
      <c r="H685" s="20">
        <v>1</v>
      </c>
      <c r="I685" s="126">
        <f t="shared" si="50"/>
        <v>0</v>
      </c>
      <c r="J685" s="21">
        <f t="shared" si="49"/>
        <v>0</v>
      </c>
      <c r="K685" s="80"/>
      <c r="L685" s="82"/>
      <c r="M685" s="10"/>
      <c r="N685" s="10"/>
      <c r="O685" s="10"/>
      <c r="P685" s="10"/>
      <c r="Q685" s="43"/>
      <c r="R685" s="10"/>
      <c r="T685" s="10"/>
    </row>
    <row r="686" spans="2:20" s="1" customFormat="1" ht="12.95" customHeight="1" x14ac:dyDescent="0.15">
      <c r="B686" s="16">
        <v>10</v>
      </c>
      <c r="C686" s="11"/>
      <c r="D686" s="18"/>
      <c r="E686" s="18"/>
      <c r="F686" s="129"/>
      <c r="G686" s="20"/>
      <c r="H686" s="20">
        <v>1</v>
      </c>
      <c r="I686" s="126">
        <f t="shared" si="50"/>
        <v>0</v>
      </c>
      <c r="J686" s="21">
        <f t="shared" si="49"/>
        <v>0</v>
      </c>
      <c r="K686" s="80"/>
      <c r="L686" s="82"/>
      <c r="M686" s="10"/>
      <c r="N686" s="10"/>
      <c r="O686" s="10"/>
      <c r="P686" s="10"/>
      <c r="Q686" s="43"/>
      <c r="R686" s="10"/>
      <c r="T686" s="10"/>
    </row>
    <row r="687" spans="2:20" s="1" customFormat="1" ht="12.95" customHeight="1" x14ac:dyDescent="0.15">
      <c r="B687" s="16">
        <v>11</v>
      </c>
      <c r="C687" s="11"/>
      <c r="D687" s="18"/>
      <c r="E687" s="18"/>
      <c r="F687" s="129"/>
      <c r="G687" s="20"/>
      <c r="H687" s="20">
        <v>1</v>
      </c>
      <c r="I687" s="126">
        <f t="shared" si="50"/>
        <v>0</v>
      </c>
      <c r="J687" s="21">
        <f t="shared" si="49"/>
        <v>0</v>
      </c>
      <c r="K687" s="80"/>
      <c r="L687" s="82"/>
      <c r="M687" s="10"/>
      <c r="N687" s="10"/>
      <c r="O687" s="10"/>
      <c r="P687" s="10"/>
      <c r="Q687" s="43"/>
      <c r="R687" s="10"/>
      <c r="T687" s="10"/>
    </row>
    <row r="688" spans="2:20" s="1" customFormat="1" ht="12.95" customHeight="1" x14ac:dyDescent="0.15">
      <c r="B688" s="16">
        <v>12</v>
      </c>
      <c r="C688" s="11"/>
      <c r="D688" s="18"/>
      <c r="E688" s="18"/>
      <c r="F688" s="129"/>
      <c r="G688" s="20"/>
      <c r="H688" s="20">
        <v>1</v>
      </c>
      <c r="I688" s="126">
        <f t="shared" si="50"/>
        <v>0</v>
      </c>
      <c r="J688" s="21">
        <f t="shared" si="49"/>
        <v>0</v>
      </c>
      <c r="K688" s="80"/>
      <c r="L688" s="82"/>
      <c r="M688" s="10"/>
      <c r="N688" s="10"/>
      <c r="O688" s="10"/>
      <c r="P688" s="10"/>
      <c r="Q688" s="43"/>
      <c r="R688" s="10"/>
      <c r="T688" s="10"/>
    </row>
    <row r="689" spans="2:20" s="1" customFormat="1" ht="12.95" customHeight="1" x14ac:dyDescent="0.15">
      <c r="B689" s="16">
        <v>13</v>
      </c>
      <c r="C689" s="11"/>
      <c r="D689" s="18"/>
      <c r="E689" s="18"/>
      <c r="F689" s="129"/>
      <c r="G689" s="20"/>
      <c r="H689" s="20">
        <v>1</v>
      </c>
      <c r="I689" s="126">
        <f t="shared" si="50"/>
        <v>0</v>
      </c>
      <c r="J689" s="21">
        <f t="shared" si="49"/>
        <v>0</v>
      </c>
      <c r="K689" s="80"/>
      <c r="L689" s="82"/>
      <c r="M689" s="10"/>
      <c r="N689" s="10"/>
      <c r="O689" s="10"/>
      <c r="P689" s="10"/>
      <c r="Q689" s="43"/>
      <c r="R689" s="10"/>
      <c r="T689" s="10"/>
    </row>
    <row r="690" spans="2:20" s="1" customFormat="1" ht="12.95" customHeight="1" x14ac:dyDescent="0.15">
      <c r="B690" s="16">
        <v>14</v>
      </c>
      <c r="C690" s="11"/>
      <c r="D690" s="18"/>
      <c r="E690" s="18"/>
      <c r="F690" s="129"/>
      <c r="G690" s="20"/>
      <c r="H690" s="20">
        <v>1</v>
      </c>
      <c r="I690" s="126">
        <f t="shared" si="50"/>
        <v>0</v>
      </c>
      <c r="J690" s="21">
        <f t="shared" si="49"/>
        <v>0</v>
      </c>
      <c r="K690" s="80"/>
      <c r="L690" s="82"/>
      <c r="M690" s="10"/>
      <c r="N690" s="10"/>
      <c r="O690" s="10"/>
      <c r="P690" s="10"/>
      <c r="Q690" s="43"/>
      <c r="R690" s="10"/>
      <c r="T690" s="10"/>
    </row>
    <row r="691" spans="2:20" s="1" customFormat="1" ht="12.95" customHeight="1" x14ac:dyDescent="0.15">
      <c r="B691" s="16">
        <v>15</v>
      </c>
      <c r="C691" s="11"/>
      <c r="D691" s="18"/>
      <c r="E691" s="18"/>
      <c r="F691" s="129"/>
      <c r="G691" s="20"/>
      <c r="H691" s="20">
        <v>1</v>
      </c>
      <c r="I691" s="126">
        <f t="shared" si="50"/>
        <v>0</v>
      </c>
      <c r="J691" s="21">
        <f t="shared" si="49"/>
        <v>0</v>
      </c>
      <c r="K691" s="80"/>
      <c r="L691" s="82"/>
      <c r="M691" s="10"/>
      <c r="N691" s="10"/>
      <c r="O691" s="10"/>
      <c r="P691" s="10"/>
      <c r="Q691" s="43"/>
      <c r="R691" s="10"/>
      <c r="T691" s="10"/>
    </row>
    <row r="692" spans="2:20" s="1" customFormat="1" ht="12.95" customHeight="1" x14ac:dyDescent="0.15">
      <c r="B692" s="16">
        <v>16</v>
      </c>
      <c r="C692" s="11"/>
      <c r="D692" s="18"/>
      <c r="E692" s="18"/>
      <c r="F692" s="129"/>
      <c r="G692" s="20"/>
      <c r="H692" s="20">
        <v>1</v>
      </c>
      <c r="I692" s="126">
        <f t="shared" si="50"/>
        <v>0</v>
      </c>
      <c r="J692" s="21">
        <f t="shared" si="49"/>
        <v>0</v>
      </c>
      <c r="K692" s="80"/>
      <c r="L692" s="82"/>
      <c r="M692" s="10"/>
      <c r="N692" s="10"/>
      <c r="O692" s="10"/>
      <c r="P692" s="10"/>
      <c r="Q692" s="43"/>
      <c r="R692" s="10"/>
      <c r="T692" s="10"/>
    </row>
    <row r="693" spans="2:20" s="1" customFormat="1" ht="12.95" customHeight="1" x14ac:dyDescent="0.15">
      <c r="B693" s="16">
        <v>17</v>
      </c>
      <c r="C693" s="11"/>
      <c r="D693" s="18"/>
      <c r="E693" s="18"/>
      <c r="F693" s="129"/>
      <c r="G693" s="20"/>
      <c r="H693" s="20">
        <v>1</v>
      </c>
      <c r="I693" s="126">
        <f t="shared" si="50"/>
        <v>0</v>
      </c>
      <c r="J693" s="21">
        <f t="shared" si="49"/>
        <v>0</v>
      </c>
      <c r="K693" s="80"/>
      <c r="L693" s="82"/>
      <c r="M693" s="10"/>
      <c r="N693" s="10"/>
      <c r="O693" s="10"/>
      <c r="P693" s="10"/>
      <c r="Q693" s="43"/>
      <c r="R693" s="10"/>
      <c r="T693" s="10"/>
    </row>
    <row r="694" spans="2:20" s="1" customFormat="1" ht="12.95" customHeight="1" x14ac:dyDescent="0.15">
      <c r="B694" s="16">
        <v>18</v>
      </c>
      <c r="C694" s="11"/>
      <c r="D694" s="18"/>
      <c r="E694" s="18"/>
      <c r="F694" s="129"/>
      <c r="G694" s="20"/>
      <c r="H694" s="20">
        <v>1</v>
      </c>
      <c r="I694" s="126">
        <f t="shared" si="50"/>
        <v>0</v>
      </c>
      <c r="J694" s="21">
        <f t="shared" si="49"/>
        <v>0</v>
      </c>
      <c r="K694" s="111"/>
      <c r="L694" s="119"/>
      <c r="M694" s="10"/>
      <c r="N694" s="10"/>
      <c r="O694" s="10"/>
      <c r="P694" s="10"/>
      <c r="Q694" s="43"/>
      <c r="R694" s="10"/>
      <c r="T694" s="10"/>
    </row>
    <row r="695" spans="2:20" s="1" customFormat="1" ht="12.95" customHeight="1" x14ac:dyDescent="0.15">
      <c r="B695" s="16">
        <v>19</v>
      </c>
      <c r="C695" s="16"/>
      <c r="D695" s="18"/>
      <c r="E695" s="18"/>
      <c r="F695" s="129"/>
      <c r="G695" s="20"/>
      <c r="H695" s="20">
        <v>1</v>
      </c>
      <c r="I695" s="126">
        <f t="shared" si="50"/>
        <v>0</v>
      </c>
      <c r="J695" s="259">
        <f t="shared" si="49"/>
        <v>0</v>
      </c>
      <c r="K695" s="82"/>
      <c r="L695" s="82"/>
      <c r="M695" s="10"/>
      <c r="N695" s="10"/>
      <c r="O695" s="10"/>
      <c r="P695" s="10"/>
      <c r="Q695" s="43"/>
      <c r="R695" s="10"/>
      <c r="T695" s="10"/>
    </row>
    <row r="696" spans="2:20" s="1" customFormat="1" ht="12.95" customHeight="1" x14ac:dyDescent="0.15">
      <c r="B696" s="16">
        <v>20</v>
      </c>
      <c r="C696" s="11"/>
      <c r="D696" s="18"/>
      <c r="E696" s="18"/>
      <c r="F696" s="129"/>
      <c r="G696" s="20"/>
      <c r="H696" s="20">
        <v>1</v>
      </c>
      <c r="I696" s="126">
        <f t="shared" si="50"/>
        <v>0</v>
      </c>
      <c r="J696" s="260">
        <f t="shared" si="49"/>
        <v>0</v>
      </c>
      <c r="K696" s="82"/>
      <c r="L696" s="82"/>
      <c r="M696" s="10"/>
      <c r="N696" s="10"/>
      <c r="O696" s="10"/>
      <c r="P696" s="10"/>
      <c r="Q696" s="43"/>
      <c r="R696" s="10"/>
      <c r="T696" s="10"/>
    </row>
    <row r="697" spans="2:20" s="1" customFormat="1" ht="12.95" customHeight="1" x14ac:dyDescent="0.15">
      <c r="B697" s="16"/>
      <c r="C697" s="17"/>
      <c r="D697" s="62"/>
      <c r="E697" s="63"/>
      <c r="F697" s="129"/>
      <c r="G697" s="20"/>
      <c r="H697" s="20"/>
      <c r="I697" s="254"/>
      <c r="J697" s="261"/>
      <c r="K697" s="82"/>
      <c r="L697" s="82"/>
    </row>
    <row r="698" spans="2:20" s="1" customFormat="1" ht="13.15" customHeight="1" x14ac:dyDescent="0.15">
      <c r="B698" s="83"/>
      <c r="C698" s="98"/>
      <c r="D698" s="99"/>
      <c r="E698" s="98"/>
      <c r="F698" s="127">
        <f>SUM(F639:F697)</f>
        <v>0</v>
      </c>
      <c r="G698" s="100"/>
      <c r="H698" s="101"/>
      <c r="I698" s="258">
        <f>SUM(I639:I697)</f>
        <v>0</v>
      </c>
      <c r="J698" s="106">
        <f>SUM(J641:J677)</f>
        <v>0</v>
      </c>
    </row>
    <row r="699" spans="2:20" s="1" customFormat="1" ht="13.15" customHeight="1" x14ac:dyDescent="0.15">
      <c r="B699" s="82"/>
      <c r="C699" s="102"/>
      <c r="D699" s="103"/>
      <c r="E699" s="102" t="s">
        <v>147</v>
      </c>
      <c r="F699" s="128">
        <f>100/115*F698</f>
        <v>0</v>
      </c>
      <c r="G699" s="104"/>
      <c r="H699" s="105" t="s">
        <v>147</v>
      </c>
      <c r="I699" s="256">
        <f>100/115*I698</f>
        <v>0</v>
      </c>
      <c r="J699" s="106">
        <f>SUM(J642:J678)</f>
        <v>0</v>
      </c>
    </row>
    <row r="700" spans="2:20" s="1" customFormat="1" ht="13.15" customHeight="1" x14ac:dyDescent="0.15">
      <c r="I700" s="135"/>
    </row>
    <row r="701" spans="2:20" s="1" customFormat="1" ht="13.15" customHeight="1" x14ac:dyDescent="0.15">
      <c r="I701" s="135"/>
    </row>
    <row r="702" spans="2:20" s="1" customFormat="1" ht="13.15" customHeight="1" x14ac:dyDescent="0.15">
      <c r="I702" s="135"/>
    </row>
    <row r="703" spans="2:20" s="1" customFormat="1" ht="13.15" customHeight="1" x14ac:dyDescent="0.15">
      <c r="I703" s="135"/>
    </row>
    <row r="704" spans="2:20" s="247" customFormat="1" ht="32.25" x14ac:dyDescent="0.4">
      <c r="B704" s="248"/>
      <c r="C704" s="380" t="s">
        <v>112</v>
      </c>
      <c r="D704" s="380"/>
      <c r="E704" s="428" t="s">
        <v>164</v>
      </c>
      <c r="F704" s="428"/>
      <c r="G704" s="428"/>
      <c r="H704" s="428"/>
      <c r="I704" s="428"/>
      <c r="J704" s="382">
        <v>2026</v>
      </c>
      <c r="K704" s="382"/>
      <c r="L704" s="382"/>
    </row>
    <row r="705" spans="2:13" s="1" customFormat="1" ht="39.6" customHeight="1" x14ac:dyDescent="0.15">
      <c r="B705" s="82"/>
      <c r="C705" s="102" t="s">
        <v>114</v>
      </c>
      <c r="D705" s="388" t="s">
        <v>115</v>
      </c>
      <c r="E705" s="388"/>
      <c r="F705" s="102" t="s">
        <v>116</v>
      </c>
      <c r="G705" s="102" t="s">
        <v>117</v>
      </c>
      <c r="H705" s="102" t="s">
        <v>118</v>
      </c>
      <c r="I705" s="141" t="s">
        <v>119</v>
      </c>
      <c r="J705" s="102" t="s">
        <v>120</v>
      </c>
      <c r="K705" s="82"/>
      <c r="L705" s="82"/>
    </row>
    <row r="706" spans="2:13" s="1" customFormat="1" ht="13.15" customHeight="1" x14ac:dyDescent="0.15">
      <c r="B706" s="82"/>
      <c r="C706" s="66">
        <f>C636</f>
        <v>250</v>
      </c>
      <c r="D706" s="389">
        <v>20</v>
      </c>
      <c r="E706" s="389"/>
      <c r="F706" s="13">
        <f>F636</f>
        <v>0.75</v>
      </c>
      <c r="G706" s="14">
        <f>G636</f>
        <v>8</v>
      </c>
      <c r="H706" s="142">
        <f>D706*G706*F706</f>
        <v>120</v>
      </c>
      <c r="I706" s="66">
        <f>I768</f>
        <v>0</v>
      </c>
      <c r="J706" s="143">
        <f>H706-J768</f>
        <v>120</v>
      </c>
      <c r="K706" s="82"/>
      <c r="L706" s="82"/>
    </row>
    <row r="707" spans="2:13" s="1" customFormat="1" ht="66" customHeight="1" x14ac:dyDescent="0.15">
      <c r="B707" s="84"/>
      <c r="C707" s="136" t="s">
        <v>121</v>
      </c>
      <c r="D707" s="420" t="s">
        <v>122</v>
      </c>
      <c r="E707" s="421"/>
      <c r="F707" s="137" t="s">
        <v>123</v>
      </c>
      <c r="G707" s="138" t="s">
        <v>124</v>
      </c>
      <c r="H707" s="139" t="s">
        <v>125</v>
      </c>
      <c r="I707" s="140" t="s">
        <v>126</v>
      </c>
      <c r="J707" s="138" t="s">
        <v>127</v>
      </c>
      <c r="K707" s="122" t="s">
        <v>128</v>
      </c>
      <c r="L707" s="123" t="s">
        <v>129</v>
      </c>
    </row>
    <row r="708" spans="2:13" s="1" customFormat="1" ht="12.95" customHeight="1" x14ac:dyDescent="0.15">
      <c r="B708" s="16"/>
      <c r="C708" s="17"/>
      <c r="D708" s="422"/>
      <c r="E708" s="423"/>
      <c r="F708" s="36"/>
      <c r="G708" s="20"/>
      <c r="H708" s="20"/>
      <c r="I708" s="126"/>
      <c r="J708" s="21"/>
      <c r="K708" s="80"/>
      <c r="L708" s="82"/>
    </row>
    <row r="709" spans="2:13" s="1" customFormat="1" ht="12.95" customHeight="1" x14ac:dyDescent="0.15">
      <c r="B709" s="16"/>
      <c r="C709" s="37" t="s">
        <v>130</v>
      </c>
      <c r="D709" s="24"/>
      <c r="E709" s="24"/>
      <c r="F709" s="129"/>
      <c r="G709" s="20"/>
      <c r="H709" s="20"/>
      <c r="I709" s="126"/>
      <c r="J709" s="38"/>
      <c r="K709" s="80"/>
      <c r="L709" s="82"/>
    </row>
    <row r="710" spans="2:13" s="1" customFormat="1" ht="12.75" customHeight="1" x14ac:dyDescent="0.15">
      <c r="B710" s="16"/>
      <c r="C710" s="72" t="s">
        <v>149</v>
      </c>
      <c r="D710" s="24"/>
      <c r="E710" s="24"/>
      <c r="F710" s="129"/>
      <c r="G710" s="20"/>
      <c r="H710" s="20"/>
      <c r="I710" s="126"/>
      <c r="J710" s="38"/>
      <c r="K710" s="80"/>
      <c r="L710" s="82"/>
    </row>
    <row r="711" spans="2:13" s="1" customFormat="1" ht="16.5" x14ac:dyDescent="0.15">
      <c r="B711" s="16">
        <v>1</v>
      </c>
      <c r="C711" s="23"/>
      <c r="D711" s="48"/>
      <c r="E711" s="48"/>
      <c r="F711" s="126"/>
      <c r="G711" s="50"/>
      <c r="H711" s="20">
        <v>1</v>
      </c>
      <c r="I711" s="126">
        <f t="shared" ref="I711:I733" si="51">J711*$C$32</f>
        <v>0</v>
      </c>
      <c r="J711" s="38">
        <f t="shared" ref="J711:J727" si="52">(F711*G711*H711)/$C$32</f>
        <v>0</v>
      </c>
      <c r="K711" s="80"/>
      <c r="L711" s="82"/>
      <c r="M711" s="133"/>
    </row>
    <row r="712" spans="2:13" s="1" customFormat="1" ht="12.75" customHeight="1" x14ac:dyDescent="0.15">
      <c r="B712" s="16">
        <v>2</v>
      </c>
      <c r="C712" s="23"/>
      <c r="D712" s="97"/>
      <c r="E712" s="97"/>
      <c r="F712" s="126"/>
      <c r="G712" s="50"/>
      <c r="H712" s="20">
        <v>1</v>
      </c>
      <c r="I712" s="126">
        <f t="shared" si="51"/>
        <v>0</v>
      </c>
      <c r="J712" s="38">
        <f t="shared" si="52"/>
        <v>0</v>
      </c>
      <c r="K712" s="80"/>
      <c r="L712" s="82"/>
      <c r="M712" s="134"/>
    </row>
    <row r="713" spans="2:13" s="1" customFormat="1" ht="12.75" customHeight="1" x14ac:dyDescent="0.15">
      <c r="B713" s="16">
        <v>3</v>
      </c>
      <c r="C713" s="23"/>
      <c r="D713" s="48"/>
      <c r="E713" s="48"/>
      <c r="F713" s="126"/>
      <c r="G713" s="50"/>
      <c r="H713" s="20">
        <v>1</v>
      </c>
      <c r="I713" s="126">
        <f t="shared" si="51"/>
        <v>0</v>
      </c>
      <c r="J713" s="38">
        <f t="shared" si="52"/>
        <v>0</v>
      </c>
      <c r="K713" s="80"/>
      <c r="L713" s="82"/>
    </row>
    <row r="714" spans="2:13" s="1" customFormat="1" ht="12.75" x14ac:dyDescent="0.15">
      <c r="B714" s="16">
        <v>4</v>
      </c>
      <c r="C714" s="26"/>
      <c r="D714" s="49"/>
      <c r="E714" s="49"/>
      <c r="F714" s="126"/>
      <c r="G714" s="50"/>
      <c r="H714" s="20">
        <v>1</v>
      </c>
      <c r="I714" s="126">
        <f t="shared" si="51"/>
        <v>0</v>
      </c>
      <c r="J714" s="38">
        <f t="shared" si="52"/>
        <v>0</v>
      </c>
      <c r="K714" s="80"/>
      <c r="L714" s="82"/>
    </row>
    <row r="715" spans="2:13" s="1" customFormat="1" ht="12.75" customHeight="1" x14ac:dyDescent="0.15">
      <c r="B715" s="16">
        <v>5</v>
      </c>
      <c r="C715" s="23"/>
      <c r="D715" s="48"/>
      <c r="E715" s="48"/>
      <c r="F715" s="126"/>
      <c r="G715" s="50"/>
      <c r="H715" s="20">
        <v>1</v>
      </c>
      <c r="I715" s="126">
        <f t="shared" si="51"/>
        <v>0</v>
      </c>
      <c r="J715" s="38">
        <f t="shared" si="52"/>
        <v>0</v>
      </c>
      <c r="K715" s="80"/>
      <c r="L715" s="82"/>
    </row>
    <row r="716" spans="2:13" s="1" customFormat="1" ht="12.95" customHeight="1" x14ac:dyDescent="0.15">
      <c r="B716" s="16">
        <v>6</v>
      </c>
      <c r="C716" s="23"/>
      <c r="D716" s="48"/>
      <c r="E716" s="48"/>
      <c r="F716" s="126"/>
      <c r="G716" s="50"/>
      <c r="H716" s="20">
        <v>1</v>
      </c>
      <c r="I716" s="126">
        <f t="shared" si="51"/>
        <v>0</v>
      </c>
      <c r="J716" s="38">
        <f t="shared" si="52"/>
        <v>0</v>
      </c>
      <c r="K716" s="80"/>
      <c r="L716" s="82"/>
    </row>
    <row r="717" spans="2:13" s="1" customFormat="1" ht="12.95" customHeight="1" x14ac:dyDescent="0.15">
      <c r="B717" s="16">
        <v>7</v>
      </c>
      <c r="C717" s="23"/>
      <c r="D717" s="48"/>
      <c r="E717" s="48"/>
      <c r="F717" s="126"/>
      <c r="G717" s="50"/>
      <c r="H717" s="20">
        <v>1</v>
      </c>
      <c r="I717" s="126">
        <f t="shared" si="51"/>
        <v>0</v>
      </c>
      <c r="J717" s="38">
        <f t="shared" si="52"/>
        <v>0</v>
      </c>
      <c r="K717" s="80"/>
      <c r="L717" s="82"/>
    </row>
    <row r="718" spans="2:13" s="1" customFormat="1" ht="12.95" customHeight="1" x14ac:dyDescent="0.15">
      <c r="B718" s="16">
        <v>8</v>
      </c>
      <c r="C718" s="23"/>
      <c r="D718" s="48"/>
      <c r="E718" s="48"/>
      <c r="F718" s="126"/>
      <c r="G718" s="50"/>
      <c r="H718" s="20">
        <v>1</v>
      </c>
      <c r="I718" s="126">
        <f t="shared" si="51"/>
        <v>0</v>
      </c>
      <c r="J718" s="38">
        <f t="shared" si="52"/>
        <v>0</v>
      </c>
      <c r="K718" s="80"/>
      <c r="L718" s="82"/>
    </row>
    <row r="719" spans="2:13" s="1" customFormat="1" ht="12.95" customHeight="1" x14ac:dyDescent="0.15">
      <c r="B719" s="16">
        <v>9</v>
      </c>
      <c r="C719" s="23"/>
      <c r="D719" s="48"/>
      <c r="E719" s="48"/>
      <c r="F719" s="126"/>
      <c r="G719" s="50"/>
      <c r="H719" s="20">
        <v>1</v>
      </c>
      <c r="I719" s="126">
        <f t="shared" si="51"/>
        <v>0</v>
      </c>
      <c r="J719" s="38">
        <f t="shared" si="52"/>
        <v>0</v>
      </c>
      <c r="K719" s="80"/>
      <c r="L719" s="82"/>
    </row>
    <row r="720" spans="2:13" s="1" customFormat="1" ht="12.95" customHeight="1" x14ac:dyDescent="0.15">
      <c r="B720" s="16">
        <v>10</v>
      </c>
      <c r="C720" s="23"/>
      <c r="D720" s="49"/>
      <c r="E720" s="48"/>
      <c r="F720" s="126"/>
      <c r="G720" s="50"/>
      <c r="H720" s="20">
        <v>1</v>
      </c>
      <c r="I720" s="126">
        <f t="shared" si="51"/>
        <v>0</v>
      </c>
      <c r="J720" s="38">
        <f t="shared" si="52"/>
        <v>0</v>
      </c>
      <c r="K720" s="80"/>
      <c r="L720" s="82"/>
    </row>
    <row r="721" spans="2:20" s="1" customFormat="1" ht="12.95" customHeight="1" x14ac:dyDescent="0.15">
      <c r="B721" s="16"/>
      <c r="C721" s="23"/>
      <c r="D721" s="49"/>
      <c r="E721" s="48"/>
      <c r="F721" s="126"/>
      <c r="G721" s="50"/>
      <c r="H721" s="20"/>
      <c r="I721" s="126"/>
      <c r="J721" s="38"/>
      <c r="K721" s="80"/>
      <c r="L721" s="82"/>
    </row>
    <row r="722" spans="2:20" s="1" customFormat="1" ht="12.95" customHeight="1" x14ac:dyDescent="0.15">
      <c r="B722" s="16"/>
      <c r="C722" s="23"/>
      <c r="D722" s="48"/>
      <c r="E722" s="49"/>
      <c r="F722" s="126"/>
      <c r="G722" s="50"/>
      <c r="H722" s="20"/>
      <c r="I722" s="126"/>
      <c r="J722" s="38"/>
      <c r="K722" s="80"/>
      <c r="L722" s="82"/>
    </row>
    <row r="723" spans="2:20" s="1" customFormat="1" ht="12.95" customHeight="1" x14ac:dyDescent="0.15">
      <c r="B723" s="16"/>
      <c r="C723" s="22" t="s">
        <v>156</v>
      </c>
      <c r="D723" s="24"/>
      <c r="E723" s="18"/>
      <c r="F723" s="129"/>
      <c r="G723" s="20"/>
      <c r="H723" s="20"/>
      <c r="I723" s="126"/>
      <c r="J723" s="38"/>
      <c r="K723" s="80"/>
      <c r="L723" s="82"/>
    </row>
    <row r="724" spans="2:20" s="1" customFormat="1" ht="12.95" customHeight="1" x14ac:dyDescent="0.15">
      <c r="B724" s="16">
        <v>1</v>
      </c>
      <c r="C724" s="17"/>
      <c r="D724" s="24"/>
      <c r="E724" s="18"/>
      <c r="F724" s="129"/>
      <c r="G724" s="20"/>
      <c r="H724" s="20">
        <v>1</v>
      </c>
      <c r="I724" s="126">
        <f t="shared" si="51"/>
        <v>0</v>
      </c>
      <c r="J724" s="38">
        <f t="shared" si="52"/>
        <v>0</v>
      </c>
      <c r="K724" s="80"/>
      <c r="L724" s="82"/>
    </row>
    <row r="725" spans="2:20" s="1" customFormat="1" ht="12.95" customHeight="1" x14ac:dyDescent="0.15">
      <c r="B725" s="16">
        <v>2</v>
      </c>
      <c r="C725" s="17"/>
      <c r="D725" s="24"/>
      <c r="E725" s="18"/>
      <c r="F725" s="129"/>
      <c r="G725" s="20"/>
      <c r="H725" s="20">
        <v>1</v>
      </c>
      <c r="I725" s="126">
        <f t="shared" si="51"/>
        <v>0</v>
      </c>
      <c r="J725" s="38">
        <f t="shared" si="52"/>
        <v>0</v>
      </c>
      <c r="K725" s="80"/>
      <c r="L725" s="82"/>
    </row>
    <row r="726" spans="2:20" s="1" customFormat="1" ht="12.95" customHeight="1" x14ac:dyDescent="0.15">
      <c r="B726" s="16">
        <v>3</v>
      </c>
      <c r="C726" s="17"/>
      <c r="D726" s="24"/>
      <c r="E726" s="18"/>
      <c r="F726" s="129"/>
      <c r="G726" s="20"/>
      <c r="H726" s="20">
        <v>1</v>
      </c>
      <c r="I726" s="126">
        <f t="shared" si="51"/>
        <v>0</v>
      </c>
      <c r="J726" s="38">
        <f t="shared" si="52"/>
        <v>0</v>
      </c>
      <c r="K726" s="80"/>
      <c r="L726" s="82"/>
    </row>
    <row r="727" spans="2:20" s="1" customFormat="1" ht="12.95" customHeight="1" x14ac:dyDescent="0.15">
      <c r="B727" s="16">
        <v>4</v>
      </c>
      <c r="C727" s="17"/>
      <c r="D727" s="24"/>
      <c r="E727" s="24"/>
      <c r="F727" s="129"/>
      <c r="G727" s="20"/>
      <c r="H727" s="20">
        <v>1</v>
      </c>
      <c r="I727" s="126">
        <f t="shared" si="51"/>
        <v>0</v>
      </c>
      <c r="J727" s="38">
        <f t="shared" si="52"/>
        <v>0</v>
      </c>
      <c r="K727" s="80"/>
      <c r="L727" s="82"/>
    </row>
    <row r="728" spans="2:20" s="1" customFormat="1" ht="12.95" customHeight="1" x14ac:dyDescent="0.15">
      <c r="B728" s="16">
        <v>5</v>
      </c>
      <c r="C728" s="17"/>
      <c r="D728" s="24"/>
      <c r="E728" s="24"/>
      <c r="F728" s="129"/>
      <c r="G728" s="20"/>
      <c r="H728" s="20">
        <v>1</v>
      </c>
      <c r="I728" s="126">
        <f t="shared" si="51"/>
        <v>0</v>
      </c>
      <c r="J728" s="38">
        <f>(F728*G728*H728)/$C$32</f>
        <v>0</v>
      </c>
      <c r="K728" s="80"/>
      <c r="L728" s="82"/>
    </row>
    <row r="729" spans="2:20" s="1" customFormat="1" ht="12.95" customHeight="1" x14ac:dyDescent="0.15">
      <c r="B729" s="16">
        <v>6</v>
      </c>
      <c r="C729" s="17"/>
      <c r="D729" s="24"/>
      <c r="E729" s="24"/>
      <c r="F729" s="129"/>
      <c r="G729" s="20"/>
      <c r="H729" s="20">
        <v>1</v>
      </c>
      <c r="I729" s="126">
        <f t="shared" si="51"/>
        <v>0</v>
      </c>
      <c r="J729" s="38">
        <f>(F729*G729*H729)/$C$32</f>
        <v>0</v>
      </c>
      <c r="K729" s="80"/>
      <c r="L729" s="82"/>
    </row>
    <row r="730" spans="2:20" s="1" customFormat="1" ht="12.95" customHeight="1" x14ac:dyDescent="0.15">
      <c r="B730" s="16">
        <v>7</v>
      </c>
      <c r="C730" s="17"/>
      <c r="D730" s="24"/>
      <c r="E730" s="24"/>
      <c r="F730" s="129"/>
      <c r="G730" s="20"/>
      <c r="H730" s="20">
        <v>1</v>
      </c>
      <c r="I730" s="126">
        <f t="shared" si="51"/>
        <v>0</v>
      </c>
      <c r="J730" s="21">
        <f t="shared" ref="J730:J766" si="53">(F730*G730*H730)/$C$32</f>
        <v>0</v>
      </c>
      <c r="K730" s="80"/>
      <c r="L730" s="82"/>
    </row>
    <row r="731" spans="2:20" s="1" customFormat="1" ht="12.95" customHeight="1" x14ac:dyDescent="0.15">
      <c r="B731" s="16">
        <v>8</v>
      </c>
      <c r="C731" s="17"/>
      <c r="D731" s="24"/>
      <c r="E731" s="24"/>
      <c r="F731" s="129"/>
      <c r="G731" s="20"/>
      <c r="H731" s="20">
        <v>1</v>
      </c>
      <c r="I731" s="126">
        <f t="shared" si="51"/>
        <v>0</v>
      </c>
      <c r="J731" s="38">
        <f t="shared" si="53"/>
        <v>0</v>
      </c>
      <c r="K731" s="80"/>
      <c r="L731" s="82"/>
    </row>
    <row r="732" spans="2:20" s="1" customFormat="1" ht="12.95" customHeight="1" x14ac:dyDescent="0.15">
      <c r="B732" s="16">
        <v>9</v>
      </c>
      <c r="C732" s="17"/>
      <c r="D732" s="24"/>
      <c r="E732" s="24"/>
      <c r="F732" s="129"/>
      <c r="G732" s="20"/>
      <c r="H732" s="20">
        <v>1</v>
      </c>
      <c r="I732" s="126">
        <f t="shared" si="51"/>
        <v>0</v>
      </c>
      <c r="J732" s="38">
        <f t="shared" si="53"/>
        <v>0</v>
      </c>
      <c r="K732" s="80"/>
      <c r="L732" s="82"/>
    </row>
    <row r="733" spans="2:20" s="1" customFormat="1" ht="12.95" customHeight="1" x14ac:dyDescent="0.15">
      <c r="B733" s="16">
        <v>10</v>
      </c>
      <c r="C733" s="44"/>
      <c r="D733" s="18"/>
      <c r="E733" s="18"/>
      <c r="F733" s="129"/>
      <c r="G733" s="20"/>
      <c r="H733" s="20">
        <v>1</v>
      </c>
      <c r="I733" s="126">
        <f t="shared" si="51"/>
        <v>0</v>
      </c>
      <c r="J733" s="21">
        <f t="shared" si="53"/>
        <v>0</v>
      </c>
      <c r="K733" s="80"/>
      <c r="L733" s="82"/>
      <c r="M733" s="10"/>
      <c r="N733" s="10"/>
      <c r="O733" s="10"/>
      <c r="P733" s="10"/>
      <c r="Q733" s="43"/>
      <c r="R733" s="10"/>
      <c r="T733" s="10"/>
    </row>
    <row r="734" spans="2:20" s="1" customFormat="1" ht="12.95" customHeight="1" x14ac:dyDescent="0.15">
      <c r="B734" s="16">
        <v>11</v>
      </c>
      <c r="C734" s="45"/>
      <c r="D734" s="18"/>
      <c r="E734" s="18"/>
      <c r="F734" s="130"/>
      <c r="G734" s="20"/>
      <c r="H734" s="20">
        <v>1</v>
      </c>
      <c r="I734" s="126">
        <f>J734*$C$32</f>
        <v>0</v>
      </c>
      <c r="J734" s="21">
        <f t="shared" si="53"/>
        <v>0</v>
      </c>
      <c r="K734" s="80"/>
      <c r="L734" s="82"/>
      <c r="M734" s="10"/>
      <c r="N734" s="10"/>
      <c r="O734" s="10"/>
      <c r="P734" s="10"/>
      <c r="Q734" s="43"/>
      <c r="R734" s="10"/>
      <c r="T734" s="10"/>
    </row>
    <row r="735" spans="2:20" s="1" customFormat="1" ht="12.95" customHeight="1" x14ac:dyDescent="0.15">
      <c r="B735" s="16">
        <v>12</v>
      </c>
      <c r="C735" s="44"/>
      <c r="D735" s="18"/>
      <c r="E735" s="18"/>
      <c r="F735" s="129"/>
      <c r="G735" s="20"/>
      <c r="H735" s="20">
        <v>1</v>
      </c>
      <c r="I735" s="126">
        <f t="shared" ref="I735:I766" si="54">J735*$C$32</f>
        <v>0</v>
      </c>
      <c r="J735" s="21">
        <f t="shared" si="53"/>
        <v>0</v>
      </c>
      <c r="K735" s="80"/>
      <c r="L735" s="82"/>
      <c r="M735" s="10"/>
      <c r="N735" s="10"/>
      <c r="O735" s="10"/>
      <c r="P735" s="10"/>
      <c r="Q735" s="43"/>
      <c r="R735" s="10"/>
      <c r="T735" s="10"/>
    </row>
    <row r="736" spans="2:20" s="1" customFormat="1" ht="12.95" customHeight="1" x14ac:dyDescent="0.15">
      <c r="B736" s="16">
        <v>13</v>
      </c>
      <c r="C736" s="11"/>
      <c r="D736" s="18"/>
      <c r="E736" s="18"/>
      <c r="F736" s="129"/>
      <c r="G736" s="20"/>
      <c r="H736" s="20">
        <v>1</v>
      </c>
      <c r="I736" s="126">
        <f t="shared" si="54"/>
        <v>0</v>
      </c>
      <c r="J736" s="21">
        <f t="shared" si="53"/>
        <v>0</v>
      </c>
      <c r="K736" s="80"/>
      <c r="L736" s="82"/>
      <c r="M736" s="10"/>
      <c r="N736" s="10"/>
      <c r="O736" s="10"/>
      <c r="P736" s="10"/>
      <c r="Q736" s="43"/>
      <c r="R736" s="10"/>
      <c r="T736" s="10"/>
    </row>
    <row r="737" spans="2:20" s="1" customFormat="1" ht="12.95" customHeight="1" x14ac:dyDescent="0.15">
      <c r="B737" s="16">
        <v>14</v>
      </c>
      <c r="C737" s="11"/>
      <c r="D737" s="18"/>
      <c r="E737" s="18"/>
      <c r="F737" s="129"/>
      <c r="G737" s="20"/>
      <c r="H737" s="20">
        <v>1</v>
      </c>
      <c r="I737" s="126">
        <f t="shared" si="54"/>
        <v>0</v>
      </c>
      <c r="J737" s="21">
        <f t="shared" si="53"/>
        <v>0</v>
      </c>
      <c r="K737" s="80"/>
      <c r="L737" s="82"/>
      <c r="M737" s="10"/>
      <c r="N737" s="10"/>
      <c r="O737" s="10"/>
      <c r="P737" s="10"/>
      <c r="Q737" s="43"/>
      <c r="R737" s="10"/>
      <c r="T737" s="10"/>
    </row>
    <row r="738" spans="2:20" s="1" customFormat="1" ht="12.95" customHeight="1" x14ac:dyDescent="0.15">
      <c r="B738" s="16">
        <v>15</v>
      </c>
      <c r="C738" s="11"/>
      <c r="D738" s="18"/>
      <c r="E738" s="18"/>
      <c r="F738" s="129"/>
      <c r="G738" s="20"/>
      <c r="H738" s="20">
        <v>1</v>
      </c>
      <c r="I738" s="126">
        <f t="shared" si="54"/>
        <v>0</v>
      </c>
      <c r="J738" s="21">
        <f t="shared" si="53"/>
        <v>0</v>
      </c>
      <c r="K738" s="80"/>
      <c r="L738" s="82"/>
      <c r="M738" s="10"/>
      <c r="N738" s="10"/>
      <c r="O738" s="10"/>
      <c r="P738" s="10"/>
      <c r="Q738" s="43"/>
      <c r="R738" s="10"/>
      <c r="T738" s="10"/>
    </row>
    <row r="739" spans="2:20" s="1" customFormat="1" ht="12.95" customHeight="1" x14ac:dyDescent="0.15">
      <c r="B739" s="16">
        <v>16</v>
      </c>
      <c r="C739" s="11"/>
      <c r="D739" s="18"/>
      <c r="E739" s="18"/>
      <c r="F739" s="129"/>
      <c r="G739" s="20"/>
      <c r="H739" s="20">
        <v>1</v>
      </c>
      <c r="I739" s="126">
        <f t="shared" si="54"/>
        <v>0</v>
      </c>
      <c r="J739" s="21">
        <f t="shared" si="53"/>
        <v>0</v>
      </c>
      <c r="K739" s="80"/>
      <c r="L739" s="82"/>
      <c r="M739" s="10"/>
      <c r="N739" s="10"/>
      <c r="O739" s="10"/>
      <c r="P739" s="10"/>
      <c r="Q739" s="43"/>
      <c r="R739" s="10"/>
      <c r="T739" s="10"/>
    </row>
    <row r="740" spans="2:20" s="1" customFormat="1" ht="12.95" customHeight="1" x14ac:dyDescent="0.15">
      <c r="B740" s="16">
        <v>17</v>
      </c>
      <c r="C740" s="11"/>
      <c r="D740" s="18"/>
      <c r="E740" s="18"/>
      <c r="F740" s="129"/>
      <c r="G740" s="20"/>
      <c r="H740" s="20">
        <v>1</v>
      </c>
      <c r="I740" s="126">
        <f t="shared" si="54"/>
        <v>0</v>
      </c>
      <c r="J740" s="21">
        <f t="shared" si="53"/>
        <v>0</v>
      </c>
      <c r="K740" s="80"/>
      <c r="L740" s="82"/>
      <c r="M740" s="10"/>
      <c r="N740" s="10"/>
      <c r="O740" s="10"/>
      <c r="P740" s="10"/>
      <c r="Q740" s="43"/>
      <c r="R740" s="10"/>
      <c r="T740" s="10"/>
    </row>
    <row r="741" spans="2:20" s="1" customFormat="1" ht="12.95" customHeight="1" x14ac:dyDescent="0.15">
      <c r="B741" s="16">
        <v>18</v>
      </c>
      <c r="C741" s="11"/>
      <c r="D741" s="18"/>
      <c r="E741" s="18"/>
      <c r="F741" s="129"/>
      <c r="G741" s="20"/>
      <c r="H741" s="20">
        <v>1</v>
      </c>
      <c r="I741" s="126">
        <f t="shared" si="54"/>
        <v>0</v>
      </c>
      <c r="J741" s="21">
        <f t="shared" si="53"/>
        <v>0</v>
      </c>
      <c r="K741" s="80"/>
      <c r="L741" s="82"/>
      <c r="M741" s="10"/>
      <c r="N741" s="10"/>
      <c r="O741" s="10"/>
      <c r="P741" s="10"/>
      <c r="Q741" s="43"/>
      <c r="R741" s="10"/>
      <c r="T741" s="10"/>
    </row>
    <row r="742" spans="2:20" s="1" customFormat="1" ht="12.95" customHeight="1" x14ac:dyDescent="0.15">
      <c r="B742" s="16">
        <v>19</v>
      </c>
      <c r="C742" s="11"/>
      <c r="D742" s="18"/>
      <c r="E742" s="18"/>
      <c r="F742" s="129"/>
      <c r="G742" s="20"/>
      <c r="H742" s="20">
        <v>1</v>
      </c>
      <c r="I742" s="126">
        <f t="shared" si="54"/>
        <v>0</v>
      </c>
      <c r="J742" s="21">
        <f t="shared" si="53"/>
        <v>0</v>
      </c>
      <c r="K742" s="80"/>
      <c r="L742" s="82"/>
      <c r="M742" s="10"/>
      <c r="N742" s="10"/>
      <c r="O742" s="10"/>
      <c r="P742" s="10"/>
      <c r="Q742" s="43"/>
      <c r="R742" s="10"/>
      <c r="T742" s="10"/>
    </row>
    <row r="743" spans="2:20" s="1" customFormat="1" ht="12.95" customHeight="1" x14ac:dyDescent="0.15">
      <c r="B743" s="16">
        <v>20</v>
      </c>
      <c r="C743" s="11"/>
      <c r="D743" s="18"/>
      <c r="E743" s="18"/>
      <c r="F743" s="129"/>
      <c r="G743" s="20"/>
      <c r="H743" s="20">
        <v>1</v>
      </c>
      <c r="I743" s="126">
        <f t="shared" si="54"/>
        <v>0</v>
      </c>
      <c r="J743" s="21">
        <f t="shared" si="53"/>
        <v>0</v>
      </c>
      <c r="K743" s="80"/>
      <c r="L743" s="82"/>
      <c r="M743" s="10"/>
      <c r="N743" s="10"/>
      <c r="O743" s="10"/>
      <c r="P743" s="10"/>
      <c r="Q743" s="43"/>
      <c r="R743" s="10"/>
      <c r="T743" s="10"/>
    </row>
    <row r="744" spans="2:20" s="1" customFormat="1" ht="12.95" customHeight="1" x14ac:dyDescent="0.15">
      <c r="B744" s="16"/>
      <c r="C744" s="11"/>
      <c r="D744" s="18"/>
      <c r="E744" s="18"/>
      <c r="F744" s="129"/>
      <c r="G744" s="20"/>
      <c r="H744" s="20"/>
      <c r="I744" s="126"/>
      <c r="J744" s="21"/>
      <c r="K744" s="80"/>
      <c r="L744" s="82"/>
      <c r="M744" s="10"/>
      <c r="N744" s="10"/>
      <c r="O744" s="10"/>
      <c r="P744" s="10"/>
      <c r="Q744" s="43"/>
      <c r="R744" s="10"/>
      <c r="T744" s="10"/>
    </row>
    <row r="745" spans="2:20" s="1" customFormat="1" ht="12.95" customHeight="1" x14ac:dyDescent="0.15">
      <c r="B745" s="16"/>
      <c r="C745" s="11"/>
      <c r="D745" s="18"/>
      <c r="E745" s="18"/>
      <c r="F745" s="129"/>
      <c r="G745" s="20"/>
      <c r="H745" s="20"/>
      <c r="I745" s="126"/>
      <c r="J745" s="21"/>
      <c r="K745" s="80"/>
      <c r="L745" s="82"/>
      <c r="M745" s="10"/>
      <c r="N745" s="10"/>
      <c r="O745" s="10"/>
      <c r="P745" s="10"/>
      <c r="Q745" s="43"/>
      <c r="R745" s="10"/>
      <c r="T745" s="10"/>
    </row>
    <row r="746" spans="2:20" s="1" customFormat="1" ht="12.95" customHeight="1" x14ac:dyDescent="0.15">
      <c r="B746" s="16"/>
      <c r="C746" s="96" t="s">
        <v>132</v>
      </c>
      <c r="D746" s="18"/>
      <c r="E746" s="18"/>
      <c r="F746" s="129"/>
      <c r="G746" s="20"/>
      <c r="H746" s="20"/>
      <c r="I746" s="126"/>
      <c r="J746" s="21"/>
      <c r="K746" s="80"/>
      <c r="L746" s="82"/>
      <c r="M746" s="10"/>
      <c r="N746" s="10"/>
      <c r="O746" s="10"/>
      <c r="P746" s="10"/>
      <c r="Q746" s="43"/>
      <c r="R746" s="10"/>
      <c r="T746" s="10"/>
    </row>
    <row r="747" spans="2:20" s="1" customFormat="1" ht="12.95" customHeight="1" x14ac:dyDescent="0.15">
      <c r="B747" s="16">
        <v>1</v>
      </c>
      <c r="C747" s="11"/>
      <c r="D747" s="18"/>
      <c r="E747" s="18"/>
      <c r="F747" s="129"/>
      <c r="G747" s="20"/>
      <c r="H747" s="20">
        <v>1</v>
      </c>
      <c r="I747" s="126">
        <f t="shared" si="54"/>
        <v>0</v>
      </c>
      <c r="J747" s="21">
        <f t="shared" si="53"/>
        <v>0</v>
      </c>
      <c r="K747" s="80"/>
      <c r="L747" s="82"/>
      <c r="M747" s="10"/>
      <c r="N747" s="10"/>
      <c r="O747" s="10"/>
      <c r="P747" s="10"/>
      <c r="Q747" s="43"/>
      <c r="R747" s="10"/>
      <c r="T747" s="10"/>
    </row>
    <row r="748" spans="2:20" s="1" customFormat="1" ht="12.95" customHeight="1" x14ac:dyDescent="0.15">
      <c r="B748" s="16">
        <v>2</v>
      </c>
      <c r="C748" s="11"/>
      <c r="D748" s="18"/>
      <c r="E748" s="18"/>
      <c r="F748" s="129"/>
      <c r="G748" s="20"/>
      <c r="H748" s="20">
        <v>1</v>
      </c>
      <c r="I748" s="126">
        <f t="shared" si="54"/>
        <v>0</v>
      </c>
      <c r="J748" s="21">
        <f t="shared" si="53"/>
        <v>0</v>
      </c>
      <c r="K748" s="80"/>
      <c r="L748" s="82"/>
      <c r="M748" s="10"/>
      <c r="N748" s="10"/>
      <c r="O748" s="10"/>
      <c r="P748" s="10"/>
      <c r="Q748" s="43"/>
      <c r="R748" s="10"/>
      <c r="T748" s="10"/>
    </row>
    <row r="749" spans="2:20" s="1" customFormat="1" ht="12.95" customHeight="1" x14ac:dyDescent="0.15">
      <c r="B749" s="16">
        <v>3</v>
      </c>
      <c r="C749" s="11"/>
      <c r="D749" s="18"/>
      <c r="E749" s="18"/>
      <c r="F749" s="129"/>
      <c r="G749" s="20"/>
      <c r="H749" s="20">
        <v>1</v>
      </c>
      <c r="I749" s="126">
        <f t="shared" si="54"/>
        <v>0</v>
      </c>
      <c r="J749" s="21">
        <f t="shared" si="53"/>
        <v>0</v>
      </c>
      <c r="K749" s="80"/>
      <c r="L749" s="82"/>
      <c r="M749" s="10"/>
      <c r="N749" s="10"/>
      <c r="O749" s="10"/>
      <c r="P749" s="10"/>
      <c r="Q749" s="43"/>
      <c r="R749" s="10"/>
      <c r="T749" s="10"/>
    </row>
    <row r="750" spans="2:20" s="1" customFormat="1" ht="12.95" customHeight="1" x14ac:dyDescent="0.15">
      <c r="B750" s="16">
        <v>4</v>
      </c>
      <c r="C750" s="11"/>
      <c r="D750" s="18"/>
      <c r="E750" s="18"/>
      <c r="F750" s="129"/>
      <c r="G750" s="20"/>
      <c r="H750" s="20">
        <v>1</v>
      </c>
      <c r="I750" s="126">
        <f t="shared" si="54"/>
        <v>0</v>
      </c>
      <c r="J750" s="21">
        <f t="shared" si="53"/>
        <v>0</v>
      </c>
      <c r="K750" s="80"/>
      <c r="L750" s="82"/>
      <c r="M750" s="10"/>
      <c r="N750" s="10"/>
      <c r="O750" s="10"/>
      <c r="P750" s="10"/>
      <c r="Q750" s="43"/>
      <c r="R750" s="10"/>
      <c r="T750" s="10"/>
    </row>
    <row r="751" spans="2:20" s="1" customFormat="1" ht="12.95" customHeight="1" x14ac:dyDescent="0.15">
      <c r="B751" s="16">
        <v>5</v>
      </c>
      <c r="C751" s="11"/>
      <c r="D751" s="18"/>
      <c r="E751" s="18"/>
      <c r="F751" s="129"/>
      <c r="G751" s="20"/>
      <c r="H751" s="20">
        <v>1</v>
      </c>
      <c r="I751" s="126">
        <f t="shared" si="54"/>
        <v>0</v>
      </c>
      <c r="J751" s="21">
        <f t="shared" si="53"/>
        <v>0</v>
      </c>
      <c r="K751" s="80"/>
      <c r="L751" s="82"/>
      <c r="M751" s="10"/>
      <c r="N751" s="10"/>
      <c r="O751" s="10"/>
      <c r="P751" s="10"/>
      <c r="Q751" s="43"/>
      <c r="R751" s="10"/>
      <c r="T751" s="10"/>
    </row>
    <row r="752" spans="2:20" s="1" customFormat="1" ht="12.95" customHeight="1" x14ac:dyDescent="0.15">
      <c r="B752" s="16">
        <v>6</v>
      </c>
      <c r="C752" s="11"/>
      <c r="D752" s="18"/>
      <c r="E752" s="18"/>
      <c r="F752" s="129"/>
      <c r="G752" s="20"/>
      <c r="H752" s="20">
        <v>1</v>
      </c>
      <c r="I752" s="126">
        <f t="shared" si="54"/>
        <v>0</v>
      </c>
      <c r="J752" s="21">
        <f t="shared" si="53"/>
        <v>0</v>
      </c>
      <c r="K752" s="80"/>
      <c r="L752" s="82"/>
      <c r="M752" s="10"/>
      <c r="N752" s="10"/>
      <c r="O752" s="10"/>
      <c r="P752" s="10"/>
      <c r="Q752" s="43"/>
      <c r="R752" s="10"/>
      <c r="T752" s="10"/>
    </row>
    <row r="753" spans="2:20" s="1" customFormat="1" ht="12.95" customHeight="1" x14ac:dyDescent="0.15">
      <c r="B753" s="16">
        <v>7</v>
      </c>
      <c r="C753" s="11"/>
      <c r="D753" s="18"/>
      <c r="E753" s="18"/>
      <c r="F753" s="129"/>
      <c r="G753" s="20"/>
      <c r="H753" s="20">
        <v>1</v>
      </c>
      <c r="I753" s="126">
        <f t="shared" si="54"/>
        <v>0</v>
      </c>
      <c r="J753" s="21">
        <f t="shared" si="53"/>
        <v>0</v>
      </c>
      <c r="K753" s="80"/>
      <c r="L753" s="82"/>
      <c r="M753" s="10"/>
      <c r="N753" s="10"/>
      <c r="O753" s="10"/>
      <c r="P753" s="10"/>
      <c r="Q753" s="43"/>
      <c r="R753" s="10"/>
      <c r="T753" s="10"/>
    </row>
    <row r="754" spans="2:20" s="1" customFormat="1" ht="12.95" customHeight="1" x14ac:dyDescent="0.15">
      <c r="B754" s="16">
        <v>8</v>
      </c>
      <c r="C754" s="11"/>
      <c r="D754" s="18"/>
      <c r="E754" s="18"/>
      <c r="F754" s="129"/>
      <c r="G754" s="20"/>
      <c r="H754" s="20">
        <v>1</v>
      </c>
      <c r="I754" s="126">
        <f t="shared" si="54"/>
        <v>0</v>
      </c>
      <c r="J754" s="21">
        <f t="shared" si="53"/>
        <v>0</v>
      </c>
      <c r="K754" s="80"/>
      <c r="L754" s="82"/>
      <c r="M754" s="10"/>
      <c r="N754" s="10"/>
      <c r="O754" s="10"/>
      <c r="P754" s="10"/>
      <c r="Q754" s="43"/>
      <c r="R754" s="10"/>
      <c r="T754" s="10"/>
    </row>
    <row r="755" spans="2:20" s="1" customFormat="1" ht="12.95" customHeight="1" x14ac:dyDescent="0.15">
      <c r="B755" s="16">
        <v>9</v>
      </c>
      <c r="C755" s="11"/>
      <c r="D755" s="18"/>
      <c r="E755" s="18"/>
      <c r="F755" s="129"/>
      <c r="G755" s="20"/>
      <c r="H755" s="20">
        <v>1</v>
      </c>
      <c r="I755" s="126">
        <f t="shared" si="54"/>
        <v>0</v>
      </c>
      <c r="J755" s="21">
        <f t="shared" si="53"/>
        <v>0</v>
      </c>
      <c r="K755" s="80"/>
      <c r="L755" s="82"/>
      <c r="M755" s="10"/>
      <c r="N755" s="10"/>
      <c r="O755" s="10"/>
      <c r="P755" s="10"/>
      <c r="Q755" s="43"/>
      <c r="R755" s="10"/>
      <c r="T755" s="10"/>
    </row>
    <row r="756" spans="2:20" s="1" customFormat="1" ht="12.95" customHeight="1" x14ac:dyDescent="0.15">
      <c r="B756" s="16">
        <v>10</v>
      </c>
      <c r="C756" s="11"/>
      <c r="D756" s="18"/>
      <c r="E756" s="18"/>
      <c r="F756" s="129"/>
      <c r="G756" s="20"/>
      <c r="H756" s="20">
        <v>1</v>
      </c>
      <c r="I756" s="126">
        <f t="shared" si="54"/>
        <v>0</v>
      </c>
      <c r="J756" s="21">
        <f t="shared" si="53"/>
        <v>0</v>
      </c>
      <c r="K756" s="80"/>
      <c r="L756" s="82"/>
      <c r="M756" s="10"/>
      <c r="N756" s="10"/>
      <c r="O756" s="10"/>
      <c r="P756" s="10"/>
      <c r="Q756" s="43"/>
      <c r="R756" s="10"/>
      <c r="T756" s="10"/>
    </row>
    <row r="757" spans="2:20" s="1" customFormat="1" ht="12.95" customHeight="1" x14ac:dyDescent="0.15">
      <c r="B757" s="16">
        <v>11</v>
      </c>
      <c r="C757" s="12" t="s">
        <v>165</v>
      </c>
      <c r="D757" s="18"/>
      <c r="E757" s="18"/>
      <c r="F757" s="129"/>
      <c r="G757" s="20"/>
      <c r="H757" s="20">
        <v>1</v>
      </c>
      <c r="I757" s="126">
        <f t="shared" si="54"/>
        <v>0</v>
      </c>
      <c r="J757" s="21">
        <f t="shared" si="53"/>
        <v>0</v>
      </c>
      <c r="K757" s="80"/>
      <c r="L757" s="82"/>
      <c r="M757" s="10"/>
      <c r="N757" s="10"/>
      <c r="O757" s="10"/>
      <c r="P757" s="10"/>
      <c r="Q757" s="43"/>
      <c r="R757" s="10"/>
      <c r="T757" s="10"/>
    </row>
    <row r="758" spans="2:20" s="1" customFormat="1" ht="12.95" customHeight="1" x14ac:dyDescent="0.15">
      <c r="B758" s="16">
        <v>12</v>
      </c>
      <c r="C758" s="12"/>
      <c r="D758" s="18"/>
      <c r="E758" s="18"/>
      <c r="F758" s="129"/>
      <c r="G758" s="20"/>
      <c r="H758" s="20">
        <v>1</v>
      </c>
      <c r="I758" s="126">
        <f t="shared" si="54"/>
        <v>0</v>
      </c>
      <c r="J758" s="21">
        <f t="shared" si="53"/>
        <v>0</v>
      </c>
      <c r="K758" s="80"/>
      <c r="L758" s="82"/>
      <c r="M758" s="10"/>
      <c r="N758" s="10"/>
      <c r="O758" s="10"/>
      <c r="P758" s="10"/>
      <c r="Q758" s="43"/>
      <c r="R758" s="10"/>
      <c r="T758" s="10"/>
    </row>
    <row r="759" spans="2:20" s="1" customFormat="1" ht="12.95" customHeight="1" x14ac:dyDescent="0.15">
      <c r="B759" s="16">
        <v>13</v>
      </c>
      <c r="C759" s="12"/>
      <c r="D759" s="18"/>
      <c r="E759" s="18"/>
      <c r="F759" s="129"/>
      <c r="G759" s="20"/>
      <c r="H759" s="20">
        <v>1</v>
      </c>
      <c r="I759" s="126">
        <f t="shared" si="54"/>
        <v>0</v>
      </c>
      <c r="J759" s="21">
        <f t="shared" si="53"/>
        <v>0</v>
      </c>
      <c r="K759" s="80"/>
      <c r="L759" s="82"/>
      <c r="M759" s="10"/>
      <c r="N759" s="10"/>
      <c r="O759" s="10"/>
      <c r="P759" s="10"/>
      <c r="Q759" s="43"/>
      <c r="R759" s="10"/>
      <c r="T759" s="10"/>
    </row>
    <row r="760" spans="2:20" s="1" customFormat="1" ht="12.95" customHeight="1" x14ac:dyDescent="0.15">
      <c r="B760" s="16">
        <v>14</v>
      </c>
      <c r="C760" s="12"/>
      <c r="D760" s="18"/>
      <c r="E760" s="18"/>
      <c r="F760" s="129"/>
      <c r="G760" s="20"/>
      <c r="H760" s="20">
        <v>1</v>
      </c>
      <c r="I760" s="126">
        <f t="shared" si="54"/>
        <v>0</v>
      </c>
      <c r="J760" s="21">
        <f t="shared" si="53"/>
        <v>0</v>
      </c>
      <c r="K760" s="80"/>
      <c r="L760" s="82"/>
      <c r="M760" s="10"/>
      <c r="N760" s="10"/>
      <c r="O760" s="10"/>
      <c r="P760" s="10"/>
      <c r="Q760" s="43"/>
      <c r="R760" s="10"/>
      <c r="T760" s="10"/>
    </row>
    <row r="761" spans="2:20" s="1" customFormat="1" ht="12.95" customHeight="1" x14ac:dyDescent="0.15">
      <c r="B761" s="16">
        <v>15</v>
      </c>
      <c r="C761" s="12"/>
      <c r="D761" s="18"/>
      <c r="E761" s="18"/>
      <c r="F761" s="129"/>
      <c r="G761" s="20"/>
      <c r="H761" s="20">
        <v>1</v>
      </c>
      <c r="I761" s="126">
        <f t="shared" si="54"/>
        <v>0</v>
      </c>
      <c r="J761" s="21">
        <f t="shared" si="53"/>
        <v>0</v>
      </c>
      <c r="K761" s="80"/>
      <c r="L761" s="82"/>
      <c r="M761" s="10"/>
      <c r="N761" s="10"/>
      <c r="O761" s="10"/>
      <c r="P761" s="10"/>
      <c r="Q761" s="43"/>
      <c r="R761" s="10"/>
      <c r="T761" s="10"/>
    </row>
    <row r="762" spans="2:20" s="1" customFormat="1" ht="12.95" customHeight="1" x14ac:dyDescent="0.15">
      <c r="B762" s="16">
        <v>16</v>
      </c>
      <c r="C762" s="12"/>
      <c r="D762" s="18"/>
      <c r="E762" s="18"/>
      <c r="F762" s="129"/>
      <c r="G762" s="20"/>
      <c r="H762" s="20">
        <v>1</v>
      </c>
      <c r="I762" s="126">
        <f t="shared" si="54"/>
        <v>0</v>
      </c>
      <c r="J762" s="21">
        <f t="shared" si="53"/>
        <v>0</v>
      </c>
      <c r="K762" s="80"/>
      <c r="L762" s="82"/>
      <c r="M762" s="10"/>
      <c r="N762" s="10"/>
      <c r="O762" s="10"/>
      <c r="P762" s="10"/>
      <c r="Q762" s="43"/>
      <c r="R762" s="10"/>
      <c r="T762" s="10"/>
    </row>
    <row r="763" spans="2:20" s="1" customFormat="1" ht="12.95" customHeight="1" x14ac:dyDescent="0.15">
      <c r="B763" s="16">
        <v>17</v>
      </c>
      <c r="C763" s="12"/>
      <c r="D763" s="18"/>
      <c r="E763" s="18"/>
      <c r="F763" s="129"/>
      <c r="G763" s="20"/>
      <c r="H763" s="20">
        <v>1</v>
      </c>
      <c r="I763" s="126">
        <f t="shared" si="54"/>
        <v>0</v>
      </c>
      <c r="J763" s="21">
        <f t="shared" si="53"/>
        <v>0</v>
      </c>
      <c r="K763" s="80"/>
      <c r="L763" s="82"/>
      <c r="M763" s="10"/>
      <c r="N763" s="10"/>
      <c r="O763" s="10"/>
      <c r="P763" s="10"/>
      <c r="Q763" s="43"/>
      <c r="R763" s="10"/>
      <c r="T763" s="10"/>
    </row>
    <row r="764" spans="2:20" s="1" customFormat="1" ht="12.95" customHeight="1" x14ac:dyDescent="0.15">
      <c r="B764" s="16">
        <v>18</v>
      </c>
      <c r="C764" s="12"/>
      <c r="D764" s="18"/>
      <c r="E764" s="18"/>
      <c r="F764" s="129"/>
      <c r="G764" s="20"/>
      <c r="H764" s="20">
        <v>1</v>
      </c>
      <c r="I764" s="126">
        <f t="shared" si="54"/>
        <v>0</v>
      </c>
      <c r="J764" s="78">
        <f t="shared" si="53"/>
        <v>0</v>
      </c>
      <c r="K764" s="111"/>
      <c r="L764" s="119"/>
      <c r="M764" s="10"/>
      <c r="N764" s="10"/>
      <c r="O764" s="10"/>
      <c r="P764" s="10"/>
      <c r="Q764" s="43"/>
      <c r="R764" s="10"/>
      <c r="T764" s="10"/>
    </row>
    <row r="765" spans="2:20" s="1" customFormat="1" ht="12.95" customHeight="1" x14ac:dyDescent="0.15">
      <c r="B765" s="16">
        <v>19</v>
      </c>
      <c r="C765" s="12"/>
      <c r="D765" s="18"/>
      <c r="E765" s="18"/>
      <c r="F765" s="129"/>
      <c r="G765" s="20"/>
      <c r="H765" s="20">
        <v>1</v>
      </c>
      <c r="I765" s="254">
        <f t="shared" si="54"/>
        <v>0</v>
      </c>
      <c r="J765" s="94">
        <f t="shared" si="53"/>
        <v>0</v>
      </c>
      <c r="K765" s="82"/>
      <c r="L765" s="82"/>
      <c r="M765" s="10"/>
      <c r="N765" s="10"/>
      <c r="O765" s="10"/>
      <c r="P765" s="10"/>
      <c r="Q765" s="43"/>
      <c r="R765" s="10"/>
      <c r="T765" s="10"/>
    </row>
    <row r="766" spans="2:20" s="1" customFormat="1" ht="12.95" customHeight="1" x14ac:dyDescent="0.15">
      <c r="B766" s="16">
        <v>20</v>
      </c>
      <c r="C766" s="12"/>
      <c r="D766" s="18"/>
      <c r="E766" s="18"/>
      <c r="F766" s="129"/>
      <c r="G766" s="20"/>
      <c r="H766" s="20">
        <v>1</v>
      </c>
      <c r="I766" s="254">
        <f t="shared" si="54"/>
        <v>0</v>
      </c>
      <c r="J766" s="94">
        <f t="shared" si="53"/>
        <v>0</v>
      </c>
      <c r="K766" s="82"/>
      <c r="L766" s="82"/>
      <c r="M766" s="10"/>
      <c r="N766" s="10"/>
      <c r="O766" s="10"/>
      <c r="P766" s="10"/>
      <c r="Q766" s="43"/>
      <c r="R766" s="10"/>
      <c r="T766" s="10"/>
    </row>
    <row r="767" spans="2:20" s="1" customFormat="1" ht="12.95" customHeight="1" x14ac:dyDescent="0.15">
      <c r="B767" s="83"/>
      <c r="C767" s="74"/>
      <c r="D767" s="75"/>
      <c r="E767" s="75"/>
      <c r="F767" s="132"/>
      <c r="G767" s="77"/>
      <c r="H767" s="77"/>
      <c r="I767" s="255"/>
      <c r="J767" s="94"/>
      <c r="K767" s="82"/>
      <c r="L767" s="82"/>
      <c r="M767" s="10"/>
      <c r="N767" s="10"/>
      <c r="O767" s="10"/>
      <c r="P767" s="10"/>
      <c r="Q767" s="43"/>
      <c r="R767" s="10"/>
      <c r="T767" s="10"/>
    </row>
    <row r="768" spans="2:20" s="1" customFormat="1" ht="12.75" x14ac:dyDescent="0.15">
      <c r="B768" s="82"/>
      <c r="C768" s="102"/>
      <c r="D768" s="103"/>
      <c r="E768" s="102"/>
      <c r="F768" s="128">
        <f>SUM(F708:F767)</f>
        <v>0</v>
      </c>
      <c r="G768" s="104"/>
      <c r="H768" s="105"/>
      <c r="I768" s="128">
        <f>SUM(I708:I767)</f>
        <v>0</v>
      </c>
      <c r="J768" s="257">
        <f>SUM(J708:J767)</f>
        <v>0</v>
      </c>
    </row>
    <row r="769" spans="2:12" s="1" customFormat="1" ht="12.75" x14ac:dyDescent="0.15">
      <c r="B769" s="82"/>
      <c r="C769" s="102"/>
      <c r="D769" s="103"/>
      <c r="E769" s="102" t="s">
        <v>147</v>
      </c>
      <c r="F769" s="128">
        <f>100/115*F768</f>
        <v>0</v>
      </c>
      <c r="G769" s="104"/>
      <c r="H769" s="105" t="s">
        <v>147</v>
      </c>
      <c r="I769" s="128">
        <f>100/115*I768</f>
        <v>0</v>
      </c>
      <c r="J769" s="106"/>
    </row>
    <row r="770" spans="2:12" s="1" customFormat="1" ht="12.75" x14ac:dyDescent="0.15"/>
    <row r="771" spans="2:12" s="1" customFormat="1" ht="12.75" x14ac:dyDescent="0.15"/>
    <row r="772" spans="2:12" s="1" customFormat="1" ht="12.75" x14ac:dyDescent="0.15"/>
    <row r="773" spans="2:12" s="1" customFormat="1" ht="12.75" x14ac:dyDescent="0.15"/>
    <row r="774" spans="2:12" s="247" customFormat="1" ht="32.25" x14ac:dyDescent="0.4">
      <c r="B774" s="251"/>
      <c r="C774" s="424" t="s">
        <v>166</v>
      </c>
      <c r="D774" s="424"/>
      <c r="E774" s="425" t="s">
        <v>167</v>
      </c>
      <c r="F774" s="426"/>
      <c r="G774" s="426"/>
      <c r="H774" s="426"/>
      <c r="I774" s="427"/>
      <c r="J774" s="415">
        <v>2026</v>
      </c>
      <c r="K774" s="416"/>
      <c r="L774" s="417"/>
    </row>
    <row r="775" spans="2:12" s="1" customFormat="1" ht="22.5" x14ac:dyDescent="0.15">
      <c r="B775" s="16"/>
      <c r="C775" s="28" t="s">
        <v>114</v>
      </c>
      <c r="D775" s="418" t="s">
        <v>115</v>
      </c>
      <c r="E775" s="418"/>
      <c r="F775" s="28" t="s">
        <v>116</v>
      </c>
      <c r="G775" s="28" t="s">
        <v>117</v>
      </c>
      <c r="H775" s="28" t="s">
        <v>118</v>
      </c>
      <c r="I775" s="28" t="s">
        <v>119</v>
      </c>
      <c r="J775" s="64" t="s">
        <v>120</v>
      </c>
      <c r="K775" s="82"/>
      <c r="L775" s="82"/>
    </row>
    <row r="776" spans="2:12" s="1" customFormat="1" ht="12.75" x14ac:dyDescent="0.15">
      <c r="B776" s="16"/>
      <c r="C776" s="124">
        <f>C706</f>
        <v>250</v>
      </c>
      <c r="D776" s="419">
        <v>20</v>
      </c>
      <c r="E776" s="419"/>
      <c r="F776" s="29">
        <f>F706</f>
        <v>0.75</v>
      </c>
      <c r="G776" s="30">
        <f>G706</f>
        <v>8</v>
      </c>
      <c r="H776" s="31">
        <f>D776*G776*F776</f>
        <v>120</v>
      </c>
      <c r="I776" s="124">
        <f>I838</f>
        <v>0</v>
      </c>
      <c r="J776" s="121">
        <f>H776-J838</f>
        <v>120</v>
      </c>
      <c r="K776" s="82"/>
      <c r="L776" s="82"/>
    </row>
    <row r="777" spans="2:12" s="1" customFormat="1" ht="33.75" x14ac:dyDescent="0.15">
      <c r="B777" s="16"/>
      <c r="C777" s="22" t="s">
        <v>121</v>
      </c>
      <c r="D777" s="413" t="s">
        <v>122</v>
      </c>
      <c r="E777" s="413"/>
      <c r="F777" s="33" t="s">
        <v>123</v>
      </c>
      <c r="G777" s="34" t="s">
        <v>124</v>
      </c>
      <c r="H777" s="35" t="s">
        <v>125</v>
      </c>
      <c r="I777" s="125" t="s">
        <v>126</v>
      </c>
      <c r="J777" s="34" t="s">
        <v>127</v>
      </c>
      <c r="K777" s="122" t="s">
        <v>128</v>
      </c>
      <c r="L777" s="123" t="s">
        <v>168</v>
      </c>
    </row>
    <row r="778" spans="2:12" s="1" customFormat="1" ht="12.75" x14ac:dyDescent="0.15">
      <c r="B778" s="16"/>
      <c r="C778" s="22"/>
      <c r="D778" s="32"/>
      <c r="E778" s="32"/>
      <c r="F778" s="33"/>
      <c r="G778" s="34"/>
      <c r="H778" s="35"/>
      <c r="I778" s="125"/>
      <c r="J778" s="34"/>
      <c r="K778" s="110"/>
      <c r="L778" s="117"/>
    </row>
    <row r="779" spans="2:12" s="1" customFormat="1" ht="12.75" x14ac:dyDescent="0.15">
      <c r="B779" s="16"/>
      <c r="C779" s="22" t="s">
        <v>130</v>
      </c>
      <c r="D779" s="32"/>
      <c r="E779" s="32"/>
      <c r="F779" s="33"/>
      <c r="G779" s="34"/>
      <c r="H779" s="35"/>
      <c r="I779" s="125"/>
      <c r="J779" s="34"/>
      <c r="K779" s="110"/>
      <c r="L779" s="117"/>
    </row>
    <row r="780" spans="2:12" s="1" customFormat="1" ht="12.75" customHeight="1" x14ac:dyDescent="0.15">
      <c r="B780" s="16"/>
      <c r="C780" s="37" t="s">
        <v>149</v>
      </c>
      <c r="D780" s="24"/>
      <c r="E780" s="24"/>
      <c r="F780" s="19"/>
      <c r="G780" s="20"/>
      <c r="H780" s="20"/>
      <c r="I780" s="126"/>
      <c r="J780" s="38"/>
      <c r="K780" s="80"/>
      <c r="L780" s="82"/>
    </row>
    <row r="781" spans="2:12" s="1" customFormat="1" ht="12.75" x14ac:dyDescent="0.15">
      <c r="B781" s="16">
        <v>1</v>
      </c>
      <c r="C781" s="23"/>
      <c r="D781" s="24"/>
      <c r="E781" s="24"/>
      <c r="F781" s="129"/>
      <c r="G781" s="20"/>
      <c r="H781" s="20">
        <v>1</v>
      </c>
      <c r="I781" s="126">
        <f t="shared" ref="I781:I790" si="55">J781*$C$32</f>
        <v>0</v>
      </c>
      <c r="J781" s="38">
        <f t="shared" ref="J781:J790" si="56">(F781*G781*H781)/$C$32</f>
        <v>0</v>
      </c>
      <c r="K781" s="80"/>
      <c r="L781" s="82"/>
    </row>
    <row r="782" spans="2:12" s="1" customFormat="1" ht="12.75" customHeight="1" x14ac:dyDescent="0.15">
      <c r="B782" s="16">
        <v>2</v>
      </c>
      <c r="C782" s="23"/>
      <c r="D782" s="24"/>
      <c r="E782" s="24"/>
      <c r="F782" s="126"/>
      <c r="G782" s="20"/>
      <c r="H782" s="20">
        <v>1</v>
      </c>
      <c r="I782" s="126">
        <f t="shared" si="55"/>
        <v>0</v>
      </c>
      <c r="J782" s="38">
        <f t="shared" si="56"/>
        <v>0</v>
      </c>
      <c r="K782" s="80"/>
      <c r="L782" s="82"/>
    </row>
    <row r="783" spans="2:12" s="1" customFormat="1" ht="12.75" customHeight="1" x14ac:dyDescent="0.15">
      <c r="B783" s="16">
        <v>3</v>
      </c>
      <c r="C783" s="23"/>
      <c r="D783" s="25"/>
      <c r="E783" s="25"/>
      <c r="F783" s="129"/>
      <c r="G783" s="20"/>
      <c r="H783" s="20">
        <v>1</v>
      </c>
      <c r="I783" s="126">
        <f t="shared" si="55"/>
        <v>0</v>
      </c>
      <c r="J783" s="38">
        <f t="shared" si="56"/>
        <v>0</v>
      </c>
      <c r="K783" s="80"/>
      <c r="L783" s="82"/>
    </row>
    <row r="784" spans="2:12" s="1" customFormat="1" ht="12.95" customHeight="1" x14ac:dyDescent="0.15">
      <c r="B784" s="16">
        <v>4</v>
      </c>
      <c r="C784" s="23"/>
      <c r="D784" s="24"/>
      <c r="E784" s="24"/>
      <c r="F784" s="129"/>
      <c r="G784" s="20"/>
      <c r="H784" s="20">
        <v>1</v>
      </c>
      <c r="I784" s="126">
        <f t="shared" si="55"/>
        <v>0</v>
      </c>
      <c r="J784" s="38">
        <f t="shared" si="56"/>
        <v>0</v>
      </c>
      <c r="K784" s="80"/>
      <c r="L784" s="82"/>
    </row>
    <row r="785" spans="2:12" s="1" customFormat="1" ht="14.1" customHeight="1" x14ac:dyDescent="0.15">
      <c r="B785" s="16">
        <v>5</v>
      </c>
      <c r="C785" s="16"/>
      <c r="D785" s="18"/>
      <c r="E785" s="18"/>
      <c r="F785" s="129"/>
      <c r="G785" s="20"/>
      <c r="H785" s="20">
        <v>1</v>
      </c>
      <c r="I785" s="126">
        <f t="shared" si="55"/>
        <v>0</v>
      </c>
      <c r="J785" s="38">
        <f t="shared" si="56"/>
        <v>0</v>
      </c>
      <c r="K785" s="80"/>
      <c r="L785" s="82"/>
    </row>
    <row r="786" spans="2:12" s="1" customFormat="1" ht="12.95" customHeight="1" x14ac:dyDescent="0.15">
      <c r="B786" s="16">
        <v>6</v>
      </c>
      <c r="C786" s="17"/>
      <c r="D786" s="24"/>
      <c r="E786" s="24"/>
      <c r="F786" s="129"/>
      <c r="G786" s="20"/>
      <c r="H786" s="20">
        <v>1</v>
      </c>
      <c r="I786" s="126">
        <f t="shared" si="55"/>
        <v>0</v>
      </c>
      <c r="J786" s="38">
        <f t="shared" si="56"/>
        <v>0</v>
      </c>
      <c r="K786" s="80"/>
      <c r="L786" s="82"/>
    </row>
    <row r="787" spans="2:12" s="1" customFormat="1" ht="12.95" customHeight="1" x14ac:dyDescent="0.15">
      <c r="B787" s="16">
        <v>7</v>
      </c>
      <c r="C787" s="17"/>
      <c r="D787" s="24"/>
      <c r="E787" s="24"/>
      <c r="F787" s="129"/>
      <c r="G787" s="20"/>
      <c r="H787" s="20">
        <v>1</v>
      </c>
      <c r="I787" s="126">
        <f t="shared" si="55"/>
        <v>0</v>
      </c>
      <c r="J787" s="38">
        <f t="shared" si="56"/>
        <v>0</v>
      </c>
      <c r="K787" s="80"/>
      <c r="L787" s="82"/>
    </row>
    <row r="788" spans="2:12" s="1" customFormat="1" ht="12.95" customHeight="1" x14ac:dyDescent="0.15">
      <c r="B788" s="16">
        <v>8</v>
      </c>
      <c r="C788" s="17"/>
      <c r="D788" s="24"/>
      <c r="E788" s="24"/>
      <c r="F788" s="129"/>
      <c r="G788" s="20"/>
      <c r="H788" s="20">
        <v>1</v>
      </c>
      <c r="I788" s="126">
        <f t="shared" si="55"/>
        <v>0</v>
      </c>
      <c r="J788" s="38">
        <f t="shared" si="56"/>
        <v>0</v>
      </c>
      <c r="K788" s="80"/>
      <c r="L788" s="82"/>
    </row>
    <row r="789" spans="2:12" s="1" customFormat="1" ht="12.95" customHeight="1" x14ac:dyDescent="0.15">
      <c r="B789" s="16">
        <v>9</v>
      </c>
      <c r="C789" s="17"/>
      <c r="D789" s="24"/>
      <c r="E789" s="24"/>
      <c r="F789" s="129"/>
      <c r="G789" s="20"/>
      <c r="H789" s="20">
        <v>1</v>
      </c>
      <c r="I789" s="126">
        <f t="shared" si="55"/>
        <v>0</v>
      </c>
      <c r="J789" s="38">
        <f t="shared" si="56"/>
        <v>0</v>
      </c>
      <c r="K789" s="80"/>
      <c r="L789" s="82"/>
    </row>
    <row r="790" spans="2:12" s="1" customFormat="1" ht="12.95" customHeight="1" x14ac:dyDescent="0.15">
      <c r="B790" s="16">
        <v>10</v>
      </c>
      <c r="C790" s="17"/>
      <c r="D790" s="24"/>
      <c r="E790" s="24"/>
      <c r="F790" s="129"/>
      <c r="G790" s="20"/>
      <c r="H790" s="20">
        <v>1</v>
      </c>
      <c r="I790" s="126">
        <f t="shared" si="55"/>
        <v>0</v>
      </c>
      <c r="J790" s="38">
        <f t="shared" si="56"/>
        <v>0</v>
      </c>
      <c r="K790" s="80"/>
      <c r="L790" s="82"/>
    </row>
    <row r="791" spans="2:12" s="1" customFormat="1" ht="12.95" customHeight="1" x14ac:dyDescent="0.15">
      <c r="B791" s="16"/>
      <c r="C791" s="17"/>
      <c r="D791" s="18"/>
      <c r="E791" s="24"/>
      <c r="F791" s="129"/>
      <c r="G791" s="20"/>
      <c r="H791" s="20"/>
      <c r="I791" s="126"/>
      <c r="J791" s="38"/>
      <c r="K791" s="80"/>
      <c r="L791" s="82"/>
    </row>
    <row r="792" spans="2:12" s="1" customFormat="1" ht="12.95" customHeight="1" x14ac:dyDescent="0.15">
      <c r="B792" s="16"/>
      <c r="C792" s="17"/>
      <c r="D792" s="18"/>
      <c r="E792" s="24"/>
      <c r="F792" s="129"/>
      <c r="G792" s="20"/>
      <c r="H792" s="20"/>
      <c r="I792" s="126"/>
      <c r="J792" s="38"/>
      <c r="K792" s="80"/>
      <c r="L792" s="82"/>
    </row>
    <row r="793" spans="2:12" s="1" customFormat="1" ht="12.95" customHeight="1" x14ac:dyDescent="0.15">
      <c r="B793" s="16"/>
      <c r="C793" s="22" t="s">
        <v>153</v>
      </c>
      <c r="D793" s="24"/>
      <c r="E793" s="18"/>
      <c r="F793" s="129"/>
      <c r="G793" s="20"/>
      <c r="H793" s="20"/>
      <c r="I793" s="126"/>
      <c r="J793" s="38"/>
      <c r="K793" s="80"/>
      <c r="L793" s="82"/>
    </row>
    <row r="794" spans="2:12" s="1" customFormat="1" ht="12.95" customHeight="1" x14ac:dyDescent="0.15">
      <c r="B794" s="16">
        <v>1</v>
      </c>
      <c r="C794" s="17"/>
      <c r="D794" s="24"/>
      <c r="E794" s="18"/>
      <c r="F794" s="129"/>
      <c r="G794" s="20"/>
      <c r="H794" s="20">
        <v>1</v>
      </c>
      <c r="I794" s="126">
        <f t="shared" ref="I794:I813" si="57">J794*$C$32</f>
        <v>0</v>
      </c>
      <c r="J794" s="38">
        <f t="shared" ref="J794:J813" si="58">(F794*G794*H794)/$C$32</f>
        <v>0</v>
      </c>
      <c r="K794" s="80"/>
      <c r="L794" s="82"/>
    </row>
    <row r="795" spans="2:12" s="1" customFormat="1" ht="12.95" customHeight="1" x14ac:dyDescent="0.15">
      <c r="B795" s="16">
        <v>2</v>
      </c>
      <c r="C795" s="17"/>
      <c r="D795" s="24"/>
      <c r="E795" s="18"/>
      <c r="F795" s="129"/>
      <c r="G795" s="20"/>
      <c r="H795" s="20">
        <v>1</v>
      </c>
      <c r="I795" s="126">
        <f t="shared" si="57"/>
        <v>0</v>
      </c>
      <c r="J795" s="38">
        <f t="shared" si="58"/>
        <v>0</v>
      </c>
      <c r="K795" s="80"/>
      <c r="L795" s="82"/>
    </row>
    <row r="796" spans="2:12" s="1" customFormat="1" ht="12.95" customHeight="1" x14ac:dyDescent="0.15">
      <c r="B796" s="16">
        <v>3</v>
      </c>
      <c r="C796" s="17"/>
      <c r="D796" s="24"/>
      <c r="E796" s="18"/>
      <c r="F796" s="129"/>
      <c r="G796" s="20"/>
      <c r="H796" s="20">
        <v>1</v>
      </c>
      <c r="I796" s="126">
        <f t="shared" si="57"/>
        <v>0</v>
      </c>
      <c r="J796" s="38">
        <f t="shared" si="58"/>
        <v>0</v>
      </c>
      <c r="K796" s="80"/>
      <c r="L796" s="82"/>
    </row>
    <row r="797" spans="2:12" s="1" customFormat="1" ht="12.95" customHeight="1" x14ac:dyDescent="0.15">
      <c r="B797" s="16">
        <v>4</v>
      </c>
      <c r="C797" s="17"/>
      <c r="D797" s="24"/>
      <c r="E797" s="18"/>
      <c r="F797" s="129"/>
      <c r="G797" s="20"/>
      <c r="H797" s="20">
        <v>1</v>
      </c>
      <c r="I797" s="126">
        <f t="shared" si="57"/>
        <v>0</v>
      </c>
      <c r="J797" s="38">
        <f t="shared" si="58"/>
        <v>0</v>
      </c>
      <c r="K797" s="80"/>
      <c r="L797" s="82"/>
    </row>
    <row r="798" spans="2:12" s="1" customFormat="1" ht="12.95" customHeight="1" x14ac:dyDescent="0.15">
      <c r="B798" s="16">
        <v>5</v>
      </c>
      <c r="C798" s="17"/>
      <c r="D798" s="24"/>
      <c r="E798" s="18"/>
      <c r="F798" s="129"/>
      <c r="G798" s="20"/>
      <c r="H798" s="20">
        <v>1</v>
      </c>
      <c r="I798" s="126">
        <f t="shared" si="57"/>
        <v>0</v>
      </c>
      <c r="J798" s="38">
        <f t="shared" si="58"/>
        <v>0</v>
      </c>
      <c r="K798" s="80"/>
      <c r="L798" s="82"/>
    </row>
    <row r="799" spans="2:12" s="1" customFormat="1" ht="12.95" customHeight="1" x14ac:dyDescent="0.15">
      <c r="B799" s="16">
        <v>6</v>
      </c>
      <c r="C799" s="17"/>
      <c r="D799" s="24"/>
      <c r="E799" s="18"/>
      <c r="F799" s="129"/>
      <c r="G799" s="20"/>
      <c r="H799" s="20">
        <v>1</v>
      </c>
      <c r="I799" s="126">
        <f t="shared" si="57"/>
        <v>0</v>
      </c>
      <c r="J799" s="38">
        <f t="shared" si="58"/>
        <v>0</v>
      </c>
      <c r="K799" s="80"/>
      <c r="L799" s="82"/>
    </row>
    <row r="800" spans="2:12" s="1" customFormat="1" ht="12.95" customHeight="1" x14ac:dyDescent="0.15">
      <c r="B800" s="16">
        <v>7</v>
      </c>
      <c r="C800" s="17"/>
      <c r="D800" s="24"/>
      <c r="E800" s="18"/>
      <c r="F800" s="129"/>
      <c r="G800" s="20"/>
      <c r="H800" s="20">
        <v>1</v>
      </c>
      <c r="I800" s="126">
        <f t="shared" si="57"/>
        <v>0</v>
      </c>
      <c r="J800" s="38">
        <f t="shared" si="58"/>
        <v>0</v>
      </c>
      <c r="K800" s="80"/>
      <c r="L800" s="82"/>
    </row>
    <row r="801" spans="2:12" s="1" customFormat="1" ht="12.95" customHeight="1" x14ac:dyDescent="0.15">
      <c r="B801" s="16">
        <v>8</v>
      </c>
      <c r="C801" s="17"/>
      <c r="D801" s="24"/>
      <c r="E801" s="18"/>
      <c r="F801" s="129"/>
      <c r="G801" s="20"/>
      <c r="H801" s="20">
        <v>1</v>
      </c>
      <c r="I801" s="126">
        <f t="shared" si="57"/>
        <v>0</v>
      </c>
      <c r="J801" s="21">
        <f t="shared" si="58"/>
        <v>0</v>
      </c>
      <c r="K801" s="80"/>
      <c r="L801" s="82"/>
    </row>
    <row r="802" spans="2:12" s="1" customFormat="1" ht="12.95" customHeight="1" x14ac:dyDescent="0.15">
      <c r="B802" s="16">
        <v>9</v>
      </c>
      <c r="C802" s="17"/>
      <c r="D802" s="24"/>
      <c r="E802" s="18"/>
      <c r="F802" s="129"/>
      <c r="G802" s="20"/>
      <c r="H802" s="20">
        <v>1</v>
      </c>
      <c r="I802" s="126">
        <f t="shared" si="57"/>
        <v>0</v>
      </c>
      <c r="J802" s="38">
        <f t="shared" si="58"/>
        <v>0</v>
      </c>
      <c r="K802" s="80"/>
      <c r="L802" s="82"/>
    </row>
    <row r="803" spans="2:12" s="1" customFormat="1" ht="12.95" customHeight="1" x14ac:dyDescent="0.15">
      <c r="B803" s="16">
        <v>10</v>
      </c>
      <c r="C803" s="17"/>
      <c r="D803" s="24"/>
      <c r="E803" s="18"/>
      <c r="F803" s="129"/>
      <c r="G803" s="20"/>
      <c r="H803" s="20">
        <v>1</v>
      </c>
      <c r="I803" s="126">
        <f t="shared" si="57"/>
        <v>0</v>
      </c>
      <c r="J803" s="38">
        <f t="shared" si="58"/>
        <v>0</v>
      </c>
      <c r="K803" s="80"/>
      <c r="L803" s="82"/>
    </row>
    <row r="804" spans="2:12" s="1" customFormat="1" ht="12.95" customHeight="1" x14ac:dyDescent="0.15">
      <c r="B804" s="16">
        <v>11</v>
      </c>
      <c r="C804" s="17"/>
      <c r="D804" s="24"/>
      <c r="E804" s="18"/>
      <c r="F804" s="129"/>
      <c r="G804" s="20"/>
      <c r="H804" s="20">
        <v>1</v>
      </c>
      <c r="I804" s="126">
        <f t="shared" si="57"/>
        <v>0</v>
      </c>
      <c r="J804" s="38">
        <f t="shared" si="58"/>
        <v>0</v>
      </c>
      <c r="K804" s="80"/>
      <c r="L804" s="82"/>
    </row>
    <row r="805" spans="2:12" s="1" customFormat="1" ht="12.95" customHeight="1" x14ac:dyDescent="0.15">
      <c r="B805" s="16">
        <v>12</v>
      </c>
      <c r="C805" s="17"/>
      <c r="D805" s="24"/>
      <c r="E805" s="18"/>
      <c r="F805" s="129"/>
      <c r="G805" s="20"/>
      <c r="H805" s="20">
        <v>1</v>
      </c>
      <c r="I805" s="126">
        <f t="shared" si="57"/>
        <v>0</v>
      </c>
      <c r="J805" s="38">
        <f t="shared" si="58"/>
        <v>0</v>
      </c>
      <c r="K805" s="80"/>
      <c r="L805" s="82"/>
    </row>
    <row r="806" spans="2:12" s="1" customFormat="1" ht="12.95" customHeight="1" x14ac:dyDescent="0.15">
      <c r="B806" s="16">
        <v>13</v>
      </c>
      <c r="C806" s="17"/>
      <c r="D806" s="24"/>
      <c r="E806" s="24"/>
      <c r="F806" s="129"/>
      <c r="G806" s="20"/>
      <c r="H806" s="20">
        <v>1</v>
      </c>
      <c r="I806" s="126">
        <f t="shared" si="57"/>
        <v>0</v>
      </c>
      <c r="J806" s="38">
        <f t="shared" si="58"/>
        <v>0</v>
      </c>
      <c r="K806" s="80"/>
      <c r="L806" s="82"/>
    </row>
    <row r="807" spans="2:12" s="1" customFormat="1" ht="12.95" customHeight="1" x14ac:dyDescent="0.15">
      <c r="B807" s="16">
        <v>14</v>
      </c>
      <c r="C807" s="17"/>
      <c r="D807" s="24"/>
      <c r="E807" s="24"/>
      <c r="F807" s="129"/>
      <c r="G807" s="20"/>
      <c r="H807" s="20">
        <v>1</v>
      </c>
      <c r="I807" s="126">
        <f t="shared" si="57"/>
        <v>0</v>
      </c>
      <c r="J807" s="38">
        <f t="shared" si="58"/>
        <v>0</v>
      </c>
      <c r="K807" s="80"/>
      <c r="L807" s="82"/>
    </row>
    <row r="808" spans="2:12" s="1" customFormat="1" ht="12.95" customHeight="1" x14ac:dyDescent="0.15">
      <c r="B808" s="16">
        <v>15</v>
      </c>
      <c r="C808" s="17"/>
      <c r="D808" s="24"/>
      <c r="E808" s="24"/>
      <c r="F808" s="129"/>
      <c r="G808" s="20"/>
      <c r="H808" s="20">
        <v>1</v>
      </c>
      <c r="I808" s="126">
        <f t="shared" si="57"/>
        <v>0</v>
      </c>
      <c r="J808" s="38">
        <f t="shared" si="58"/>
        <v>0</v>
      </c>
      <c r="K808" s="80"/>
      <c r="L808" s="82"/>
    </row>
    <row r="809" spans="2:12" s="1" customFormat="1" ht="12.95" customHeight="1" x14ac:dyDescent="0.15">
      <c r="B809" s="16">
        <v>16</v>
      </c>
      <c r="C809" s="17"/>
      <c r="D809" s="24"/>
      <c r="E809" s="24"/>
      <c r="F809" s="129"/>
      <c r="G809" s="20"/>
      <c r="H809" s="20">
        <v>1</v>
      </c>
      <c r="I809" s="126">
        <f t="shared" si="57"/>
        <v>0</v>
      </c>
      <c r="J809" s="38">
        <f t="shared" si="58"/>
        <v>0</v>
      </c>
      <c r="K809" s="80"/>
      <c r="L809" s="82"/>
    </row>
    <row r="810" spans="2:12" s="1" customFormat="1" ht="12.95" customHeight="1" x14ac:dyDescent="0.15">
      <c r="B810" s="16">
        <v>17</v>
      </c>
      <c r="C810" s="17"/>
      <c r="D810" s="24"/>
      <c r="E810" s="24"/>
      <c r="F810" s="129"/>
      <c r="G810" s="20"/>
      <c r="H810" s="20">
        <v>1</v>
      </c>
      <c r="I810" s="126">
        <f t="shared" si="57"/>
        <v>0</v>
      </c>
      <c r="J810" s="38">
        <f t="shared" si="58"/>
        <v>0</v>
      </c>
      <c r="K810" s="80"/>
      <c r="L810" s="82"/>
    </row>
    <row r="811" spans="2:12" s="1" customFormat="1" ht="12.95" customHeight="1" x14ac:dyDescent="0.15">
      <c r="B811" s="16">
        <v>18</v>
      </c>
      <c r="C811" s="17"/>
      <c r="D811" s="24"/>
      <c r="E811" s="24"/>
      <c r="F811" s="129"/>
      <c r="G811" s="20"/>
      <c r="H811" s="20">
        <v>1</v>
      </c>
      <c r="I811" s="126">
        <f t="shared" si="57"/>
        <v>0</v>
      </c>
      <c r="J811" s="38">
        <f t="shared" si="58"/>
        <v>0</v>
      </c>
      <c r="K811" s="80"/>
      <c r="L811" s="82"/>
    </row>
    <row r="812" spans="2:12" s="1" customFormat="1" ht="12.95" customHeight="1" x14ac:dyDescent="0.15">
      <c r="B812" s="16">
        <v>19</v>
      </c>
      <c r="C812" s="17"/>
      <c r="D812" s="24"/>
      <c r="E812" s="24"/>
      <c r="F812" s="129"/>
      <c r="G812" s="20"/>
      <c r="H812" s="20">
        <v>1</v>
      </c>
      <c r="I812" s="126">
        <f t="shared" si="57"/>
        <v>0</v>
      </c>
      <c r="J812" s="38">
        <f t="shared" si="58"/>
        <v>0</v>
      </c>
      <c r="K812" s="80"/>
      <c r="L812" s="82"/>
    </row>
    <row r="813" spans="2:12" s="1" customFormat="1" ht="12.95" customHeight="1" x14ac:dyDescent="0.15">
      <c r="B813" s="16">
        <v>20</v>
      </c>
      <c r="C813" s="17"/>
      <c r="D813" s="24"/>
      <c r="E813" s="24"/>
      <c r="F813" s="129"/>
      <c r="G813" s="20"/>
      <c r="H813" s="20">
        <v>1</v>
      </c>
      <c r="I813" s="126">
        <f t="shared" si="57"/>
        <v>0</v>
      </c>
      <c r="J813" s="38">
        <f t="shared" si="58"/>
        <v>0</v>
      </c>
      <c r="K813" s="80"/>
      <c r="L813" s="82"/>
    </row>
    <row r="814" spans="2:12" s="1" customFormat="1" ht="12.95" customHeight="1" x14ac:dyDescent="0.15">
      <c r="B814" s="16"/>
      <c r="C814" s="17"/>
      <c r="D814" s="24"/>
      <c r="E814" s="24"/>
      <c r="F814" s="129"/>
      <c r="G814" s="20"/>
      <c r="H814" s="20"/>
      <c r="I814" s="126"/>
      <c r="J814" s="38"/>
      <c r="K814" s="80"/>
      <c r="L814" s="82"/>
    </row>
    <row r="815" spans="2:12" s="1" customFormat="1" ht="12.95" customHeight="1" x14ac:dyDescent="0.15">
      <c r="B815" s="16"/>
      <c r="C815" s="17"/>
      <c r="D815" s="24"/>
      <c r="E815" s="24"/>
      <c r="F815" s="129"/>
      <c r="G815" s="20"/>
      <c r="H815" s="20"/>
      <c r="I815" s="126"/>
      <c r="J815" s="38"/>
      <c r="K815" s="80"/>
      <c r="L815" s="82"/>
    </row>
    <row r="816" spans="2:12" s="1" customFormat="1" ht="12.95" customHeight="1" x14ac:dyDescent="0.15">
      <c r="B816" s="16"/>
      <c r="C816" s="22" t="s">
        <v>132</v>
      </c>
      <c r="D816" s="24"/>
      <c r="E816" s="24"/>
      <c r="F816" s="129"/>
      <c r="G816" s="20"/>
      <c r="H816" s="20"/>
      <c r="I816" s="126"/>
      <c r="J816" s="38"/>
      <c r="K816" s="80"/>
      <c r="L816" s="82"/>
    </row>
    <row r="817" spans="2:20" s="1" customFormat="1" ht="12.95" customHeight="1" x14ac:dyDescent="0.15">
      <c r="B817" s="16">
        <v>1</v>
      </c>
      <c r="C817" s="17"/>
      <c r="D817" s="24"/>
      <c r="E817" s="24"/>
      <c r="F817" s="129"/>
      <c r="G817" s="20"/>
      <c r="H817" s="20">
        <v>1</v>
      </c>
      <c r="I817" s="126">
        <f t="shared" ref="I817:I829" si="59">J817*$C$32</f>
        <v>0</v>
      </c>
      <c r="J817" s="38">
        <f t="shared" ref="J817:J829" si="60">(F817*G817*H817)/$C$32</f>
        <v>0</v>
      </c>
      <c r="K817" s="80"/>
      <c r="L817" s="82"/>
    </row>
    <row r="818" spans="2:20" s="1" customFormat="1" ht="12.95" customHeight="1" x14ac:dyDescent="0.15">
      <c r="B818" s="16">
        <v>2</v>
      </c>
      <c r="C818" s="17"/>
      <c r="D818" s="24"/>
      <c r="E818" s="24"/>
      <c r="F818" s="129"/>
      <c r="G818" s="20"/>
      <c r="H818" s="20">
        <v>1</v>
      </c>
      <c r="I818" s="126">
        <f t="shared" si="59"/>
        <v>0</v>
      </c>
      <c r="J818" s="38">
        <f t="shared" si="60"/>
        <v>0</v>
      </c>
      <c r="K818" s="80"/>
      <c r="L818" s="82"/>
    </row>
    <row r="819" spans="2:20" s="1" customFormat="1" ht="12.95" customHeight="1" x14ac:dyDescent="0.15">
      <c r="B819" s="16">
        <v>3</v>
      </c>
      <c r="C819" s="17"/>
      <c r="D819" s="24"/>
      <c r="E819" s="24"/>
      <c r="F819" s="129"/>
      <c r="G819" s="20"/>
      <c r="H819" s="20">
        <v>1</v>
      </c>
      <c r="I819" s="126">
        <f t="shared" si="59"/>
        <v>0</v>
      </c>
      <c r="J819" s="38">
        <f t="shared" si="60"/>
        <v>0</v>
      </c>
      <c r="K819" s="80"/>
      <c r="L819" s="82"/>
    </row>
    <row r="820" spans="2:20" s="1" customFormat="1" ht="12.95" customHeight="1" x14ac:dyDescent="0.15">
      <c r="B820" s="16">
        <v>4</v>
      </c>
      <c r="C820" s="17"/>
      <c r="D820" s="24"/>
      <c r="E820" s="24"/>
      <c r="F820" s="129"/>
      <c r="G820" s="20"/>
      <c r="H820" s="20">
        <v>1</v>
      </c>
      <c r="I820" s="126">
        <f t="shared" si="59"/>
        <v>0</v>
      </c>
      <c r="J820" s="38">
        <f t="shared" si="60"/>
        <v>0</v>
      </c>
      <c r="K820" s="80"/>
      <c r="L820" s="82"/>
    </row>
    <row r="821" spans="2:20" s="1" customFormat="1" ht="12.95" customHeight="1" x14ac:dyDescent="0.15">
      <c r="B821" s="16">
        <v>5</v>
      </c>
      <c r="C821" s="17"/>
      <c r="D821" s="24"/>
      <c r="E821" s="24"/>
      <c r="F821" s="129"/>
      <c r="G821" s="20"/>
      <c r="H821" s="20">
        <v>1</v>
      </c>
      <c r="I821" s="126">
        <f t="shared" si="59"/>
        <v>0</v>
      </c>
      <c r="J821" s="38">
        <f t="shared" si="60"/>
        <v>0</v>
      </c>
      <c r="K821" s="80"/>
      <c r="L821" s="82"/>
    </row>
    <row r="822" spans="2:20" s="1" customFormat="1" ht="12.95" customHeight="1" x14ac:dyDescent="0.15">
      <c r="B822" s="16">
        <v>6</v>
      </c>
      <c r="C822" s="17"/>
      <c r="D822" s="24"/>
      <c r="E822" s="24"/>
      <c r="F822" s="129"/>
      <c r="G822" s="20"/>
      <c r="H822" s="20">
        <v>1</v>
      </c>
      <c r="I822" s="126">
        <f t="shared" si="59"/>
        <v>0</v>
      </c>
      <c r="J822" s="38">
        <f t="shared" si="60"/>
        <v>0</v>
      </c>
      <c r="K822" s="80"/>
      <c r="L822" s="82"/>
    </row>
    <row r="823" spans="2:20" s="1" customFormat="1" ht="12.95" customHeight="1" x14ac:dyDescent="0.15">
      <c r="B823" s="16">
        <v>7</v>
      </c>
      <c r="C823" s="17"/>
      <c r="D823" s="24"/>
      <c r="E823" s="24"/>
      <c r="F823" s="129"/>
      <c r="G823" s="20"/>
      <c r="H823" s="20">
        <v>1</v>
      </c>
      <c r="I823" s="126">
        <f t="shared" si="59"/>
        <v>0</v>
      </c>
      <c r="J823" s="38">
        <f t="shared" si="60"/>
        <v>0</v>
      </c>
      <c r="K823" s="80"/>
      <c r="L823" s="82"/>
    </row>
    <row r="824" spans="2:20" s="1" customFormat="1" ht="12.95" customHeight="1" x14ac:dyDescent="0.15">
      <c r="B824" s="16">
        <v>8</v>
      </c>
      <c r="C824" s="17"/>
      <c r="D824" s="24"/>
      <c r="E824" s="24"/>
      <c r="F824" s="129"/>
      <c r="G824" s="20"/>
      <c r="H824" s="20">
        <v>1</v>
      </c>
      <c r="I824" s="126">
        <f t="shared" si="59"/>
        <v>0</v>
      </c>
      <c r="J824" s="38">
        <f t="shared" si="60"/>
        <v>0</v>
      </c>
      <c r="K824" s="80"/>
      <c r="L824" s="82"/>
    </row>
    <row r="825" spans="2:20" s="1" customFormat="1" ht="12.95" customHeight="1" x14ac:dyDescent="0.15">
      <c r="B825" s="16">
        <v>9</v>
      </c>
      <c r="C825" s="17"/>
      <c r="D825" s="24"/>
      <c r="E825" s="24"/>
      <c r="F825" s="129"/>
      <c r="G825" s="20"/>
      <c r="H825" s="20">
        <v>1</v>
      </c>
      <c r="I825" s="126">
        <f t="shared" si="59"/>
        <v>0</v>
      </c>
      <c r="J825" s="38">
        <f t="shared" si="60"/>
        <v>0</v>
      </c>
      <c r="K825" s="80"/>
      <c r="L825" s="82"/>
    </row>
    <row r="826" spans="2:20" s="1" customFormat="1" ht="12.95" customHeight="1" x14ac:dyDescent="0.15">
      <c r="B826" s="16">
        <v>10</v>
      </c>
      <c r="C826" s="17"/>
      <c r="D826" s="24"/>
      <c r="E826" s="24"/>
      <c r="F826" s="129"/>
      <c r="G826" s="20"/>
      <c r="H826" s="20">
        <v>1</v>
      </c>
      <c r="I826" s="126">
        <f t="shared" si="59"/>
        <v>0</v>
      </c>
      <c r="J826" s="38">
        <f t="shared" si="60"/>
        <v>0</v>
      </c>
      <c r="K826" s="80"/>
      <c r="L826" s="82"/>
    </row>
    <row r="827" spans="2:20" s="1" customFormat="1" ht="12.95" customHeight="1" x14ac:dyDescent="0.15">
      <c r="B827" s="16">
        <v>11</v>
      </c>
      <c r="C827" s="44"/>
      <c r="D827" s="18"/>
      <c r="E827" s="18"/>
      <c r="F827" s="129"/>
      <c r="G827" s="20"/>
      <c r="H827" s="20">
        <v>1</v>
      </c>
      <c r="I827" s="126">
        <f t="shared" si="59"/>
        <v>0</v>
      </c>
      <c r="J827" s="21">
        <f t="shared" si="60"/>
        <v>0</v>
      </c>
      <c r="K827" s="80"/>
      <c r="L827" s="82"/>
      <c r="M827" s="10"/>
      <c r="N827" s="10"/>
      <c r="O827" s="10"/>
      <c r="P827" s="10"/>
      <c r="Q827" s="43"/>
      <c r="R827" s="10"/>
      <c r="T827" s="10" t="s">
        <v>169</v>
      </c>
    </row>
    <row r="828" spans="2:20" s="1" customFormat="1" ht="12.95" customHeight="1" x14ac:dyDescent="0.15">
      <c r="B828" s="16">
        <v>12</v>
      </c>
      <c r="C828" s="45"/>
      <c r="D828" s="18"/>
      <c r="E828" s="18"/>
      <c r="F828" s="130"/>
      <c r="G828" s="20"/>
      <c r="H828" s="20">
        <v>1</v>
      </c>
      <c r="I828" s="126">
        <f t="shared" si="59"/>
        <v>0</v>
      </c>
      <c r="J828" s="21">
        <f t="shared" si="60"/>
        <v>0</v>
      </c>
      <c r="K828" s="80"/>
      <c r="L828" s="82"/>
      <c r="M828" s="10"/>
      <c r="N828" s="10"/>
      <c r="O828" s="10"/>
      <c r="P828" s="10"/>
      <c r="Q828" s="43"/>
      <c r="R828" s="10"/>
      <c r="T828" s="10" t="s">
        <v>170</v>
      </c>
    </row>
    <row r="829" spans="2:20" s="1" customFormat="1" ht="12.95" customHeight="1" x14ac:dyDescent="0.15">
      <c r="B829" s="16">
        <v>13</v>
      </c>
      <c r="C829" s="44"/>
      <c r="D829" s="18"/>
      <c r="E829" s="18"/>
      <c r="F829" s="129"/>
      <c r="G829" s="20"/>
      <c r="H829" s="20">
        <v>1</v>
      </c>
      <c r="I829" s="126">
        <f t="shared" si="59"/>
        <v>0</v>
      </c>
      <c r="J829" s="21">
        <f t="shared" si="60"/>
        <v>0</v>
      </c>
      <c r="K829" s="80"/>
      <c r="L829" s="82"/>
      <c r="M829" s="10"/>
      <c r="N829" s="10"/>
      <c r="O829" s="10"/>
      <c r="P829" s="10"/>
      <c r="Q829" s="43"/>
      <c r="R829" s="10"/>
      <c r="T829" s="10" t="s">
        <v>171</v>
      </c>
    </row>
    <row r="830" spans="2:20" s="1" customFormat="1" ht="12.95" customHeight="1" x14ac:dyDescent="0.15">
      <c r="B830" s="16">
        <v>14</v>
      </c>
      <c r="C830" s="44"/>
      <c r="D830" s="18"/>
      <c r="E830" s="18"/>
      <c r="F830" s="129"/>
      <c r="G830" s="20"/>
      <c r="H830" s="20">
        <v>1</v>
      </c>
      <c r="I830" s="126">
        <f t="shared" ref="I830:I836" si="61">J830*$C$32</f>
        <v>0</v>
      </c>
      <c r="J830" s="21">
        <f t="shared" ref="J830:J836" si="62">(F830*G830*H830)/$C$32</f>
        <v>0</v>
      </c>
      <c r="K830" s="80"/>
      <c r="L830" s="82"/>
      <c r="M830" s="10"/>
      <c r="N830" s="10"/>
      <c r="O830" s="10"/>
      <c r="P830" s="10"/>
      <c r="Q830" s="43"/>
      <c r="R830" s="10"/>
      <c r="T830" s="10"/>
    </row>
    <row r="831" spans="2:20" s="1" customFormat="1" ht="12.95" customHeight="1" x14ac:dyDescent="0.15">
      <c r="B831" s="16">
        <v>15</v>
      </c>
      <c r="C831" s="44"/>
      <c r="D831" s="18"/>
      <c r="E831" s="18"/>
      <c r="F831" s="129"/>
      <c r="G831" s="20"/>
      <c r="H831" s="20">
        <v>1</v>
      </c>
      <c r="I831" s="126">
        <f t="shared" si="61"/>
        <v>0</v>
      </c>
      <c r="J831" s="21">
        <f t="shared" si="62"/>
        <v>0</v>
      </c>
      <c r="K831" s="80"/>
      <c r="L831" s="82"/>
      <c r="M831" s="10"/>
      <c r="N831" s="10"/>
      <c r="O831" s="10"/>
      <c r="P831" s="10"/>
      <c r="Q831" s="43"/>
      <c r="R831" s="10"/>
      <c r="T831" s="10"/>
    </row>
    <row r="832" spans="2:20" s="1" customFormat="1" ht="12.95" customHeight="1" x14ac:dyDescent="0.15">
      <c r="B832" s="16">
        <v>16</v>
      </c>
      <c r="C832" s="44"/>
      <c r="D832" s="18"/>
      <c r="E832" s="18"/>
      <c r="F832" s="129"/>
      <c r="G832" s="20"/>
      <c r="H832" s="20">
        <v>1</v>
      </c>
      <c r="I832" s="126">
        <f t="shared" si="61"/>
        <v>0</v>
      </c>
      <c r="J832" s="21">
        <f t="shared" si="62"/>
        <v>0</v>
      </c>
      <c r="K832" s="80"/>
      <c r="L832" s="82"/>
      <c r="M832" s="10"/>
      <c r="N832" s="10"/>
      <c r="O832" s="10"/>
      <c r="P832" s="10"/>
      <c r="Q832" s="43"/>
      <c r="R832" s="10"/>
      <c r="T832" s="10"/>
    </row>
    <row r="833" spans="2:20" s="1" customFormat="1" ht="12.95" customHeight="1" x14ac:dyDescent="0.15">
      <c r="B833" s="16">
        <v>17</v>
      </c>
      <c r="C833" s="44"/>
      <c r="D833" s="18"/>
      <c r="E833" s="18"/>
      <c r="F833" s="129"/>
      <c r="G833" s="20"/>
      <c r="H833" s="20">
        <v>1</v>
      </c>
      <c r="I833" s="126">
        <f t="shared" si="61"/>
        <v>0</v>
      </c>
      <c r="J833" s="21">
        <f t="shared" si="62"/>
        <v>0</v>
      </c>
      <c r="K833" s="80"/>
      <c r="L833" s="82"/>
      <c r="M833" s="10"/>
      <c r="N833" s="10"/>
      <c r="O833" s="10"/>
      <c r="P833" s="10"/>
      <c r="Q833" s="43"/>
      <c r="R833" s="10"/>
      <c r="T833" s="10"/>
    </row>
    <row r="834" spans="2:20" s="1" customFormat="1" ht="12.95" customHeight="1" x14ac:dyDescent="0.15">
      <c r="B834" s="16">
        <v>18</v>
      </c>
      <c r="C834" s="44"/>
      <c r="D834" s="18"/>
      <c r="E834" s="18"/>
      <c r="F834" s="129"/>
      <c r="G834" s="20"/>
      <c r="H834" s="20">
        <v>1</v>
      </c>
      <c r="I834" s="126">
        <f t="shared" si="61"/>
        <v>0</v>
      </c>
      <c r="J834" s="78">
        <f t="shared" si="62"/>
        <v>0</v>
      </c>
      <c r="K834" s="111"/>
      <c r="L834" s="119"/>
      <c r="M834" s="10"/>
      <c r="N834" s="10"/>
      <c r="O834" s="10"/>
      <c r="P834" s="10"/>
      <c r="Q834" s="43"/>
      <c r="R834" s="10"/>
      <c r="T834" s="10"/>
    </row>
    <row r="835" spans="2:20" s="1" customFormat="1" ht="12.95" customHeight="1" x14ac:dyDescent="0.15">
      <c r="B835" s="16">
        <v>19</v>
      </c>
      <c r="C835" s="44"/>
      <c r="D835" s="18"/>
      <c r="E835" s="18"/>
      <c r="F835" s="129"/>
      <c r="G835" s="20"/>
      <c r="H835" s="20">
        <v>1</v>
      </c>
      <c r="I835" s="254">
        <f t="shared" si="61"/>
        <v>0</v>
      </c>
      <c r="J835" s="94">
        <f t="shared" si="62"/>
        <v>0</v>
      </c>
      <c r="K835" s="82"/>
      <c r="L835" s="82"/>
      <c r="M835" s="10"/>
      <c r="N835" s="10"/>
      <c r="O835" s="10"/>
      <c r="P835" s="10"/>
      <c r="Q835" s="43"/>
      <c r="R835" s="10"/>
      <c r="T835" s="10"/>
    </row>
    <row r="836" spans="2:20" s="1" customFormat="1" ht="12.95" customHeight="1" x14ac:dyDescent="0.15">
      <c r="B836" s="16">
        <v>20</v>
      </c>
      <c r="C836" s="44"/>
      <c r="D836" s="18"/>
      <c r="E836" s="18"/>
      <c r="F836" s="129"/>
      <c r="G836" s="20"/>
      <c r="H836" s="20">
        <v>1</v>
      </c>
      <c r="I836" s="254">
        <f t="shared" si="61"/>
        <v>0</v>
      </c>
      <c r="J836" s="94">
        <f t="shared" si="62"/>
        <v>0</v>
      </c>
      <c r="K836" s="82"/>
      <c r="L836" s="82"/>
      <c r="M836" s="10"/>
      <c r="N836" s="10"/>
      <c r="O836" s="10"/>
      <c r="P836" s="10"/>
      <c r="Q836" s="43"/>
      <c r="R836" s="10"/>
      <c r="T836" s="10"/>
    </row>
    <row r="837" spans="2:20" s="1" customFormat="1" ht="12.95" customHeight="1" x14ac:dyDescent="0.15">
      <c r="B837" s="16"/>
      <c r="C837" s="11"/>
      <c r="D837" s="18"/>
      <c r="E837" s="18"/>
      <c r="F837" s="129"/>
      <c r="G837" s="20"/>
      <c r="H837" s="20"/>
      <c r="I837" s="255"/>
      <c r="J837" s="94"/>
      <c r="K837" s="82"/>
      <c r="L837" s="82"/>
      <c r="M837" s="10"/>
      <c r="N837" s="10"/>
      <c r="O837" s="10"/>
      <c r="P837" s="10"/>
      <c r="Q837" s="43"/>
      <c r="R837" s="10"/>
      <c r="T837" s="10"/>
    </row>
    <row r="838" spans="2:20" s="1" customFormat="1" ht="12.75" x14ac:dyDescent="0.15">
      <c r="B838" s="83"/>
      <c r="C838" s="98"/>
      <c r="D838" s="99"/>
      <c r="E838" s="98"/>
      <c r="F838" s="127">
        <f>SUM(F779:F837)</f>
        <v>0</v>
      </c>
      <c r="G838" s="100"/>
      <c r="H838" s="252"/>
      <c r="I838" s="256">
        <f>SUM(I780:I837)</f>
        <v>0</v>
      </c>
      <c r="J838" s="257">
        <f>SUM(J780:J837)</f>
        <v>0</v>
      </c>
    </row>
    <row r="839" spans="2:20" s="1" customFormat="1" ht="12.75" x14ac:dyDescent="0.15">
      <c r="B839" s="82"/>
      <c r="C839" s="102"/>
      <c r="D839" s="103"/>
      <c r="E839" s="102" t="s">
        <v>147</v>
      </c>
      <c r="F839" s="128">
        <f>100/115*F838</f>
        <v>0</v>
      </c>
      <c r="G839" s="104"/>
      <c r="H839" s="253" t="s">
        <v>147</v>
      </c>
      <c r="I839" s="128">
        <f>100/115*I838</f>
        <v>0</v>
      </c>
      <c r="J839" s="106"/>
    </row>
    <row r="840" spans="2:20" s="1" customFormat="1" ht="12.75" x14ac:dyDescent="0.15"/>
    <row r="841" spans="2:20" s="1" customFormat="1" ht="12.75" x14ac:dyDescent="0.15"/>
    <row r="842" spans="2:20" s="1" customFormat="1" ht="12.75" x14ac:dyDescent="0.15"/>
    <row r="843" spans="2:20" s="1" customFormat="1" ht="12.75" x14ac:dyDescent="0.15"/>
    <row r="844" spans="2:20" s="1" customFormat="1" ht="12.75" x14ac:dyDescent="0.15"/>
    <row r="845" spans="2:20" s="1" customFormat="1" ht="12.75" x14ac:dyDescent="0.15"/>
    <row r="846" spans="2:20" s="1" customFormat="1" ht="12.75" x14ac:dyDescent="0.15"/>
    <row r="847" spans="2:20" s="1" customFormat="1" ht="12.75" x14ac:dyDescent="0.15"/>
    <row r="848" spans="2:20" s="1" customFormat="1" ht="12.75" x14ac:dyDescent="0.15"/>
    <row r="849" s="1" customFormat="1" ht="12.75" x14ac:dyDescent="0.15"/>
    <row r="850" s="1" customFormat="1" ht="12.75" x14ac:dyDescent="0.15"/>
    <row r="851" s="1" customFormat="1" ht="12.75" x14ac:dyDescent="0.15"/>
    <row r="852" s="1" customFormat="1" ht="12.75" x14ac:dyDescent="0.15"/>
    <row r="853" s="1" customFormat="1" ht="12.75" x14ac:dyDescent="0.15"/>
    <row r="854" s="1" customFormat="1" ht="12.75" x14ac:dyDescent="0.15"/>
    <row r="855" s="1" customFormat="1" ht="12.75" x14ac:dyDescent="0.15"/>
    <row r="856" s="1" customFormat="1" ht="12.75" x14ac:dyDescent="0.15"/>
    <row r="857" s="1" customFormat="1" ht="12.75" x14ac:dyDescent="0.15"/>
    <row r="858" s="1" customFormat="1" ht="12.75" x14ac:dyDescent="0.15"/>
    <row r="859" s="1" customFormat="1" ht="12.75" x14ac:dyDescent="0.15"/>
    <row r="860" s="1" customFormat="1" ht="12.75" x14ac:dyDescent="0.15"/>
    <row r="861" s="1" customFormat="1" ht="12.75" x14ac:dyDescent="0.15"/>
    <row r="862" s="1" customFormat="1" ht="12.75" x14ac:dyDescent="0.15"/>
    <row r="863" s="1" customFormat="1" ht="12.75" x14ac:dyDescent="0.15"/>
    <row r="864" s="1" customFormat="1" ht="12.75" x14ac:dyDescent="0.15"/>
    <row r="865" s="1" customFormat="1" ht="12.75" x14ac:dyDescent="0.15"/>
    <row r="866" s="1" customFormat="1" ht="12.75" x14ac:dyDescent="0.15"/>
    <row r="867" s="1" customFormat="1" ht="12.75" x14ac:dyDescent="0.15"/>
    <row r="868" s="1" customFormat="1" ht="12.75" x14ac:dyDescent="0.15"/>
    <row r="869" s="1" customFormat="1" ht="12.75" x14ac:dyDescent="0.15"/>
    <row r="870" s="1" customFormat="1" ht="12.75" x14ac:dyDescent="0.15"/>
    <row r="871" s="1" customFormat="1" ht="12.75" x14ac:dyDescent="0.15"/>
    <row r="872" s="1" customFormat="1" ht="12.75" x14ac:dyDescent="0.15"/>
    <row r="873" s="1" customFormat="1" ht="12.75" x14ac:dyDescent="0.15"/>
    <row r="874" s="1" customFormat="1" ht="12.75" x14ac:dyDescent="0.15"/>
    <row r="875" s="1" customFormat="1" ht="12.75" x14ac:dyDescent="0.15"/>
    <row r="876" s="1" customFormat="1" ht="12.75" x14ac:dyDescent="0.15"/>
    <row r="877" s="1" customFormat="1" ht="12.75" x14ac:dyDescent="0.15"/>
    <row r="878" s="1" customFormat="1" ht="12.75" x14ac:dyDescent="0.15"/>
    <row r="879" s="1" customFormat="1" ht="12.75" x14ac:dyDescent="0.15"/>
    <row r="880" s="1" customFormat="1" ht="12.75" x14ac:dyDescent="0.15"/>
    <row r="881" s="1" customFormat="1" ht="12.75" x14ac:dyDescent="0.15"/>
    <row r="882" s="1" customFormat="1" ht="12.75" x14ac:dyDescent="0.15"/>
    <row r="883" s="1" customFormat="1" ht="12.75" x14ac:dyDescent="0.15"/>
    <row r="884" s="1" customFormat="1" ht="12.75" x14ac:dyDescent="0.15"/>
    <row r="885" s="1" customFormat="1" ht="12.75" x14ac:dyDescent="0.15"/>
    <row r="886" s="1" customFormat="1" ht="12.75" x14ac:dyDescent="0.15"/>
    <row r="887" s="1" customFormat="1" ht="12.75" x14ac:dyDescent="0.15"/>
    <row r="888" s="1" customFormat="1" ht="12.75" x14ac:dyDescent="0.15"/>
    <row r="889" s="1" customFormat="1" ht="12.75" x14ac:dyDescent="0.15"/>
    <row r="890" s="1" customFormat="1" ht="12.75" x14ac:dyDescent="0.15"/>
    <row r="891" s="1" customFormat="1" ht="12.75" x14ac:dyDescent="0.15"/>
    <row r="892" s="1" customFormat="1" ht="12.75" x14ac:dyDescent="0.15"/>
    <row r="893" s="1" customFormat="1" ht="12.75" x14ac:dyDescent="0.15"/>
    <row r="894" s="1" customFormat="1" ht="12.75" x14ac:dyDescent="0.15"/>
    <row r="895" s="1" customFormat="1" ht="12.75" x14ac:dyDescent="0.15"/>
    <row r="896" s="1" customFormat="1" ht="12.75" x14ac:dyDescent="0.15"/>
    <row r="897" spans="12:12" s="1" customFormat="1" ht="12.75" x14ac:dyDescent="0.15"/>
    <row r="898" spans="12:12" s="1" customFormat="1" ht="12.75" x14ac:dyDescent="0.15"/>
    <row r="899" spans="12:12" s="1" customFormat="1" ht="12.75" x14ac:dyDescent="0.15"/>
    <row r="900" spans="12:12" s="1" customFormat="1" ht="12.75" x14ac:dyDescent="0.15"/>
    <row r="901" spans="12:12" s="1" customFormat="1" ht="12.75" x14ac:dyDescent="0.15"/>
    <row r="902" spans="12:12" x14ac:dyDescent="0.2">
      <c r="L902"/>
    </row>
    <row r="903" spans="12:12" x14ac:dyDescent="0.2">
      <c r="L903"/>
    </row>
    <row r="904" spans="12:12" x14ac:dyDescent="0.2">
      <c r="L904"/>
    </row>
    <row r="905" spans="12:12" x14ac:dyDescent="0.2">
      <c r="L905"/>
    </row>
    <row r="906" spans="12:12" x14ac:dyDescent="0.2">
      <c r="L906"/>
    </row>
    <row r="907" spans="12:12" x14ac:dyDescent="0.2">
      <c r="L907"/>
    </row>
    <row r="908" spans="12:12" x14ac:dyDescent="0.2">
      <c r="L908"/>
    </row>
    <row r="909" spans="12:12" x14ac:dyDescent="0.2">
      <c r="L909"/>
    </row>
    <row r="910" spans="12:12" x14ac:dyDescent="0.2">
      <c r="L910"/>
    </row>
    <row r="911" spans="12:12" x14ac:dyDescent="0.2">
      <c r="L911"/>
    </row>
    <row r="912" spans="12:12" x14ac:dyDescent="0.2">
      <c r="L912"/>
    </row>
    <row r="913" spans="12:12" x14ac:dyDescent="0.2">
      <c r="L913"/>
    </row>
    <row r="914" spans="12:12" x14ac:dyDescent="0.2">
      <c r="L914"/>
    </row>
    <row r="915" spans="12:12" x14ac:dyDescent="0.2">
      <c r="L915"/>
    </row>
    <row r="916" spans="12:12" x14ac:dyDescent="0.2">
      <c r="L916"/>
    </row>
    <row r="917" spans="12:12" x14ac:dyDescent="0.2">
      <c r="L917"/>
    </row>
    <row r="918" spans="12:12" x14ac:dyDescent="0.2">
      <c r="L918"/>
    </row>
    <row r="919" spans="12:12" x14ac:dyDescent="0.2">
      <c r="L919"/>
    </row>
    <row r="920" spans="12:12" x14ac:dyDescent="0.2">
      <c r="L920"/>
    </row>
    <row r="921" spans="12:12" x14ac:dyDescent="0.2">
      <c r="L921"/>
    </row>
    <row r="922" spans="12:12" x14ac:dyDescent="0.2">
      <c r="L922"/>
    </row>
    <row r="923" spans="12:12" x14ac:dyDescent="0.2">
      <c r="L923"/>
    </row>
    <row r="924" spans="12:12" x14ac:dyDescent="0.2">
      <c r="L924"/>
    </row>
    <row r="925" spans="12:12" x14ac:dyDescent="0.2">
      <c r="L925"/>
    </row>
    <row r="926" spans="12:12" x14ac:dyDescent="0.2">
      <c r="L926"/>
    </row>
    <row r="927" spans="12:12" x14ac:dyDescent="0.2">
      <c r="L927"/>
    </row>
    <row r="928" spans="12:12" x14ac:dyDescent="0.2">
      <c r="L928"/>
    </row>
    <row r="929" spans="12:12" x14ac:dyDescent="0.2">
      <c r="L929"/>
    </row>
    <row r="930" spans="12:12" x14ac:dyDescent="0.2">
      <c r="L930"/>
    </row>
    <row r="931" spans="12:12" x14ac:dyDescent="0.2">
      <c r="L931"/>
    </row>
    <row r="932" spans="12:12" x14ac:dyDescent="0.2">
      <c r="L932"/>
    </row>
    <row r="933" spans="12:12" x14ac:dyDescent="0.2">
      <c r="L933"/>
    </row>
    <row r="934" spans="12:12" x14ac:dyDescent="0.2">
      <c r="L934"/>
    </row>
    <row r="935" spans="12:12" x14ac:dyDescent="0.2">
      <c r="L935"/>
    </row>
    <row r="936" spans="12:12" x14ac:dyDescent="0.2">
      <c r="L936"/>
    </row>
    <row r="937" spans="12:12" x14ac:dyDescent="0.2">
      <c r="L937"/>
    </row>
    <row r="938" spans="12:12" x14ac:dyDescent="0.2">
      <c r="L938"/>
    </row>
    <row r="939" spans="12:12" x14ac:dyDescent="0.2">
      <c r="L939"/>
    </row>
    <row r="940" spans="12:12" x14ac:dyDescent="0.2">
      <c r="L940"/>
    </row>
    <row r="941" spans="12:12" x14ac:dyDescent="0.2">
      <c r="L941"/>
    </row>
    <row r="942" spans="12:12" x14ac:dyDescent="0.2">
      <c r="L942"/>
    </row>
    <row r="943" spans="12:12" x14ac:dyDescent="0.2">
      <c r="L943"/>
    </row>
    <row r="944" spans="12:12" x14ac:dyDescent="0.2">
      <c r="L944"/>
    </row>
    <row r="945" spans="12:12" x14ac:dyDescent="0.2">
      <c r="L945"/>
    </row>
    <row r="946" spans="12:12" x14ac:dyDescent="0.2">
      <c r="L946"/>
    </row>
    <row r="947" spans="12:12" x14ac:dyDescent="0.2">
      <c r="L947"/>
    </row>
    <row r="948" spans="12:12" x14ac:dyDescent="0.2">
      <c r="L948"/>
    </row>
    <row r="949" spans="12:12" x14ac:dyDescent="0.2">
      <c r="L949"/>
    </row>
    <row r="950" spans="12:12" x14ac:dyDescent="0.2">
      <c r="L950"/>
    </row>
    <row r="951" spans="12:12" x14ac:dyDescent="0.2">
      <c r="L951"/>
    </row>
    <row r="952" spans="12:12" x14ac:dyDescent="0.2">
      <c r="L952"/>
    </row>
    <row r="953" spans="12:12" x14ac:dyDescent="0.2">
      <c r="L953"/>
    </row>
    <row r="954" spans="12:12" x14ac:dyDescent="0.2">
      <c r="L954"/>
    </row>
    <row r="955" spans="12:12" x14ac:dyDescent="0.2">
      <c r="L955"/>
    </row>
    <row r="956" spans="12:12" x14ac:dyDescent="0.2">
      <c r="L956"/>
    </row>
    <row r="957" spans="12:12" x14ac:dyDescent="0.2">
      <c r="L957"/>
    </row>
    <row r="958" spans="12:12" x14ac:dyDescent="0.2">
      <c r="L958"/>
    </row>
    <row r="959" spans="12:12" x14ac:dyDescent="0.2">
      <c r="L959"/>
    </row>
    <row r="960" spans="12:12" x14ac:dyDescent="0.2">
      <c r="L960"/>
    </row>
    <row r="961" spans="12:12" x14ac:dyDescent="0.2">
      <c r="L961"/>
    </row>
    <row r="962" spans="12:12" x14ac:dyDescent="0.2">
      <c r="L962"/>
    </row>
    <row r="963" spans="12:12" x14ac:dyDescent="0.2">
      <c r="L963"/>
    </row>
    <row r="964" spans="12:12" x14ac:dyDescent="0.2">
      <c r="L964"/>
    </row>
    <row r="965" spans="12:12" x14ac:dyDescent="0.2">
      <c r="L965"/>
    </row>
    <row r="966" spans="12:12" x14ac:dyDescent="0.2">
      <c r="L966"/>
    </row>
    <row r="967" spans="12:12" x14ac:dyDescent="0.2">
      <c r="L967"/>
    </row>
    <row r="968" spans="12:12" x14ac:dyDescent="0.2">
      <c r="L968"/>
    </row>
    <row r="969" spans="12:12" x14ac:dyDescent="0.2">
      <c r="L969"/>
    </row>
    <row r="970" spans="12:12" x14ac:dyDescent="0.2">
      <c r="L970"/>
    </row>
    <row r="971" spans="12:12" x14ac:dyDescent="0.2">
      <c r="L971"/>
    </row>
    <row r="972" spans="12:12" x14ac:dyDescent="0.2">
      <c r="L972"/>
    </row>
    <row r="973" spans="12:12" x14ac:dyDescent="0.2">
      <c r="L973"/>
    </row>
    <row r="974" spans="12:12" x14ac:dyDescent="0.2">
      <c r="L974"/>
    </row>
    <row r="975" spans="12:12" x14ac:dyDescent="0.2">
      <c r="L975"/>
    </row>
    <row r="976" spans="12:12" x14ac:dyDescent="0.2">
      <c r="L976"/>
    </row>
    <row r="977" spans="12:12" x14ac:dyDescent="0.2">
      <c r="L977"/>
    </row>
    <row r="978" spans="12:12" x14ac:dyDescent="0.2">
      <c r="L978"/>
    </row>
    <row r="979" spans="12:12" x14ac:dyDescent="0.2">
      <c r="L979"/>
    </row>
    <row r="980" spans="12:12" x14ac:dyDescent="0.2">
      <c r="L980"/>
    </row>
    <row r="981" spans="12:12" x14ac:dyDescent="0.2">
      <c r="L981"/>
    </row>
    <row r="982" spans="12:12" x14ac:dyDescent="0.2">
      <c r="L982"/>
    </row>
    <row r="983" spans="12:12" x14ac:dyDescent="0.2">
      <c r="L983"/>
    </row>
    <row r="984" spans="12:12" x14ac:dyDescent="0.2">
      <c r="L984"/>
    </row>
    <row r="985" spans="12:12" x14ac:dyDescent="0.2">
      <c r="L985"/>
    </row>
    <row r="986" spans="12:12" x14ac:dyDescent="0.2">
      <c r="L986"/>
    </row>
    <row r="987" spans="12:12" x14ac:dyDescent="0.2">
      <c r="L987"/>
    </row>
    <row r="988" spans="12:12" x14ac:dyDescent="0.2">
      <c r="L988"/>
    </row>
    <row r="989" spans="12:12" x14ac:dyDescent="0.2">
      <c r="L989"/>
    </row>
    <row r="990" spans="12:12" x14ac:dyDescent="0.2">
      <c r="L990"/>
    </row>
    <row r="991" spans="12:12" x14ac:dyDescent="0.2">
      <c r="L991"/>
    </row>
    <row r="992" spans="12:12" x14ac:dyDescent="0.2">
      <c r="L992"/>
    </row>
    <row r="993" spans="12:12" x14ac:dyDescent="0.2">
      <c r="L993"/>
    </row>
    <row r="994" spans="12:12" x14ac:dyDescent="0.2">
      <c r="L994"/>
    </row>
    <row r="995" spans="12:12" x14ac:dyDescent="0.2">
      <c r="L995"/>
    </row>
    <row r="996" spans="12:12" x14ac:dyDescent="0.2">
      <c r="L996"/>
    </row>
    <row r="997" spans="12:12" x14ac:dyDescent="0.2">
      <c r="L997"/>
    </row>
    <row r="998" spans="12:12" x14ac:dyDescent="0.2">
      <c r="L998"/>
    </row>
    <row r="999" spans="12:12" x14ac:dyDescent="0.2">
      <c r="L999"/>
    </row>
    <row r="1000" spans="12:12" x14ac:dyDescent="0.2">
      <c r="L1000"/>
    </row>
    <row r="1001" spans="12:12" x14ac:dyDescent="0.2">
      <c r="L1001"/>
    </row>
    <row r="1002" spans="12:12" x14ac:dyDescent="0.2">
      <c r="L1002"/>
    </row>
    <row r="1003" spans="12:12" x14ac:dyDescent="0.2">
      <c r="L1003"/>
    </row>
    <row r="1004" spans="12:12" x14ac:dyDescent="0.2">
      <c r="L1004"/>
    </row>
    <row r="1005" spans="12:12" x14ac:dyDescent="0.2">
      <c r="L1005"/>
    </row>
    <row r="1006" spans="12:12" x14ac:dyDescent="0.2">
      <c r="L1006"/>
    </row>
    <row r="1007" spans="12:12" x14ac:dyDescent="0.2">
      <c r="L1007"/>
    </row>
    <row r="1008" spans="12:12" x14ac:dyDescent="0.2">
      <c r="L1008"/>
    </row>
    <row r="1009" spans="12:12" x14ac:dyDescent="0.2">
      <c r="L1009"/>
    </row>
    <row r="1010" spans="12:12" x14ac:dyDescent="0.2">
      <c r="L1010"/>
    </row>
    <row r="1011" spans="12:12" x14ac:dyDescent="0.2">
      <c r="L1011"/>
    </row>
    <row r="1012" spans="12:12" x14ac:dyDescent="0.2">
      <c r="L1012"/>
    </row>
    <row r="1013" spans="12:12" x14ac:dyDescent="0.2">
      <c r="L1013"/>
    </row>
    <row r="1014" spans="12:12" x14ac:dyDescent="0.2">
      <c r="L1014"/>
    </row>
    <row r="1015" spans="12:12" x14ac:dyDescent="0.2">
      <c r="L1015"/>
    </row>
    <row r="1016" spans="12:12" x14ac:dyDescent="0.2">
      <c r="L1016"/>
    </row>
    <row r="1017" spans="12:12" x14ac:dyDescent="0.2">
      <c r="L1017"/>
    </row>
    <row r="1018" spans="12:12" x14ac:dyDescent="0.2">
      <c r="L1018"/>
    </row>
    <row r="1019" spans="12:12" x14ac:dyDescent="0.2">
      <c r="L1019"/>
    </row>
    <row r="1020" spans="12:12" x14ac:dyDescent="0.2">
      <c r="L1020"/>
    </row>
    <row r="1021" spans="12:12" x14ac:dyDescent="0.2">
      <c r="L1021"/>
    </row>
    <row r="1022" spans="12:12" x14ac:dyDescent="0.2">
      <c r="L1022"/>
    </row>
    <row r="1023" spans="12:12" x14ac:dyDescent="0.2">
      <c r="L1023"/>
    </row>
    <row r="1024" spans="12:12" x14ac:dyDescent="0.2">
      <c r="L1024"/>
    </row>
    <row r="1025" spans="12:12" x14ac:dyDescent="0.2">
      <c r="L1025"/>
    </row>
    <row r="1026" spans="12:12" x14ac:dyDescent="0.2">
      <c r="L1026"/>
    </row>
    <row r="1027" spans="12:12" x14ac:dyDescent="0.2">
      <c r="L1027"/>
    </row>
    <row r="1028" spans="12:12" x14ac:dyDescent="0.2">
      <c r="L1028"/>
    </row>
    <row r="1029" spans="12:12" x14ac:dyDescent="0.2">
      <c r="L1029"/>
    </row>
    <row r="1030" spans="12:12" x14ac:dyDescent="0.2">
      <c r="L1030"/>
    </row>
    <row r="1031" spans="12:12" x14ac:dyDescent="0.2">
      <c r="L1031"/>
    </row>
    <row r="1032" spans="12:12" x14ac:dyDescent="0.2">
      <c r="L1032"/>
    </row>
    <row r="1033" spans="12:12" x14ac:dyDescent="0.2">
      <c r="L1033"/>
    </row>
    <row r="1034" spans="12:12" x14ac:dyDescent="0.2">
      <c r="L1034"/>
    </row>
    <row r="1035" spans="12:12" x14ac:dyDescent="0.2">
      <c r="L1035"/>
    </row>
    <row r="1036" spans="12:12" x14ac:dyDescent="0.2">
      <c r="L1036"/>
    </row>
    <row r="1037" spans="12:12" x14ac:dyDescent="0.2">
      <c r="L1037"/>
    </row>
    <row r="1038" spans="12:12" x14ac:dyDescent="0.2">
      <c r="L1038"/>
    </row>
    <row r="1039" spans="12:12" x14ac:dyDescent="0.2">
      <c r="L1039"/>
    </row>
    <row r="1040" spans="12:12" x14ac:dyDescent="0.2">
      <c r="L1040"/>
    </row>
    <row r="1041" spans="12:12" x14ac:dyDescent="0.2">
      <c r="L1041"/>
    </row>
    <row r="1042" spans="12:12" x14ac:dyDescent="0.2">
      <c r="L1042"/>
    </row>
    <row r="1043" spans="12:12" x14ac:dyDescent="0.2">
      <c r="L1043"/>
    </row>
    <row r="1044" spans="12:12" x14ac:dyDescent="0.2">
      <c r="L1044"/>
    </row>
    <row r="1045" spans="12:12" x14ac:dyDescent="0.2">
      <c r="L1045"/>
    </row>
    <row r="1046" spans="12:12" x14ac:dyDescent="0.2">
      <c r="L1046"/>
    </row>
    <row r="1047" spans="12:12" x14ac:dyDescent="0.2">
      <c r="L1047"/>
    </row>
    <row r="1048" spans="12:12" x14ac:dyDescent="0.2">
      <c r="L1048"/>
    </row>
    <row r="1049" spans="12:12" x14ac:dyDescent="0.2">
      <c r="L1049"/>
    </row>
    <row r="1050" spans="12:12" x14ac:dyDescent="0.2">
      <c r="L1050"/>
    </row>
    <row r="1051" spans="12:12" x14ac:dyDescent="0.2">
      <c r="L1051"/>
    </row>
    <row r="1052" spans="12:12" x14ac:dyDescent="0.2">
      <c r="L1052"/>
    </row>
    <row r="1053" spans="12:12" x14ac:dyDescent="0.2">
      <c r="L1053"/>
    </row>
    <row r="1054" spans="12:12" x14ac:dyDescent="0.2">
      <c r="L1054"/>
    </row>
    <row r="1055" spans="12:12" x14ac:dyDescent="0.2">
      <c r="L1055"/>
    </row>
    <row r="1056" spans="12:12" x14ac:dyDescent="0.2">
      <c r="L1056"/>
    </row>
    <row r="1057" spans="12:12" x14ac:dyDescent="0.2">
      <c r="L1057"/>
    </row>
    <row r="1058" spans="12:12" x14ac:dyDescent="0.2">
      <c r="L1058"/>
    </row>
    <row r="1059" spans="12:12" x14ac:dyDescent="0.2">
      <c r="L1059"/>
    </row>
    <row r="1060" spans="12:12" x14ac:dyDescent="0.2">
      <c r="L1060"/>
    </row>
    <row r="1061" spans="12:12" x14ac:dyDescent="0.2">
      <c r="L1061"/>
    </row>
    <row r="1062" spans="12:12" x14ac:dyDescent="0.2">
      <c r="L1062"/>
    </row>
    <row r="1063" spans="12:12" x14ac:dyDescent="0.2">
      <c r="L1063"/>
    </row>
    <row r="1064" spans="12:12" x14ac:dyDescent="0.2">
      <c r="L1064"/>
    </row>
    <row r="1065" spans="12:12" x14ac:dyDescent="0.2">
      <c r="L1065"/>
    </row>
    <row r="1066" spans="12:12" x14ac:dyDescent="0.2">
      <c r="L1066"/>
    </row>
    <row r="1067" spans="12:12" x14ac:dyDescent="0.2">
      <c r="L1067"/>
    </row>
    <row r="1068" spans="12:12" x14ac:dyDescent="0.2">
      <c r="L1068"/>
    </row>
    <row r="1069" spans="12:12" x14ac:dyDescent="0.2">
      <c r="L1069"/>
    </row>
    <row r="1070" spans="12:12" x14ac:dyDescent="0.2">
      <c r="L1070"/>
    </row>
    <row r="1071" spans="12:12" x14ac:dyDescent="0.2">
      <c r="L1071"/>
    </row>
    <row r="1072" spans="12:12" x14ac:dyDescent="0.2">
      <c r="L1072"/>
    </row>
    <row r="1073" spans="12:12" x14ac:dyDescent="0.2">
      <c r="L1073"/>
    </row>
    <row r="1074" spans="12:12" x14ac:dyDescent="0.2">
      <c r="L1074"/>
    </row>
    <row r="1075" spans="12:12" x14ac:dyDescent="0.2">
      <c r="L1075"/>
    </row>
    <row r="1076" spans="12:12" x14ac:dyDescent="0.2">
      <c r="L1076"/>
    </row>
    <row r="1077" spans="12:12" x14ac:dyDescent="0.2">
      <c r="L1077"/>
    </row>
    <row r="1078" spans="12:12" x14ac:dyDescent="0.2">
      <c r="L1078"/>
    </row>
    <row r="1079" spans="12:12" x14ac:dyDescent="0.2">
      <c r="L1079"/>
    </row>
    <row r="1080" spans="12:12" x14ac:dyDescent="0.2">
      <c r="L1080"/>
    </row>
    <row r="1081" spans="12:12" x14ac:dyDescent="0.2">
      <c r="L1081"/>
    </row>
    <row r="1082" spans="12:12" x14ac:dyDescent="0.2">
      <c r="L1082"/>
    </row>
    <row r="1083" spans="12:12" x14ac:dyDescent="0.2">
      <c r="L1083"/>
    </row>
    <row r="1084" spans="12:12" x14ac:dyDescent="0.2">
      <c r="L1084"/>
    </row>
    <row r="1085" spans="12:12" x14ac:dyDescent="0.2">
      <c r="L1085"/>
    </row>
    <row r="1086" spans="12:12" x14ac:dyDescent="0.2">
      <c r="L1086"/>
    </row>
    <row r="1087" spans="12:12" x14ac:dyDescent="0.2">
      <c r="L1087"/>
    </row>
    <row r="1088" spans="12:12" x14ac:dyDescent="0.2">
      <c r="L1088"/>
    </row>
    <row r="1089" spans="12:12" x14ac:dyDescent="0.2">
      <c r="L1089"/>
    </row>
    <row r="1090" spans="12:12" x14ac:dyDescent="0.2">
      <c r="L1090"/>
    </row>
    <row r="1091" spans="12:12" x14ac:dyDescent="0.2">
      <c r="L1091"/>
    </row>
    <row r="1092" spans="12:12" x14ac:dyDescent="0.2">
      <c r="L1092"/>
    </row>
    <row r="1093" spans="12:12" x14ac:dyDescent="0.2">
      <c r="L1093"/>
    </row>
    <row r="1094" spans="12:12" x14ac:dyDescent="0.2">
      <c r="L1094"/>
    </row>
    <row r="1095" spans="12:12" x14ac:dyDescent="0.2">
      <c r="L1095"/>
    </row>
    <row r="1096" spans="12:12" x14ac:dyDescent="0.2">
      <c r="L1096"/>
    </row>
    <row r="1097" spans="12:12" x14ac:dyDescent="0.2">
      <c r="L1097"/>
    </row>
    <row r="1098" spans="12:12" x14ac:dyDescent="0.2">
      <c r="L1098"/>
    </row>
    <row r="1099" spans="12:12" x14ac:dyDescent="0.2">
      <c r="L1099"/>
    </row>
    <row r="1100" spans="12:12" x14ac:dyDescent="0.2">
      <c r="L1100"/>
    </row>
    <row r="1101" spans="12:12" x14ac:dyDescent="0.2">
      <c r="L1101"/>
    </row>
    <row r="1102" spans="12:12" x14ac:dyDescent="0.2">
      <c r="L1102"/>
    </row>
    <row r="1103" spans="12:12" x14ac:dyDescent="0.2">
      <c r="L1103"/>
    </row>
    <row r="1104" spans="12:12" x14ac:dyDescent="0.2">
      <c r="L1104"/>
    </row>
    <row r="1105" spans="12:12" x14ac:dyDescent="0.2">
      <c r="L1105"/>
    </row>
    <row r="1106" spans="12:12" x14ac:dyDescent="0.2">
      <c r="L1106"/>
    </row>
    <row r="1107" spans="12:12" x14ac:dyDescent="0.2">
      <c r="L1107"/>
    </row>
    <row r="1108" spans="12:12" x14ac:dyDescent="0.2">
      <c r="L1108"/>
    </row>
    <row r="1109" spans="12:12" x14ac:dyDescent="0.2">
      <c r="L1109"/>
    </row>
    <row r="1110" spans="12:12" x14ac:dyDescent="0.2">
      <c r="L1110"/>
    </row>
    <row r="1111" spans="12:12" x14ac:dyDescent="0.2">
      <c r="L1111"/>
    </row>
    <row r="1112" spans="12:12" x14ac:dyDescent="0.2">
      <c r="L1112"/>
    </row>
    <row r="1113" spans="12:12" x14ac:dyDescent="0.2">
      <c r="L1113"/>
    </row>
    <row r="1114" spans="12:12" x14ac:dyDescent="0.2">
      <c r="L1114"/>
    </row>
    <row r="1115" spans="12:12" x14ac:dyDescent="0.2">
      <c r="L1115"/>
    </row>
    <row r="1116" spans="12:12" x14ac:dyDescent="0.2">
      <c r="L1116"/>
    </row>
    <row r="1117" spans="12:12" x14ac:dyDescent="0.2">
      <c r="L1117"/>
    </row>
    <row r="1118" spans="12:12" x14ac:dyDescent="0.2">
      <c r="L1118"/>
    </row>
    <row r="1119" spans="12:12" x14ac:dyDescent="0.2">
      <c r="L1119"/>
    </row>
    <row r="1120" spans="12:12" x14ac:dyDescent="0.2">
      <c r="L1120"/>
    </row>
    <row r="1121" spans="12:12" x14ac:dyDescent="0.2">
      <c r="L1121"/>
    </row>
    <row r="1122" spans="12:12" x14ac:dyDescent="0.2">
      <c r="L1122"/>
    </row>
    <row r="1123" spans="12:12" x14ac:dyDescent="0.2">
      <c r="L1123"/>
    </row>
    <row r="1124" spans="12:12" x14ac:dyDescent="0.2">
      <c r="L1124"/>
    </row>
    <row r="1125" spans="12:12" x14ac:dyDescent="0.2">
      <c r="L1125"/>
    </row>
    <row r="1126" spans="12:12" x14ac:dyDescent="0.2">
      <c r="L1126"/>
    </row>
    <row r="1127" spans="12:12" x14ac:dyDescent="0.2">
      <c r="L1127"/>
    </row>
    <row r="1128" spans="12:12" x14ac:dyDescent="0.2">
      <c r="L1128"/>
    </row>
    <row r="1129" spans="12:12" x14ac:dyDescent="0.2">
      <c r="L1129"/>
    </row>
    <row r="1130" spans="12:12" x14ac:dyDescent="0.2">
      <c r="L1130"/>
    </row>
    <row r="1131" spans="12:12" x14ac:dyDescent="0.2">
      <c r="L1131"/>
    </row>
    <row r="1132" spans="12:12" x14ac:dyDescent="0.2">
      <c r="L1132"/>
    </row>
    <row r="1133" spans="12:12" x14ac:dyDescent="0.2">
      <c r="L1133"/>
    </row>
    <row r="1134" spans="12:12" x14ac:dyDescent="0.2">
      <c r="L1134"/>
    </row>
    <row r="1135" spans="12:12" x14ac:dyDescent="0.2">
      <c r="L1135"/>
    </row>
    <row r="1136" spans="12:12" x14ac:dyDescent="0.2">
      <c r="L1136"/>
    </row>
    <row r="1137" spans="12:12" x14ac:dyDescent="0.2">
      <c r="L1137"/>
    </row>
    <row r="1138" spans="12:12" x14ac:dyDescent="0.2">
      <c r="L1138"/>
    </row>
    <row r="1139" spans="12:12" x14ac:dyDescent="0.2">
      <c r="L1139"/>
    </row>
    <row r="1140" spans="12:12" x14ac:dyDescent="0.2">
      <c r="L1140"/>
    </row>
    <row r="1141" spans="12:12" x14ac:dyDescent="0.2">
      <c r="L1141"/>
    </row>
    <row r="1142" spans="12:12" x14ac:dyDescent="0.2">
      <c r="L1142"/>
    </row>
    <row r="1143" spans="12:12" x14ac:dyDescent="0.2">
      <c r="L1143"/>
    </row>
    <row r="1144" spans="12:12" x14ac:dyDescent="0.2">
      <c r="L1144"/>
    </row>
    <row r="1145" spans="12:12" x14ac:dyDescent="0.2">
      <c r="L1145"/>
    </row>
    <row r="1146" spans="12:12" x14ac:dyDescent="0.2">
      <c r="L1146"/>
    </row>
    <row r="1147" spans="12:12" x14ac:dyDescent="0.2">
      <c r="L1147"/>
    </row>
    <row r="1148" spans="12:12" x14ac:dyDescent="0.2">
      <c r="L1148"/>
    </row>
    <row r="1149" spans="12:12" x14ac:dyDescent="0.2">
      <c r="L1149"/>
    </row>
    <row r="1150" spans="12:12" x14ac:dyDescent="0.2">
      <c r="L1150"/>
    </row>
    <row r="1151" spans="12:12" x14ac:dyDescent="0.2">
      <c r="L1151"/>
    </row>
    <row r="1152" spans="12:12" x14ac:dyDescent="0.2">
      <c r="L1152"/>
    </row>
    <row r="1153" spans="12:12" x14ac:dyDescent="0.2">
      <c r="L1153"/>
    </row>
    <row r="1154" spans="12:12" x14ac:dyDescent="0.2">
      <c r="L1154"/>
    </row>
    <row r="1155" spans="12:12" x14ac:dyDescent="0.2">
      <c r="L1155"/>
    </row>
    <row r="1156" spans="12:12" x14ac:dyDescent="0.2">
      <c r="L1156"/>
    </row>
    <row r="1157" spans="12:12" x14ac:dyDescent="0.2">
      <c r="L1157"/>
    </row>
    <row r="1158" spans="12:12" x14ac:dyDescent="0.2">
      <c r="L1158"/>
    </row>
    <row r="1159" spans="12:12" x14ac:dyDescent="0.2">
      <c r="L1159"/>
    </row>
    <row r="1160" spans="12:12" x14ac:dyDescent="0.2">
      <c r="L1160"/>
    </row>
    <row r="1161" spans="12:12" x14ac:dyDescent="0.2">
      <c r="L1161"/>
    </row>
    <row r="1162" spans="12:12" x14ac:dyDescent="0.2">
      <c r="L1162"/>
    </row>
    <row r="1163" spans="12:12" x14ac:dyDescent="0.2">
      <c r="L1163"/>
    </row>
    <row r="1164" spans="12:12" x14ac:dyDescent="0.2">
      <c r="L1164"/>
    </row>
    <row r="1165" spans="12:12" x14ac:dyDescent="0.2">
      <c r="L1165"/>
    </row>
    <row r="1166" spans="12:12" x14ac:dyDescent="0.2">
      <c r="L1166"/>
    </row>
    <row r="1167" spans="12:12" x14ac:dyDescent="0.2">
      <c r="L1167"/>
    </row>
    <row r="1168" spans="12:12" x14ac:dyDescent="0.2">
      <c r="L1168"/>
    </row>
    <row r="1169" spans="12:12" x14ac:dyDescent="0.2">
      <c r="L1169"/>
    </row>
    <row r="1170" spans="12:12" x14ac:dyDescent="0.2">
      <c r="L1170"/>
    </row>
    <row r="1171" spans="12:12" x14ac:dyDescent="0.2">
      <c r="L1171"/>
    </row>
    <row r="1172" spans="12:12" x14ac:dyDescent="0.2">
      <c r="L1172"/>
    </row>
    <row r="1173" spans="12:12" x14ac:dyDescent="0.2">
      <c r="L1173"/>
    </row>
    <row r="1174" spans="12:12" x14ac:dyDescent="0.2">
      <c r="L1174"/>
    </row>
    <row r="1175" spans="12:12" x14ac:dyDescent="0.2">
      <c r="L1175"/>
    </row>
    <row r="1176" spans="12:12" x14ac:dyDescent="0.2">
      <c r="L1176"/>
    </row>
    <row r="1177" spans="12:12" x14ac:dyDescent="0.2">
      <c r="L1177"/>
    </row>
    <row r="1178" spans="12:12" x14ac:dyDescent="0.2">
      <c r="L1178"/>
    </row>
    <row r="1179" spans="12:12" x14ac:dyDescent="0.2">
      <c r="L1179"/>
    </row>
    <row r="1180" spans="12:12" x14ac:dyDescent="0.2">
      <c r="L1180"/>
    </row>
    <row r="1181" spans="12:12" x14ac:dyDescent="0.2">
      <c r="L1181"/>
    </row>
    <row r="1182" spans="12:12" x14ac:dyDescent="0.2">
      <c r="L1182"/>
    </row>
    <row r="1183" spans="12:12" x14ac:dyDescent="0.2">
      <c r="L1183"/>
    </row>
    <row r="1184" spans="12:12" x14ac:dyDescent="0.2">
      <c r="L1184"/>
    </row>
    <row r="1185" spans="12:12" x14ac:dyDescent="0.2">
      <c r="L1185"/>
    </row>
    <row r="1186" spans="12:12" x14ac:dyDescent="0.2">
      <c r="L1186"/>
    </row>
    <row r="1187" spans="12:12" x14ac:dyDescent="0.2">
      <c r="L1187"/>
    </row>
    <row r="1188" spans="12:12" x14ac:dyDescent="0.2">
      <c r="L1188"/>
    </row>
    <row r="1189" spans="12:12" x14ac:dyDescent="0.2">
      <c r="L1189"/>
    </row>
    <row r="1190" spans="12:12" x14ac:dyDescent="0.2">
      <c r="L1190"/>
    </row>
    <row r="1191" spans="12:12" x14ac:dyDescent="0.2">
      <c r="L1191"/>
    </row>
    <row r="1192" spans="12:12" x14ac:dyDescent="0.2">
      <c r="L1192"/>
    </row>
    <row r="1193" spans="12:12" x14ac:dyDescent="0.2">
      <c r="L1193"/>
    </row>
    <row r="1194" spans="12:12" x14ac:dyDescent="0.2">
      <c r="L1194"/>
    </row>
    <row r="1195" spans="12:12" x14ac:dyDescent="0.2">
      <c r="L1195"/>
    </row>
    <row r="1196" spans="12:12" x14ac:dyDescent="0.2">
      <c r="L1196"/>
    </row>
    <row r="1197" spans="12:12" x14ac:dyDescent="0.2">
      <c r="L1197"/>
    </row>
    <row r="1198" spans="12:12" x14ac:dyDescent="0.2">
      <c r="L1198"/>
    </row>
    <row r="1199" spans="12:12" x14ac:dyDescent="0.2">
      <c r="L1199"/>
    </row>
    <row r="1200" spans="12:12" x14ac:dyDescent="0.2">
      <c r="L1200"/>
    </row>
    <row r="1201" spans="12:12" x14ac:dyDescent="0.2">
      <c r="L1201"/>
    </row>
    <row r="1202" spans="12:12" x14ac:dyDescent="0.2">
      <c r="L1202"/>
    </row>
    <row r="1203" spans="12:12" x14ac:dyDescent="0.2">
      <c r="L1203"/>
    </row>
    <row r="1204" spans="12:12" x14ac:dyDescent="0.2">
      <c r="L1204"/>
    </row>
    <row r="1205" spans="12:12" x14ac:dyDescent="0.2">
      <c r="L1205"/>
    </row>
    <row r="1206" spans="12:12" x14ac:dyDescent="0.2">
      <c r="L1206"/>
    </row>
    <row r="1207" spans="12:12" x14ac:dyDescent="0.2">
      <c r="L1207"/>
    </row>
    <row r="1208" spans="12:12" x14ac:dyDescent="0.2">
      <c r="L1208"/>
    </row>
    <row r="1209" spans="12:12" x14ac:dyDescent="0.2">
      <c r="L1209"/>
    </row>
    <row r="1210" spans="12:12" x14ac:dyDescent="0.2">
      <c r="L1210"/>
    </row>
    <row r="1211" spans="12:12" x14ac:dyDescent="0.2">
      <c r="L1211"/>
    </row>
    <row r="1212" spans="12:12" x14ac:dyDescent="0.2">
      <c r="L1212"/>
    </row>
    <row r="1213" spans="12:12" x14ac:dyDescent="0.2">
      <c r="L1213"/>
    </row>
    <row r="1214" spans="12:12" x14ac:dyDescent="0.2">
      <c r="L1214"/>
    </row>
    <row r="1215" spans="12:12" x14ac:dyDescent="0.2">
      <c r="L1215"/>
    </row>
    <row r="1216" spans="12:12" x14ac:dyDescent="0.2">
      <c r="L1216"/>
    </row>
    <row r="1217" spans="12:12" x14ac:dyDescent="0.2">
      <c r="L1217"/>
    </row>
    <row r="1218" spans="12:12" x14ac:dyDescent="0.2">
      <c r="L1218"/>
    </row>
    <row r="1219" spans="12:12" x14ac:dyDescent="0.2">
      <c r="L1219"/>
    </row>
    <row r="1220" spans="12:12" x14ac:dyDescent="0.2">
      <c r="L1220"/>
    </row>
    <row r="1221" spans="12:12" x14ac:dyDescent="0.2">
      <c r="L1221"/>
    </row>
    <row r="1222" spans="12:12" x14ac:dyDescent="0.2">
      <c r="L1222"/>
    </row>
    <row r="1223" spans="12:12" x14ac:dyDescent="0.2">
      <c r="L1223"/>
    </row>
    <row r="1224" spans="12:12" x14ac:dyDescent="0.2">
      <c r="L1224"/>
    </row>
    <row r="1225" spans="12:12" x14ac:dyDescent="0.2">
      <c r="L1225"/>
    </row>
    <row r="1226" spans="12:12" x14ac:dyDescent="0.2">
      <c r="L1226"/>
    </row>
    <row r="1227" spans="12:12" x14ac:dyDescent="0.2">
      <c r="L1227"/>
    </row>
    <row r="1228" spans="12:12" x14ac:dyDescent="0.2">
      <c r="L1228"/>
    </row>
    <row r="1229" spans="12:12" x14ac:dyDescent="0.2">
      <c r="L1229"/>
    </row>
    <row r="1230" spans="12:12" x14ac:dyDescent="0.2">
      <c r="L1230"/>
    </row>
    <row r="1231" spans="12:12" x14ac:dyDescent="0.2">
      <c r="L1231"/>
    </row>
    <row r="1232" spans="12:12" x14ac:dyDescent="0.2">
      <c r="L1232"/>
    </row>
    <row r="1233" spans="12:12" x14ac:dyDescent="0.2">
      <c r="L1233"/>
    </row>
    <row r="1234" spans="12:12" x14ac:dyDescent="0.2">
      <c r="L1234"/>
    </row>
    <row r="1235" spans="12:12" x14ac:dyDescent="0.2">
      <c r="L1235"/>
    </row>
    <row r="1236" spans="12:12" x14ac:dyDescent="0.2">
      <c r="L1236"/>
    </row>
    <row r="1237" spans="12:12" x14ac:dyDescent="0.2">
      <c r="L1237"/>
    </row>
    <row r="1238" spans="12:12" x14ac:dyDescent="0.2">
      <c r="L1238"/>
    </row>
    <row r="1239" spans="12:12" x14ac:dyDescent="0.2">
      <c r="L1239"/>
    </row>
    <row r="1240" spans="12:12" x14ac:dyDescent="0.2">
      <c r="L1240"/>
    </row>
    <row r="1241" spans="12:12" x14ac:dyDescent="0.2">
      <c r="L1241"/>
    </row>
    <row r="1242" spans="12:12" x14ac:dyDescent="0.2">
      <c r="L1242"/>
    </row>
    <row r="1243" spans="12:12" x14ac:dyDescent="0.2">
      <c r="L1243"/>
    </row>
    <row r="1244" spans="12:12" x14ac:dyDescent="0.2">
      <c r="L1244"/>
    </row>
    <row r="1245" spans="12:12" x14ac:dyDescent="0.2">
      <c r="L1245"/>
    </row>
    <row r="1246" spans="12:12" x14ac:dyDescent="0.2">
      <c r="L1246"/>
    </row>
    <row r="1247" spans="12:12" x14ac:dyDescent="0.2">
      <c r="L1247"/>
    </row>
    <row r="1248" spans="12:12" x14ac:dyDescent="0.2">
      <c r="L1248"/>
    </row>
    <row r="1249" spans="12:12" x14ac:dyDescent="0.2">
      <c r="L1249"/>
    </row>
    <row r="1250" spans="12:12" x14ac:dyDescent="0.2">
      <c r="L1250"/>
    </row>
    <row r="1251" spans="12:12" x14ac:dyDescent="0.2">
      <c r="L1251"/>
    </row>
    <row r="1252" spans="12:12" x14ac:dyDescent="0.2">
      <c r="L1252"/>
    </row>
    <row r="1253" spans="12:12" x14ac:dyDescent="0.2">
      <c r="L1253"/>
    </row>
    <row r="1254" spans="12:12" x14ac:dyDescent="0.2">
      <c r="L1254"/>
    </row>
    <row r="1255" spans="12:12" x14ac:dyDescent="0.2">
      <c r="L1255"/>
    </row>
    <row r="1256" spans="12:12" x14ac:dyDescent="0.2">
      <c r="L1256"/>
    </row>
    <row r="1257" spans="12:12" x14ac:dyDescent="0.2">
      <c r="L1257"/>
    </row>
    <row r="1258" spans="12:12" x14ac:dyDescent="0.2">
      <c r="L1258"/>
    </row>
    <row r="1259" spans="12:12" x14ac:dyDescent="0.2">
      <c r="L1259"/>
    </row>
    <row r="1260" spans="12:12" x14ac:dyDescent="0.2">
      <c r="L1260"/>
    </row>
    <row r="1261" spans="12:12" x14ac:dyDescent="0.2">
      <c r="L1261"/>
    </row>
    <row r="1262" spans="12:12" x14ac:dyDescent="0.2">
      <c r="L1262"/>
    </row>
    <row r="1263" spans="12:12" x14ac:dyDescent="0.2">
      <c r="L1263"/>
    </row>
    <row r="1264" spans="12:12" x14ac:dyDescent="0.2">
      <c r="L1264"/>
    </row>
    <row r="1265" spans="12:12" x14ac:dyDescent="0.2">
      <c r="L1265"/>
    </row>
    <row r="1266" spans="12:12" x14ac:dyDescent="0.2">
      <c r="L1266"/>
    </row>
    <row r="1267" spans="12:12" x14ac:dyDescent="0.2">
      <c r="L1267"/>
    </row>
    <row r="1268" spans="12:12" x14ac:dyDescent="0.2">
      <c r="L1268"/>
    </row>
    <row r="1269" spans="12:12" x14ac:dyDescent="0.2">
      <c r="L1269"/>
    </row>
    <row r="1270" spans="12:12" x14ac:dyDescent="0.2">
      <c r="L1270"/>
    </row>
    <row r="1271" spans="12:12" x14ac:dyDescent="0.2">
      <c r="L1271"/>
    </row>
    <row r="1272" spans="12:12" x14ac:dyDescent="0.2">
      <c r="L1272"/>
    </row>
    <row r="1273" spans="12:12" x14ac:dyDescent="0.2">
      <c r="L1273"/>
    </row>
    <row r="1274" spans="12:12" x14ac:dyDescent="0.2">
      <c r="L1274"/>
    </row>
    <row r="1275" spans="12:12" x14ac:dyDescent="0.2">
      <c r="L1275"/>
    </row>
    <row r="1276" spans="12:12" x14ac:dyDescent="0.2">
      <c r="L1276"/>
    </row>
    <row r="1277" spans="12:12" x14ac:dyDescent="0.2">
      <c r="L1277"/>
    </row>
    <row r="1278" spans="12:12" x14ac:dyDescent="0.2">
      <c r="L1278"/>
    </row>
    <row r="1279" spans="12:12" x14ac:dyDescent="0.2">
      <c r="L1279"/>
    </row>
    <row r="1280" spans="12:12" x14ac:dyDescent="0.2">
      <c r="L1280"/>
    </row>
    <row r="1281" spans="12:12" x14ac:dyDescent="0.2">
      <c r="L1281"/>
    </row>
    <row r="1282" spans="12:12" x14ac:dyDescent="0.2">
      <c r="L1282"/>
    </row>
    <row r="1283" spans="12:12" x14ac:dyDescent="0.2">
      <c r="L1283"/>
    </row>
    <row r="1284" spans="12:12" x14ac:dyDescent="0.2">
      <c r="L1284"/>
    </row>
    <row r="1285" spans="12:12" x14ac:dyDescent="0.2">
      <c r="L1285"/>
    </row>
    <row r="1286" spans="12:12" x14ac:dyDescent="0.2">
      <c r="L1286"/>
    </row>
    <row r="1287" spans="12:12" x14ac:dyDescent="0.2">
      <c r="L1287"/>
    </row>
    <row r="1288" spans="12:12" x14ac:dyDescent="0.2">
      <c r="L1288"/>
    </row>
    <row r="1289" spans="12:12" x14ac:dyDescent="0.2">
      <c r="L1289"/>
    </row>
    <row r="1290" spans="12:12" x14ac:dyDescent="0.2">
      <c r="L1290"/>
    </row>
    <row r="1291" spans="12:12" x14ac:dyDescent="0.2">
      <c r="L1291"/>
    </row>
    <row r="1292" spans="12:12" x14ac:dyDescent="0.2">
      <c r="L1292"/>
    </row>
    <row r="1293" spans="12:12" x14ac:dyDescent="0.2">
      <c r="L1293"/>
    </row>
    <row r="1294" spans="12:12" x14ac:dyDescent="0.2">
      <c r="L1294"/>
    </row>
    <row r="1295" spans="12:12" x14ac:dyDescent="0.2">
      <c r="L1295"/>
    </row>
    <row r="1296" spans="12:12" x14ac:dyDescent="0.2">
      <c r="L1296"/>
    </row>
    <row r="1297" spans="12:12" x14ac:dyDescent="0.2">
      <c r="L1297"/>
    </row>
    <row r="1298" spans="12:12" x14ac:dyDescent="0.2">
      <c r="L1298"/>
    </row>
    <row r="1299" spans="12:12" x14ac:dyDescent="0.2">
      <c r="L1299"/>
    </row>
    <row r="1300" spans="12:12" x14ac:dyDescent="0.2">
      <c r="L1300"/>
    </row>
    <row r="1301" spans="12:12" x14ac:dyDescent="0.2">
      <c r="L1301"/>
    </row>
    <row r="1302" spans="12:12" x14ac:dyDescent="0.2">
      <c r="L1302"/>
    </row>
    <row r="1303" spans="12:12" x14ac:dyDescent="0.2">
      <c r="L1303"/>
    </row>
    <row r="1304" spans="12:12" x14ac:dyDescent="0.2">
      <c r="L1304"/>
    </row>
    <row r="1305" spans="12:12" x14ac:dyDescent="0.2">
      <c r="L1305"/>
    </row>
    <row r="1306" spans="12:12" x14ac:dyDescent="0.2">
      <c r="L1306"/>
    </row>
    <row r="1307" spans="12:12" x14ac:dyDescent="0.2">
      <c r="L1307"/>
    </row>
    <row r="1308" spans="12:12" x14ac:dyDescent="0.2">
      <c r="L1308"/>
    </row>
    <row r="1309" spans="12:12" x14ac:dyDescent="0.2">
      <c r="L1309"/>
    </row>
    <row r="1310" spans="12:12" x14ac:dyDescent="0.2">
      <c r="L1310"/>
    </row>
    <row r="1311" spans="12:12" x14ac:dyDescent="0.2">
      <c r="L1311"/>
    </row>
    <row r="1312" spans="12:12" x14ac:dyDescent="0.2">
      <c r="L1312"/>
    </row>
    <row r="1313" spans="12:12" x14ac:dyDescent="0.2">
      <c r="L1313"/>
    </row>
    <row r="1314" spans="12:12" x14ac:dyDescent="0.2">
      <c r="L1314"/>
    </row>
    <row r="1315" spans="12:12" x14ac:dyDescent="0.2">
      <c r="L1315"/>
    </row>
    <row r="1316" spans="12:12" x14ac:dyDescent="0.2">
      <c r="L1316"/>
    </row>
    <row r="1317" spans="12:12" x14ac:dyDescent="0.2">
      <c r="L1317"/>
    </row>
    <row r="1318" spans="12:12" x14ac:dyDescent="0.2">
      <c r="L1318"/>
    </row>
    <row r="1319" spans="12:12" x14ac:dyDescent="0.2">
      <c r="L1319"/>
    </row>
    <row r="1320" spans="12:12" x14ac:dyDescent="0.2">
      <c r="L1320"/>
    </row>
    <row r="1321" spans="12:12" x14ac:dyDescent="0.2">
      <c r="L1321"/>
    </row>
    <row r="1322" spans="12:12" x14ac:dyDescent="0.2">
      <c r="L1322"/>
    </row>
    <row r="1323" spans="12:12" x14ac:dyDescent="0.2">
      <c r="L1323"/>
    </row>
    <row r="1324" spans="12:12" x14ac:dyDescent="0.2">
      <c r="L1324"/>
    </row>
    <row r="1325" spans="12:12" x14ac:dyDescent="0.2">
      <c r="L1325"/>
    </row>
    <row r="1326" spans="12:12" x14ac:dyDescent="0.2">
      <c r="L1326"/>
    </row>
    <row r="1327" spans="12:12" x14ac:dyDescent="0.2">
      <c r="L1327"/>
    </row>
    <row r="1328" spans="12:12" x14ac:dyDescent="0.2">
      <c r="L1328"/>
    </row>
    <row r="1329" spans="12:12" x14ac:dyDescent="0.2">
      <c r="L1329"/>
    </row>
    <row r="1330" spans="12:12" x14ac:dyDescent="0.2">
      <c r="L1330"/>
    </row>
    <row r="1331" spans="12:12" x14ac:dyDescent="0.2">
      <c r="L1331"/>
    </row>
    <row r="1332" spans="12:12" x14ac:dyDescent="0.2">
      <c r="L1332"/>
    </row>
    <row r="1333" spans="12:12" x14ac:dyDescent="0.2">
      <c r="L1333"/>
    </row>
    <row r="1334" spans="12:12" x14ac:dyDescent="0.2">
      <c r="L1334"/>
    </row>
    <row r="1335" spans="12:12" x14ac:dyDescent="0.2">
      <c r="L1335"/>
    </row>
    <row r="1336" spans="12:12" x14ac:dyDescent="0.2">
      <c r="L1336"/>
    </row>
    <row r="1337" spans="12:12" x14ac:dyDescent="0.2">
      <c r="L1337"/>
    </row>
    <row r="1338" spans="12:12" x14ac:dyDescent="0.2">
      <c r="L1338"/>
    </row>
    <row r="1339" spans="12:12" x14ac:dyDescent="0.2">
      <c r="L1339"/>
    </row>
    <row r="1340" spans="12:12" x14ac:dyDescent="0.2">
      <c r="L1340"/>
    </row>
    <row r="1341" spans="12:12" x14ac:dyDescent="0.2">
      <c r="L1341"/>
    </row>
    <row r="1342" spans="12:12" x14ac:dyDescent="0.2">
      <c r="L1342"/>
    </row>
    <row r="1343" spans="12:12" x14ac:dyDescent="0.2">
      <c r="L1343"/>
    </row>
    <row r="1344" spans="12:12" x14ac:dyDescent="0.2">
      <c r="L1344"/>
    </row>
    <row r="1345" spans="12:12" x14ac:dyDescent="0.2">
      <c r="L1345"/>
    </row>
    <row r="1346" spans="12:12" x14ac:dyDescent="0.2">
      <c r="L1346"/>
    </row>
    <row r="1347" spans="12:12" x14ac:dyDescent="0.2">
      <c r="L1347"/>
    </row>
    <row r="1348" spans="12:12" x14ac:dyDescent="0.2">
      <c r="L1348"/>
    </row>
    <row r="1349" spans="12:12" x14ac:dyDescent="0.2">
      <c r="L1349"/>
    </row>
    <row r="1350" spans="12:12" x14ac:dyDescent="0.2">
      <c r="L1350"/>
    </row>
    <row r="1351" spans="12:12" x14ac:dyDescent="0.2">
      <c r="L1351"/>
    </row>
    <row r="1352" spans="12:12" x14ac:dyDescent="0.2">
      <c r="L1352"/>
    </row>
    <row r="1353" spans="12:12" x14ac:dyDescent="0.2">
      <c r="L1353"/>
    </row>
    <row r="1354" spans="12:12" x14ac:dyDescent="0.2">
      <c r="L1354"/>
    </row>
    <row r="1355" spans="12:12" x14ac:dyDescent="0.2">
      <c r="L1355"/>
    </row>
    <row r="1356" spans="12:12" x14ac:dyDescent="0.2">
      <c r="L1356"/>
    </row>
    <row r="1357" spans="12:12" x14ac:dyDescent="0.2">
      <c r="L1357"/>
    </row>
    <row r="1358" spans="12:12" x14ac:dyDescent="0.2">
      <c r="L1358"/>
    </row>
    <row r="1359" spans="12:12" x14ac:dyDescent="0.2">
      <c r="L1359"/>
    </row>
    <row r="1360" spans="12:12" x14ac:dyDescent="0.2">
      <c r="L1360"/>
    </row>
    <row r="1361" spans="12:12" x14ac:dyDescent="0.2">
      <c r="L1361"/>
    </row>
    <row r="1362" spans="12:12" x14ac:dyDescent="0.2">
      <c r="L1362"/>
    </row>
    <row r="1363" spans="12:12" x14ac:dyDescent="0.2">
      <c r="L1363"/>
    </row>
    <row r="1364" spans="12:12" x14ac:dyDescent="0.2">
      <c r="L1364"/>
    </row>
    <row r="1365" spans="12:12" x14ac:dyDescent="0.2">
      <c r="L1365"/>
    </row>
    <row r="1366" spans="12:12" x14ac:dyDescent="0.2">
      <c r="L1366"/>
    </row>
    <row r="1367" spans="12:12" x14ac:dyDescent="0.2">
      <c r="L1367"/>
    </row>
    <row r="1368" spans="12:12" x14ac:dyDescent="0.2">
      <c r="L1368"/>
    </row>
    <row r="1369" spans="12:12" x14ac:dyDescent="0.2">
      <c r="L1369"/>
    </row>
    <row r="1370" spans="12:12" x14ac:dyDescent="0.2">
      <c r="L1370"/>
    </row>
    <row r="1371" spans="12:12" x14ac:dyDescent="0.2">
      <c r="L1371"/>
    </row>
    <row r="1372" spans="12:12" x14ac:dyDescent="0.2">
      <c r="L1372"/>
    </row>
    <row r="1373" spans="12:12" x14ac:dyDescent="0.2">
      <c r="L1373"/>
    </row>
    <row r="1374" spans="12:12" x14ac:dyDescent="0.2">
      <c r="L1374"/>
    </row>
    <row r="1375" spans="12:12" x14ac:dyDescent="0.2">
      <c r="L1375"/>
    </row>
    <row r="1376" spans="12:12" x14ac:dyDescent="0.2">
      <c r="L1376"/>
    </row>
    <row r="1377" spans="12:12" x14ac:dyDescent="0.2">
      <c r="L1377"/>
    </row>
    <row r="1378" spans="12:12" x14ac:dyDescent="0.2">
      <c r="L1378"/>
    </row>
    <row r="1379" spans="12:12" x14ac:dyDescent="0.2">
      <c r="L1379"/>
    </row>
    <row r="1380" spans="12:12" x14ac:dyDescent="0.2">
      <c r="L1380"/>
    </row>
    <row r="1381" spans="12:12" x14ac:dyDescent="0.2">
      <c r="L1381"/>
    </row>
    <row r="1382" spans="12:12" x14ac:dyDescent="0.2">
      <c r="L1382"/>
    </row>
    <row r="1383" spans="12:12" x14ac:dyDescent="0.2">
      <c r="L1383"/>
    </row>
    <row r="1384" spans="12:12" x14ac:dyDescent="0.2">
      <c r="L1384"/>
    </row>
    <row r="1385" spans="12:12" x14ac:dyDescent="0.2">
      <c r="L1385"/>
    </row>
    <row r="1386" spans="12:12" x14ac:dyDescent="0.2">
      <c r="L1386"/>
    </row>
    <row r="1387" spans="12:12" x14ac:dyDescent="0.2">
      <c r="L1387"/>
    </row>
    <row r="1388" spans="12:12" x14ac:dyDescent="0.2">
      <c r="L1388"/>
    </row>
    <row r="1389" spans="12:12" x14ac:dyDescent="0.2">
      <c r="L1389"/>
    </row>
    <row r="1390" spans="12:12" x14ac:dyDescent="0.2">
      <c r="L1390"/>
    </row>
    <row r="1391" spans="12:12" x14ac:dyDescent="0.2">
      <c r="L1391"/>
    </row>
    <row r="1392" spans="12:12" x14ac:dyDescent="0.2">
      <c r="L1392"/>
    </row>
    <row r="1393" spans="12:12" x14ac:dyDescent="0.2">
      <c r="L1393"/>
    </row>
    <row r="1394" spans="12:12" x14ac:dyDescent="0.2">
      <c r="L1394"/>
    </row>
    <row r="1395" spans="12:12" x14ac:dyDescent="0.2">
      <c r="L1395"/>
    </row>
    <row r="1396" spans="12:12" x14ac:dyDescent="0.2">
      <c r="L1396"/>
    </row>
    <row r="1397" spans="12:12" x14ac:dyDescent="0.2">
      <c r="L1397"/>
    </row>
    <row r="1398" spans="12:12" x14ac:dyDescent="0.2">
      <c r="L1398"/>
    </row>
    <row r="1399" spans="12:12" x14ac:dyDescent="0.2">
      <c r="L1399"/>
    </row>
    <row r="1400" spans="12:12" x14ac:dyDescent="0.2">
      <c r="L1400"/>
    </row>
    <row r="1401" spans="12:12" x14ac:dyDescent="0.2">
      <c r="L1401"/>
    </row>
    <row r="1402" spans="12:12" x14ac:dyDescent="0.2">
      <c r="L1402"/>
    </row>
    <row r="1403" spans="12:12" x14ac:dyDescent="0.2">
      <c r="L1403"/>
    </row>
    <row r="1404" spans="12:12" x14ac:dyDescent="0.2">
      <c r="L1404"/>
    </row>
    <row r="1405" spans="12:12" x14ac:dyDescent="0.2">
      <c r="L1405"/>
    </row>
    <row r="1406" spans="12:12" x14ac:dyDescent="0.2">
      <c r="L1406"/>
    </row>
    <row r="1407" spans="12:12" x14ac:dyDescent="0.2">
      <c r="L1407"/>
    </row>
    <row r="1408" spans="12:12" x14ac:dyDescent="0.2">
      <c r="L1408"/>
    </row>
    <row r="1409" spans="12:12" x14ac:dyDescent="0.2">
      <c r="L1409"/>
    </row>
    <row r="1410" spans="12:12" x14ac:dyDescent="0.2">
      <c r="L1410"/>
    </row>
    <row r="1411" spans="12:12" x14ac:dyDescent="0.2">
      <c r="L1411"/>
    </row>
    <row r="1412" spans="12:12" x14ac:dyDescent="0.2">
      <c r="L1412"/>
    </row>
    <row r="1413" spans="12:12" x14ac:dyDescent="0.2">
      <c r="L1413"/>
    </row>
    <row r="1414" spans="12:12" x14ac:dyDescent="0.2">
      <c r="L1414"/>
    </row>
    <row r="1415" spans="12:12" x14ac:dyDescent="0.2">
      <c r="L1415"/>
    </row>
    <row r="1416" spans="12:12" x14ac:dyDescent="0.2">
      <c r="L1416"/>
    </row>
    <row r="1417" spans="12:12" x14ac:dyDescent="0.2">
      <c r="L1417"/>
    </row>
    <row r="1418" spans="12:12" x14ac:dyDescent="0.2">
      <c r="L1418"/>
    </row>
    <row r="1419" spans="12:12" x14ac:dyDescent="0.2">
      <c r="L1419"/>
    </row>
    <row r="1420" spans="12:12" x14ac:dyDescent="0.2">
      <c r="L1420"/>
    </row>
    <row r="1421" spans="12:12" x14ac:dyDescent="0.2">
      <c r="L1421"/>
    </row>
    <row r="1422" spans="12:12" x14ac:dyDescent="0.2">
      <c r="L1422"/>
    </row>
    <row r="1423" spans="12:12" x14ac:dyDescent="0.2">
      <c r="L1423"/>
    </row>
    <row r="1424" spans="12:12" x14ac:dyDescent="0.2">
      <c r="L1424"/>
    </row>
    <row r="1425" spans="12:12" x14ac:dyDescent="0.2">
      <c r="L1425"/>
    </row>
    <row r="1426" spans="12:12" x14ac:dyDescent="0.2">
      <c r="L1426"/>
    </row>
    <row r="1427" spans="12:12" x14ac:dyDescent="0.2">
      <c r="L1427"/>
    </row>
    <row r="1428" spans="12:12" x14ac:dyDescent="0.2">
      <c r="L1428"/>
    </row>
    <row r="1429" spans="12:12" x14ac:dyDescent="0.2">
      <c r="L1429"/>
    </row>
    <row r="1430" spans="12:12" x14ac:dyDescent="0.2">
      <c r="L1430"/>
    </row>
    <row r="1431" spans="12:12" x14ac:dyDescent="0.2">
      <c r="L1431"/>
    </row>
    <row r="1432" spans="12:12" x14ac:dyDescent="0.2">
      <c r="L1432"/>
    </row>
    <row r="1433" spans="12:12" x14ac:dyDescent="0.2">
      <c r="L1433"/>
    </row>
    <row r="1434" spans="12:12" x14ac:dyDescent="0.2">
      <c r="L1434"/>
    </row>
    <row r="1435" spans="12:12" x14ac:dyDescent="0.2">
      <c r="L1435"/>
    </row>
    <row r="1436" spans="12:12" x14ac:dyDescent="0.2">
      <c r="L1436"/>
    </row>
    <row r="1437" spans="12:12" x14ac:dyDescent="0.2">
      <c r="L1437"/>
    </row>
    <row r="1438" spans="12:12" x14ac:dyDescent="0.2">
      <c r="L1438"/>
    </row>
    <row r="1439" spans="12:12" x14ac:dyDescent="0.2">
      <c r="L1439"/>
    </row>
    <row r="1440" spans="12:12" x14ac:dyDescent="0.2">
      <c r="L1440"/>
    </row>
    <row r="1441" spans="12:12" x14ac:dyDescent="0.2">
      <c r="L1441"/>
    </row>
    <row r="1442" spans="12:12" x14ac:dyDescent="0.2">
      <c r="L1442"/>
    </row>
    <row r="1443" spans="12:12" x14ac:dyDescent="0.2">
      <c r="L1443"/>
    </row>
    <row r="1444" spans="12:12" x14ac:dyDescent="0.2">
      <c r="L1444"/>
    </row>
    <row r="1445" spans="12:12" x14ac:dyDescent="0.2">
      <c r="L1445"/>
    </row>
    <row r="1446" spans="12:12" x14ac:dyDescent="0.2">
      <c r="L1446"/>
    </row>
    <row r="1447" spans="12:12" x14ac:dyDescent="0.2">
      <c r="L1447"/>
    </row>
    <row r="1448" spans="12:12" x14ac:dyDescent="0.2">
      <c r="L1448"/>
    </row>
    <row r="1449" spans="12:12" x14ac:dyDescent="0.2">
      <c r="L1449"/>
    </row>
    <row r="1450" spans="12:12" x14ac:dyDescent="0.2">
      <c r="L1450"/>
    </row>
    <row r="1451" spans="12:12" x14ac:dyDescent="0.2">
      <c r="L1451"/>
    </row>
    <row r="1452" spans="12:12" x14ac:dyDescent="0.2">
      <c r="L1452"/>
    </row>
    <row r="1453" spans="12:12" x14ac:dyDescent="0.2">
      <c r="L1453"/>
    </row>
    <row r="1454" spans="12:12" x14ac:dyDescent="0.2">
      <c r="L1454"/>
    </row>
    <row r="1455" spans="12:12" x14ac:dyDescent="0.2">
      <c r="L1455"/>
    </row>
    <row r="1456" spans="12:12" x14ac:dyDescent="0.2">
      <c r="L1456"/>
    </row>
    <row r="1457" spans="12:12" x14ac:dyDescent="0.2">
      <c r="L1457"/>
    </row>
    <row r="1458" spans="12:12" x14ac:dyDescent="0.2">
      <c r="L1458"/>
    </row>
    <row r="1459" spans="12:12" x14ac:dyDescent="0.2">
      <c r="L1459"/>
    </row>
    <row r="1460" spans="12:12" x14ac:dyDescent="0.2">
      <c r="L1460"/>
    </row>
    <row r="1461" spans="12:12" x14ac:dyDescent="0.2">
      <c r="L1461"/>
    </row>
    <row r="1462" spans="12:12" x14ac:dyDescent="0.2">
      <c r="L1462"/>
    </row>
    <row r="1463" spans="12:12" x14ac:dyDescent="0.2">
      <c r="L1463"/>
    </row>
    <row r="1464" spans="12:12" x14ac:dyDescent="0.2">
      <c r="L1464"/>
    </row>
    <row r="1465" spans="12:12" x14ac:dyDescent="0.2">
      <c r="L1465"/>
    </row>
    <row r="1466" spans="12:12" x14ac:dyDescent="0.2">
      <c r="L1466"/>
    </row>
    <row r="1467" spans="12:12" x14ac:dyDescent="0.2">
      <c r="L1467"/>
    </row>
    <row r="1468" spans="12:12" x14ac:dyDescent="0.2">
      <c r="L1468"/>
    </row>
    <row r="1469" spans="12:12" x14ac:dyDescent="0.2">
      <c r="L1469"/>
    </row>
    <row r="1470" spans="12:12" x14ac:dyDescent="0.2">
      <c r="L1470"/>
    </row>
    <row r="1471" spans="12:12" x14ac:dyDescent="0.2">
      <c r="L1471"/>
    </row>
    <row r="1472" spans="12:12" x14ac:dyDescent="0.2">
      <c r="L1472"/>
    </row>
    <row r="1473" spans="12:12" x14ac:dyDescent="0.2">
      <c r="L1473"/>
    </row>
    <row r="1474" spans="12:12" x14ac:dyDescent="0.2">
      <c r="L1474"/>
    </row>
    <row r="1475" spans="12:12" x14ac:dyDescent="0.2">
      <c r="L1475"/>
    </row>
    <row r="1476" spans="12:12" x14ac:dyDescent="0.2">
      <c r="L1476"/>
    </row>
    <row r="1477" spans="12:12" x14ac:dyDescent="0.2">
      <c r="L1477"/>
    </row>
    <row r="1478" spans="12:12" x14ac:dyDescent="0.2">
      <c r="L1478"/>
    </row>
    <row r="1479" spans="12:12" x14ac:dyDescent="0.2">
      <c r="L1479"/>
    </row>
    <row r="1480" spans="12:12" x14ac:dyDescent="0.2">
      <c r="L1480"/>
    </row>
    <row r="1481" spans="12:12" x14ac:dyDescent="0.2">
      <c r="L1481"/>
    </row>
    <row r="1482" spans="12:12" x14ac:dyDescent="0.2">
      <c r="L1482"/>
    </row>
    <row r="1483" spans="12:12" x14ac:dyDescent="0.2">
      <c r="L1483"/>
    </row>
    <row r="1484" spans="12:12" x14ac:dyDescent="0.2">
      <c r="L1484"/>
    </row>
    <row r="1485" spans="12:12" x14ac:dyDescent="0.2">
      <c r="L1485"/>
    </row>
    <row r="1486" spans="12:12" x14ac:dyDescent="0.2">
      <c r="L1486"/>
    </row>
    <row r="1487" spans="12:12" x14ac:dyDescent="0.2">
      <c r="L1487"/>
    </row>
    <row r="1488" spans="12:12" x14ac:dyDescent="0.2">
      <c r="L1488"/>
    </row>
    <row r="1489" spans="12:12" x14ac:dyDescent="0.2">
      <c r="L1489"/>
    </row>
    <row r="1490" spans="12:12" x14ac:dyDescent="0.2">
      <c r="L1490"/>
    </row>
    <row r="1491" spans="12:12" x14ac:dyDescent="0.2">
      <c r="L1491"/>
    </row>
    <row r="1492" spans="12:12" x14ac:dyDescent="0.2">
      <c r="L1492"/>
    </row>
    <row r="1493" spans="12:12" x14ac:dyDescent="0.2">
      <c r="L1493"/>
    </row>
    <row r="1494" spans="12:12" x14ac:dyDescent="0.2">
      <c r="L1494"/>
    </row>
    <row r="1495" spans="12:12" x14ac:dyDescent="0.2">
      <c r="L1495"/>
    </row>
  </sheetData>
  <mergeCells count="143">
    <mergeCell ref="J774:L774"/>
    <mergeCell ref="D775:E775"/>
    <mergeCell ref="D776:E776"/>
    <mergeCell ref="D777:E777"/>
    <mergeCell ref="D705:E705"/>
    <mergeCell ref="D706:E706"/>
    <mergeCell ref="D707:E707"/>
    <mergeCell ref="D708:E708"/>
    <mergeCell ref="C774:D774"/>
    <mergeCell ref="E774:I774"/>
    <mergeCell ref="D635:E635"/>
    <mergeCell ref="D636:E636"/>
    <mergeCell ref="D637:E637"/>
    <mergeCell ref="C704:D704"/>
    <mergeCell ref="E704:I704"/>
    <mergeCell ref="J704:L704"/>
    <mergeCell ref="J564:L564"/>
    <mergeCell ref="D565:E565"/>
    <mergeCell ref="D566:E566"/>
    <mergeCell ref="D567:E567"/>
    <mergeCell ref="C634:D634"/>
    <mergeCell ref="E634:I634"/>
    <mergeCell ref="J634:L634"/>
    <mergeCell ref="D495:E495"/>
    <mergeCell ref="D496:E496"/>
    <mergeCell ref="D497:E497"/>
    <mergeCell ref="C499:E499"/>
    <mergeCell ref="C564:D564"/>
    <mergeCell ref="E564:I564"/>
    <mergeCell ref="D427:E427"/>
    <mergeCell ref="D428:E428"/>
    <mergeCell ref="C429:E429"/>
    <mergeCell ref="C494:D494"/>
    <mergeCell ref="E494:I494"/>
    <mergeCell ref="J494:L494"/>
    <mergeCell ref="C390:E390"/>
    <mergeCell ref="C424:D424"/>
    <mergeCell ref="E424:I424"/>
    <mergeCell ref="J424:L424"/>
    <mergeCell ref="D425:E425"/>
    <mergeCell ref="D426:E426"/>
    <mergeCell ref="J354:L354"/>
    <mergeCell ref="D355:E355"/>
    <mergeCell ref="D356:E356"/>
    <mergeCell ref="D357:E357"/>
    <mergeCell ref="D358:E358"/>
    <mergeCell ref="C359:E359"/>
    <mergeCell ref="D286:E286"/>
    <mergeCell ref="D287:E287"/>
    <mergeCell ref="D288:E288"/>
    <mergeCell ref="D307:E307"/>
    <mergeCell ref="C354:D354"/>
    <mergeCell ref="E354:I354"/>
    <mergeCell ref="D218:E218"/>
    <mergeCell ref="C219:E219"/>
    <mergeCell ref="C284:D284"/>
    <mergeCell ref="E284:I284"/>
    <mergeCell ref="J284:L284"/>
    <mergeCell ref="D285:E285"/>
    <mergeCell ref="C214:D214"/>
    <mergeCell ref="E214:I214"/>
    <mergeCell ref="J214:L214"/>
    <mergeCell ref="D215:E215"/>
    <mergeCell ref="D216:E216"/>
    <mergeCell ref="D217:E217"/>
    <mergeCell ref="C188:E188"/>
    <mergeCell ref="D191:E191"/>
    <mergeCell ref="C192:E192"/>
    <mergeCell ref="D193:E193"/>
    <mergeCell ref="D194:E194"/>
    <mergeCell ref="D195:E195"/>
    <mergeCell ref="D152:E152"/>
    <mergeCell ref="D153:E153"/>
    <mergeCell ref="D163:E163"/>
    <mergeCell ref="D164:E164"/>
    <mergeCell ref="D186:E186"/>
    <mergeCell ref="D187:E187"/>
    <mergeCell ref="J145:L145"/>
    <mergeCell ref="D146:E146"/>
    <mergeCell ref="D147:E147"/>
    <mergeCell ref="D148:E148"/>
    <mergeCell ref="D149:E149"/>
    <mergeCell ref="C150:E150"/>
    <mergeCell ref="D81:E81"/>
    <mergeCell ref="C82:E82"/>
    <mergeCell ref="D121:E121"/>
    <mergeCell ref="D122:E122"/>
    <mergeCell ref="C145:D145"/>
    <mergeCell ref="E145:I145"/>
    <mergeCell ref="C77:D77"/>
    <mergeCell ref="E77:I77"/>
    <mergeCell ref="J77:L77"/>
    <mergeCell ref="D78:E78"/>
    <mergeCell ref="D79:E79"/>
    <mergeCell ref="D80:E80"/>
    <mergeCell ref="D31:E31"/>
    <mergeCell ref="D32:E32"/>
    <mergeCell ref="D33:E33"/>
    <mergeCell ref="D34:E34"/>
    <mergeCell ref="C35:E35"/>
    <mergeCell ref="B22:C22"/>
    <mergeCell ref="B23:C23"/>
    <mergeCell ref="B24:C24"/>
    <mergeCell ref="B25:F25"/>
    <mergeCell ref="G25:L25"/>
    <mergeCell ref="C30:D30"/>
    <mergeCell ref="E30:I30"/>
    <mergeCell ref="J30:L30"/>
    <mergeCell ref="C18:D18"/>
    <mergeCell ref="E18:F18"/>
    <mergeCell ref="G18:J18"/>
    <mergeCell ref="K18:L18"/>
    <mergeCell ref="B20:L20"/>
    <mergeCell ref="B21:C21"/>
    <mergeCell ref="C16:D16"/>
    <mergeCell ref="E16:F16"/>
    <mergeCell ref="G16:J16"/>
    <mergeCell ref="K16:L16"/>
    <mergeCell ref="C17:D17"/>
    <mergeCell ref="E17:F17"/>
    <mergeCell ref="G17:J17"/>
    <mergeCell ref="K17:L17"/>
    <mergeCell ref="B14:C14"/>
    <mergeCell ref="D14:F14"/>
    <mergeCell ref="G14:I14"/>
    <mergeCell ref="J14:L14"/>
    <mergeCell ref="C15:D15"/>
    <mergeCell ref="E15:F15"/>
    <mergeCell ref="G15:J15"/>
    <mergeCell ref="K15:L15"/>
    <mergeCell ref="B8:L8"/>
    <mergeCell ref="C9:L9"/>
    <mergeCell ref="C10:L10"/>
    <mergeCell ref="B11:F11"/>
    <mergeCell ref="G11:L11"/>
    <mergeCell ref="B12:F12"/>
    <mergeCell ref="G12:L12"/>
    <mergeCell ref="B3:E3"/>
    <mergeCell ref="F3:L7"/>
    <mergeCell ref="B4:E4"/>
    <mergeCell ref="B5:E5"/>
    <mergeCell ref="B6:E6"/>
    <mergeCell ref="B7:E7"/>
  </mergeCells>
  <dataValidations count="13">
    <dataValidation allowBlank="1" showInputMessage="1" showErrorMessage="1" promptTitle="Input The Team Name" prompt="Some Firms have team names for fun and identification. If you have a team name please enter it here." sqref="E13" xr:uid="{6D2D872F-065C-4794-8579-577517D67A5A}"/>
    <dataValidation allowBlank="1" showInputMessage="1" showErrorMessage="1" promptTitle="Name" prompt="Please enter the team members name._x000a_" sqref="D14" xr:uid="{B415D188-D081-44D0-82CC-7D84BBEA9D73}"/>
    <dataValidation allowBlank="1" showInputMessage="1" showErrorMessage="1" promptTitle="Charge Out Rate" prompt="Please enter the charge out rate for this team member, per your capacity plan." sqref="C32 C79 C147 C216 C286 C356 C426 C496 C566 C636 C706 C776" xr:uid="{A08786F2-B855-4658-8BCD-8089B1FA23EE}"/>
    <dataValidation allowBlank="1" showInputMessage="1" showErrorMessage="1" promptTitle="Working Days In Month" prompt="Please enter the working days for this month, taking into account any annual leave, public holidays or training days away from working days." sqref="D32:E32 D79:E79 D147:E147 D216:E216 D286:E286 D356:E356 D426:E426 D496:E496 D566:E566 D636:E636 D706:E706 D776:E776" xr:uid="{007BB490-C73E-42CA-B522-7D9A227897D0}"/>
    <dataValidation allowBlank="1" showInputMessage="1" showErrorMessage="1" promptTitle="Productivity %" prompt="Please enter this team members productivity %." sqref="F32 F79 F147 F216 F286 F356 F426 F496 F566 F636 F706 F776" xr:uid="{3123D3C8-19E1-406B-A3BA-D3287B7FA85F}"/>
    <dataValidation allowBlank="1" showInputMessage="1" showErrorMessage="1" promptTitle="Hours Per Day" prompt="Please enter the hours per day this team member works" sqref="G32 G79 G147 G216 G286 G356 G426 G496 G566 G636 G706 G776" xr:uid="{ABD2E017-D4C7-4BFB-A08B-34284A50633F}"/>
    <dataValidation allowBlank="1" showInputMessage="1" showErrorMessage="1" promptTitle="Month" prompt="Enter the first month of your financial year" sqref="E30 E77 E145 E214 E284 E354 E424 E494 E564 E634 E704 E774" xr:uid="{7336D815-744D-4A8D-9090-367F16110A22}"/>
    <dataValidation allowBlank="1" showInputMessage="1" showErrorMessage="1" promptTitle="Entity Group or Client Name" prompt="Enter the Entity Group name or the Client Name or Job name." sqref="C65 C193:C207 C191 C296:C300 C171 C34 C149 C218 C288 C358 C428 C697 C708 C81 C436:C452 C526:C535 C234:C251 C627 C103 C715:C729 C128:C131 C133:C137 C258 C596:C599 C229 C262:C277 C462:C477 C366:C380 C578:C587 C540:C557 C347 C508:C517 C506 C576 C665:C669 C648:C656 C646 C84:C95 C105:C119 C152:C163 C173:C187 C253:C256 C786:C805 C37:C63" xr:uid="{A5220D92-A0EA-452D-B5F3-827CD1A26EBC}"/>
    <dataValidation allowBlank="1" showInputMessage="1" showErrorMessage="1" promptTitle="Job Price or Fees Charged" prompt="Enter the job price or Fees charged to the client." sqref="F123:F125 F829:F837 F506 F306 F457:F477 F385:F417 F358:F383 F428:F455 F508:F535 F498:F504 F570:F574 F576 F627 F646 F641:F644 F34:F36 F780:F827 F81:F121 F149:F207 F218:F277 F288:F304 F308:F347 F539:F557 F578:F622 F648:F697 F708:F733 F735:F767 F49:F69" xr:uid="{54827135-9942-43F7-9983-FE541900852D}"/>
    <dataValidation allowBlank="1" showInputMessage="1" showErrorMessage="1" promptTitle="Team Member Completion %" prompt="This will be 100% if the team member can complete all the job without help. 80% if most of it. This will depend on the job complexity, the team member's ability and experience, whether or not they have done it before and the quality of the bookkeeping. " sqref="H521 G358:G417 H591 G627 H660 G780:G837 G81:G138 G149:G207 G218:G277 G288:G347 G428:G487 G498:G557 G570:G622 G641:G697 G708:G767 G34:G69" xr:uid="{C0A07D8E-17E9-46E2-A122-4CD35929FFC0}"/>
    <dataValidation allowBlank="1" showInputMessage="1" showErrorMessage="1" promptTitle="Pricing or Efficiency Override" prompt="Some jobs are priced high &amp; others the bookkeeping maybe done by your firm and be well prepared. So to complete them based on a charge out rate would allow far too many hours. To reduce hours drop below100%. Training on the job,would increase above 100%." sqref="H522:H557 H288:H347 H498:H520 H570:H590 H641:H659 H780:H837 H81:H138 H149:H207 H218:H277 H358:H417 H428:H487 H592:H627 H661:H697 H708:H767 H34:H69" xr:uid="{05543153-D488-4639-B180-309E87F12373}"/>
    <dataValidation allowBlank="1" showInputMessage="1" showErrorMessage="1" promptTitle="Notes" prompt="Make any notes about this job. For example if training is needed for the Team Member or the level of quality of the bookkeeping." sqref="D193:E207 D191:E191 D827:E837 D34:E34 D149:E149 D218:E218 D358:E358 D428:E428 D708:E729 D81:E81 D498:E498 D519:E519 D222:E251 D430:E452 D288:E300 D360:E380 D596:E599 D607:E622 D733:E767 D526:E557 D391:E417 D508:E517 D500:E504 D506:E506 D627:E627 D570:E574 D589:E589 D578:E587 D576:E576 D665:E669 D641:E644 D658:E658 D648:E656 D646:E646 D84:E121 D152:E187 D253:E277 D304:E347 D462:E487 D676:E697 D780:E805 D37:E69" xr:uid="{0969812E-72AE-46BF-8C54-B52DBEFDB5FD}"/>
    <dataValidation allowBlank="1" showInputMessage="1" showErrorMessage="1" promptTitle="Annual Fees Budget" prompt="Enter the team members annual fees budget. Get this from your Capacity Planner (Wize Step 7.)" sqref="E16" xr:uid="{77A4A6A1-EFA7-41CD-861A-235A4E0A6B10}"/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2BD234DDDB7544A4816BF78947B3FC" ma:contentTypeVersion="14" ma:contentTypeDescription="Create a new document." ma:contentTypeScope="" ma:versionID="d434f4f2eeed92c2f731811b6ab9e49e">
  <xsd:schema xmlns:xsd="http://www.w3.org/2001/XMLSchema" xmlns:xs="http://www.w3.org/2001/XMLSchema" xmlns:p="http://schemas.microsoft.com/office/2006/metadata/properties" xmlns:ns2="967087e3-b972-4ee0-909c-6bb8eb416013" xmlns:ns3="5864d209-33db-4109-b009-53b3a079d3cb" targetNamespace="http://schemas.microsoft.com/office/2006/metadata/properties" ma:root="true" ma:fieldsID="7ae4c06e8d98934e6ce75b8a2a5a301a" ns2:_="" ns3:_="">
    <xsd:import namespace="967087e3-b972-4ee0-909c-6bb8eb416013"/>
    <xsd:import namespace="5864d209-33db-4109-b009-53b3a079d3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087e3-b972-4ee0-909c-6bb8eb416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3ca28b6-aa71-4980-8332-2cc2f174cf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4d209-33db-4109-b009-53b3a079d3c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df62d4a-e820-4f6b-9a26-5ba481df2d32}" ma:internalName="TaxCatchAll" ma:showField="CatchAllData" ma:web="5864d209-33db-4109-b009-53b3a079d3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64d209-33db-4109-b009-53b3a079d3cb" xsi:nil="true"/>
    <lcf76f155ced4ddcb4097134ff3c332f xmlns="967087e3-b972-4ee0-909c-6bb8eb41601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5C8859-869C-4743-B3CA-08D5B764071F}"/>
</file>

<file path=customXml/itemProps2.xml><?xml version="1.0" encoding="utf-8"?>
<ds:datastoreItem xmlns:ds="http://schemas.openxmlformats.org/officeDocument/2006/customXml" ds:itemID="{F3D3AB4C-C32F-430F-AC24-A0D9E3015F21}">
  <ds:schemaRefs>
    <ds:schemaRef ds:uri="http://schemas.microsoft.com/office/2006/metadata/properties"/>
    <ds:schemaRef ds:uri="http://www.w3.org/2000/xmlns/"/>
    <ds:schemaRef ds:uri="5864d209-33db-4109-b009-53b3a079d3cb"/>
    <ds:schemaRef ds:uri="http://www.w3.org/2001/XMLSchema-instance"/>
    <ds:schemaRef ds:uri="3e064047-1a74-420d-9a5a-718e54417e6a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FF2F335-FA9C-4A08-AB7D-0E753274BA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Work Component  Split</vt:lpstr>
      <vt:lpstr>Star Jan - Dec '26</vt:lpstr>
      <vt:lpstr>Kenneth Jan - Dec '26</vt:lpstr>
      <vt:lpstr>Tatenda Jan - Dec '26</vt:lpstr>
      <vt:lpstr>Rudzi Jan - Dec '26</vt:lpstr>
      <vt:lpstr>Katlego Jan - Dec '26</vt:lpstr>
      <vt:lpstr>Bruce Jan - Dec '26</vt:lpstr>
      <vt:lpstr>Christine Jan - Dec '26</vt:lpstr>
      <vt:lpstr>Lesego Jan - Dec '26</vt:lpstr>
      <vt:lpstr>Simelinkosi Jan - Dec '26</vt:lpstr>
      <vt:lpstr>Mavis Jan - Dec 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Ashleigh Mavhondo</dc:creator>
  <cp:keywords/>
  <dc:description/>
  <cp:lastModifiedBy>Ashleigh Mavhondo</cp:lastModifiedBy>
  <cp:revision/>
  <dcterms:created xsi:type="dcterms:W3CDTF">2025-12-12T07:10:21Z</dcterms:created>
  <dcterms:modified xsi:type="dcterms:W3CDTF">2026-02-10T20:21:11Z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0x010100D82BD234DDDB7544A4816BF78947B3FC</vt:lpwstr>
  </property>
  <property fmtid="{D5CDD505-2E9C-101B-9397-08002B2CF9AE}" pid="3" name="MediaServiceImageTags">
    <vt:lpwstr/>
  </property>
</Properties>
</file>